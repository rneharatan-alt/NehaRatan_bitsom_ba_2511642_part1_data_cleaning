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0fdd8a7b0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50876629cdf4627"/>
    <x:sheet xmlns:r="http://schemas.openxmlformats.org/officeDocument/2006/relationships" name="Dashboard" sheetId="2" r:id="R40d1a81386174afb"/>
    <x:sheet xmlns:r="http://schemas.openxmlformats.org/officeDocument/2006/relationships" name="Sales by Region" sheetId="3" r:id="Rfe7ea76740474ed4"/>
    <x:sheet xmlns:r="http://schemas.openxmlformats.org/officeDocument/2006/relationships" name="Category Subcat" sheetId="4" r:id="Rad880cd9ba814756"/>
    <x:sheet xmlns:r="http://schemas.openxmlformats.org/officeDocument/2006/relationships" name="Ship Mode Orders" sheetId="5" r:id="Rc991bfb928c0492c"/>
    <x:sheet xmlns:r="http://schemas.openxmlformats.org/officeDocument/2006/relationships" name="Segment Margin" sheetId="6" r:id="Rd59ae64ad8264e72"/>
    <x:sheet xmlns:r="http://schemas.openxmlformats.org/officeDocument/2006/relationships" name="Status by Region" sheetId="7" r:id="Rbdc6228c31ef41be"/>
    <x:sheet xmlns:r="http://schemas.openxmlformats.org/officeDocument/2006/relationships" name="Monthly Sales Trend" sheetId="8" r:id="R0965f48a5a9a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0.0%"/>
    <x:numFmt numFmtId="202" formatCode="#,##0"/>
    <x:numFmt numFmtId="203" formatCode="mmm yyyy"/>
    <x:numFmt numFmtId="204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  <x:font>
      <x:b/>
      <x:sz val="16"/>
      <x:color rgb="FF1F2937"/>
      <x:name val="Carlito"/>
    </x:font>
    <x:font>
      <x:b/>
      <x:sz val="11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0" fontId="5" fillId="3" borderId="1" xfId="0" applyNumberFormat="1" applyFont="1" applyFill="1" applyBorder="1" applyAlignment="1">
      <x:alignment horizontal="center"/>
    </x:xf>
    <x:xf numFmtId="200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6" borderId="0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200" fontId="5" fillId="6" borderId="1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1" fontId="5" fillId="7" borderId="0" xfId="0" applyNumberFormat="1" applyFont="1" applyFill="1" applyBorder="1"/>
    <x:xf numFmtId="201" fontId="5" fillId="7" borderId="0" xfId="0" applyNumberFormat="1" applyFont="1" applyFill="1" applyBorder="1" applyAlignment="1">
      <x:alignment horizontal="center"/>
    </x:xf>
    <x:xf numFmtId="201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1" fontId="5" fillId="7" borderId="1" xfId="0" applyNumberFormat="1" applyFont="1" applyFill="1" applyBorder="1"/>
    <x:xf numFmtId="201" fontId="5" fillId="7" borderId="1" xfId="0" applyNumberFormat="1" applyFont="1" applyFill="1" applyBorder="1" applyAlignment="1">
      <x:alignment horizont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2" fontId="5" fillId="8" borderId="0" xfId="0" applyNumberFormat="1" applyFont="1" applyFill="1" applyBorder="1"/>
    <x:xf numFmtId="202" fontId="5" fillId="8" borderId="0" xfId="0" applyNumberFormat="1" applyFont="1" applyFill="1" applyBorder="1" applyAlignment="1">
      <x:alignment horizontal="center"/>
    </x:xf>
    <x:xf numFmtId="202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2" fontId="5" fillId="8" borderId="1" xfId="0" applyNumberFormat="1" applyFont="1" applyFill="1" applyBorder="1"/>
    <x:xf numFmtId="202" fontId="5" fillId="8" borderId="1" xfId="0" applyNumberFormat="1" applyFont="1" applyFill="1" applyBorder="1" applyAlignment="1">
      <x:alignment horizontal="center"/>
    </x:xf>
    <x:xf numFmtId="202" fontId="5" fillId="8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right"/>
    </x:xf>
    <x:xf numFmtId="0" fontId="4" fillId="9" borderId="0" xfId="0" applyNumberFormat="1" applyFont="1" applyFill="1" applyBorder="1" applyAlignment="1">
      <x:alignment horizontal="right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right"/>
    </x:xf>
    <x:xf numFmtId="0" fontId="4" fillId="9" borderId="1" xfId="0" applyNumberFormat="1" applyFont="1" applyFill="1" applyBorder="1" applyAlignment="1">
      <x:alignment horizontal="right" vertical="center"/>
    </x:xf>
    <x:xf numFmtId="202" fontId="4" fillId="9" borderId="0" xfId="0" applyNumberFormat="1" applyFont="1" applyFill="1" applyBorder="1" applyAlignment="1">
      <x:alignment horizontal="right" vertical="center"/>
    </x:xf>
    <x:xf numFmtId="202" fontId="4" fillId="9" borderId="1" xfId="0" applyNumberFormat="1" applyFont="1" applyFill="1" applyBorder="1" applyAlignment="1">
      <x:alignment horizontal="right" vertical="center"/>
    </x:xf>
    <x:xf numFmtId="200" fontId="4" fillId="9" borderId="0" xfId="0" applyNumberFormat="1" applyFont="1" applyFill="1" applyBorder="1" applyAlignment="1">
      <x:alignment horizontal="right" vertical="center"/>
    </x:xf>
    <x:xf numFmtId="200" fontId="4" fillId="9" borderId="1" xfId="0" applyNumberFormat="1" applyFont="1" applyFill="1" applyBorder="1" applyAlignment="1">
      <x:alignment horizontal="right" vertical="center"/>
    </x:xf>
    <x:xf numFmtId="201" fontId="4" fillId="9" borderId="0" xfId="0" applyNumberFormat="1" applyFont="1" applyFill="1" applyBorder="1" applyAlignment="1">
      <x:alignment horizontal="right" vertical="center"/>
    </x:xf>
    <x:xf numFmtId="201" fontId="4" fillId="9" borderId="1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3" fontId="0" fillId="0" borderId="1" xfId="0" applyNumberFormat="1" applyFont="1" applyFill="1" applyBorder="1" applyAlignment="1">
      <x:alignment vertical="center" wrapText="0"/>
    </x:xf>
    <x:xf numFmtId="204" fontId="0" fillId="0" borderId="0" xfId="0" applyNumberFormat="1" applyFont="1" applyFill="1" applyBorder="1" applyAlignment="1">
      <x:alignment vertical="center" wrapText="0"/>
    </x:xf>
    <x:xf numFmtId="204" fontId="0" fillId="0" borderId="1" xfId="0" applyNumberFormat="1" applyFont="1" applyFill="1" applyBorder="1" applyAlignment="1">
      <x:alignment vertical="center" wrapText="0"/>
    </x:xf>
    <x:xf numFmtId="204" fontId="4" fillId="9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e1fc242344b7c" /><Relationship Type="http://schemas.openxmlformats.org/officeDocument/2006/relationships/theme" Target="/xl/theme/theme1.xml" Id="Rf687560a6975479e" /><Relationship Type="http://schemas.openxmlformats.org/officeDocument/2006/relationships/sharedStrings" Target="/xl/sharedStrings.xml" Id="Rc6be6bb853dd495f" /><Relationship Type="http://schemas.openxmlformats.org/officeDocument/2006/relationships/worksheet" Target="/xl/worksheets/sheet1.xml" Id="R050876629cdf4627" /><Relationship Type="http://schemas.openxmlformats.org/officeDocument/2006/relationships/worksheet" Target="/xl/worksheets/sheet2.xml" Id="R40d1a81386174afb" /><Relationship Type="http://schemas.openxmlformats.org/officeDocument/2006/relationships/worksheet" Target="/xl/worksheets/sheet3.xml" Id="Rfe7ea76740474ed4" /><Relationship Type="http://schemas.openxmlformats.org/officeDocument/2006/relationships/worksheet" Target="/xl/worksheets/sheet4.xml" Id="Rad880cd9ba814756" /><Relationship Type="http://schemas.openxmlformats.org/officeDocument/2006/relationships/worksheet" Target="/xl/worksheets/sheet5.xml" Id="Rc991bfb928c0492c" /><Relationship Type="http://schemas.openxmlformats.org/officeDocument/2006/relationships/worksheet" Target="/xl/worksheets/sheet6.xml" Id="Rd59ae64ad8264e72" /><Relationship Type="http://schemas.openxmlformats.org/officeDocument/2006/relationships/worksheet" Target="/xl/worksheets/sheet7.xml" Id="Rbdc6228c31ef41be" /><Relationship Type="http://schemas.openxmlformats.org/officeDocument/2006/relationships/worksheet" Target="/xl/worksheets/sheet8.xml" Id="R0965f48a5a9a41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44e67af59b42f8" /><Relationship Type="http://schemas.openxmlformats.org/officeDocument/2006/relationships/chart" Target="/xl/drawings/charts/chart2.xml" Id="Rcf401a0cea9e4c5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Calculated Sales</c:v>
          </c:tx>
          <c:cat>
            <c:strRef>
              <c:f>'Sales by Region'!$A$6:$A$10</c:f>
              <c:strCache>
                <c:ptCount val="0"/>
              </c:strCache>
            </c:strRef>
          </c:cat>
          <c:val>
            <c:numRef>
              <c:f>'Sales by Region'!$D$6:$D$10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Calculated Sales</c:v>
          </c:tx>
          <c:cat>
            <c:strRef>
              <c:f>'Monthly Sales Trend'!$A$6:$A$27</c:f>
              <c:strCache>
                <c:ptCount val="0"/>
              </c:strCache>
            </c:strRef>
          </c:cat>
          <c:val>
            <c:numRef>
              <c:f>'Monthly Sales Trend'!$D$6:$D$27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44e67af59b42f8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01a0cea9e4c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alesByRegion" displayName="tblSalesByRegion" ref="A5:G10" headerRowCount="1">
  <x:tableColumns count="7">
    <x:tableColumn id="1" name="Region"/>
    <x:tableColumn id="2" name="Order Records"/>
    <x:tableColumn id="3" name="Unique Order IDs"/>
    <x:tableColumn id="4" name="Calculated Sales"/>
    <x:tableColumn id="5" name="Calculated Profit"/>
    <x:tableColumn id="6" name="Profit Margin"/>
    <x:tableColumn id="7" name="Sales Share"/>
  </x:tableColumns>
  <x:tableStyleInfo name="TableStyleMedium2" showRowStripes="1"/>
</x:table>
</file>

<file path=xl/tables/table2.xml><?xml version="1.0" encoding="utf-8"?>
<x:table xmlns:x="http://schemas.openxmlformats.org/spreadsheetml/2006/main" id="2" name="tblCategorySubcat" displayName="tblCategorySubcat" ref="A5:G18" headerRowCount="1">
  <x:tableColumns count="7">
    <x:tableColumn id="1" name="Category"/>
    <x:tableColumn id="2" name="Sub-Category"/>
    <x:tableColumn id="3" name="Order Records"/>
    <x:tableColumn id="4" name="Calculated Sales"/>
    <x:tableColumn id="5" name="Calculated Profit"/>
    <x:tableColumn id="6" name="Profit Margin"/>
    <x:tableColumn id="7" name="Sales Share"/>
  </x:tableColumns>
  <x:tableStyleInfo name="TableStyleMedium2" showRowStripes="1"/>
</x:table>
</file>

<file path=xl/tables/table3.xml><?xml version="1.0" encoding="utf-8"?>
<x:table xmlns:x="http://schemas.openxmlformats.org/spreadsheetml/2006/main" id="3" name="tblShipModeOrders" displayName="tblShipModeOrders" ref="A5:G10" headerRowCount="1">
  <x:tableColumns count="7">
    <x:tableColumn id="1" name="Ship Mode"/>
    <x:tableColumn id="2" name="Order Records"/>
    <x:tableColumn id="3" name="Unique Order IDs"/>
    <x:tableColumn id="4" name="Eligible Records"/>
    <x:tableColumn id="5" name="Eligible Sales"/>
    <x:tableColumn id="6" name="Eligible Profit"/>
    <x:tableColumn id="7" name="Eligible Margin"/>
  </x:tableColumns>
  <x:tableStyleInfo name="TableStyleMedium2" showRowStripes="1"/>
</x:table>
</file>

<file path=xl/tables/table4.xml><?xml version="1.0" encoding="utf-8"?>
<x:table xmlns:x="http://schemas.openxmlformats.org/spreadsheetml/2006/main" id="4" name="tblSegmentMargin" displayName="tblSegmentMargin" ref="A5:F9" headerRowCount="1">
  <x:tableColumns count="6">
    <x:tableColumn id="1" name="Customer Segment"/>
    <x:tableColumn id="2" name="Eligible Records"/>
    <x:tableColumn id="3" name="Calculated Sales"/>
    <x:tableColumn id="4" name="Calculated Profit"/>
    <x:tableColumn id="5" name="Profit Margin"/>
    <x:tableColumn id="6" name="Sales Share"/>
  </x:tableColumns>
  <x:tableStyleInfo name="TableStyleMedium2" showRowStripes="1"/>
</x:table>
</file>

<file path=xl/tables/table5.xml><?xml version="1.0" encoding="utf-8"?>
<x:table xmlns:x="http://schemas.openxmlformats.org/spreadsheetml/2006/main" id="5" name="tblStatusByRegion" displayName="tblStatusByRegion" ref="A5:G10" headerRowCount="1">
  <x:tableColumns count="7">
    <x:tableColumn id="1" name="Region"/>
    <x:tableColumn id="2" name="Refunded Records"/>
    <x:tableColumn id="3" name="Cancelled Records"/>
    <x:tableColumn id="4" name="Failed-Payment Records"/>
    <x:tableColumn id="5" name="Unique Impacted Order IDs"/>
    <x:tableColumn id="6" name="Raw Sales Exposure"/>
    <x:tableColumn id="7" name="Calculated Sales Exposure"/>
  </x:tableColumns>
  <x:tableStyleInfo name="TableStyleMedium2" showRowStripes="1"/>
</x:table>
</file>

<file path=xl/tables/table6.xml><?xml version="1.0" encoding="utf-8"?>
<x:table xmlns:x="http://schemas.openxmlformats.org/spreadsheetml/2006/main" id="6" name="tblMonthlySalesTrend" displayName="tblMonthlySalesTrend" ref="A5:G27" headerRowCount="1">
  <x:tableColumns count="7">
    <x:tableColumn id="1" name="Order Month"/>
    <x:tableColumn id="2" name="Eligible Records"/>
    <x:tableColumn id="3" name="Unique Order IDs"/>
    <x:tableColumn id="4" name="Calculated Sales"/>
    <x:tableColumn id="5" name="Calculated Profit"/>
    <x:tableColumn id="6" name="Profit Margin"/>
    <x:tableColumn id="7" name="MoM Sales Grow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342be83f58f49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cd26456867a4f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fdd8596796d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d2891354cb745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f5b8b461693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c36829eaa304f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e546b3dfab7494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8" hidden="0" customWidth="1"/>
  </x:cols>
  <x:sheetData>
    <x:row r="1" ht="30" customHeight="1">
      <x:c r="A1" s="5" t="str">
        <x:v>Pivot Summary Report – Cleaned Orders</x:v>
      </x:c>
    </x:row>
    <x:row r="2" ht="28" customHeight="1">
      <x:c r="A2" s="14" t="str">
        <x:v>Prepared from cleaned_orders.xlsx | All sales and profit figures are based on Task 6 calculated columns and the approved completed-sales eligibility rule.</x:v>
      </x:c>
    </x:row>
    <x:row r="4" ht="30" customHeight="1">
      <x:c r="A4" s="24" t="str">
        <x:v>Reporting item</x:v>
      </x:c>
      <x:c r="B4" s="24" t="str">
        <x:v>Decision / logic used</x:v>
      </x:c>
    </x:row>
    <x:row r="5" ht="30" customHeight="1">
      <x:c r="A5" s="32" t="str">
        <x:v>Source workbook</x:v>
      </x:c>
      <x:c r="B5" s="37" t="str">
        <x:v>cleaned_orders.xlsx → Cleaned_Orders sheet</x:v>
      </x:c>
    </x:row>
    <x:row r="6" ht="30" customHeight="1">
      <x:c r="A6" s="32" t="str">
        <x:v>Sales and profit summaries</x:v>
      </x:c>
      <x:c r="B6" s="37" t="str">
        <x:v>Filtered to summary_eligibility = Eligible. Uses calculated_sales and calculated_profit.</x:v>
      </x:c>
    </x:row>
    <x:row r="7" ht="30" customHeight="1">
      <x:c r="A7" s="32" t="str">
        <x:v>Order counts</x:v>
      </x:c>
      <x:c r="B7" s="37" t="str">
        <x:v>Counts are retained order records. Unique order IDs are also shown because conflicting duplicate IDs were retained for review.</x:v>
      </x:c>
    </x:row>
    <x:row r="8" ht="30" customHeight="1">
      <x:c r="A8" s="32" t="str">
        <x:v>Refunded / cancelled / failed summary</x:v>
      </x:c>
      <x:c r="B8" s="37" t="str">
        <x:v>The three event counts can overlap. Unique impacted order IDs is included to prevent double-counting.</x:v>
      </x:c>
    </x:row>
    <x:row r="9" ht="30" customHeight="1">
      <x:c r="A9" s="32" t="str">
        <x:v>Sorted / filtered outputs</x:v>
      </x:c>
      <x:c r="B9" s="37" t="str">
        <x:v>Sales by Region is filtered to Eligible and sorted by Calculated Sales descending. Category Subcat is filtered to Eligible and sorted by Category, then Calculated Sales descending.</x:v>
      </x:c>
    </x:row>
    <x:row r="10" ht="30" customHeight="1">
      <x:c r="A10" s="32" t="str">
        <x:v>Monthly trend</x:v>
      </x:c>
      <x:c r="B10" s="37" t="str">
        <x:v>Chronological month order derived from order_date; uses only eligible completed-sales records.</x:v>
      </x:c>
    </x:row>
    <x:row r="11" ht="30" customHeight="1">
      <x:c r="A11" s="32" t="str">
        <x:v>Refresh approach</x:v>
      </x:c>
      <x:c r="B11" s="37" t="str">
        <x:v>Recreate the report from the latest cleaned_orders.xlsx after any source correction or business-rule change.</x:v>
      </x:c>
    </x:row>
    <x:row r="14" ht="28" customHeight="1">
      <x:c r="A14" s="24" t="str">
        <x:v>Sheet</x:v>
      </x:c>
      <x:c r="B14" s="24" t="str">
        <x:v>Purpose</x:v>
      </x:c>
      <x:c r="C14" s="24" t="str">
        <x:v>Scope</x:v>
      </x:c>
    </x:row>
    <x:row r="15" ht="24" customHeight="1">
      <x:c r="A15" s="36" t="str">
        <x:v>Dashboard</x:v>
      </x:c>
      <x:c r="B15" s="36" t="str">
        <x:v>Executive metrics and charts</x:v>
      </x:c>
      <x:c r="C15" s="36" t="str">
        <x:v>Eligible sales/profit and exclusion overview</x:v>
      </x:c>
    </x:row>
    <x:row r="16" ht="24" customHeight="1">
      <x:c r="A16" s="36" t="str">
        <x:v>Sales by Region</x:v>
      </x:c>
      <x:c r="B16" s="36" t="str">
        <x:v>Sales and profit by region</x:v>
      </x:c>
      <x:c r="C16" s="36" t="str">
        <x:v>Eligible completed-sales records; sorted by sales</x:v>
      </x:c>
    </x:row>
    <x:row r="17" ht="24" customHeight="1">
      <x:c r="A17" s="36" t="str">
        <x:v>Category Subcat</x:v>
      </x:c>
      <x:c r="B17" s="36" t="str">
        <x:v>Sales and profit by category/sub-category</x:v>
      </x:c>
      <x:c r="C17" s="36" t="str">
        <x:v>Eligible completed-sales records; sorted and filterable</x:v>
      </x:c>
    </x:row>
    <x:row r="18" ht="24" customHeight="1">
      <x:c r="A18" s="36" t="str">
        <x:v>Ship Mode Orders</x:v>
      </x:c>
      <x:c r="B18" s="36" t="str">
        <x:v>Order count by ship mode</x:v>
      </x:c>
      <x:c r="C18" s="36" t="str">
        <x:v>All retained records; eligible metrics shown for context</x:v>
      </x:c>
    </x:row>
    <x:row r="19" ht="24" customHeight="1">
      <x:c r="A19" s="36" t="str">
        <x:v>Segment Margin</x:v>
      </x:c>
      <x:c r="B19" s="36" t="str">
        <x:v>Profit margin by customer segment</x:v>
      </x:c>
      <x:c r="C19" s="36" t="str">
        <x:v>Eligible completed-sales records</x:v>
      </x:c>
    </x:row>
    <x:row r="20" ht="24" customHeight="1">
      <x:c r="A20" s="36" t="str">
        <x:v>Status by Region</x:v>
      </x:c>
      <x:c r="B20" s="36" t="str">
        <x:v>Refunded, cancelled, and failed orders by region</x:v>
      </x:c>
      <x:c r="C20" s="36" t="str">
        <x:v>All retained records; event counts may overlap</x:v>
      </x:c>
    </x:row>
    <x:row r="21" ht="24" customHeight="1">
      <x:c r="A21" s="36" t="str">
        <x:v>Monthly Sales Trend</x:v>
      </x:c>
      <x:c r="B21" s="36" t="str">
        <x:v>Monthly sales and profit trend</x:v>
      </x:c>
      <x:c r="C21" s="36" t="str">
        <x:v>Eligible completed-sales records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</x:cols>
  <x:sheetData>
    <x:row r="1" ht="30" customHeight="1">
      <x:c r="A1" s="5" t="str">
        <x:v>Pivot Summary Dashboard</x:v>
      </x:c>
    </x:row>
    <x:row r="2" ht="28" customHeight="1">
      <x:c r="A2" s="14" t="str">
        <x:v>Reporting basis: summary_eligibility = Eligible for sales/profit metrics. Records that are refunded, cancelled, failed, or invalid remain available in the exception summary.</x:v>
      </x:c>
    </x:row>
    <x:row r="3">
      <x:c r="A3" s="42" t="str">
        <x:v>Eligible Completed Sales</x:v>
      </x:c>
      <x:c r="E3" s="42" t="str">
        <x:v>Eligible Completed Profit</x:v>
      </x:c>
      <x:c r="I3" s="42" t="str">
        <x:v>Overall Profit Margin</x:v>
      </x:c>
      <x:c r="M3" s="42" t="str">
        <x:v>Eligible Order Records</x:v>
      </x:c>
    </x:row>
    <x:row r="4">
      <x:c r="A4" s="49" t="n">
        <x:v>5329453.93</x:v>
      </x:c>
      <x:c r="E4" s="58" t="n">
        <x:v>1549060.04</x:v>
      </x:c>
      <x:c r="I4" s="68" t="n">
        <x:v>0.2906601802635341</x:v>
      </x:c>
      <x:c r="M4" s="78" t="n">
        <x:v>537</x:v>
      </x:c>
    </x:row>
    <x:row r="7" ht="20" customHeight="1">
      <x:c r="A7" s="24" t="str">
        <x:v>Business-rule exclusion overview</x:v>
      </x:c>
      <x:c r="B7" s="24" t="str">
        <x:v>Record count</x:v>
      </x:c>
      <x:c r="C7" s="24" t="str"/>
      <x:c r="D7" s="24" t="str"/>
      <x:c r="E7" s="24" t="str"/>
      <x:c r="F7" s="24" t="str"/>
    </x:row>
    <x:row r="8" ht="20" customHeight="1">
      <x:c r="A8" s="85" t="str">
        <x:v>All retained records</x:v>
      </x:c>
      <x:c r="B8" s="88" t="n">
        <x:v>912</x:v>
      </x:c>
    </x:row>
    <x:row r="9" ht="20" customHeight="1">
      <x:c r="A9" s="85" t="str">
        <x:v>Eligible completed-sales records</x:v>
      </x:c>
      <x:c r="B9" s="88" t="n">
        <x:v>537</x:v>
      </x:c>
    </x:row>
    <x:row r="10" ht="20" customHeight="1">
      <x:c r="A10" s="85" t="str">
        <x:v>Excluded from completed sales</x:v>
      </x:c>
      <x:c r="B10" s="88" t="n">
        <x:v>375</x:v>
      </x:c>
    </x:row>
    <x:row r="11" ht="20" customHeight="1">
      <x:c r="A11" s="85" t="str">
        <x:v>Refunded records</x:v>
      </x:c>
      <x:c r="B11" s="88" t="n">
        <x:v>71</x:v>
      </x:c>
    </x:row>
    <x:row r="12" ht="20" customHeight="1">
      <x:c r="A12" s="85" t="str">
        <x:v>Cancelled records</x:v>
      </x:c>
      <x:c r="B12" s="88" t="n">
        <x:v>145</x:v>
      </x:c>
    </x:row>
    <x:row r="13" ht="20" customHeight="1">
      <x:c r="A13" s="85" t="str">
        <x:v>Failed-payment records</x:v>
      </x:c>
      <x:c r="B13" s="88" t="n">
        <x:v>69</x:v>
      </x:c>
    </x:row>
    <x:row r="15" ht="24" customHeight="1">
      <x:c r="A15" s="93" t="str">
        <x:v>Use the dedicated tabs for the full pivot summaries. The Sales by Region and Category Subcat sheets include filterable Excel tables and pre-applied sorting, as requested.</x:v>
      </x:c>
      <x:c r="B15" s="98"/>
      <x:c r="C15" s="98"/>
      <x:c r="D15" s="98"/>
      <x:c r="E15" s="98"/>
      <x:c r="F15" s="98"/>
    </x:row>
    <x:row r="16">
      <x:c r="A16" s="98"/>
      <x:c r="B16" s="98"/>
      <x:c r="C16" s="98"/>
      <x:c r="D16" s="98"/>
      <x:c r="E16" s="98"/>
      <x:c r="F16" s="98"/>
    </x:row>
    <x:row r="17">
      <x:c r="A17" s="98"/>
      <x:c r="B17" s="98"/>
      <x:c r="C17" s="98"/>
      <x:c r="D17" s="98"/>
      <x:c r="E17" s="98"/>
      <x:c r="F17" s="98"/>
    </x:row>
    <x:row r="18">
      <x:c r="A18" s="98"/>
      <x:c r="B18" s="98"/>
      <x:c r="C18" s="98"/>
      <x:c r="D18" s="98"/>
      <x:c r="E18" s="98"/>
      <x:c r="F18" s="98"/>
    </x:row>
  </x:sheetData>
  <x:mergeCells>
    <x:mergeCell ref="A1:P1"/>
    <x:mergeCell ref="A2:P2"/>
    <x:mergeCell ref="A3:C3"/>
    <x:mergeCell ref="A4:C5"/>
    <x:mergeCell ref="E3:G3"/>
    <x:mergeCell ref="E4:G5"/>
    <x:mergeCell ref="I3:K3"/>
    <x:mergeCell ref="I4:K5"/>
    <x:mergeCell ref="M3:O3"/>
    <x:mergeCell ref="M4:O5"/>
    <x:mergeCell ref="A15:F18"/>
  </x:mergeCells>
  <x:pageMargins left="0.7" right="0.7" top="0.75" bottom="0.75" header="0.3" footer="0.3"/>
  <x:drawing xmlns:r="http://schemas.openxmlformats.org/officeDocument/2006/relationships" r:id="R9342be83f58f49c4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</x:cols>
  <x:sheetData>
    <x:row r="1" ht="26" customHeight="1">
      <x:c r="A1" s="101" t="str">
        <x:v>Sales &amp; Profit by Region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Filter applied: summary_eligibility = Eligible. Sorted by Calculated Sales, largest to smallest. Amounts are calculated values after standardized discount logic.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Region</x:v>
      </x:c>
      <x:c r="B5" s="24" t="str">
        <x:v>Order Records</x:v>
      </x:c>
      <x:c r="C5" s="24" t="str">
        <x:v>Unique Order IDs</x:v>
      </x:c>
      <x:c r="D5" s="24" t="str">
        <x:v>Calculated Sales</x:v>
      </x:c>
      <x:c r="E5" s="24" t="str">
        <x:v>Calculated Profit</x:v>
      </x:c>
      <x:c r="F5" s="24" t="str">
        <x:v>Profit Margin</x:v>
      </x:c>
      <x:c r="G5" s="24" t="str">
        <x:v>Sales Share</x:v>
      </x:c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0" t="str">
        <x:v>South</x:v>
      </x:c>
      <x:c r="B6" s="131" t="n">
        <x:v>137</x:v>
      </x:c>
      <x:c r="C6" s="131" t="n">
        <x:v>137</x:v>
      </x:c>
      <x:c r="D6" s="132" t="n">
        <x:v>1427391.84</x:v>
      </x:c>
      <x:c r="E6" s="132" t="n">
        <x:v>408387.92</x:v>
      </x:c>
      <x:c r="F6" s="133" t="n">
        <x:v>0.2861077866327159</x:v>
      </x:c>
      <x:c r="G6" s="133" t="n">
        <x:v>0.26783078693392515</x:v>
      </x:c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0" t="str">
        <x:v>West</x:v>
      </x:c>
      <x:c r="B7" s="131" t="n">
        <x:v>140</x:v>
      </x:c>
      <x:c r="C7" s="131" t="n">
        <x:v>140</x:v>
      </x:c>
      <x:c r="D7" s="132" t="n">
        <x:v>1360140.47</x:v>
      </x:c>
      <x:c r="E7" s="132" t="n">
        <x:v>385718.13</x:v>
      </x:c>
      <x:c r="F7" s="133" t="n">
        <x:v>0.2835869812770148</x:v>
      </x:c>
      <x:c r="G7" s="133" t="n">
        <x:v>0.25521197628590814</x:v>
      </x:c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0" t="str">
        <x:v>East</x:v>
      </x:c>
      <x:c r="B8" s="131" t="n">
        <x:v>130</x:v>
      </x:c>
      <x:c r="C8" s="131" t="n">
        <x:v>130</x:v>
      </x:c>
      <x:c r="D8" s="132" t="n">
        <x:v>1247672.63</x:v>
      </x:c>
      <x:c r="E8" s="132" t="n">
        <x:v>371870.71</x:v>
      </x:c>
      <x:c r="F8" s="133" t="n">
        <x:v>0.29805150891223736</x:v>
      </x:c>
      <x:c r="G8" s="133" t="n">
        <x:v>0.2341089061632999</x:v>
      </x:c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0" t="str">
        <x:v>North</x:v>
      </x:c>
      <x:c r="B9" s="131" t="n">
        <x:v>112</x:v>
      </x:c>
      <x:c r="C9" s="131" t="n">
        <x:v>112</x:v>
      </x:c>
      <x:c r="D9" s="132" t="n">
        <x:v>1126699.72</x:v>
      </x:c>
      <x:c r="E9" s="132" t="n">
        <x:v>331075.75</x:v>
      </x:c>
      <x:c r="F9" s="133" t="n">
        <x:v>0.2938455953463802</x:v>
      </x:c>
      <x:c r="G9" s="133" t="n">
        <x:v>0.21140997460503427</x:v>
      </x:c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30" t="str">
        <x:v>Unknown</x:v>
      </x:c>
      <x:c r="B10" s="131" t="n">
        <x:v>18</x:v>
      </x:c>
      <x:c r="C10" s="131" t="n">
        <x:v>18</x:v>
      </x:c>
      <x:c r="D10" s="132" t="n">
        <x:v>167549.27</x:v>
      </x:c>
      <x:c r="E10" s="132" t="n">
        <x:v>52007.53</x:v>
      </x:c>
      <x:c r="F10" s="133" t="n">
        <x:v>0.31040141207419175</x:v>
      </x:c>
      <x:c r="G10" s="133" t="n">
        <x:v>0.03143835601183253</x:v>
      </x:c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16" t="str">
        <x:v>Grand Total</x:v>
      </x:c>
      <x:c r="B11" s="121" t="n">
        <x:f>SUM(B6:B10)</x:f>
        <x:v>537</x:v>
      </x:c>
      <x:c r="C11" s="121" t="n">
        <x:f>SUM(C6:C10)</x:f>
        <x:v>537</x:v>
      </x:c>
      <x:c r="D11" s="123" t="n">
        <x:f>SUM(D6:D10)</x:f>
        <x:v>5329453.93</x:v>
      </x:c>
      <x:c r="E11" s="123" t="n">
        <x:f>SUM(E6:E10)</x:f>
        <x:v>1549060.04</x:v>
      </x:c>
      <x:c r="F11" s="125" t="n">
        <x:f>IFERROR(E11/D11,0)</x:f>
        <x:v>0.2906601802635341</x:v>
      </x:c>
      <x:c r="G11" s="125" t="n">
        <x:f>SUM(G6:G10)</x:f>
        <x:v>1</x:v>
      </x:c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G1"/>
    <x:mergeCell ref="A2:G3"/>
  </x:mergeCells>
  <x:conditionalFormatting sqref="D6:D1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{3D97A336-0D36-139D-9FA2-42222DF1D796}</x14:id>
        </x:ext>
      </x:extLst>
    </x:cfRule>
  </x:conditionalFormatting>
  <x:conditionalFormatting sqref="F6:F10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cd26456867a4f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97A336-0D36-139D-9FA2-42222DF1D796}">
            <x14:dataBar gradient="1">
              <x14:cfvo type="min"/>
              <x14:cfvo type="max"/>
              <x14:fillColor rgb="FF2F75B5"/>
            </x14:dataBar>
          </x14:cfRule>
          <xm:sqref>D6:D10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</x:cols>
  <x:sheetData>
    <x:row r="1" ht="26" customHeight="1">
      <x:c r="A1" s="101" t="str">
        <x:v>Sales &amp; Profit by Category and Sub-Category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Filter applied: summary_eligibility = Eligible. Rows are sorted by Category (A–Z), then Calculated Sales (largest to smallest) within category.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Category</x:v>
      </x:c>
      <x:c r="B5" s="24" t="str">
        <x:v>Sub-Category</x:v>
      </x:c>
      <x:c r="C5" s="24" t="str">
        <x:v>Order Records</x:v>
      </x:c>
      <x:c r="D5" s="24" t="str">
        <x:v>Calculated Sales</x:v>
      </x:c>
      <x:c r="E5" s="24" t="str">
        <x:v>Calculated Profit</x:v>
      </x:c>
      <x:c r="F5" s="24" t="str">
        <x:v>Profit Margin</x:v>
      </x:c>
      <x:c r="G5" s="24" t="str">
        <x:v>Sales Share</x:v>
      </x:c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0" t="str">
        <x:v>Furniture</x:v>
      </x:c>
      <x:c r="B6" s="130" t="str">
        <x:v>Chairs</x:v>
      </x:c>
      <x:c r="C6" s="131" t="n">
        <x:v>50</x:v>
      </x:c>
      <x:c r="D6" s="132" t="n">
        <x:v>528777.77</x:v>
      </x:c>
      <x:c r="E6" s="132" t="n">
        <x:v>150921.68</x:v>
      </x:c>
      <x:c r="F6" s="133" t="n">
        <x:v>0.28541608320637246</x:v>
      </x:c>
      <x:c r="G6" s="133" t="n">
        <x:v>0.09921800187134745</x:v>
      </x:c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0" t="str">
        <x:v>Furniture</x:v>
      </x:c>
      <x:c r="B7" s="130" t="str">
        <x:v>Furnishings</x:v>
      </x:c>
      <x:c r="C7" s="131" t="n">
        <x:v>46</x:v>
      </x:c>
      <x:c r="D7" s="132" t="n">
        <x:v>438475.84</x:v>
      </x:c>
      <x:c r="E7" s="132" t="n">
        <x:v>130589.26</x:v>
      </x:c>
      <x:c r="F7" s="133" t="n">
        <x:v>0.2978254400516114</x:v>
      </x:c>
      <x:c r="G7" s="133" t="n">
        <x:v>0.08227406517800596</x:v>
      </x:c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0" t="str">
        <x:v>Furniture</x:v>
      </x:c>
      <x:c r="B8" s="130" t="str">
        <x:v>Tables</x:v>
      </x:c>
      <x:c r="C8" s="131" t="n">
        <x:v>45</x:v>
      </x:c>
      <x:c r="D8" s="132" t="n">
        <x:v>383944.67</x:v>
      </x:c>
      <x:c r="E8" s="132" t="n">
        <x:v>115788.14</x:v>
      </x:c>
      <x:c r="F8" s="133" t="n">
        <x:v>0.3015750680950982</x:v>
      </x:c>
      <x:c r="G8" s="133" t="n">
        <x:v>0.07204202814077051</x:v>
      </x:c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0" t="str">
        <x:v>Furniture</x:v>
      </x:c>
      <x:c r="B9" s="130" t="str">
        <x:v>Bookcases</x:v>
      </x:c>
      <x:c r="C9" s="131" t="n">
        <x:v>37</x:v>
      </x:c>
      <x:c r="D9" s="132" t="n">
        <x:v>357605.89</x:v>
      </x:c>
      <x:c r="E9" s="132" t="n">
        <x:v>98715.82</x:v>
      </x:c>
      <x:c r="F9" s="133" t="n">
        <x:v>0.2760464040455262</x:v>
      </x:c>
      <x:c r="G9" s="133" t="n">
        <x:v>0.06709991205421678</x:v>
      </x:c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30" t="str">
        <x:v>Office Supplies</x:v>
      </x:c>
      <x:c r="B10" s="130" t="str">
        <x:v>Storage</x:v>
      </x:c>
      <x:c r="C10" s="131" t="n">
        <x:v>50</x:v>
      </x:c>
      <x:c r="D10" s="132" t="n">
        <x:v>493993.37</x:v>
      </x:c>
      <x:c r="E10" s="132" t="n">
        <x:v>129283.49</x:v>
      </x:c>
      <x:c r="F10" s="133" t="n">
        <x:v>0.2617109820724921</x:v>
      </x:c>
      <x:c r="G10" s="133" t="n">
        <x:v>0.09269117933814282</x:v>
      </x:c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30" t="str">
        <x:v>Office Supplies</x:v>
      </x:c>
      <x:c r="B11" s="130" t="str">
        <x:v>Paper</x:v>
      </x:c>
      <x:c r="C11" s="131" t="n">
        <x:v>37</x:v>
      </x:c>
      <x:c r="D11" s="132" t="n">
        <x:v>411113.95</x:v>
      </x:c>
      <x:c r="E11" s="132" t="n">
        <x:v>110201.5</x:v>
      </x:c>
      <x:c r="F11" s="133" t="n">
        <x:v>0.26805585166837564</x:v>
      </x:c>
      <x:c r="G11" s="133" t="n">
        <x:v>0.0771399763277436</x:v>
      </x:c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30" t="str">
        <x:v>Office Supplies</x:v>
      </x:c>
      <x:c r="B12" s="130" t="str">
        <x:v>Binders</x:v>
      </x:c>
      <x:c r="C12" s="131" t="n">
        <x:v>30</x:v>
      </x:c>
      <x:c r="D12" s="132" t="n">
        <x:v>301207.46</x:v>
      </x:c>
      <x:c r="E12" s="132" t="n">
        <x:v>94944.23</x:v>
      </x:c>
      <x:c r="F12" s="133" t="n">
        <x:v>0.31521208007265156</x:v>
      </x:c>
      <x:c r="G12" s="133" t="n">
        <x:v>0.05651750891483924</x:v>
      </x:c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30" t="str">
        <x:v>Office Supplies</x:v>
      </x:c>
      <x:c r="B13" s="130" t="str">
        <x:v>Art</x:v>
      </x:c>
      <x:c r="C13" s="131" t="n">
        <x:v>26</x:v>
      </x:c>
      <x:c r="D13" s="132" t="n">
        <x:v>288967.12</x:v>
      </x:c>
      <x:c r="E13" s="132" t="n">
        <x:v>78457.87</x:v>
      </x:c>
      <x:c r="F13" s="133" t="n">
        <x:v>0.27151140932573925</x:v>
      </x:c>
      <x:c r="G13" s="133" t="n">
        <x:v>0.054220774547534184</x:v>
      </x:c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30" t="str">
        <x:v>Office Supplies</x:v>
      </x:c>
      <x:c r="B14" s="130" t="str">
        <x:v>Labels</x:v>
      </x:c>
      <x:c r="C14" s="131" t="n">
        <x:v>28</x:v>
      </x:c>
      <x:c r="D14" s="132" t="n">
        <x:v>186231.75</x:v>
      </x:c>
      <x:c r="E14" s="132" t="n">
        <x:v>57988.76</x:v>
      </x:c>
      <x:c r="F14" s="133" t="n">
        <x:v>0.31137955799695816</x:v>
      </x:c>
      <x:c r="G14" s="133" t="n">
        <x:v>0.0349438708817209</x:v>
      </x:c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30" t="str">
        <x:v>Technology</x:v>
      </x:c>
      <x:c r="B15" s="130" t="str">
        <x:v>Copiers</x:v>
      </x:c>
      <x:c r="C15" s="131" t="n">
        <x:v>59</x:v>
      </x:c>
      <x:c r="D15" s="132" t="n">
        <x:v>636659.33</x:v>
      </x:c>
      <x:c r="E15" s="132" t="n">
        <x:v>182201.13</x:v>
      </x:c>
      <x:c r="F15" s="133" t="n">
        <x:v>0.2861830831883042</x:v>
      </x:c>
      <x:c r="G15" s="133" t="n">
        <x:v>0.11946051853759058</x:v>
      </x:c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30" t="str">
        <x:v>Technology</x:v>
      </x:c>
      <x:c r="B16" s="130" t="str">
        <x:v>Phones</x:v>
      </x:c>
      <x:c r="C16" s="131" t="n">
        <x:v>45</x:v>
      </x:c>
      <x:c r="D16" s="132" t="n">
        <x:v>480513.78</x:v>
      </x:c>
      <x:c r="E16" s="132" t="n">
        <x:v>142114.74</x:v>
      </x:c>
      <x:c r="F16" s="133" t="n">
        <x:v>0.29575580537981644</x:v>
      </x:c>
      <x:c r="G16" s="133" t="n">
        <x:v>0.09016191645735834</x:v>
      </x:c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30" t="str">
        <x:v>Technology</x:v>
      </x:c>
      <x:c r="B17" s="130" t="str">
        <x:v>Accessories</x:v>
      </x:c>
      <x:c r="C17" s="131" t="n">
        <x:v>42</x:v>
      </x:c>
      <x:c r="D17" s="132" t="n">
        <x:v>453302.54</x:v>
      </x:c>
      <x:c r="E17" s="132" t="n">
        <x:v>132222.69</x:v>
      </x:c>
      <x:c r="F17" s="133" t="n">
        <x:v>0.29168751183260516</x:v>
      </x:c>
      <x:c r="G17" s="133" t="n">
        <x:v>0.08505609504349351</x:v>
      </x:c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30" t="str">
        <x:v>Technology</x:v>
      </x:c>
      <x:c r="B18" s="130" t="str">
        <x:v>Machines</x:v>
      </x:c>
      <x:c r="C18" s="131" t="n">
        <x:v>42</x:v>
      </x:c>
      <x:c r="D18" s="132" t="n">
        <x:v>368660.46</x:v>
      </x:c>
      <x:c r="E18" s="132" t="n">
        <x:v>125630.73</x:v>
      </x:c>
      <x:c r="F18" s="133" t="n">
        <x:v>0.34077625248989285</x:v>
      </x:c>
      <x:c r="G18" s="133" t="n">
        <x:v>0.06917415270723619</x:v>
      </x:c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16" t="str">
        <x:v>Grand Total</x:v>
      </x:c>
      <x:c r="B19" s="116"/>
      <x:c r="C19" s="121" t="n">
        <x:f>SUM(C6:C18)</x:f>
        <x:v>537</x:v>
      </x:c>
      <x:c r="D19" s="123" t="n">
        <x:f>SUM(D6:D18)</x:f>
        <x:v>5329453.930000001</x:v>
      </x:c>
      <x:c r="E19" s="123" t="n">
        <x:f>SUM(E6:E18)</x:f>
        <x:v>1549060.0399999998</x:v>
      </x:c>
      <x:c r="F19" s="125" t="n">
        <x:f>IFERROR(E19/D19,0)</x:f>
        <x:v>0.29066018026353396</x:v>
      </x:c>
      <x:c r="G19" s="125" t="n">
        <x:f>SUM(G6:G18)</x:f>
        <x:v>1</x:v>
      </x:c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G1"/>
    <x:mergeCell ref="A2:G3"/>
  </x:mergeCells>
  <x:conditionalFormatting sqref="D6:D1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{74E86699-6898-CAA1-E7B7-2E2788191630}</x14:id>
        </x:ext>
      </x:extLst>
    </x:cfRule>
  </x:conditionalFormatting>
  <x:conditionalFormatting sqref="F6:F18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dd8596796d4a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E86699-6898-CAA1-E7B7-2E2788191630}">
            <x14:dataBar gradient="1">
              <x14:cfvo type="min"/>
              <x14:cfvo type="max"/>
              <x14:fillColor rgb="FF2F75B5"/>
            </x14:dataBar>
          </x14:cfRule>
          <xm:sqref>D6:D18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</x:cols>
  <x:sheetData>
    <x:row r="1" ht="26" customHeight="1">
      <x:c r="A1" s="101" t="str">
        <x:v>Order Count by Ship Mode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Scope: all 912 retained records, including flagged and excluded records. Eligible sales/profit metrics are included for operational context. Sorted by retained order-record count (largest to smallest).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Ship Mode</x:v>
      </x:c>
      <x:c r="B5" s="24" t="str">
        <x:v>Order Records</x:v>
      </x:c>
      <x:c r="C5" s="24" t="str">
        <x:v>Unique Order IDs</x:v>
      </x:c>
      <x:c r="D5" s="24" t="str">
        <x:v>Eligible Records</x:v>
      </x:c>
      <x:c r="E5" s="24" t="str">
        <x:v>Eligible Sales</x:v>
      </x:c>
      <x:c r="F5" s="24" t="str">
        <x:v>Eligible Profit</x:v>
      </x:c>
      <x:c r="G5" s="24" t="str">
        <x:v>Eligible Margin</x:v>
      </x:c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0" t="str">
        <x:v>Standard Class</x:v>
      </x:c>
      <x:c r="B6" s="131" t="n">
        <x:v>242</x:v>
      </x:c>
      <x:c r="C6" s="131" t="n">
        <x:v>239</x:v>
      </x:c>
      <x:c r="D6" s="131" t="n">
        <x:v>145</x:v>
      </x:c>
      <x:c r="E6" s="132" t="n">
        <x:v>1503391.36</x:v>
      </x:c>
      <x:c r="F6" s="132" t="n">
        <x:v>456587.12</x:v>
      </x:c>
      <x:c r="G6" s="133" t="n">
        <x:v>0.30370476520498263</x:v>
      </x:c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0" t="str">
        <x:v>First Class</x:v>
      </x:c>
      <x:c r="B7" s="131" t="n">
        <x:v>223</x:v>
      </x:c>
      <x:c r="C7" s="131" t="n">
        <x:v>219</x:v>
      </x:c>
      <x:c r="D7" s="131" t="n">
        <x:v>136</x:v>
      </x:c>
      <x:c r="E7" s="132" t="n">
        <x:v>1395818.88</x:v>
      </x:c>
      <x:c r="F7" s="132" t="n">
        <x:v>374028.35</x:v>
      </x:c>
      <x:c r="G7" s="133" t="n">
        <x:v>0.26796338361607475</x:v>
      </x:c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0" t="str">
        <x:v>Second Class</x:v>
      </x:c>
      <x:c r="B8" s="131" t="n">
        <x:v>222</x:v>
      </x:c>
      <x:c r="C8" s="131" t="n">
        <x:v>219</x:v>
      </x:c>
      <x:c r="D8" s="131" t="n">
        <x:v>124</x:v>
      </x:c>
      <x:c r="E8" s="132" t="n">
        <x:v>1266647.61</x:v>
      </x:c>
      <x:c r="F8" s="132" t="n">
        <x:v>373391.68</x:v>
      </x:c>
      <x:c r="G8" s="133" t="n">
        <x:v>0.2947873402611165</x:v>
      </x:c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0" t="str">
        <x:v>Same Day</x:v>
      </x:c>
      <x:c r="B9" s="131" t="n">
        <x:v>204</x:v>
      </x:c>
      <x:c r="C9" s="131" t="n">
        <x:v>203</x:v>
      </x:c>
      <x:c r="D9" s="131" t="n">
        <x:v>120</x:v>
      </x:c>
      <x:c r="E9" s="132" t="n">
        <x:v>1035687.95</x:v>
      </x:c>
      <x:c r="F9" s="132" t="n">
        <x:v>311497.77</x:v>
      </x:c>
      <x:c r="G9" s="133" t="n">
        <x:v>0.30076411529167674</x:v>
      </x:c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30" t="str">
        <x:v>Unknown</x:v>
      </x:c>
      <x:c r="B10" s="131" t="n">
        <x:v>21</x:v>
      </x:c>
      <x:c r="C10" s="131" t="n">
        <x:v>20</x:v>
      </x:c>
      <x:c r="D10" s="131" t="n">
        <x:v>12</x:v>
      </x:c>
      <x:c r="E10" s="132" t="n">
        <x:v>127908.13</x:v>
      </x:c>
      <x:c r="F10" s="132" t="n">
        <x:v>33555.12</x:v>
      </x:c>
      <x:c r="G10" s="133" t="n">
        <x:v>0.26233766375913714</x:v>
      </x:c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16" t="str">
        <x:v>Grand Total</x:v>
      </x:c>
      <x:c r="B11" s="121" t="n">
        <x:f>SUM(B6:B10)</x:f>
        <x:v>912</x:v>
      </x:c>
      <x:c r="C11" s="121" t="n">
        <x:f>SUM(C6:C10)</x:f>
        <x:v>900</x:v>
      </x:c>
      <x:c r="D11" s="121" t="n">
        <x:f>SUM(D6:D10)</x:f>
        <x:v>537</x:v>
      </x:c>
      <x:c r="E11" s="123" t="n">
        <x:f>SUM(E6:E10)</x:f>
        <x:v>5329453.930000001</x:v>
      </x:c>
      <x:c r="F11" s="123" t="n">
        <x:f>SUM(F6:F10)</x:f>
        <x:v>1549060.04</x:v>
      </x:c>
      <x:c r="G11" s="125" t="n">
        <x:f>IFERROR(F11/E11,0)</x:f>
        <x:v>0.290660180263534</x:v>
      </x:c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G1"/>
    <x:mergeCell ref="A2:G3"/>
  </x:mergeCells>
  <x:conditionalFormatting sqref="B6:B1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{58E871E1-1A5A-6611-BC92-E157FC598D3F}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d2891354cb745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8E871E1-1A5A-6611-BC92-E157FC598D3F}">
            <x14:dataBar gradient="1">
              <x14:cfvo type="min"/>
              <x14:cfvo type="max"/>
              <x14:fillColor rgb="FF2F75B5"/>
            </x14:dataBar>
          </x14:cfRule>
          <xm:sqref>B6:B10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</x:cols>
  <x:sheetData>
    <x:row r="1" ht="26" customHeight="1">
      <x:c r="A1" s="101" t="str">
        <x:v>Profit Margin by Customer Segment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Filter applied: summary_eligibility = Eligible. Sorted by Profit Margin, highest to lowest. Margin is calculated as total calculated profit divided by total calculated sales.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Customer Segment</x:v>
      </x:c>
      <x:c r="B5" s="24" t="str">
        <x:v>Eligible Records</x:v>
      </x:c>
      <x:c r="C5" s="24" t="str">
        <x:v>Calculated Sales</x:v>
      </x:c>
      <x:c r="D5" s="24" t="str">
        <x:v>Calculated Profit</x:v>
      </x:c>
      <x:c r="E5" s="24" t="str">
        <x:v>Profit Margin</x:v>
      </x:c>
      <x:c r="F5" s="24" t="str">
        <x:v>Sales Share</x:v>
      </x:c>
      <x:c r="G5" s="129"/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0" t="str">
        <x:v>Home Office</x:v>
      </x:c>
      <x:c r="B6" s="131" t="n">
        <x:v>147</x:v>
      </x:c>
      <x:c r="C6" s="132" t="n">
        <x:v>1422428.54</x:v>
      </x:c>
      <x:c r="D6" s="132" t="n">
        <x:v>429965.04</x:v>
      </x:c>
      <x:c r="E6" s="133" t="n">
        <x:v>0.3022753185196918</x:v>
      </x:c>
      <x:c r="F6" s="133" t="n">
        <x:v>0.2668994907701548</x:v>
      </x:c>
      <x:c r="G6" s="129"/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0" t="str">
        <x:v>Consumer</x:v>
      </x:c>
      <x:c r="B7" s="131" t="n">
        <x:v>127</x:v>
      </x:c>
      <x:c r="C7" s="132" t="n">
        <x:v>1221728.56</x:v>
      </x:c>
      <x:c r="D7" s="132" t="n">
        <x:v>354282.72</x:v>
      </x:c>
      <x:c r="E7" s="133" t="n">
        <x:v>0.2899848064450583</x:v>
      </x:c>
      <x:c r="F7" s="133" t="n">
        <x:v>0.2292408520735632</x:v>
      </x:c>
      <x:c r="G7" s="129"/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0" t="str">
        <x:v>Corporate</x:v>
      </x:c>
      <x:c r="B8" s="131" t="n">
        <x:v>117</x:v>
      </x:c>
      <x:c r="C8" s="132" t="n">
        <x:v>1181178.06</x:v>
      </x:c>
      <x:c r="D8" s="132" t="n">
        <x:v>342120.66</x:v>
      </x:c>
      <x:c r="E8" s="133" t="n">
        <x:v>0.2896435953102617</x:v>
      </x:c>
      <x:c r="F8" s="133" t="n">
        <x:v>0.2216320988067909</x:v>
      </x:c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0" t="str">
        <x:v>Small Business</x:v>
      </x:c>
      <x:c r="B9" s="131" t="n">
        <x:v>146</x:v>
      </x:c>
      <x:c r="C9" s="132" t="n">
        <x:v>1504118.77</x:v>
      </x:c>
      <x:c r="D9" s="132" t="n">
        <x:v>422691.62</x:v>
      </x:c>
      <x:c r="E9" s="133" t="n">
        <x:v>0.2810227679028297</x:v>
      </x:c>
      <x:c r="F9" s="133" t="n">
        <x:v>0.2822275583494912</x:v>
      </x:c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16" t="str">
        <x:v>Grand Total</x:v>
      </x:c>
      <x:c r="B10" s="121" t="n">
        <x:f>SUM(B6:B9)</x:f>
        <x:v>537</x:v>
      </x:c>
      <x:c r="C10" s="123" t="n">
        <x:f>SUM(C6:C9)</x:f>
        <x:v>5329453.93</x:v>
      </x:c>
      <x:c r="D10" s="123" t="n">
        <x:f>SUM(D6:D9)</x:f>
        <x:v>1549060.04</x:v>
      </x:c>
      <x:c r="E10" s="125" t="n">
        <x:f>IFERROR(D10/C10,0)</x:f>
        <x:v>0.2906601802635341</x:v>
      </x:c>
      <x:c r="F10" s="125" t="n">
        <x:f>SUM(F6:F9)</x:f>
        <x:v>1</x:v>
      </x:c>
      <x:c r="G10" s="129"/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29"/>
      <x:c r="B11" s="129"/>
      <x:c r="C11" s="129"/>
      <x:c r="D11" s="129"/>
      <x:c r="E11" s="129"/>
      <x:c r="F11" s="129"/>
      <x:c r="G11" s="129"/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F1"/>
    <x:mergeCell ref="A2:F3"/>
  </x:mergeCells>
  <x:conditionalFormatting sqref="E6:E9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5b8b4616934e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</x:cols>
  <x:sheetData>
    <x:row r="1" ht="26" customHeight="1">
      <x:c r="A1" s="101" t="str">
        <x:v>Refunded, Cancelled &amp; Failed Orders by Region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Scope: all retained records. Event counts may overlap on the same order record; 'Unique Impacted Order IDs' is the non-duplicated count. Sorted by unique impacted order IDs, largest to smallest.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Region</x:v>
      </x:c>
      <x:c r="B5" s="24" t="str">
        <x:v>Refunded Records</x:v>
      </x:c>
      <x:c r="C5" s="24" t="str">
        <x:v>Cancelled Records</x:v>
      </x:c>
      <x:c r="D5" s="24" t="str">
        <x:v>Failed-Payment Records</x:v>
      </x:c>
      <x:c r="E5" s="24" t="str">
        <x:v>Unique Impacted Order IDs</x:v>
      </x:c>
      <x:c r="F5" s="24" t="str">
        <x:v>Raw Sales Exposure</x:v>
      </x:c>
      <x:c r="G5" s="24" t="str">
        <x:v>Calculated Sales Exposure</x:v>
      </x:c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30" t="str">
        <x:v>North</x:v>
      </x:c>
      <x:c r="B6" s="131" t="n">
        <x:v>20</x:v>
      </x:c>
      <x:c r="C6" s="131" t="n">
        <x:v>48</x:v>
      </x:c>
      <x:c r="D6" s="131" t="n">
        <x:v>20</x:v>
      </x:c>
      <x:c r="E6" s="131" t="n">
        <x:v>61</x:v>
      </x:c>
      <x:c r="F6" s="132" t="n">
        <x:v>640361.88</x:v>
      </x:c>
      <x:c r="G6" s="132" t="n">
        <x:v>616989.07</x:v>
      </x:c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30" t="str">
        <x:v>South</x:v>
      </x:c>
      <x:c r="B7" s="131" t="n">
        <x:v>20</x:v>
      </x:c>
      <x:c r="C7" s="131" t="n">
        <x:v>35</x:v>
      </x:c>
      <x:c r="D7" s="131" t="n">
        <x:v>20</x:v>
      </x:c>
      <x:c r="E7" s="131" t="n">
        <x:v>57</x:v>
      </x:c>
      <x:c r="F7" s="132" t="n">
        <x:v>512872.59</x:v>
      </x:c>
      <x:c r="G7" s="132" t="n">
        <x:v>513885.83</x:v>
      </x:c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30" t="str">
        <x:v>East</x:v>
      </x:c>
      <x:c r="B8" s="131" t="n">
        <x:v>14</x:v>
      </x:c>
      <x:c r="C8" s="131" t="n">
        <x:v>30</x:v>
      </x:c>
      <x:c r="D8" s="131" t="n">
        <x:v>13</x:v>
      </x:c>
      <x:c r="E8" s="131" t="n">
        <x:v>46</x:v>
      </x:c>
      <x:c r="F8" s="132" t="n">
        <x:v>496623.54</x:v>
      </x:c>
      <x:c r="G8" s="132" t="n">
        <x:v>489354.46</x:v>
      </x:c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30" t="str">
        <x:v>West</x:v>
      </x:c>
      <x:c r="B9" s="131" t="n">
        <x:v>14</x:v>
      </x:c>
      <x:c r="C9" s="131" t="n">
        <x:v>30</x:v>
      </x:c>
      <x:c r="D9" s="131" t="n">
        <x:v>14</x:v>
      </x:c>
      <x:c r="E9" s="131" t="n">
        <x:v>44</x:v>
      </x:c>
      <x:c r="F9" s="132" t="n">
        <x:v>396341.12</x:v>
      </x:c>
      <x:c r="G9" s="132" t="n">
        <x:v>377119.67</x:v>
      </x:c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30" t="str">
        <x:v>Unknown</x:v>
      </x:c>
      <x:c r="B10" s="131" t="n">
        <x:v>3</x:v>
      </x:c>
      <x:c r="C10" s="131" t="n">
        <x:v>2</x:v>
      </x:c>
      <x:c r="D10" s="131" t="n">
        <x:v>2</x:v>
      </x:c>
      <x:c r="E10" s="131" t="n">
        <x:v>5</x:v>
      </x:c>
      <x:c r="F10" s="132" t="n">
        <x:v>99279.83</x:v>
      </x:c>
      <x:c r="G10" s="132" t="n">
        <x:v>99279.84</x:v>
      </x:c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16" t="str">
        <x:v>Grand Total</x:v>
      </x:c>
      <x:c r="B11" s="121" t="n">
        <x:f>SUM(B6:B10)</x:f>
        <x:v>71</x:v>
      </x:c>
      <x:c r="C11" s="121" t="n">
        <x:f>SUM(C6:C10)</x:f>
        <x:v>145</x:v>
      </x:c>
      <x:c r="D11" s="121" t="n">
        <x:f>SUM(D6:D10)</x:f>
        <x:v>69</x:v>
      </x:c>
      <x:c r="E11" s="121" t="n">
        <x:f>SUM(E6:E10)</x:f>
        <x:v>213</x:v>
      </x:c>
      <x:c r="F11" s="123" t="n">
        <x:f>SUM(F6:F10)</x:f>
        <x:v>2145478.96</x:v>
      </x:c>
      <x:c r="G11" s="123" t="n">
        <x:f>SUM(G6:G10)</x:f>
        <x:v>2096628.8699999999</x:v>
      </x:c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29"/>
      <x:c r="B14" s="129"/>
      <x:c r="C14" s="129"/>
      <x:c r="D14" s="129"/>
      <x:c r="E14" s="129"/>
      <x:c r="F14" s="129"/>
      <x:c r="G14" s="129"/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29"/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29"/>
      <x:c r="B16" s="129"/>
      <x:c r="C16" s="129"/>
      <x:c r="D16" s="129"/>
      <x:c r="E16" s="129"/>
      <x:c r="F16" s="129"/>
      <x:c r="G16" s="129"/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29"/>
      <x:c r="B17" s="129"/>
      <x:c r="C17" s="129"/>
      <x:c r="D17" s="129"/>
      <x:c r="E17" s="129"/>
      <x:c r="F17" s="129"/>
      <x:c r="G17" s="129"/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29"/>
      <x:c r="B18" s="129"/>
      <x:c r="C18" s="129"/>
      <x:c r="D18" s="129"/>
      <x:c r="E18" s="129"/>
      <x:c r="F18" s="129"/>
      <x:c r="G18" s="129"/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29"/>
      <x:c r="B19" s="129"/>
      <x:c r="C19" s="129"/>
      <x:c r="D19" s="129"/>
      <x:c r="E19" s="129"/>
      <x:c r="F19" s="129"/>
      <x:c r="G19" s="129"/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G1"/>
    <x:mergeCell ref="A2:G3"/>
  </x:mergeCells>
  <x:conditionalFormatting sqref="E6:E10">
    <x:cfRule type="dataBar" priority="1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{205A89DC-1F85-1643-0424-23F511868A79}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c36829eaa304f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5A89DC-1F85-1643-0424-23F511868A79}">
            <x14:dataBar gradient="1">
              <x14:cfvo type="min"/>
              <x14:cfvo type="max"/>
              <x14:fillColor rgb="FFC00000"/>
            </x14:dataBar>
          </x14:cfRule>
          <xm:sqref>E6:E10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</x:cols>
  <x:sheetData>
    <x:row r="1" ht="26" customHeight="1">
      <x:c r="A1" s="101" t="str">
        <x:v>Monthly Sales Trend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</x:row>
    <x:row r="2" ht="36" customHeight="1">
      <x:c r="A2" s="14" t="str">
        <x:v>Filter applied: summary_eligibility = Eligible. Chronological order based on order_date. Includes calculated sales, calculated profit, margin, and month-on-month sales growth.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  <x:c r="U2" s="129"/>
      <x:c r="V2" s="129"/>
      <x:c r="W2" s="129"/>
      <x:c r="X2" s="129"/>
      <x:c r="Y2" s="129"/>
      <x:c r="Z2" s="129"/>
    </x:row>
    <x:row r="3">
      <x:c r="A3" s="129"/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  <x:c r="Z4" s="129"/>
    </x:row>
    <x:row r="5" ht="30" customHeight="1">
      <x:c r="A5" s="24" t="str">
        <x:v>Order Month</x:v>
      </x:c>
      <x:c r="B5" s="24" t="str">
        <x:v>Eligible Records</x:v>
      </x:c>
      <x:c r="C5" s="24" t="str">
        <x:v>Unique Order IDs</x:v>
      </x:c>
      <x:c r="D5" s="24" t="str">
        <x:v>Calculated Sales</x:v>
      </x:c>
      <x:c r="E5" s="24" t="str">
        <x:v>Calculated Profit</x:v>
      </x:c>
      <x:c r="F5" s="24" t="str">
        <x:v>Profit Margin</x:v>
      </x:c>
      <x:c r="G5" s="24" t="str">
        <x:v>MoM Sales Growth</x:v>
      </x:c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  <x:c r="U5" s="129"/>
      <x:c r="V5" s="129"/>
      <x:c r="W5" s="129"/>
      <x:c r="X5" s="129"/>
      <x:c r="Y5" s="129"/>
      <x:c r="Z5" s="129"/>
    </x:row>
    <x:row r="6">
      <x:c r="A6" s="141" t="str">
        <x:v>Jan 2024</x:v>
      </x:c>
      <x:c r="B6" s="131" t="n">
        <x:v>23</x:v>
      </x:c>
      <x:c r="C6" s="131" t="n">
        <x:v>23</x:v>
      </x:c>
      <x:c r="D6" s="132" t="n">
        <x:v>171470.25</x:v>
      </x:c>
      <x:c r="E6" s="132" t="n">
        <x:v>57787.47</x:v>
      </x:c>
      <x:c r="F6" s="133" t="n">
        <x:v>0.3370116390452571</x:v>
      </x:c>
      <x:c r="G6" s="133" t="str">
        <x:v>N/A</x:v>
      </x:c>
      <x:c r="H6" s="129"/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  <x:c r="U6" s="129"/>
      <x:c r="V6" s="129"/>
      <x:c r="W6" s="129"/>
      <x:c r="X6" s="129"/>
      <x:c r="Y6" s="129"/>
      <x:c r="Z6" s="129"/>
    </x:row>
    <x:row r="7">
      <x:c r="A7" s="141" t="str">
        <x:v>Feb 2024</x:v>
      </x:c>
      <x:c r="B7" s="131" t="n">
        <x:v>21</x:v>
      </x:c>
      <x:c r="C7" s="131" t="n">
        <x:v>21</x:v>
      </x:c>
      <x:c r="D7" s="132" t="n">
        <x:v>172822.14</x:v>
      </x:c>
      <x:c r="E7" s="132" t="n">
        <x:v>55626.25</x:v>
      </x:c>
      <x:c r="F7" s="133" t="n">
        <x:v>0.32186992939677755</x:v>
      </x:c>
      <x:c r="G7" s="133" t="n">
        <x:f>IFERROR(D7/D6-1,0)</x:f>
        <x:v>0.007884108176199778</x:v>
      </x:c>
      <x:c r="H7" s="129"/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  <x:c r="U7" s="129"/>
      <x:c r="V7" s="129"/>
      <x:c r="W7" s="129"/>
      <x:c r="X7" s="129"/>
      <x:c r="Y7" s="129"/>
      <x:c r="Z7" s="129"/>
    </x:row>
    <x:row r="8">
      <x:c r="A8" s="141" t="str">
        <x:v>Mar 2024</x:v>
      </x:c>
      <x:c r="B8" s="131" t="n">
        <x:v>24</x:v>
      </x:c>
      <x:c r="C8" s="131" t="n">
        <x:v>24</x:v>
      </x:c>
      <x:c r="D8" s="132" t="n">
        <x:v>234703.83</x:v>
      </x:c>
      <x:c r="E8" s="132" t="n">
        <x:v>72701.8</x:v>
      </x:c>
      <x:c r="F8" s="133" t="n">
        <x:v>0.30975975125757416</x:v>
      </x:c>
      <x:c r="G8" s="133" t="n">
        <x:f>IFERROR(D8/D7-1,0)</x:f>
        <x:v>0.35806575476961444</x:v>
      </x:c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  <x:c r="U8" s="129"/>
      <x:c r="V8" s="129"/>
      <x:c r="W8" s="129"/>
      <x:c r="X8" s="129"/>
      <x:c r="Y8" s="129"/>
      <x:c r="Z8" s="129"/>
    </x:row>
    <x:row r="9">
      <x:c r="A9" s="141" t="str">
        <x:v>Apr 2024</x:v>
      </x:c>
      <x:c r="B9" s="131" t="n">
        <x:v>21</x:v>
      </x:c>
      <x:c r="C9" s="131" t="n">
        <x:v>21</x:v>
      </x:c>
      <x:c r="D9" s="132" t="n">
        <x:v>241541.5</x:v>
      </x:c>
      <x:c r="E9" s="132" t="n">
        <x:v>67927.84</x:v>
      </x:c>
      <x:c r="F9" s="133" t="n">
        <x:v>0.2812263731077268</x:v>
      </x:c>
      <x:c r="G9" s="133" t="n">
        <x:f>IFERROR(D9/D8-1,0)</x:f>
        <x:v>0.029133184575641513</x:v>
      </x:c>
      <x:c r="H9" s="129"/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  <x:c r="U9" s="129"/>
      <x:c r="V9" s="129"/>
      <x:c r="W9" s="129"/>
      <x:c r="X9" s="129"/>
      <x:c r="Y9" s="129"/>
      <x:c r="Z9" s="129"/>
    </x:row>
    <x:row r="10">
      <x:c r="A10" s="141" t="str">
        <x:v>May 2024</x:v>
      </x:c>
      <x:c r="B10" s="131" t="n">
        <x:v>28</x:v>
      </x:c>
      <x:c r="C10" s="131" t="n">
        <x:v>28</x:v>
      </x:c>
      <x:c r="D10" s="132" t="n">
        <x:v>283117.19</x:v>
      </x:c>
      <x:c r="E10" s="132" t="n">
        <x:v>71061.6</x:v>
      </x:c>
      <x:c r="F10" s="133" t="n">
        <x:v>0.2509971224283485</x:v>
      </x:c>
      <x:c r="G10" s="133" t="n">
        <x:f>IFERROR(D10/D9-1,0)</x:f>
        <x:v>0.17212648758080906</x:v>
      </x:c>
      <x:c r="H10" s="129"/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  <x:c r="U10" s="129"/>
      <x:c r="V10" s="129"/>
      <x:c r="W10" s="129"/>
      <x:c r="X10" s="129"/>
      <x:c r="Y10" s="129"/>
      <x:c r="Z10" s="129"/>
    </x:row>
    <x:row r="11">
      <x:c r="A11" s="141" t="str">
        <x:v>Jun 2024</x:v>
      </x:c>
      <x:c r="B11" s="131" t="n">
        <x:v>30</x:v>
      </x:c>
      <x:c r="C11" s="131" t="n">
        <x:v>30</x:v>
      </x:c>
      <x:c r="D11" s="132" t="n">
        <x:v>377375.23</x:v>
      </x:c>
      <x:c r="E11" s="132" t="n">
        <x:v>111205.59</x:v>
      </x:c>
      <x:c r="F11" s="133" t="n">
        <x:v>0.29468174156528504</x:v>
      </x:c>
      <x:c r="G11" s="133" t="n">
        <x:f>IFERROR(D11/D10-1,0)</x:f>
        <x:v>0.3329294134347687</x:v>
      </x:c>
      <x:c r="H11" s="129"/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  <x:c r="U11" s="129"/>
      <x:c r="V11" s="129"/>
      <x:c r="W11" s="129"/>
      <x:c r="X11" s="129"/>
      <x:c r="Y11" s="129"/>
      <x:c r="Z11" s="129"/>
    </x:row>
    <x:row r="12">
      <x:c r="A12" s="141" t="str">
        <x:v>Jul 2024</x:v>
      </x:c>
      <x:c r="B12" s="131" t="n">
        <x:v>24</x:v>
      </x:c>
      <x:c r="C12" s="131" t="n">
        <x:v>24</x:v>
      </x:c>
      <x:c r="D12" s="132" t="n">
        <x:v>211345.31</x:v>
      </x:c>
      <x:c r="E12" s="132" t="n">
        <x:v>52770.4</x:v>
      </x:c>
      <x:c r="F12" s="133" t="n">
        <x:v>0.24968805789917936</x:v>
      </x:c>
      <x:c r="G12" s="133" t="n">
        <x:f>IFERROR(D12/D11-1,0)</x:f>
        <x:v>-0.4399597716045115</x:v>
      </x:c>
      <x:c r="H12" s="129"/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  <x:c r="U12" s="129"/>
      <x:c r="V12" s="129"/>
      <x:c r="W12" s="129"/>
      <x:c r="X12" s="129"/>
      <x:c r="Y12" s="129"/>
      <x:c r="Z12" s="129"/>
    </x:row>
    <x:row r="13">
      <x:c r="A13" s="141" t="str">
        <x:v>Aug 2024</x:v>
      </x:c>
      <x:c r="B13" s="131" t="n">
        <x:v>26</x:v>
      </x:c>
      <x:c r="C13" s="131" t="n">
        <x:v>26</x:v>
      </x:c>
      <x:c r="D13" s="132" t="n">
        <x:v>224989.23</x:v>
      </x:c>
      <x:c r="E13" s="132" t="n">
        <x:v>70986.44</x:v>
      </x:c>
      <x:c r="F13" s="133" t="n">
        <x:v>0.31551039131961994</x:v>
      </x:c>
      <x:c r="G13" s="133" t="n">
        <x:f>IFERROR(D13/D12-1,0)</x:f>
        <x:v>0.06455747705023596</x:v>
      </x:c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29"/>
      <x:c r="V13" s="129"/>
      <x:c r="W13" s="129"/>
      <x:c r="X13" s="129"/>
      <x:c r="Y13" s="129"/>
      <x:c r="Z13" s="129"/>
    </x:row>
    <x:row r="14">
      <x:c r="A14" s="141" t="str">
        <x:v>Sep 2024</x:v>
      </x:c>
      <x:c r="B14" s="131" t="n">
        <x:v>21</x:v>
      </x:c>
      <x:c r="C14" s="131" t="n">
        <x:v>21</x:v>
      </x:c>
      <x:c r="D14" s="132" t="n">
        <x:v>205120.35</x:v>
      </x:c>
      <x:c r="E14" s="132" t="n">
        <x:v>50495.89</x:v>
      </x:c>
      <x:c r="F14" s="133" t="n">
        <x:v>0.24617689078631147</x:v>
      </x:c>
      <x:c r="G14" s="133" t="n">
        <x:f>IFERROR(D14/D13-1,0)</x:f>
        <x:v>-0.08831036045592056</x:v>
      </x:c>
      <x:c r="H14" s="129"/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  <x:c r="U14" s="129"/>
      <x:c r="V14" s="129"/>
      <x:c r="W14" s="129"/>
      <x:c r="X14" s="129"/>
      <x:c r="Y14" s="129"/>
      <x:c r="Z14" s="129"/>
    </x:row>
    <x:row r="15">
      <x:c r="A15" s="141" t="str">
        <x:v>Oct 2024</x:v>
      </x:c>
      <x:c r="B15" s="131" t="n">
        <x:v>27</x:v>
      </x:c>
      <x:c r="C15" s="131" t="n">
        <x:v>27</x:v>
      </x:c>
      <x:c r="D15" s="132" t="n">
        <x:v>315726.39</x:v>
      </x:c>
      <x:c r="E15" s="132" t="n">
        <x:v>91592.58</x:v>
      </x:c>
      <x:c r="F15" s="133" t="n">
        <x:v>0.2901011220506465</x:v>
      </x:c>
      <x:c r="G15" s="133" t="n">
        <x:f>IFERROR(D15/D14-1,0)</x:f>
        <x:v>0.5392250939509415</x:v>
      </x:c>
      <x:c r="H15" s="129"/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  <x:c r="U15" s="129"/>
      <x:c r="V15" s="129"/>
      <x:c r="W15" s="129"/>
      <x:c r="X15" s="129"/>
      <x:c r="Y15" s="129"/>
      <x:c r="Z15" s="129"/>
    </x:row>
    <x:row r="16">
      <x:c r="A16" s="141" t="str">
        <x:v>Nov 2024</x:v>
      </x:c>
      <x:c r="B16" s="131" t="n">
        <x:v>21</x:v>
      </x:c>
      <x:c r="C16" s="131" t="n">
        <x:v>21</x:v>
      </x:c>
      <x:c r="D16" s="132" t="n">
        <x:v>228729.7</x:v>
      </x:c>
      <x:c r="E16" s="132" t="n">
        <x:v>80007.82</x:v>
      </x:c>
      <x:c r="F16" s="133" t="n">
        <x:v>0.34979200339964595</x:v>
      </x:c>
      <x:c r="G16" s="133" t="n">
        <x:f>IFERROR(D16/D15-1,0)</x:f>
        <x:v>-0.27554456249285975</x:v>
      </x:c>
      <x:c r="H16" s="129"/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  <x:c r="U16" s="129"/>
      <x:c r="V16" s="129"/>
      <x:c r="W16" s="129"/>
      <x:c r="X16" s="129"/>
      <x:c r="Y16" s="129"/>
      <x:c r="Z16" s="129"/>
    </x:row>
    <x:row r="17">
      <x:c r="A17" s="141" t="str">
        <x:v>Dec 2024</x:v>
      </x:c>
      <x:c r="B17" s="131" t="n">
        <x:v>23</x:v>
      </x:c>
      <x:c r="C17" s="131" t="n">
        <x:v>23</x:v>
      </x:c>
      <x:c r="D17" s="132" t="n">
        <x:v>190414.53</x:v>
      </x:c>
      <x:c r="E17" s="132" t="n">
        <x:v>52061.93</x:v>
      </x:c>
      <x:c r="F17" s="133" t="n">
        <x:v>0.2734136412804212</x:v>
      </x:c>
      <x:c r="G17" s="133" t="n">
        <x:f>IFERROR(D17/D16-1,0)</x:f>
        <x:v>-0.1675128765525422</x:v>
      </x:c>
      <x:c r="H17" s="129"/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  <x:c r="U17" s="129"/>
      <x:c r="V17" s="129"/>
      <x:c r="W17" s="129"/>
      <x:c r="X17" s="129"/>
      <x:c r="Y17" s="129"/>
      <x:c r="Z17" s="129"/>
    </x:row>
    <x:row r="18">
      <x:c r="A18" s="141" t="str">
        <x:v>Jan 2025</x:v>
      </x:c>
      <x:c r="B18" s="131" t="n">
        <x:v>22</x:v>
      </x:c>
      <x:c r="C18" s="131" t="n">
        <x:v>22</x:v>
      </x:c>
      <x:c r="D18" s="132" t="n">
        <x:v>248580.3</x:v>
      </x:c>
      <x:c r="E18" s="132" t="n">
        <x:v>68625.33</x:v>
      </x:c>
      <x:c r="F18" s="133" t="n">
        <x:v>0.27606906098351325</x:v>
      </x:c>
      <x:c r="G18" s="133" t="n">
        <x:f>IFERROR(D18/D17-1,0)</x:f>
        <x:v>0.3054691782187</x:v>
      </x:c>
      <x:c r="H18" s="129"/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  <x:c r="U18" s="129"/>
      <x:c r="V18" s="129"/>
      <x:c r="W18" s="129"/>
      <x:c r="X18" s="129"/>
      <x:c r="Y18" s="129"/>
      <x:c r="Z18" s="129"/>
    </x:row>
    <x:row r="19">
      <x:c r="A19" s="141" t="str">
        <x:v>Feb 2025</x:v>
      </x:c>
      <x:c r="B19" s="131" t="n">
        <x:v>38</x:v>
      </x:c>
      <x:c r="C19" s="131" t="n">
        <x:v>38</x:v>
      </x:c>
      <x:c r="D19" s="132" t="n">
        <x:v>387223.35</x:v>
      </x:c>
      <x:c r="E19" s="132" t="n">
        <x:v>113384.72</x:v>
      </x:c>
      <x:c r="F19" s="133" t="n">
        <x:v>0.29281477989382615</x:v>
      </x:c>
      <x:c r="G19" s="133" t="n">
        <x:f>IFERROR(D19/D18-1,0)</x:f>
        <x:v>0.5577394910216136</x:v>
      </x:c>
      <x:c r="H19" s="129"/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  <x:c r="U19" s="129"/>
      <x:c r="V19" s="129"/>
      <x:c r="W19" s="129"/>
      <x:c r="X19" s="129"/>
      <x:c r="Y19" s="129"/>
      <x:c r="Z19" s="129"/>
    </x:row>
    <x:row r="20">
      <x:c r="A20" s="141" t="str">
        <x:v>Mar 2025</x:v>
      </x:c>
      <x:c r="B20" s="131" t="n">
        <x:v>26</x:v>
      </x:c>
      <x:c r="C20" s="131" t="n">
        <x:v>26</x:v>
      </x:c>
      <x:c r="D20" s="132" t="n">
        <x:v>320187.16</x:v>
      </x:c>
      <x:c r="E20" s="132" t="n">
        <x:v>91339.69</x:v>
      </x:c>
      <x:c r="F20" s="133" t="n">
        <x:v>0.2852696841434866</x:v>
      </x:c>
      <x:c r="G20" s="133" t="n">
        <x:f>IFERROR(D20/D19-1,0)</x:f>
        <x:v>-0.1731202160200308</x:v>
      </x:c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  <x:c r="U20" s="129"/>
      <x:c r="V20" s="129"/>
      <x:c r="W20" s="129"/>
      <x:c r="X20" s="129"/>
      <x:c r="Y20" s="129"/>
      <x:c r="Z20" s="129"/>
    </x:row>
    <x:row r="21">
      <x:c r="A21" s="141" t="str">
        <x:v>Apr 2025</x:v>
      </x:c>
      <x:c r="B21" s="131" t="n">
        <x:v>33</x:v>
      </x:c>
      <x:c r="C21" s="131" t="n">
        <x:v>33</x:v>
      </x:c>
      <x:c r="D21" s="132" t="n">
        <x:v>278580.8</x:v>
      </x:c>
      <x:c r="E21" s="132" t="n">
        <x:v>76711.43</x:v>
      </x:c>
      <x:c r="F21" s="133" t="n">
        <x:v>0.27536510053815627</x:v>
      </x:c>
      <x:c r="G21" s="133" t="n">
        <x:f>IFERROR(D21/D20-1,0)</x:f>
        <x:v>-0.12994387407664942</x:v>
      </x:c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  <x:c r="U21" s="129"/>
      <x:c r="V21" s="129"/>
      <x:c r="W21" s="129"/>
      <x:c r="X21" s="129"/>
      <x:c r="Y21" s="129"/>
      <x:c r="Z21" s="129"/>
    </x:row>
    <x:row r="22">
      <x:c r="A22" s="141" t="str">
        <x:v>May 2025</x:v>
      </x:c>
      <x:c r="B22" s="131" t="n">
        <x:v>21</x:v>
      </x:c>
      <x:c r="C22" s="131" t="n">
        <x:v>21</x:v>
      </x:c>
      <x:c r="D22" s="132" t="n">
        <x:v>208093.28</x:v>
      </x:c>
      <x:c r="E22" s="132" t="n">
        <x:v>61620</x:v>
      </x:c>
      <x:c r="F22" s="133" t="n">
        <x:v>0.2961172028236568</x:v>
      </x:c>
      <x:c r="G22" s="133" t="n">
        <x:f>IFERROR(D22/D21-1,0)</x:f>
        <x:v>-0.2530236111031341</x:v>
      </x:c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  <x:c r="U22" s="129"/>
      <x:c r="V22" s="129"/>
      <x:c r="W22" s="129"/>
      <x:c r="X22" s="129"/>
      <x:c r="Y22" s="129"/>
      <x:c r="Z22" s="129"/>
    </x:row>
    <x:row r="23">
      <x:c r="A23" s="141" t="str">
        <x:v>Jun 2025</x:v>
      </x:c>
      <x:c r="B23" s="131" t="n">
        <x:v>22</x:v>
      </x:c>
      <x:c r="C23" s="131" t="n">
        <x:v>22</x:v>
      </x:c>
      <x:c r="D23" s="132" t="n">
        <x:v>175461.65</x:v>
      </x:c>
      <x:c r="E23" s="132" t="n">
        <x:v>47791.2</x:v>
      </x:c>
      <x:c r="F23" s="133" t="n">
        <x:v>0.27237404868813214</x:v>
      </x:c>
      <x:c r="G23" s="133" t="n">
        <x:f>IFERROR(D23/D22-1,0)</x:f>
        <x:v>-0.15681251215800918</x:v>
      </x:c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</x:row>
    <x:row r="24">
      <x:c r="A24" s="141" t="str">
        <x:v>Jul 2025</x:v>
      </x:c>
      <x:c r="B24" s="131" t="n">
        <x:v>20</x:v>
      </x:c>
      <x:c r="C24" s="131" t="n">
        <x:v>20</x:v>
      </x:c>
      <x:c r="D24" s="132" t="n">
        <x:v>206367.76</x:v>
      </x:c>
      <x:c r="E24" s="132" t="n">
        <x:v>56036.61</x:v>
      </x:c>
      <x:c r="F24" s="133" t="n">
        <x:v>0.2715376180853056</x:v>
      </x:c>
      <x:c r="G24" s="133" t="n">
        <x:f>IFERROR(D24/D23-1,0)</x:f>
        <x:v>0.1761416811023948</x:v>
      </x:c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  <x:c r="U24" s="129"/>
      <x:c r="V24" s="129"/>
      <x:c r="W24" s="129"/>
      <x:c r="X24" s="129"/>
      <x:c r="Y24" s="129"/>
      <x:c r="Z24" s="129"/>
    </x:row>
    <x:row r="25">
      <x:c r="A25" s="141" t="str">
        <x:v>Aug 2025</x:v>
      </x:c>
      <x:c r="B25" s="131" t="n">
        <x:v>30</x:v>
      </x:c>
      <x:c r="C25" s="131" t="n">
        <x:v>30</x:v>
      </x:c>
      <x:c r="D25" s="132" t="n">
        <x:v>236506.11</x:v>
      </x:c>
      <x:c r="E25" s="132" t="n">
        <x:v>73905.84</x:v>
      </x:c>
      <x:c r="F25" s="133" t="n">
        <x:v>0.31249019317090787</x:v>
      </x:c>
      <x:c r="G25" s="133" t="n">
        <x:f>IFERROR(D25/D24-1,0)</x:f>
        <x:v>0.1460419495758445</x:v>
      </x:c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29"/>
      <x:c r="V25" s="129"/>
      <x:c r="W25" s="129"/>
      <x:c r="X25" s="129"/>
      <x:c r="Y25" s="129"/>
      <x:c r="Z25" s="129"/>
    </x:row>
    <x:row r="26">
      <x:c r="A26" s="141" t="str">
        <x:v>Sep 2025</x:v>
      </x:c>
      <x:c r="B26" s="131" t="n">
        <x:v>26</x:v>
      </x:c>
      <x:c r="C26" s="131" t="n">
        <x:v>26</x:v>
      </x:c>
      <x:c r="D26" s="132" t="n">
        <x:v>289663.06</x:v>
      </x:c>
      <x:c r="E26" s="132" t="n">
        <x:v>88457.33</x:v>
      </x:c>
      <x:c r="F26" s="133" t="n">
        <x:v>0.3053800853999126</x:v>
      </x:c>
      <x:c r="G26" s="133" t="n">
        <x:f>IFERROR(D26/D25-1,0)</x:f>
        <x:v>0.22475930960092327</x:v>
      </x:c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29"/>
      <x:c r="V26" s="129"/>
      <x:c r="W26" s="129"/>
      <x:c r="X26" s="129"/>
      <x:c r="Y26" s="129"/>
      <x:c r="Z26" s="129"/>
    </x:row>
    <x:row r="27">
      <x:c r="A27" s="141" t="str">
        <x:v>Oct 2025</x:v>
      </x:c>
      <x:c r="B27" s="131" t="n">
        <x:v>10</x:v>
      </x:c>
      <x:c r="C27" s="131" t="n">
        <x:v>10</x:v>
      </x:c>
      <x:c r="D27" s="132" t="n">
        <x:v>121434.81</x:v>
      </x:c>
      <x:c r="E27" s="132" t="n">
        <x:v>36962.28</x:v>
      </x:c>
      <x:c r="F27" s="133" t="n">
        <x:v>0.3043796091087885</x:v>
      </x:c>
      <x:c r="G27" s="133" t="n">
        <x:f>IFERROR(D27/D26-1,0)</x:f>
        <x:v>-0.5807721909725043</x:v>
      </x:c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29"/>
      <x:c r="V27" s="129"/>
      <x:c r="W27" s="129"/>
      <x:c r="X27" s="129"/>
      <x:c r="Y27" s="129"/>
      <x:c r="Z27" s="129"/>
    </x:row>
    <x:row r="28">
      <x:c r="A28" s="143" t="str">
        <x:v>Grand Total</x:v>
      </x:c>
      <x:c r="B28" s="121" t="n">
        <x:f>SUM(B6:B27)</x:f>
        <x:v>537</x:v>
      </x:c>
      <x:c r="C28" s="121" t="n">
        <x:f>SUM(C6:C27)</x:f>
        <x:v>537</x:v>
      </x:c>
      <x:c r="D28" s="123" t="n">
        <x:f>SUM(D6:D27)</x:f>
        <x:v>5329453.93</x:v>
      </x:c>
      <x:c r="E28" s="123" t="n">
        <x:f>SUM(E6:E27)</x:f>
        <x:v>1549060.0400000003</x:v>
      </x:c>
      <x:c r="F28" s="125" t="n">
        <x:f>IFERROR(E28/D28,0)</x:f>
        <x:v>0.29066018026353413</x:v>
      </x:c>
      <x:c r="G28" s="125" t="str">
        <x:v>—</x:v>
      </x:c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29"/>
      <x:c r="V28" s="129"/>
      <x:c r="W28" s="129"/>
      <x:c r="X28" s="129"/>
      <x:c r="Y28" s="129"/>
      <x:c r="Z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29"/>
      <x:c r="V29" s="129"/>
      <x:c r="W29" s="129"/>
      <x:c r="X29" s="129"/>
      <x:c r="Y29" s="129"/>
      <x:c r="Z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  <x:c r="U30" s="129"/>
      <x:c r="V30" s="129"/>
      <x:c r="W30" s="129"/>
      <x:c r="X30" s="129"/>
      <x:c r="Y30" s="129"/>
      <x:c r="Z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  <x:c r="U31" s="129"/>
      <x:c r="V31" s="129"/>
      <x:c r="W31" s="129"/>
      <x:c r="X31" s="129"/>
      <x:c r="Y31" s="129"/>
      <x:c r="Z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29"/>
      <x:c r="V32" s="129"/>
      <x:c r="W32" s="129"/>
      <x:c r="X32" s="129"/>
      <x:c r="Y32" s="129"/>
      <x:c r="Z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29"/>
      <x:c r="V33" s="129"/>
      <x:c r="W33" s="129"/>
      <x:c r="X33" s="129"/>
      <x:c r="Y33" s="129"/>
      <x:c r="Z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29"/>
      <x:c r="V34" s="129"/>
      <x:c r="W34" s="129"/>
      <x:c r="X34" s="129"/>
      <x:c r="Y34" s="129"/>
      <x:c r="Z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29"/>
      <x:c r="V35" s="129"/>
      <x:c r="W35" s="129"/>
      <x:c r="X35" s="129"/>
      <x:c r="Y35" s="129"/>
      <x:c r="Z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  <x:c r="U36" s="129"/>
      <x:c r="V36" s="129"/>
      <x:c r="W36" s="129"/>
      <x:c r="X36" s="129"/>
      <x:c r="Y36" s="129"/>
      <x:c r="Z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  <x:c r="U37" s="129"/>
      <x:c r="V37" s="129"/>
      <x:c r="W37" s="129"/>
      <x:c r="X37" s="129"/>
      <x:c r="Y37" s="129"/>
      <x:c r="Z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  <x:c r="U38" s="129"/>
      <x:c r="V38" s="129"/>
      <x:c r="W38" s="129"/>
      <x:c r="X38" s="129"/>
      <x:c r="Y38" s="129"/>
      <x:c r="Z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  <x:c r="U39" s="129"/>
      <x:c r="V39" s="129"/>
      <x:c r="W39" s="129"/>
      <x:c r="X39" s="129"/>
      <x:c r="Y39" s="129"/>
      <x:c r="Z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  <x:c r="U40" s="129"/>
      <x:c r="V40" s="129"/>
      <x:c r="W40" s="129"/>
      <x:c r="X40" s="129"/>
      <x:c r="Y40" s="129"/>
      <x:c r="Z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  <x:c r="U41" s="129"/>
      <x:c r="V41" s="129"/>
      <x:c r="W41" s="129"/>
      <x:c r="X41" s="129"/>
      <x:c r="Y41" s="129"/>
      <x:c r="Z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  <x:c r="U42" s="129"/>
      <x:c r="V42" s="129"/>
      <x:c r="W42" s="129"/>
      <x:c r="X42" s="129"/>
      <x:c r="Y42" s="129"/>
      <x:c r="Z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  <x:c r="U43" s="129"/>
      <x:c r="V43" s="129"/>
      <x:c r="W43" s="129"/>
      <x:c r="X43" s="129"/>
      <x:c r="Y43" s="129"/>
      <x:c r="Z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  <x:c r="U44" s="129"/>
      <x:c r="V44" s="129"/>
      <x:c r="W44" s="129"/>
      <x:c r="X44" s="129"/>
      <x:c r="Y44" s="129"/>
      <x:c r="Z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  <x:c r="U45" s="129"/>
      <x:c r="V45" s="129"/>
      <x:c r="W45" s="129"/>
      <x:c r="X45" s="129"/>
      <x:c r="Y45" s="129"/>
      <x:c r="Z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  <x:c r="U46" s="129"/>
      <x:c r="V46" s="129"/>
      <x:c r="W46" s="129"/>
      <x:c r="X46" s="129"/>
      <x:c r="Y46" s="129"/>
      <x:c r="Z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  <x:c r="U47" s="129"/>
      <x:c r="V47" s="129"/>
      <x:c r="W47" s="129"/>
      <x:c r="X47" s="129"/>
      <x:c r="Y47" s="129"/>
      <x:c r="Z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  <x:c r="U48" s="129"/>
      <x:c r="V48" s="129"/>
      <x:c r="W48" s="129"/>
      <x:c r="X48" s="129"/>
      <x:c r="Y48" s="129"/>
      <x:c r="Z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  <x:c r="U49" s="129"/>
      <x:c r="V49" s="129"/>
      <x:c r="W49" s="129"/>
      <x:c r="X49" s="129"/>
      <x:c r="Y49" s="129"/>
      <x:c r="Z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  <x:c r="U50" s="129"/>
      <x:c r="V50" s="129"/>
      <x:c r="W50" s="129"/>
      <x:c r="X50" s="129"/>
      <x:c r="Y50" s="129"/>
      <x:c r="Z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  <x:c r="U51" s="129"/>
      <x:c r="V51" s="129"/>
      <x:c r="W51" s="129"/>
      <x:c r="X51" s="129"/>
      <x:c r="Y51" s="129"/>
      <x:c r="Z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  <x:c r="U52" s="129"/>
      <x:c r="V52" s="129"/>
      <x:c r="W52" s="129"/>
      <x:c r="X52" s="129"/>
      <x:c r="Y52" s="129"/>
      <x:c r="Z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  <x:c r="U53" s="129"/>
      <x:c r="V53" s="129"/>
      <x:c r="W53" s="129"/>
      <x:c r="X53" s="129"/>
      <x:c r="Y53" s="129"/>
      <x:c r="Z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  <x:c r="U54" s="129"/>
      <x:c r="V54" s="129"/>
      <x:c r="W54" s="129"/>
      <x:c r="X54" s="129"/>
      <x:c r="Y54" s="129"/>
      <x:c r="Z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  <x:c r="U55" s="129"/>
      <x:c r="V55" s="129"/>
      <x:c r="W55" s="129"/>
      <x:c r="X55" s="129"/>
      <x:c r="Y55" s="129"/>
      <x:c r="Z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  <x:c r="U56" s="129"/>
      <x:c r="V56" s="129"/>
      <x:c r="W56" s="129"/>
      <x:c r="X56" s="129"/>
      <x:c r="Y56" s="129"/>
      <x:c r="Z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  <x:c r="U57" s="129"/>
      <x:c r="V57" s="129"/>
      <x:c r="W57" s="129"/>
      <x:c r="X57" s="129"/>
      <x:c r="Y57" s="129"/>
      <x:c r="Z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  <x:c r="U58" s="129"/>
      <x:c r="V58" s="129"/>
      <x:c r="W58" s="129"/>
      <x:c r="X58" s="129"/>
      <x:c r="Y58" s="129"/>
      <x:c r="Z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  <x:c r="U59" s="129"/>
      <x:c r="V59" s="129"/>
      <x:c r="W59" s="129"/>
      <x:c r="X59" s="129"/>
      <x:c r="Y59" s="129"/>
      <x:c r="Z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  <x:c r="U60" s="129"/>
      <x:c r="V60" s="129"/>
      <x:c r="W60" s="129"/>
      <x:c r="X60" s="129"/>
      <x:c r="Y60" s="129"/>
      <x:c r="Z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  <x:c r="U63" s="129"/>
      <x:c r="V63" s="129"/>
      <x:c r="W63" s="129"/>
      <x:c r="X63" s="129"/>
      <x:c r="Y63" s="129"/>
      <x:c r="Z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  <x:c r="U64" s="129"/>
      <x:c r="V64" s="129"/>
      <x:c r="W64" s="129"/>
      <x:c r="X64" s="129"/>
      <x:c r="Y64" s="129"/>
      <x:c r="Z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  <x:c r="U65" s="129"/>
      <x:c r="V65" s="129"/>
      <x:c r="W65" s="129"/>
      <x:c r="X65" s="129"/>
      <x:c r="Y65" s="129"/>
      <x:c r="Z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  <x:c r="U66" s="129"/>
      <x:c r="V66" s="129"/>
      <x:c r="W66" s="129"/>
      <x:c r="X66" s="129"/>
      <x:c r="Y66" s="129"/>
      <x:c r="Z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  <x:c r="U67" s="129"/>
      <x:c r="V67" s="129"/>
      <x:c r="W67" s="129"/>
      <x:c r="X67" s="129"/>
      <x:c r="Y67" s="129"/>
      <x:c r="Z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  <x:c r="U68" s="129"/>
      <x:c r="V68" s="129"/>
      <x:c r="W68" s="129"/>
      <x:c r="X68" s="129"/>
      <x:c r="Y68" s="129"/>
      <x:c r="Z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  <x:c r="U69" s="129"/>
      <x:c r="V69" s="129"/>
      <x:c r="W69" s="129"/>
      <x:c r="X69" s="129"/>
      <x:c r="Y69" s="129"/>
      <x:c r="Z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  <x:c r="U70" s="129"/>
      <x:c r="V70" s="129"/>
      <x:c r="W70" s="129"/>
      <x:c r="X70" s="129"/>
      <x:c r="Y70" s="129"/>
      <x:c r="Z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  <x:c r="U71" s="129"/>
      <x:c r="V71" s="129"/>
      <x:c r="W71" s="129"/>
      <x:c r="X71" s="129"/>
      <x:c r="Y71" s="129"/>
      <x:c r="Z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  <x:c r="U72" s="129"/>
      <x:c r="V72" s="129"/>
      <x:c r="W72" s="129"/>
      <x:c r="X72" s="129"/>
      <x:c r="Y72" s="129"/>
      <x:c r="Z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  <x:c r="U73" s="129"/>
      <x:c r="V73" s="129"/>
      <x:c r="W73" s="129"/>
      <x:c r="X73" s="129"/>
      <x:c r="Y73" s="129"/>
      <x:c r="Z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  <x:c r="U74" s="129"/>
      <x:c r="V74" s="129"/>
      <x:c r="W74" s="129"/>
      <x:c r="X74" s="129"/>
      <x:c r="Y74" s="129"/>
      <x:c r="Z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  <x:c r="U75" s="129"/>
      <x:c r="V75" s="129"/>
      <x:c r="W75" s="129"/>
      <x:c r="X75" s="129"/>
      <x:c r="Y75" s="129"/>
      <x:c r="Z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  <x:c r="U76" s="129"/>
      <x:c r="V76" s="129"/>
      <x:c r="W76" s="129"/>
      <x:c r="X76" s="129"/>
      <x:c r="Y76" s="129"/>
      <x:c r="Z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  <x:c r="U77" s="129"/>
      <x:c r="V77" s="129"/>
      <x:c r="W77" s="129"/>
      <x:c r="X77" s="129"/>
      <x:c r="Y77" s="129"/>
      <x:c r="Z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  <x:c r="U78" s="129"/>
      <x:c r="V78" s="129"/>
      <x:c r="W78" s="129"/>
      <x:c r="X78" s="129"/>
      <x:c r="Y78" s="129"/>
      <x:c r="Z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  <x:c r="U79" s="129"/>
      <x:c r="V79" s="129"/>
      <x:c r="W79" s="129"/>
      <x:c r="X79" s="129"/>
      <x:c r="Y79" s="129"/>
      <x:c r="Z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  <x:c r="U80" s="129"/>
      <x:c r="V80" s="129"/>
      <x:c r="W80" s="129"/>
      <x:c r="X80" s="129"/>
      <x:c r="Y80" s="129"/>
      <x:c r="Z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  <x:c r="U81" s="129"/>
      <x:c r="V81" s="129"/>
      <x:c r="W81" s="129"/>
      <x:c r="X81" s="129"/>
      <x:c r="Y81" s="129"/>
      <x:c r="Z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  <x:c r="U82" s="129"/>
      <x:c r="V82" s="129"/>
      <x:c r="W82" s="129"/>
      <x:c r="X82" s="129"/>
      <x:c r="Y82" s="129"/>
      <x:c r="Z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  <x:c r="U83" s="129"/>
      <x:c r="V83" s="129"/>
      <x:c r="W83" s="129"/>
      <x:c r="X83" s="129"/>
      <x:c r="Y83" s="129"/>
      <x:c r="Z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  <x:c r="U84" s="129"/>
      <x:c r="V84" s="129"/>
      <x:c r="W84" s="129"/>
      <x:c r="X84" s="129"/>
      <x:c r="Y84" s="129"/>
      <x:c r="Z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  <x:c r="U85" s="129"/>
      <x:c r="V85" s="129"/>
      <x:c r="W85" s="129"/>
      <x:c r="X85" s="129"/>
      <x:c r="Y85" s="129"/>
      <x:c r="Z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  <x:c r="U86" s="129"/>
      <x:c r="V86" s="129"/>
      <x:c r="W86" s="129"/>
      <x:c r="X86" s="129"/>
      <x:c r="Y86" s="129"/>
      <x:c r="Z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  <x:c r="U87" s="129"/>
      <x:c r="V87" s="129"/>
      <x:c r="W87" s="129"/>
      <x:c r="X87" s="129"/>
      <x:c r="Y87" s="129"/>
      <x:c r="Z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  <x:c r="U88" s="129"/>
      <x:c r="V88" s="129"/>
      <x:c r="W88" s="129"/>
      <x:c r="X88" s="129"/>
      <x:c r="Y88" s="129"/>
      <x:c r="Z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  <x:c r="U89" s="129"/>
      <x:c r="V89" s="129"/>
      <x:c r="W89" s="129"/>
      <x:c r="X89" s="129"/>
      <x:c r="Y89" s="129"/>
      <x:c r="Z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  <x:c r="U90" s="129"/>
      <x:c r="V90" s="129"/>
      <x:c r="W90" s="129"/>
      <x:c r="X90" s="129"/>
      <x:c r="Y90" s="129"/>
      <x:c r="Z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  <x:c r="U91" s="129"/>
      <x:c r="V91" s="129"/>
      <x:c r="W91" s="129"/>
      <x:c r="X91" s="129"/>
      <x:c r="Y91" s="129"/>
      <x:c r="Z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  <x:c r="U92" s="129"/>
      <x:c r="V92" s="129"/>
      <x:c r="W92" s="129"/>
      <x:c r="X92" s="129"/>
      <x:c r="Y92" s="129"/>
      <x:c r="Z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  <x:c r="U93" s="129"/>
      <x:c r="V93" s="129"/>
      <x:c r="W93" s="129"/>
      <x:c r="X93" s="129"/>
      <x:c r="Y93" s="129"/>
      <x:c r="Z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  <x:c r="U94" s="129"/>
      <x:c r="V94" s="129"/>
      <x:c r="W94" s="129"/>
      <x:c r="X94" s="129"/>
      <x:c r="Y94" s="129"/>
      <x:c r="Z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  <x:c r="U95" s="129"/>
      <x:c r="V95" s="129"/>
      <x:c r="W95" s="129"/>
      <x:c r="X95" s="129"/>
      <x:c r="Y95" s="129"/>
      <x:c r="Z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  <x:c r="U96" s="129"/>
      <x:c r="V96" s="129"/>
      <x:c r="W96" s="129"/>
      <x:c r="X96" s="129"/>
      <x:c r="Y96" s="129"/>
      <x:c r="Z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  <x:c r="U97" s="129"/>
      <x:c r="V97" s="129"/>
      <x:c r="W97" s="129"/>
      <x:c r="X97" s="129"/>
      <x:c r="Y97" s="129"/>
      <x:c r="Z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  <x:c r="U98" s="129"/>
      <x:c r="V98" s="129"/>
      <x:c r="W98" s="129"/>
      <x:c r="X98" s="129"/>
      <x:c r="Y98" s="129"/>
      <x:c r="Z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  <x:c r="U99" s="129"/>
      <x:c r="V99" s="129"/>
      <x:c r="W99" s="129"/>
      <x:c r="X99" s="129"/>
      <x:c r="Y99" s="129"/>
      <x:c r="Z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  <x:c r="U100" s="129"/>
      <x:c r="V100" s="129"/>
      <x:c r="W100" s="129"/>
      <x:c r="X100" s="129"/>
      <x:c r="Y100" s="129"/>
      <x:c r="Z100" s="129"/>
    </x:row>
  </x:sheetData>
  <x:mergeCells>
    <x:mergeCell ref="A1:G1"/>
    <x:mergeCell ref="A2:G3"/>
  </x:mergeCells>
  <x:conditionalFormatting sqref="D6:D27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{9482DCB7-3F2C-8457-AD66-82E441F8F530}</x14:id>
        </x:ext>
      </x:extLst>
    </x:cfRule>
  </x:conditionalFormatting>
  <x:conditionalFormatting sqref="F6:F27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e546b3dfab749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482DCB7-3F2C-8457-AD66-82E441F8F530}">
            <x14:dataBar gradient="1">
              <x14:cfvo type="min"/>
              <x14:cfvo type="max"/>
              <x14:fillColor rgb="FF2F75B5"/>
            </x14:dataBar>
          </x14:cfRule>
          <xm:sqref>D6:D27</xm:sqref>
        </x14:conditionalFormatting>
      </x14:conditionalFormattings>
    </x:ext>
  </x:extLst>
</x:worksheet>
</file>