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278864841646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uplicate_Summary" sheetId="1" r:id="Rf8f77dc996e642b2"/>
    <x:sheet xmlns:r="http://schemas.openxmlformats.org/officeDocument/2006/relationships" name="Duplicate_ID_Summary" sheetId="2" r:id="R91bbba7ecf194dbf"/>
    <x:sheet xmlns:r="http://schemas.openxmlformats.org/officeDocument/2006/relationships" name="Exact_Duplicate_Log" sheetId="3" r:id="R7bb09efd150a4430"/>
    <x:sheet xmlns:r="http://schemas.openxmlformats.org/officeDocument/2006/relationships" name="Conflicting_Order_IDs" sheetId="4" r:id="R7a60f4ec4e894a0e"/>
    <x:sheet xmlns:r="http://schemas.openxmlformats.org/officeDocument/2006/relationships" name="Methodology" sheetId="5" r:id="R7f261d8f41734c3d"/>
    <x:sheet xmlns:r="http://schemas.openxmlformats.org/officeDocument/2006/relationships" name="Business_Rule_Summary" sheetId="6" r:id="R6751e097f3d54204"/>
    <x:sheet xmlns:r="http://schemas.openxmlformats.org/officeDocument/2006/relationships" name="Business_Rule_Exceptions" sheetId="7" r:id="R6bcc6b02295f4cfa"/>
    <x:sheet xmlns:r="http://schemas.openxmlformats.org/officeDocument/2006/relationships" name="Refunded_Orders" sheetId="8" r:id="R078dbed985c54f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yyyy-mm-dd"/>
    <x:numFmt numFmtId="202" formatCode="#,##0.00"/>
    <x:numFmt numFmtId="203" formatCode="0.0%"/>
    <x:numFmt numFmtId="204" formatCode="0%"/>
  </x:numFmts>
  <x:fonts count="11">
    <x:font>
      <x:sz val="11"/>
      <x:name val="Carlito"/>
    </x:font>
    <x:font>
      <x:b/>
      <x:sz val="16"/>
      <x:color rgb="FFFFFFFF"/>
      <x:name val="Carlito"/>
    </x:font>
    <x:font>
      <x:i/>
      <x:sz val="10"/>
      <x:color rgb="FFD9EAF7"/>
      <x:name val="Carlito"/>
    </x:font>
    <x:font>
      <x:b/>
      <x:sz val="10"/>
      <x:color rgb="FF17365D"/>
      <x:name val="Carlito"/>
    </x:font>
    <x:font>
      <x:b/>
      <x:sz val="16"/>
      <x:color rgb="FF17365D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0"/>
      <x:color rgb="FF7F6000"/>
      <x:name val="Carlito"/>
    </x:font>
    <x:font>
      <x:b/>
      <x:sz val="14"/>
      <x:color rgb="FFFFFFFF"/>
      <x:name val="Carlito"/>
    </x:font>
    <x:font>
      <x:i/>
      <x:sz val="11"/>
      <x:color rgb="FF7F60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0F766E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</x:fills>
  <x:borders count="1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left"/>
    </x:xf>
    <x:xf numFmtId="0" fontId="5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left"/>
    </x:xf>
    <x:xf numFmtId="0" fontId="5" fillId="5" borderId="1" xfId="0" applyNumberFormat="1" applyFont="1" applyFill="1" applyBorder="1" applyAlignment="1">
      <x:alignment horizontal="left"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horizont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 applyAlignment="1">
      <x:alignment vertical="center" wrapText="1"/>
    </x:xf>
    <x:xf numFmtId="200" fontId="7" fillId="0" borderId="1" xfId="0" applyNumberFormat="1" applyFont="1" applyFill="1" applyBorder="1" applyAlignment="1">
      <x:alignment vertical="center" wrapText="1"/>
    </x:xf>
    <x:xf numFmtId="201" fontId="7" fillId="0" borderId="0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</x:xf>
    <x:xf numFmtId="202" fontId="7" fillId="0" borderId="0" xfId="0" applyNumberFormat="1" applyFont="1" applyFill="1" applyBorder="1" applyAlignment="1">
      <x:alignment vertical="center" wrapText="1"/>
    </x:xf>
    <x:xf numFmtId="202" fontId="7" fillId="0" borderId="1" xfId="0" applyNumberFormat="1" applyFont="1" applyFill="1" applyBorder="1" applyAlignment="1">
      <x:alignment vertical="center" wrapText="1"/>
    </x:xf>
    <x:xf numFmtId="203" fontId="7" fillId="0" borderId="0" xfId="0" applyNumberFormat="1" applyFont="1" applyFill="1" applyBorder="1" applyAlignment="1">
      <x:alignment vertical="center" wrapText="1"/>
    </x:xf>
    <x:xf numFmtId="203" fontId="7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horizontal="left"/>
    </x:xf>
    <x:xf numFmtId="0" fontId="9" fillId="7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horizont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5" fillId="8" borderId="2" xfId="0" applyNumberFormat="1" applyFont="1" applyFill="1" applyBorder="1" applyAlignment="1">
      <x:alignment horizontal="center" vertical="center" wrapText="1"/>
    </x:xf>
    <x:xf numFmtId="0" fontId="5" fillId="8" borderId="3" xfId="0" applyNumberFormat="1" applyFont="1" applyFill="1" applyBorder="1" applyAlignment="1">
      <x:alignment horizontal="center" vertical="center" wrapText="1"/>
    </x:xf>
    <x:xf numFmtId="0" fontId="5" fillId="8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xfId="0" applyNumberFormat="1" applyFont="1" applyFill="1" applyBorder="0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5" fillId="8" borderId="2" xfId="0" applyNumberFormat="1" applyFont="1" applyFill="1" applyBorder="1" applyAlignment="1">
      <x:alignment horizontal="center" vertical="top" wrapText="1"/>
    </x:xf>
    <x:xf numFmtId="0" fontId="5" fillId="8" borderId="3" xfId="0" applyNumberFormat="1" applyFont="1" applyFill="1" applyBorder="1" applyAlignment="1">
      <x:alignment horizontal="center" vertical="top" wrapText="1"/>
    </x:xf>
    <x:xf numFmtId="0" fontId="5" fillId="8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202" fontId="0" fillId="0" borderId="6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4" fontId="0" fillId="0" borderId="0" xfId="0" applyNumberFormat="1" applyFont="1" applyFill="1" applyBorder="1"/>
    <x:xf numFmtId="201" fontId="0" fillId="0" xfId="0" applyNumberFormat="1" applyFont="1" applyFill="1" applyBorder="0"/>
    <x:xf numFmtId="204" fontId="0" fillId="0" xfId="0" applyNumberFormat="1" applyFont="1" applyFill="1" applyBorder="0"/>
    <x:xf numFmtId="201" fontId="0" fillId="0" borderId="8" xfId="0" applyNumberFormat="1" applyFont="1" applyFill="1" applyBorder="1"/>
    <x:xf numFmtId="204" fontId="0" fillId="0" borderId="8" xfId="0" applyNumberFormat="1" applyFont="1" applyFill="1" applyBorder="1"/>
    <x:xf numFmtId="201" fontId="0" fillId="0" xfId="0" applyNumberFormat="1" applyFont="1" applyFill="1" applyBorder="0" applyAlignment="1">
      <x:alignment wrapText="1"/>
    </x:xf>
    <x:xf numFmtId="204" fontId="0" fillId="0" xfId="0" applyNumberFormat="1" applyFont="1" applyFill="1" applyBorder="0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4" fontId="0" fillId="0" borderId="8" xfId="0" applyNumberFormat="1" applyFont="1" applyFill="1" applyBorder="1" applyAlignment="1">
      <x:alignment wrapText="1"/>
    </x:xf>
    <x:xf numFmtId="201" fontId="0" fillId="0" xfId="0" applyNumberFormat="1" applyFont="1" applyFill="1" applyBorder="0" applyAlignment="1">
      <x:alignment vertical="top" wrapText="1"/>
    </x:xf>
    <x:xf numFmtId="204" fontId="0" fillId="0" xfId="0" applyNumberFormat="1" applyFont="1" applyFill="1" applyBorder="0" applyAlignment="1">
      <x:alignment vertical="top" wrapText="1"/>
    </x:xf>
    <x:xf numFmtId="201" fontId="0" fillId="0" borderId="8" xfId="0" applyNumberFormat="1" applyFont="1" applyFill="1" applyBorder="1" applyAlignment="1">
      <x:alignment vertical="top" wrapText="1"/>
    </x:xf>
    <x:xf numFmtId="204" fontId="0" fillId="0" borderId="8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2" fontId="0" fillId="0" xfId="0" applyNumberFormat="1" applyFont="1" applyFill="1" applyBorder="0"/>
    <x:xf numFmtId="202" fontId="0" fillId="0" borderId="8" xfId="0" applyNumberFormat="1" applyFont="1" applyFill="1" applyBorder="1"/>
    <x:xf numFmtId="202" fontId="0" fillId="0" xfId="0" applyNumberFormat="1" applyFont="1" applyFill="1" applyBorder="0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2" fontId="0" fillId="0" xfId="0" applyNumberFormat="1" applyFont="1" applyFill="1" applyBorder="0" applyAlignment="1">
      <x:alignment vertical="top" wrapText="1"/>
    </x:xf>
    <x:xf numFmtId="202" fontId="0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9C0006"/>
      </x:font>
      <x:fill>
        <x:patternFill>
          <x:bgColor rgb="FFFCE4E4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E4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3ef2c2f86d454f" /><Relationship Type="http://schemas.openxmlformats.org/officeDocument/2006/relationships/theme" Target="/xl/theme/theme1.xml" Id="R7307fe367e4b4c4e" /><Relationship Type="http://schemas.openxmlformats.org/officeDocument/2006/relationships/sharedStrings" Target="/xl/sharedStrings.xml" Id="Raea3f3ae27d04418" /><Relationship Type="http://schemas.openxmlformats.org/officeDocument/2006/relationships/worksheet" Target="/xl/worksheets/sheet1.xml" Id="Rf8f77dc996e642b2" /><Relationship Type="http://schemas.openxmlformats.org/officeDocument/2006/relationships/worksheet" Target="/xl/worksheets/sheet2.xml" Id="R91bbba7ecf194dbf" /><Relationship Type="http://schemas.openxmlformats.org/officeDocument/2006/relationships/worksheet" Target="/xl/worksheets/sheet3.xml" Id="R7bb09efd150a4430" /><Relationship Type="http://schemas.openxmlformats.org/officeDocument/2006/relationships/worksheet" Target="/xl/worksheets/sheet4.xml" Id="R7a60f4ec4e894a0e" /><Relationship Type="http://schemas.openxmlformats.org/officeDocument/2006/relationships/worksheet" Target="/xl/worksheets/sheet5.xml" Id="R7f261d8f41734c3d" /><Relationship Type="http://schemas.openxmlformats.org/officeDocument/2006/relationships/worksheet" Target="/xl/worksheets/sheet6.xml" Id="R6751e097f3d54204" /><Relationship Type="http://schemas.openxmlformats.org/officeDocument/2006/relationships/worksheet" Target="/xl/worksheets/sheet7.xml" Id="R6bcc6b02295f4cfa" /><Relationship Type="http://schemas.openxmlformats.org/officeDocument/2006/relationships/worksheet" Target="/xl/worksheets/sheet8.xml" Id="R078dbed985c54f07" /></Relationships>
</file>

<file path=xl/tables/table1.xml><?xml version="1.0" encoding="utf-8"?>
<x:table xmlns:x="http://schemas.openxmlformats.org/spreadsheetml/2006/main" id="1" name="DuplicateIdSummaryTable" displayName="DuplicateIdSummaryTable" ref="A3:J34" headerRowCount="1">
  <x:tableColumns count="10">
    <x:tableColumn id="1" name="order_id"/>
    <x:tableColumn id="2" name="raw_record_count"/>
    <x:tableColumn id="3" name="unique_record_versions"/>
    <x:tableColumn id="4" name="exact_duplicate_rows_found"/>
    <x:tableColumn id="5" name="duplicate_classification"/>
    <x:tableColumn id="6" name="records_retained_after_exact_dedup"/>
    <x:tableColumn id="7" name="records_flagged_for_review"/>
    <x:tableColumn id="8" name="source_rows"/>
    <x:tableColumn id="9" name="fields_in_conflict"/>
    <x:tableColumn id="10" name="handling_action"/>
  </x:tableColumns>
  <x:tableStyleInfo name="TableStyleMedium2" showRowStripes="1"/>
</x:table>
</file>

<file path=xl/tables/table2.xml><?xml version="1.0" encoding="utf-8"?>
<x:table xmlns:x="http://schemas.openxmlformats.org/spreadsheetml/2006/main" id="2" name="ExactDuplicateLogTable" displayName="ExactDuplicateLogTable" ref="A3:G23" headerRowCount="1">
  <x:tableColumns count="7">
    <x:tableColumn id="1" name="order_id"/>
    <x:tableColumn id="2" name="retained_source_row"/>
    <x:tableColumn id="3" name="removed_source_row"/>
    <x:tableColumn id="4" name="duplicate_group_type"/>
    <x:tableColumn id="5" name="match_criteria"/>
    <x:tableColumn id="6" name="handling_action"/>
    <x:tableColumn id="7" name="audit_note"/>
  </x:tableColumns>
  <x:tableStyleInfo name="TableStyleMedium2" showRowStripes="1"/>
</x:table>
</file>

<file path=xl/tables/table3.xml><?xml version="1.0" encoding="utf-8"?>
<x:table xmlns:x="http://schemas.openxmlformats.org/spreadsheetml/2006/main" id="3" name="ConflictingOrderIdsTable" displayName="ConflictingOrderIdsTable" ref="A3:Z27" headerRowCount="1">
  <x:tableColumns count="26">
    <x:tableColumn id="1" name="order_id"/>
    <x:tableColumn id="2" name="source_row"/>
    <x:tableColumn id="3" name="conflict_group_size"/>
    <x:tableColumn id="4" name="fields_in_conflict"/>
    <x:tableColumn id="5" name="order_date"/>
    <x:tableColumn id="6" name="ship_date"/>
    <x:tableColumn id="7" name="customer_id"/>
    <x:tableColumn id="8" name="customer_name"/>
    <x:tableColumn id="9" name="segment"/>
    <x:tableColumn id="10" name="region"/>
    <x:tableColumn id="11" name="state"/>
    <x:tableColumn id="12" name="city"/>
    <x:tableColumn id="13" name="category"/>
    <x:tableColumn id="14" name="sub_category"/>
    <x:tableColumn id="15" name="product_name"/>
    <x:tableColumn id="16" name="ship_mode"/>
    <x:tableColumn id="17" name="quantity"/>
    <x:tableColumn id="18" name="unit_price"/>
    <x:tableColumn id="19" name="discount"/>
    <x:tableColumn id="20" name="sales_raw"/>
    <x:tableColumn id="21" name="cost_raw"/>
    <x:tableColumn id="22" name="profit_raw"/>
    <x:tableColumn id="23" name="payment_status"/>
    <x:tableColumn id="24" name="order_status"/>
    <x:tableColumn id="25" name="review_status"/>
    <x:tableColumn id="26" name="required_action"/>
  </x:tableColumns>
  <x:tableStyleInfo name="TableStyleMedium2" showRowStripes="1"/>
</x:table>
</file>

<file path=xl/tables/table4.xml><?xml version="1.0" encoding="utf-8"?>
<x:table xmlns:x="http://schemas.openxmlformats.org/spreadsheetml/2006/main" id="4" name="MethodologyTable" displayName="MethodologyTable" ref="A3:D10" headerRowCount="1">
  <x:tableColumns count="4">
    <x:tableColumn id="1" name="rule_id"/>
    <x:tableColumn id="2" name="topic"/>
    <x:tableColumn id="3" name="rule / control"/>
    <x:tableColumn id="4" name="applied 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56ed6a40a1a47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1378fac14f24a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e97016c50ec44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5649f71eba44be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3" hidden="0" customWidth="1"/>
    <x:col min="3" max="3" width="48" hidden="0" customWidth="1"/>
    <x:col min="4" max="4" width="3" hidden="0" customWidth="1"/>
    <x:col min="5" max="5" width="20" hidden="0" customWidth="1"/>
    <x:col min="6" max="6" width="38" hidden="0" customWidth="1"/>
    <x:col min="7" max="7" width="35" hidden="0" customWidth="1"/>
    <x:col min="8" max="8" width="18" hidden="0" customWidth="1"/>
    <x:col min="9" max="9" width="17" hidden="0" customWidth="1"/>
    <x:col min="10" max="10" width="17" hidden="0" customWidth="1"/>
  </x:cols>
  <x:sheetData>
    <x:row r="1" ht="28" customHeight="1">
      <x:c r="A1" s="5" t="str">
        <x:v>Data Quality Report — Duplicate Handling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5" customHeight="1">
      <x:c r="A2" s="12" t="str">
        <x:v>Source: raw_orders.xlsx | Scope: 932 raw order rows | Exact duplicates were removed only when all raw fields matched; conflicting order IDs remain for review.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4" ht="29" customHeight="1">
      <x:c r="A4" s="20" t="str">
        <x:v>Exact duplicate rows found</x:v>
      </x:c>
      <x:c r="B4" s="20"/>
      <x:c r="C4" s="20" t="str">
        <x:v>Duplicate order IDs found</x:v>
      </x:c>
      <x:c r="D4" s="20"/>
      <x:c r="E4" s="20" t="str">
        <x:v>Conflicting duplicate order IDs</x:v>
      </x:c>
      <x:c r="F4" s="20"/>
      <x:c r="G4" s="20" t="str">
        <x:v>Records removed</x:v>
      </x:c>
      <x:c r="H4" s="20"/>
      <x:c r="I4" s="20" t="str">
        <x:v>Records flagged for review</x:v>
      </x:c>
      <x:c r="J4" s="20"/>
    </x:row>
    <x:row r="5" ht="28" customHeight="1">
      <x:c r="A5" s="29" t="n">
        <x:f>COUNTA(Exact_Duplicate_Log!A4:A23)</x:f>
        <x:v>20</x:v>
      </x:c>
      <x:c r="B5" s="29"/>
      <x:c r="C5" s="29" t="n">
        <x:f>COUNTA(Duplicate_ID_Summary!A4:A34)</x:f>
        <x:v>31</x:v>
      </x:c>
      <x:c r="D5" s="29"/>
      <x:c r="E5" s="29" t="n">
        <x:v>12</x:v>
      </x:c>
      <x:c r="F5" s="29"/>
      <x:c r="G5" s="29" t="n">
        <x:f>COUNTA(Exact_Duplicate_Log!C4:C23)</x:f>
        <x:v>20</x:v>
      </x:c>
      <x:c r="H5" s="29"/>
      <x:c r="I5" s="29" t="n">
        <x:f>SUM(Duplicate_ID_Summary!G4:G34)</x:f>
        <x:v>24</x:v>
      </x:c>
      <x:c r="J5" s="29"/>
    </x:row>
    <x:row r="7">
      <x:c r="A7" s="37" t="str">
        <x:v>Control Outcomes</x:v>
      </x:c>
      <x:c r="B7" s="37"/>
      <x:c r="C7" s="37"/>
      <x:c r="D7" s="37"/>
      <x:c r="E7" s="37"/>
      <x:c r="F7" s="37"/>
      <x:c r="G7" s="37"/>
      <x:c r="H7" s="37"/>
      <x:c r="I7" s="37"/>
      <x:c r="J7" s="37"/>
    </x:row>
    <x:row r="8">
      <x:c r="A8" s="45" t="str">
        <x:v>Measure</x:v>
      </x:c>
      <x:c r="B8" s="45" t="str">
        <x:v>Result</x:v>
      </x:c>
      <x:c r="C8" s="45" t="str">
        <x:v>Business interpretation</x:v>
      </x:c>
      <x:c r="E8" s="37" t="str">
        <x:v>Handling Logic</x:v>
      </x:c>
      <x:c r="F8" s="37"/>
      <x:c r="G8" s="37"/>
      <x:c r="H8" s="37"/>
      <x:c r="I8" s="37"/>
      <x:c r="J8" s="37"/>
    </x:row>
    <x:row r="9">
      <x:c r="A9" s="52" t="str">
        <x:v>Raw source rows assessed</x:v>
      </x:c>
      <x:c r="B9" s="52" t="n">
        <x:v>932</x:v>
      </x:c>
      <x:c r="C9" s="52" t="str">
        <x:v>All 932 rows in raw_orders.xlsx were evaluated.</x:v>
      </x:c>
      <x:c r="E9" s="45" t="str">
        <x:v>Scenario</x:v>
      </x:c>
      <x:c r="F9" s="45" t="str">
        <x:v>Identification rule</x:v>
      </x:c>
      <x:c r="G9" s="45" t="str">
        <x:v>Action</x:v>
      </x:c>
      <x:c r="H9" s="45" t="str">
        <x:v>Audit trail</x:v>
      </x:c>
    </x:row>
    <x:row r="10">
      <x:c r="A10" s="52" t="str">
        <x:v>Duplicate order IDs</x:v>
      </x:c>
      <x:c r="B10" s="52" t="n">
        <x:f>COUNTA(Duplicate_ID_Summary!A4:A34)</x:f>
        <x:v>31</x:v>
      </x:c>
      <x:c r="C10" s="52" t="str">
        <x:v>31 distinct order IDs appear more than once in the raw extract.</x:v>
      </x:c>
      <x:c r="E10" s="52" t="str">
        <x:v>Exact duplicate row</x:v>
      </x:c>
      <x:c r="F10" s="52" t="str">
        <x:v>All 21 raw data columns match an earlier row exactly.</x:v>
      </x:c>
      <x:c r="G10" s="52" t="str">
        <x:v>Keep earliest source row; remove later exact copies.</x:v>
      </x:c>
      <x:c r="H10" s="52" t="str">
        <x:v>Exact_Duplicate_Log</x:v>
      </x:c>
    </x:row>
    <x:row r="11">
      <x:c r="A11" s="52" t="str">
        <x:v>Exact duplicate rows</x:v>
      </x:c>
      <x:c r="B11" s="52" t="n">
        <x:f>COUNTA(Exact_Duplicate_Log!A4:A23)</x:f>
        <x:v>20</x:v>
      </x:c>
      <x:c r="C11" s="52" t="str">
        <x:v>20 later occurrences exactly matched every raw data field and were removed.</x:v>
      </x:c>
      <x:c r="E11" s="52" t="str">
        <x:v>Duplicate order ID with conflict</x:v>
      </x:c>
      <x:c r="F11" s="52" t="str">
        <x:v>Same order_id has 2+ unique standardized record versions.</x:v>
      </x:c>
      <x:c r="G11" s="52" t="str">
        <x:v>Keep all unique versions; flag Review Required.</x:v>
      </x:c>
      <x:c r="H11" s="52" t="str">
        <x:v>Conflicting_Order_IDs</x:v>
      </x:c>
    </x:row>
    <x:row r="12">
      <x:c r="A12" s="52" t="str">
        <x:v>Conflicting duplicate order IDs</x:v>
      </x:c>
      <x:c r="B12" s="52" t="n">
        <x:v>12</x:v>
      </x:c>
      <x:c r="C12" s="52" t="str">
        <x:v>12 order IDs have multiple unique versions after standardization; no unique version was deleted.</x:v>
      </x:c>
      <x:c r="E12" s="52" t="str">
        <x:v>Mixed duplicate group</x:v>
      </x:c>
      <x:c r="F12" s="52" t="str">
        <x:v>A repeated order_id contains both an exact copy and a distinct conflicting version.</x:v>
      </x:c>
      <x:c r="G12" s="52" t="str">
        <x:v>Remove only the exact redundant copy; retain and flag unique conflicting versions.</x:v>
      </x:c>
      <x:c r="H12" s="52" t="str">
        <x:v>Both logs</x:v>
      </x:c>
    </x:row>
    <x:row r="13">
      <x:c r="A13" s="52" t="str">
        <x:v>Records flagged for review</x:v>
      </x:c>
      <x:c r="B13" s="52" t="n">
        <x:f>SUM(Duplicate_ID_Summary!G4:G34)</x:f>
        <x:v>24</x:v>
      </x:c>
      <x:c r="C13" s="52" t="str">
        <x:v>24 retained unique records across conflicting order IDs require source-system confirmation.</x:v>
      </x:c>
      <x:c r="E13" s="52" t="str">
        <x:v>Comparison basis</x:v>
      </x:c>
      <x:c r="F13" s="52" t="str">
        <x:v>Text/date formatting standardized before conflict comparison.</x:v>
      </x:c>
      <x:c r="G13" s="52" t="str">
        <x:v>Avoid false conflicts created only by spacing, case, or date display.</x:v>
      </x:c>
      <x:c r="H13" s="52" t="str">
        <x:v>Methodology</x:v>
      </x:c>
    </x:row>
    <x:row r="14">
      <x:c r="A14" s="52" t="str">
        <x:v>Raw records associated with conflicts</x:v>
      </x:c>
      <x:c r="B14" s="52" t="n">
        <x:v>25</x:v>
      </x:c>
      <x:c r="C14" s="52" t="str">
        <x:v>25 source rows were tied to conflicting order IDs; one was an exact redundant repeat inside a mixed group.</x:v>
      </x:c>
    </x:row>
    <x:row r="16" ht="36" customHeight="1">
      <x:c r="A16" s="59" t="str">
        <x:v>Important review note: ORD-2024-10124 is a mixed duplicate group. Source rows 125 and 912 match exactly; source row 932 differs on sales_raw and order_status. The redundant exact copy is logged as removed, while the two unique versions remain in the conflict log.</x:v>
      </x:c>
      <x:c r="B16" s="59"/>
      <x:c r="C16" s="59"/>
      <x:c r="D16" s="59"/>
      <x:c r="E16" s="59"/>
      <x:c r="F16" s="59"/>
      <x:c r="G16" s="59"/>
      <x:c r="H16" s="59"/>
      <x:c r="I16" s="59"/>
      <x:c r="J16" s="59"/>
    </x:row>
  </x:sheetData>
  <x:mergeCells>
    <x:mergeCell ref="A1:J1"/>
    <x:mergeCell ref="A2:J2"/>
    <x:mergeCell ref="A4:B4"/>
    <x:mergeCell ref="A5:B5"/>
    <x:mergeCell ref="C4:D4"/>
    <x:mergeCell ref="C5:D5"/>
    <x:mergeCell ref="E4:F4"/>
    <x:mergeCell ref="E5:F5"/>
    <x:mergeCell ref="G4:H4"/>
    <x:mergeCell ref="G5:H5"/>
    <x:mergeCell ref="I4:J4"/>
    <x:mergeCell ref="I5:J5"/>
    <x:mergeCell ref="A7:J7"/>
    <x:mergeCell ref="E8:J8"/>
    <x:mergeCell ref="A16:J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8" hidden="0" customWidth="1"/>
    <x:col min="4" max="4" width="20" hidden="0" customWidth="1"/>
    <x:col min="5" max="5" width="26" hidden="0" customWidth="1"/>
    <x:col min="6" max="6" width="22" hidden="0" customWidth="1"/>
    <x:col min="7" max="7" width="18" hidden="0" customWidth="1"/>
    <x:col min="8" max="8" width="22" hidden="0" customWidth="1"/>
    <x:col min="9" max="9" width="27" hidden="0" customWidth="1"/>
    <x:col min="10" max="10" width="42" hidden="0" customWidth="1"/>
  </x:cols>
  <x:sheetData>
    <x:row r="1" ht="28" customHeight="1">
      <x:c r="A1" s="5" t="str">
        <x:v>Duplicate Order ID Summary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5" customHeight="1">
      <x:c r="A2" s="12" t="str">
        <x:v>Each repeated order_id is classified using raw-row exactness and standardized field comparison. The source-row list refers to the original raw_orders.xlsx row number.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3">
      <x:c r="A3" s="45" t="str">
        <x:v>order_id</x:v>
      </x:c>
      <x:c r="B3" s="45" t="str">
        <x:v>raw_record_count</x:v>
      </x:c>
      <x:c r="C3" s="45" t="str">
        <x:v>unique_record_versions</x:v>
      </x:c>
      <x:c r="D3" s="45" t="str">
        <x:v>exact_duplicate_rows_found</x:v>
      </x:c>
      <x:c r="E3" s="45" t="str">
        <x:v>duplicate_classification</x:v>
      </x:c>
      <x:c r="F3" s="45" t="str">
        <x:v>records_retained_after_exact_dedup</x:v>
      </x:c>
      <x:c r="G3" s="45" t="str">
        <x:v>records_flagged_for_review</x:v>
      </x:c>
      <x:c r="H3" s="45" t="str">
        <x:v>source_rows</x:v>
      </x:c>
      <x:c r="I3" s="45" t="str">
        <x:v>fields_in_conflict</x:v>
      </x:c>
      <x:c r="J3" s="45" t="str">
        <x:v>handling_action</x:v>
      </x:c>
    </x:row>
    <x:row r="4">
      <x:c r="A4" s="52" t="str">
        <x:v>ORD-2024-10124</x:v>
      </x:c>
      <x:c r="B4" s="64" t="n">
        <x:v>3</x:v>
      </x:c>
      <x:c r="C4" s="64" t="n">
        <x:v>2</x:v>
      </x:c>
      <x:c r="D4" s="64" t="n">
        <x:v>1</x:v>
      </x:c>
      <x:c r="E4" s="52" t="str">
        <x:v>Mixed: exact + conflicting</x:v>
      </x:c>
      <x:c r="F4" s="64" t="n">
        <x:v>2</x:v>
      </x:c>
      <x:c r="G4" s="64" t="n">
        <x:v>2</x:v>
      </x:c>
      <x:c r="H4" s="52" t="str">
        <x:v>125, 912, 932</x:v>
      </x:c>
      <x:c r="I4" s="52" t="str">
        <x:v>sales_raw; order_status</x:v>
      </x:c>
      <x:c r="J4" s="52" t="str">
        <x:v>Retained each unique record; flagged for review</x:v>
      </x:c>
    </x:row>
    <x:row r="5">
      <x:c r="A5" s="52" t="str">
        <x:v>ORD-2024-10134</x:v>
      </x:c>
      <x:c r="B5" s="64" t="n">
        <x:v>2</x:v>
      </x:c>
      <x:c r="C5" s="64" t="n">
        <x:v>1</x:v>
      </x:c>
      <x:c r="D5" s="64" t="n">
        <x:v>1</x:v>
      </x:c>
      <x:c r="E5" s="52" t="str">
        <x:v>Exact duplicates only</x:v>
      </x:c>
      <x:c r="F5" s="64" t="n">
        <x:v>1</x:v>
      </x:c>
      <x:c r="G5" s="64" t="n">
        <x:v>0</x:v>
      </x:c>
      <x:c r="H5" s="52" t="str">
        <x:v>135, 909</x:v>
      </x:c>
      <x:c r="I5" s="52" t="str">
        <x:v>—</x:v>
      </x:c>
      <x:c r="J5" s="52" t="str">
        <x:v>Retained earliest row; removed exact repeats</x:v>
      </x:c>
    </x:row>
    <x:row r="6">
      <x:c r="A6" s="52" t="str">
        <x:v>ORD-2024-10143</x:v>
      </x:c>
      <x:c r="B6" s="64" t="n">
        <x:v>2</x:v>
      </x:c>
      <x:c r="C6" s="64" t="n">
        <x:v>2</x:v>
      </x:c>
      <x:c r="D6" s="64" t="n">
        <x:v>0</x:v>
      </x:c>
      <x:c r="E6" s="52" t="str">
        <x:v>Conflicting information</x:v>
      </x:c>
      <x:c r="F6" s="64" t="n">
        <x:v>2</x:v>
      </x:c>
      <x:c r="G6" s="64" t="n">
        <x:v>2</x:v>
      </x:c>
      <x:c r="H6" s="52" t="str">
        <x:v>144, 930</x:v>
      </x:c>
      <x:c r="I6" s="52" t="str">
        <x:v>sales_raw; order_status</x:v>
      </x:c>
      <x:c r="J6" s="52" t="str">
        <x:v>Retained each unique record; flagged for review</x:v>
      </x:c>
    </x:row>
    <x:row r="7">
      <x:c r="A7" s="52" t="str">
        <x:v>ORD-2024-10251</x:v>
      </x:c>
      <x:c r="B7" s="64" t="n">
        <x:v>2</x:v>
      </x:c>
      <x:c r="C7" s="64" t="n">
        <x:v>1</x:v>
      </x:c>
      <x:c r="D7" s="64" t="n">
        <x:v>1</x:v>
      </x:c>
      <x:c r="E7" s="52" t="str">
        <x:v>Exact duplicates only</x:v>
      </x:c>
      <x:c r="F7" s="64" t="n">
        <x:v>1</x:v>
      </x:c>
      <x:c r="G7" s="64" t="n">
        <x:v>0</x:v>
      </x:c>
      <x:c r="H7" s="52" t="str">
        <x:v>252, 913</x:v>
      </x:c>
      <x:c r="I7" s="52" t="str">
        <x:v>—</x:v>
      </x:c>
      <x:c r="J7" s="52" t="str">
        <x:v>Retained earliest row; removed exact repeats</x:v>
      </x:c>
    </x:row>
    <x:row r="8">
      <x:c r="A8" s="52" t="str">
        <x:v>ORD-2024-10273</x:v>
      </x:c>
      <x:c r="B8" s="64" t="n">
        <x:v>2</x:v>
      </x:c>
      <x:c r="C8" s="64" t="n">
        <x:v>2</x:v>
      </x:c>
      <x:c r="D8" s="64" t="n">
        <x:v>0</x:v>
      </x:c>
      <x:c r="E8" s="52" t="str">
        <x:v>Conflicting information</x:v>
      </x:c>
      <x:c r="F8" s="64" t="n">
        <x:v>2</x:v>
      </x:c>
      <x:c r="G8" s="64" t="n">
        <x:v>2</x:v>
      </x:c>
      <x:c r="H8" s="52" t="str">
        <x:v>274, 931</x:v>
      </x:c>
      <x:c r="I8" s="52" t="str">
        <x:v>sales_raw; order_status</x:v>
      </x:c>
      <x:c r="J8" s="52" t="str">
        <x:v>Retained each unique record; flagged for review</x:v>
      </x:c>
    </x:row>
    <x:row r="9">
      <x:c r="A9" s="52" t="str">
        <x:v>ORD-2024-10277</x:v>
      </x:c>
      <x:c r="B9" s="64" t="n">
        <x:v>2</x:v>
      </x:c>
      <x:c r="C9" s="64" t="n">
        <x:v>1</x:v>
      </x:c>
      <x:c r="D9" s="64" t="n">
        <x:v>1</x:v>
      </x:c>
      <x:c r="E9" s="52" t="str">
        <x:v>Exact duplicates only</x:v>
      </x:c>
      <x:c r="F9" s="64" t="n">
        <x:v>1</x:v>
      </x:c>
      <x:c r="G9" s="64" t="n">
        <x:v>0</x:v>
      </x:c>
      <x:c r="H9" s="52" t="str">
        <x:v>278, 906</x:v>
      </x:c>
      <x:c r="I9" s="52" t="str">
        <x:v>—</x:v>
      </x:c>
      <x:c r="J9" s="52" t="str">
        <x:v>Retained earliest row; removed exact repeats</x:v>
      </x:c>
    </x:row>
    <x:row r="10">
      <x:c r="A10" s="52" t="str">
        <x:v>ORD-2024-10281</x:v>
      </x:c>
      <x:c r="B10" s="64" t="n">
        <x:v>2</x:v>
      </x:c>
      <x:c r="C10" s="64" t="n">
        <x:v>1</x:v>
      </x:c>
      <x:c r="D10" s="64" t="n">
        <x:v>1</x:v>
      </x:c>
      <x:c r="E10" s="52" t="str">
        <x:v>Exact duplicates only</x:v>
      </x:c>
      <x:c r="F10" s="64" t="n">
        <x:v>1</x:v>
      </x:c>
      <x:c r="G10" s="64" t="n">
        <x:v>0</x:v>
      </x:c>
      <x:c r="H10" s="52" t="str">
        <x:v>282, 915</x:v>
      </x:c>
      <x:c r="I10" s="52" t="str">
        <x:v>—</x:v>
      </x:c>
      <x:c r="J10" s="52" t="str">
        <x:v>Retained earliest row; removed exact repeats</x:v>
      </x:c>
    </x:row>
    <x:row r="11">
      <x:c r="A11" s="52" t="str">
        <x:v>ORD-2024-10332</x:v>
      </x:c>
      <x:c r="B11" s="64" t="n">
        <x:v>2</x:v>
      </x:c>
      <x:c r="C11" s="64" t="n">
        <x:v>2</x:v>
      </x:c>
      <x:c r="D11" s="64" t="n">
        <x:v>0</x:v>
      </x:c>
      <x:c r="E11" s="52" t="str">
        <x:v>Conflicting information</x:v>
      </x:c>
      <x:c r="F11" s="64" t="n">
        <x:v>2</x:v>
      </x:c>
      <x:c r="G11" s="64" t="n">
        <x:v>2</x:v>
      </x:c>
      <x:c r="H11" s="52" t="str">
        <x:v>333, 922</x:v>
      </x:c>
      <x:c r="I11" s="52" t="str">
        <x:v>sales_raw; order_status</x:v>
      </x:c>
      <x:c r="J11" s="52" t="str">
        <x:v>Retained each unique record; flagged for review</x:v>
      </x:c>
    </x:row>
    <x:row r="12">
      <x:c r="A12" s="52" t="str">
        <x:v>ORD-2024-10424</x:v>
      </x:c>
      <x:c r="B12" s="64" t="n">
        <x:v>2</x:v>
      </x:c>
      <x:c r="C12" s="64" t="n">
        <x:v>2</x:v>
      </x:c>
      <x:c r="D12" s="64" t="n">
        <x:v>0</x:v>
      </x:c>
      <x:c r="E12" s="52" t="str">
        <x:v>Conflicting information</x:v>
      </x:c>
      <x:c r="F12" s="64" t="n">
        <x:v>2</x:v>
      </x:c>
      <x:c r="G12" s="64" t="n">
        <x:v>2</x:v>
      </x:c>
      <x:c r="H12" s="52" t="str">
        <x:v>425, 928</x:v>
      </x:c>
      <x:c r="I12" s="52" t="str">
        <x:v>sales_raw; order_status</x:v>
      </x:c>
      <x:c r="J12" s="52" t="str">
        <x:v>Retained each unique record; flagged for review</x:v>
      </x:c>
    </x:row>
    <x:row r="13">
      <x:c r="A13" s="52" t="str">
        <x:v>ORD-2024-10503</x:v>
      </x:c>
      <x:c r="B13" s="64" t="n">
        <x:v>2</x:v>
      </x:c>
      <x:c r="C13" s="64" t="n">
        <x:v>1</x:v>
      </x:c>
      <x:c r="D13" s="64" t="n">
        <x:v>1</x:v>
      </x:c>
      <x:c r="E13" s="52" t="str">
        <x:v>Exact duplicates only</x:v>
      </x:c>
      <x:c r="F13" s="64" t="n">
        <x:v>1</x:v>
      </x:c>
      <x:c r="G13" s="64" t="n">
        <x:v>0</x:v>
      </x:c>
      <x:c r="H13" s="52" t="str">
        <x:v>504, 902</x:v>
      </x:c>
      <x:c r="I13" s="52" t="str">
        <x:v>—</x:v>
      </x:c>
      <x:c r="J13" s="52" t="str">
        <x:v>Retained earliest row; removed exact repeats</x:v>
      </x:c>
    </x:row>
    <x:row r="14">
      <x:c r="A14" s="52" t="str">
        <x:v>ORD-2024-10599</x:v>
      </x:c>
      <x:c r="B14" s="64" t="n">
        <x:v>2</x:v>
      </x:c>
      <x:c r="C14" s="64" t="n">
        <x:v>1</x:v>
      </x:c>
      <x:c r="D14" s="64" t="n">
        <x:v>1</x:v>
      </x:c>
      <x:c r="E14" s="52" t="str">
        <x:v>Exact duplicates only</x:v>
      </x:c>
      <x:c r="F14" s="64" t="n">
        <x:v>1</x:v>
      </x:c>
      <x:c r="G14" s="64" t="n">
        <x:v>0</x:v>
      </x:c>
      <x:c r="H14" s="52" t="str">
        <x:v>600, 903</x:v>
      </x:c>
      <x:c r="I14" s="52" t="str">
        <x:v>—</x:v>
      </x:c>
      <x:c r="J14" s="52" t="str">
        <x:v>Retained earliest row; removed exact repeats</x:v>
      </x:c>
    </x:row>
    <x:row r="15">
      <x:c r="A15" s="52" t="str">
        <x:v>ORD-2024-10705</x:v>
      </x:c>
      <x:c r="B15" s="64" t="n">
        <x:v>2</x:v>
      </x:c>
      <x:c r="C15" s="64" t="n">
        <x:v>1</x:v>
      </x:c>
      <x:c r="D15" s="64" t="n">
        <x:v>1</x:v>
      </x:c>
      <x:c r="E15" s="52" t="str">
        <x:v>Exact duplicates only</x:v>
      </x:c>
      <x:c r="F15" s="64" t="n">
        <x:v>1</x:v>
      </x:c>
      <x:c r="G15" s="64" t="n">
        <x:v>0</x:v>
      </x:c>
      <x:c r="H15" s="52" t="str">
        <x:v>706, 905</x:v>
      </x:c>
      <x:c r="I15" s="52" t="str">
        <x:v>—</x:v>
      </x:c>
      <x:c r="J15" s="52" t="str">
        <x:v>Retained earliest row; removed exact repeats</x:v>
      </x:c>
    </x:row>
    <x:row r="16">
      <x:c r="A16" s="52" t="str">
        <x:v>ORD-2024-10713</x:v>
      </x:c>
      <x:c r="B16" s="64" t="n">
        <x:v>2</x:v>
      </x:c>
      <x:c r="C16" s="64" t="n">
        <x:v>1</x:v>
      </x:c>
      <x:c r="D16" s="64" t="n">
        <x:v>1</x:v>
      </x:c>
      <x:c r="E16" s="52" t="str">
        <x:v>Exact duplicates only</x:v>
      </x:c>
      <x:c r="F16" s="64" t="n">
        <x:v>1</x:v>
      </x:c>
      <x:c r="G16" s="64" t="n">
        <x:v>0</x:v>
      </x:c>
      <x:c r="H16" s="52" t="str">
        <x:v>714, 916</x:v>
      </x:c>
      <x:c r="I16" s="52" t="str">
        <x:v>—</x:v>
      </x:c>
      <x:c r="J16" s="52" t="str">
        <x:v>Retained earliest row; removed exact repeats</x:v>
      </x:c>
    </x:row>
    <x:row r="17">
      <x:c r="A17" s="52" t="str">
        <x:v>ORD-2024-10850</x:v>
      </x:c>
      <x:c r="B17" s="64" t="n">
        <x:v>2</x:v>
      </x:c>
      <x:c r="C17" s="64" t="n">
        <x:v>1</x:v>
      </x:c>
      <x:c r="D17" s="64" t="n">
        <x:v>1</x:v>
      </x:c>
      <x:c r="E17" s="52" t="str">
        <x:v>Exact duplicates only</x:v>
      </x:c>
      <x:c r="F17" s="64" t="n">
        <x:v>1</x:v>
      </x:c>
      <x:c r="G17" s="64" t="n">
        <x:v>0</x:v>
      </x:c>
      <x:c r="H17" s="52" t="str">
        <x:v>851, 918</x:v>
      </x:c>
      <x:c r="I17" s="52" t="str">
        <x:v>—</x:v>
      </x:c>
      <x:c r="J17" s="52" t="str">
        <x:v>Retained earliest row; removed exact repeats</x:v>
      </x:c>
    </x:row>
    <x:row r="18">
      <x:c r="A18" s="52" t="str">
        <x:v>ORD-2025-10007</x:v>
      </x:c>
      <x:c r="B18" s="64" t="n">
        <x:v>2</x:v>
      </x:c>
      <x:c r="C18" s="64" t="n">
        <x:v>1</x:v>
      </x:c>
      <x:c r="D18" s="64" t="n">
        <x:v>1</x:v>
      </x:c>
      <x:c r="E18" s="52" t="str">
        <x:v>Exact duplicates only</x:v>
      </x:c>
      <x:c r="F18" s="64" t="n">
        <x:v>1</x:v>
      </x:c>
      <x:c r="G18" s="64" t="n">
        <x:v>0</x:v>
      </x:c>
      <x:c r="H18" s="52" t="str">
        <x:v>8, 921</x:v>
      </x:c>
      <x:c r="I18" s="52" t="str">
        <x:v>—</x:v>
      </x:c>
      <x:c r="J18" s="52" t="str">
        <x:v>Retained earliest row; removed exact repeats</x:v>
      </x:c>
    </x:row>
    <x:row r="19">
      <x:c r="A19" s="52" t="str">
        <x:v>ORD-2025-10091</x:v>
      </x:c>
      <x:c r="B19" s="64" t="n">
        <x:v>2</x:v>
      </x:c>
      <x:c r="C19" s="64" t="n">
        <x:v>2</x:v>
      </x:c>
      <x:c r="D19" s="64" t="n">
        <x:v>0</x:v>
      </x:c>
      <x:c r="E19" s="52" t="str">
        <x:v>Conflicting information</x:v>
      </x:c>
      <x:c r="F19" s="64" t="n">
        <x:v>2</x:v>
      </x:c>
      <x:c r="G19" s="64" t="n">
        <x:v>2</x:v>
      </x:c>
      <x:c r="H19" s="52" t="str">
        <x:v>92, 923</x:v>
      </x:c>
      <x:c r="I19" s="52" t="str">
        <x:v>sales_raw; order_status</x:v>
      </x:c>
      <x:c r="J19" s="52" t="str">
        <x:v>Retained each unique record; flagged for review</x:v>
      </x:c>
    </x:row>
    <x:row r="20">
      <x:c r="A20" s="52" t="str">
        <x:v>ORD-2025-10128</x:v>
      </x:c>
      <x:c r="B20" s="64" t="n">
        <x:v>2</x:v>
      </x:c>
      <x:c r="C20" s="64" t="n">
        <x:v>1</x:v>
      </x:c>
      <x:c r="D20" s="64" t="n">
        <x:v>1</x:v>
      </x:c>
      <x:c r="E20" s="52" t="str">
        <x:v>Exact duplicates only</x:v>
      </x:c>
      <x:c r="F20" s="64" t="n">
        <x:v>1</x:v>
      </x:c>
      <x:c r="G20" s="64" t="n">
        <x:v>0</x:v>
      </x:c>
      <x:c r="H20" s="52" t="str">
        <x:v>129, 919</x:v>
      </x:c>
      <x:c r="I20" s="52" t="str">
        <x:v>—</x:v>
      </x:c>
      <x:c r="J20" s="52" t="str">
        <x:v>Retained earliest row; removed exact repeats</x:v>
      </x:c>
    </x:row>
    <x:row r="21">
      <x:c r="A21" s="52" t="str">
        <x:v>ORD-2025-10171</x:v>
      </x:c>
      <x:c r="B21" s="64" t="n">
        <x:v>2</x:v>
      </x:c>
      <x:c r="C21" s="64" t="n">
        <x:v>2</x:v>
      </x:c>
      <x:c r="D21" s="64" t="n">
        <x:v>0</x:v>
      </x:c>
      <x:c r="E21" s="52" t="str">
        <x:v>Conflicting information</x:v>
      </x:c>
      <x:c r="F21" s="64" t="n">
        <x:v>2</x:v>
      </x:c>
      <x:c r="G21" s="64" t="n">
        <x:v>2</x:v>
      </x:c>
      <x:c r="H21" s="52" t="str">
        <x:v>172, 927</x:v>
      </x:c>
      <x:c r="I21" s="52" t="str">
        <x:v>sales_raw; order_status</x:v>
      </x:c>
      <x:c r="J21" s="52" t="str">
        <x:v>Retained each unique record; flagged for review</x:v>
      </x:c>
    </x:row>
    <x:row r="22">
      <x:c r="A22" s="52" t="str">
        <x:v>ORD-2025-10225</x:v>
      </x:c>
      <x:c r="B22" s="64" t="n">
        <x:v>2</x:v>
      </x:c>
      <x:c r="C22" s="64" t="n">
        <x:v>2</x:v>
      </x:c>
      <x:c r="D22" s="64" t="n">
        <x:v>0</x:v>
      </x:c>
      <x:c r="E22" s="52" t="str">
        <x:v>Conflicting information</x:v>
      </x:c>
      <x:c r="F22" s="64" t="n">
        <x:v>2</x:v>
      </x:c>
      <x:c r="G22" s="64" t="n">
        <x:v>2</x:v>
      </x:c>
      <x:c r="H22" s="52" t="str">
        <x:v>226, 925</x:v>
      </x:c>
      <x:c r="I22" s="52" t="str">
        <x:v>sales_raw; order_status</x:v>
      </x:c>
      <x:c r="J22" s="52" t="str">
        <x:v>Retained each unique record; flagged for review</x:v>
      </x:c>
    </x:row>
    <x:row r="23">
      <x:c r="A23" s="52" t="str">
        <x:v>ORD-2025-10315</x:v>
      </x:c>
      <x:c r="B23" s="64" t="n">
        <x:v>2</x:v>
      </x:c>
      <x:c r="C23" s="64" t="n">
        <x:v>2</x:v>
      </x:c>
      <x:c r="D23" s="64" t="n">
        <x:v>0</x:v>
      </x:c>
      <x:c r="E23" s="52" t="str">
        <x:v>Conflicting information</x:v>
      </x:c>
      <x:c r="F23" s="64" t="n">
        <x:v>2</x:v>
      </x:c>
      <x:c r="G23" s="64" t="n">
        <x:v>2</x:v>
      </x:c>
      <x:c r="H23" s="52" t="str">
        <x:v>316, 926</x:v>
      </x:c>
      <x:c r="I23" s="52" t="str">
        <x:v>sales_raw; order_status</x:v>
      </x:c>
      <x:c r="J23" s="52" t="str">
        <x:v>Retained each unique record; flagged for review</x:v>
      </x:c>
    </x:row>
    <x:row r="24">
      <x:c r="A24" s="52" t="str">
        <x:v>ORD-2025-10336</x:v>
      </x:c>
      <x:c r="B24" s="64" t="n">
        <x:v>2</x:v>
      </x:c>
      <x:c r="C24" s="64" t="n">
        <x:v>2</x:v>
      </x:c>
      <x:c r="D24" s="64" t="n">
        <x:v>0</x:v>
      </x:c>
      <x:c r="E24" s="52" t="str">
        <x:v>Conflicting information</x:v>
      </x:c>
      <x:c r="F24" s="64" t="n">
        <x:v>2</x:v>
      </x:c>
      <x:c r="G24" s="64" t="n">
        <x:v>2</x:v>
      </x:c>
      <x:c r="H24" s="52" t="str">
        <x:v>337, 933</x:v>
      </x:c>
      <x:c r="I24" s="52" t="str">
        <x:v>sales_raw; order_status</x:v>
      </x:c>
      <x:c r="J24" s="52" t="str">
        <x:v>Retained each unique record; flagged for review</x:v>
      </x:c>
    </x:row>
    <x:row r="25">
      <x:c r="A25" s="52" t="str">
        <x:v>ORD-2025-10374</x:v>
      </x:c>
      <x:c r="B25" s="64" t="n">
        <x:v>2</x:v>
      </x:c>
      <x:c r="C25" s="64" t="n">
        <x:v>2</x:v>
      </x:c>
      <x:c r="D25" s="64" t="n">
        <x:v>0</x:v>
      </x:c>
      <x:c r="E25" s="52" t="str">
        <x:v>Conflicting information</x:v>
      </x:c>
      <x:c r="F25" s="64" t="n">
        <x:v>2</x:v>
      </x:c>
      <x:c r="G25" s="64" t="n">
        <x:v>2</x:v>
      </x:c>
      <x:c r="H25" s="52" t="str">
        <x:v>375, 924</x:v>
      </x:c>
      <x:c r="I25" s="52" t="str">
        <x:v>sales_raw; order_status</x:v>
      </x:c>
      <x:c r="J25" s="52" t="str">
        <x:v>Retained each unique record; flagged for review</x:v>
      </x:c>
    </x:row>
    <x:row r="26">
      <x:c r="A26" s="52" t="str">
        <x:v>ORD-2025-10378</x:v>
      </x:c>
      <x:c r="B26" s="64" t="n">
        <x:v>2</x:v>
      </x:c>
      <x:c r="C26" s="64" t="n">
        <x:v>1</x:v>
      </x:c>
      <x:c r="D26" s="64" t="n">
        <x:v>1</x:v>
      </x:c>
      <x:c r="E26" s="52" t="str">
        <x:v>Exact duplicates only</x:v>
      </x:c>
      <x:c r="F26" s="64" t="n">
        <x:v>1</x:v>
      </x:c>
      <x:c r="G26" s="64" t="n">
        <x:v>0</x:v>
      </x:c>
      <x:c r="H26" s="52" t="str">
        <x:v>379, 914</x:v>
      </x:c>
      <x:c r="I26" s="52" t="str">
        <x:v>—</x:v>
      </x:c>
      <x:c r="J26" s="52" t="str">
        <x:v>Retained earliest row; removed exact repeats</x:v>
      </x:c>
    </x:row>
    <x:row r="27">
      <x:c r="A27" s="52" t="str">
        <x:v>ORD-2025-10400</x:v>
      </x:c>
      <x:c r="B27" s="64" t="n">
        <x:v>2</x:v>
      </x:c>
      <x:c r="C27" s="64" t="n">
        <x:v>1</x:v>
      </x:c>
      <x:c r="D27" s="64" t="n">
        <x:v>1</x:v>
      </x:c>
      <x:c r="E27" s="52" t="str">
        <x:v>Exact duplicates only</x:v>
      </x:c>
      <x:c r="F27" s="64" t="n">
        <x:v>1</x:v>
      </x:c>
      <x:c r="G27" s="64" t="n">
        <x:v>0</x:v>
      </x:c>
      <x:c r="H27" s="52" t="str">
        <x:v>401, 911</x:v>
      </x:c>
      <x:c r="I27" s="52" t="str">
        <x:v>—</x:v>
      </x:c>
      <x:c r="J27" s="52" t="str">
        <x:v>Retained earliest row; removed exact repeats</x:v>
      </x:c>
    </x:row>
    <x:row r="28">
      <x:c r="A28" s="52" t="str">
        <x:v>ORD-2025-10550</x:v>
      </x:c>
      <x:c r="B28" s="64" t="n">
        <x:v>2</x:v>
      </x:c>
      <x:c r="C28" s="64" t="n">
        <x:v>1</x:v>
      </x:c>
      <x:c r="D28" s="64" t="n">
        <x:v>1</x:v>
      </x:c>
      <x:c r="E28" s="52" t="str">
        <x:v>Exact duplicates only</x:v>
      </x:c>
      <x:c r="F28" s="64" t="n">
        <x:v>1</x:v>
      </x:c>
      <x:c r="G28" s="64" t="n">
        <x:v>0</x:v>
      </x:c>
      <x:c r="H28" s="52" t="str">
        <x:v>551, 917</x:v>
      </x:c>
      <x:c r="I28" s="52" t="str">
        <x:v>—</x:v>
      </x:c>
      <x:c r="J28" s="52" t="str">
        <x:v>Retained earliest row; removed exact repeats</x:v>
      </x:c>
    </x:row>
    <x:row r="29">
      <x:c r="A29" s="52" t="str">
        <x:v>ORD-2025-10572</x:v>
      </x:c>
      <x:c r="B29" s="64" t="n">
        <x:v>2</x:v>
      </x:c>
      <x:c r="C29" s="64" t="n">
        <x:v>2</x:v>
      </x:c>
      <x:c r="D29" s="64" t="n">
        <x:v>0</x:v>
      </x:c>
      <x:c r="E29" s="52" t="str">
        <x:v>Conflicting information</x:v>
      </x:c>
      <x:c r="F29" s="64" t="n">
        <x:v>2</x:v>
      </x:c>
      <x:c r="G29" s="64" t="n">
        <x:v>2</x:v>
      </x:c>
      <x:c r="H29" s="52" t="str">
        <x:v>573, 929</x:v>
      </x:c>
      <x:c r="I29" s="52" t="str">
        <x:v>sales_raw; order_status</x:v>
      </x:c>
      <x:c r="J29" s="52" t="str">
        <x:v>Retained each unique record; flagged for review</x:v>
      </x:c>
    </x:row>
    <x:row r="30">
      <x:c r="A30" s="52" t="str">
        <x:v>ORD-2025-10633</x:v>
      </x:c>
      <x:c r="B30" s="64" t="n">
        <x:v>2</x:v>
      </x:c>
      <x:c r="C30" s="64" t="n">
        <x:v>1</x:v>
      </x:c>
      <x:c r="D30" s="64" t="n">
        <x:v>1</x:v>
      </x:c>
      <x:c r="E30" s="52" t="str">
        <x:v>Exact duplicates only</x:v>
      </x:c>
      <x:c r="F30" s="64" t="n">
        <x:v>1</x:v>
      </x:c>
      <x:c r="G30" s="64" t="n">
        <x:v>0</x:v>
      </x:c>
      <x:c r="H30" s="52" t="str">
        <x:v>634, 907</x:v>
      </x:c>
      <x:c r="I30" s="52" t="str">
        <x:v>—</x:v>
      </x:c>
      <x:c r="J30" s="52" t="str">
        <x:v>Retained earliest row; removed exact repeats</x:v>
      </x:c>
    </x:row>
    <x:row r="31">
      <x:c r="A31" s="52" t="str">
        <x:v>ORD-2025-10677</x:v>
      </x:c>
      <x:c r="B31" s="64" t="n">
        <x:v>2</x:v>
      </x:c>
      <x:c r="C31" s="64" t="n">
        <x:v>1</x:v>
      </x:c>
      <x:c r="D31" s="64" t="n">
        <x:v>1</x:v>
      </x:c>
      <x:c r="E31" s="52" t="str">
        <x:v>Exact duplicates only</x:v>
      </x:c>
      <x:c r="F31" s="64" t="n">
        <x:v>1</x:v>
      </x:c>
      <x:c r="G31" s="64" t="n">
        <x:v>0</x:v>
      </x:c>
      <x:c r="H31" s="52" t="str">
        <x:v>678, 920</x:v>
      </x:c>
      <x:c r="I31" s="52" t="str">
        <x:v>—</x:v>
      </x:c>
      <x:c r="J31" s="52" t="str">
        <x:v>Retained earliest row; removed exact repeats</x:v>
      </x:c>
    </x:row>
    <x:row r="32">
      <x:c r="A32" s="52" t="str">
        <x:v>ORD-2025-10695</x:v>
      </x:c>
      <x:c r="B32" s="64" t="n">
        <x:v>2</x:v>
      </x:c>
      <x:c r="C32" s="64" t="n">
        <x:v>1</x:v>
      </x:c>
      <x:c r="D32" s="64" t="n">
        <x:v>1</x:v>
      </x:c>
      <x:c r="E32" s="52" t="str">
        <x:v>Exact duplicates only</x:v>
      </x:c>
      <x:c r="F32" s="64" t="n">
        <x:v>1</x:v>
      </x:c>
      <x:c r="G32" s="64" t="n">
        <x:v>0</x:v>
      </x:c>
      <x:c r="H32" s="52" t="str">
        <x:v>696, 904</x:v>
      </x:c>
      <x:c r="I32" s="52" t="str">
        <x:v>—</x:v>
      </x:c>
      <x:c r="J32" s="52" t="str">
        <x:v>Retained earliest row; removed exact repeats</x:v>
      </x:c>
    </x:row>
    <x:row r="33">
      <x:c r="A33" s="52" t="str">
        <x:v>ORD-2025-10720</x:v>
      </x:c>
      <x:c r="B33" s="64" t="n">
        <x:v>2</x:v>
      </x:c>
      <x:c r="C33" s="64" t="n">
        <x:v>1</x:v>
      </x:c>
      <x:c r="D33" s="64" t="n">
        <x:v>1</x:v>
      </x:c>
      <x:c r="E33" s="52" t="str">
        <x:v>Exact duplicates only</x:v>
      </x:c>
      <x:c r="F33" s="64" t="n">
        <x:v>1</x:v>
      </x:c>
      <x:c r="G33" s="64" t="n">
        <x:v>0</x:v>
      </x:c>
      <x:c r="H33" s="52" t="str">
        <x:v>721, 910</x:v>
      </x:c>
      <x:c r="I33" s="52" t="str">
        <x:v>—</x:v>
      </x:c>
      <x:c r="J33" s="52" t="str">
        <x:v>Retained earliest row; removed exact repeats</x:v>
      </x:c>
    </x:row>
    <x:row r="34">
      <x:c r="A34" s="52" t="str">
        <x:v>ORD-2025-10730</x:v>
      </x:c>
      <x:c r="B34" s="64" t="n">
        <x:v>2</x:v>
      </x:c>
      <x:c r="C34" s="64" t="n">
        <x:v>1</x:v>
      </x:c>
      <x:c r="D34" s="64" t="n">
        <x:v>1</x:v>
      </x:c>
      <x:c r="E34" s="52" t="str">
        <x:v>Exact duplicates only</x:v>
      </x:c>
      <x:c r="F34" s="64" t="n">
        <x:v>1</x:v>
      </x:c>
      <x:c r="G34" s="64" t="n">
        <x:v>0</x:v>
      </x:c>
      <x:c r="H34" s="52" t="str">
        <x:v>731, 908</x:v>
      </x:c>
      <x:c r="I34" s="52" t="str">
        <x:v>—</x:v>
      </x:c>
      <x:c r="J34" s="52" t="str">
        <x:v>Retained earliest row; removed exact repeats</x:v>
      </x:c>
    </x:row>
  </x:sheetData>
  <x:mergeCells>
    <x:mergeCell ref="A1:J1"/>
    <x:mergeCell ref="A2:J2"/>
  </x:mergeCells>
  <x:conditionalFormatting sqref="E4:E34">
    <x:cfRule type="expression" dxfId="0" priority="1">
      <x:formula>ISNUMBER(SEARCH("conflicting",$E4))</x:formula>
    </x:cfRule>
  </x:conditionalFormatting>
  <x:conditionalFormatting sqref="G4:G34">
    <x:cfRule type="cellIs" dxfId="1" priority="2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56ed6a40a1a475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20" hidden="0" customWidth="1"/>
    <x:col min="5" max="5" width="39" hidden="0" customWidth="1"/>
    <x:col min="6" max="6" width="32" hidden="0" customWidth="1"/>
    <x:col min="7" max="7" width="38" hidden="0" customWidth="1"/>
  </x:cols>
  <x:sheetData>
    <x:row r="1" ht="28" customHeight="1">
      <x:c r="A1" s="5" t="str">
        <x:v>Exact Duplicate Removal Log</x:v>
      </x:c>
      <x:c r="B1" s="5"/>
      <x:c r="C1" s="5"/>
      <x:c r="D1" s="5"/>
      <x:c r="E1" s="5"/>
      <x:c r="F1" s="5"/>
      <x:c r="G1" s="5"/>
    </x:row>
    <x:row r="2" ht="25" customHeight="1">
      <x:c r="A2" s="12" t="str">
        <x:v>Only later rows that matched an earlier record across every raw data column were removed. Source row numbers refer to raw_orders.xlsx.</x:v>
      </x:c>
      <x:c r="B2" s="12"/>
      <x:c r="C2" s="12"/>
      <x:c r="D2" s="12"/>
      <x:c r="E2" s="12"/>
      <x:c r="F2" s="12"/>
      <x:c r="G2" s="12"/>
    </x:row>
    <x:row r="3">
      <x:c r="A3" s="45" t="str">
        <x:v>order_id</x:v>
      </x:c>
      <x:c r="B3" s="45" t="str">
        <x:v>retained_source_row</x:v>
      </x:c>
      <x:c r="C3" s="45" t="str">
        <x:v>removed_source_row</x:v>
      </x:c>
      <x:c r="D3" s="45" t="str">
        <x:v>duplicate_group_type</x:v>
      </x:c>
      <x:c r="E3" s="45" t="str">
        <x:v>match_criteria</x:v>
      </x:c>
      <x:c r="F3" s="45" t="str">
        <x:v>handling_action</x:v>
      </x:c>
      <x:c r="G3" s="45" t="str">
        <x:v>audit_note</x:v>
      </x:c>
    </x:row>
    <x:row r="4">
      <x:c r="A4" s="52" t="str">
        <x:v>ORD-2024-10124</x:v>
      </x:c>
      <x:c r="B4" s="64" t="n">
        <x:v>125</x:v>
      </x:c>
      <x:c r="C4" s="64" t="n">
        <x:v>912</x:v>
      </x:c>
      <x:c r="D4" s="52" t="str">
        <x:v>Mixed group</x:v>
      </x:c>
      <x:c r="E4" s="52" t="str">
        <x:v>All 21 raw data columns exactly match</x:v>
      </x:c>
      <x:c r="F4" s="52" t="str">
        <x:v>Removed redundant later occurrence</x:v>
      </x:c>
      <x:c r="G4" s="52" t="str">
        <x:v>Retained source row 125 as the audit survivor</x:v>
      </x:c>
    </x:row>
    <x:row r="5">
      <x:c r="A5" s="52" t="str">
        <x:v>ORD-2024-10134</x:v>
      </x:c>
      <x:c r="B5" s="64" t="n">
        <x:v>135</x:v>
      </x:c>
      <x:c r="C5" s="64" t="n">
        <x:v>909</x:v>
      </x:c>
      <x:c r="D5" s="52" t="str">
        <x:v>Exact-only group</x:v>
      </x:c>
      <x:c r="E5" s="52" t="str">
        <x:v>All 21 raw data columns exactly match</x:v>
      </x:c>
      <x:c r="F5" s="52" t="str">
        <x:v>Removed redundant later occurrence</x:v>
      </x:c>
      <x:c r="G5" s="52" t="str">
        <x:v>Retained source row 135 as the audit survivor</x:v>
      </x:c>
    </x:row>
    <x:row r="6">
      <x:c r="A6" s="52" t="str">
        <x:v>ORD-2024-10251</x:v>
      </x:c>
      <x:c r="B6" s="64" t="n">
        <x:v>252</x:v>
      </x:c>
      <x:c r="C6" s="64" t="n">
        <x:v>913</x:v>
      </x:c>
      <x:c r="D6" s="52" t="str">
        <x:v>Exact-only group</x:v>
      </x:c>
      <x:c r="E6" s="52" t="str">
        <x:v>All 21 raw data columns exactly match</x:v>
      </x:c>
      <x:c r="F6" s="52" t="str">
        <x:v>Removed redundant later occurrence</x:v>
      </x:c>
      <x:c r="G6" s="52" t="str">
        <x:v>Retained source row 252 as the audit survivor</x:v>
      </x:c>
    </x:row>
    <x:row r="7">
      <x:c r="A7" s="52" t="str">
        <x:v>ORD-2024-10277</x:v>
      </x:c>
      <x:c r="B7" s="64" t="n">
        <x:v>278</x:v>
      </x:c>
      <x:c r="C7" s="64" t="n">
        <x:v>906</x:v>
      </x:c>
      <x:c r="D7" s="52" t="str">
        <x:v>Exact-only group</x:v>
      </x:c>
      <x:c r="E7" s="52" t="str">
        <x:v>All 21 raw data columns exactly match</x:v>
      </x:c>
      <x:c r="F7" s="52" t="str">
        <x:v>Removed redundant later occurrence</x:v>
      </x:c>
      <x:c r="G7" s="52" t="str">
        <x:v>Retained source row 278 as the audit survivor</x:v>
      </x:c>
    </x:row>
    <x:row r="8">
      <x:c r="A8" s="52" t="str">
        <x:v>ORD-2024-10281</x:v>
      </x:c>
      <x:c r="B8" s="64" t="n">
        <x:v>282</x:v>
      </x:c>
      <x:c r="C8" s="64" t="n">
        <x:v>915</x:v>
      </x:c>
      <x:c r="D8" s="52" t="str">
        <x:v>Exact-only group</x:v>
      </x:c>
      <x:c r="E8" s="52" t="str">
        <x:v>All 21 raw data columns exactly match</x:v>
      </x:c>
      <x:c r="F8" s="52" t="str">
        <x:v>Removed redundant later occurrence</x:v>
      </x:c>
      <x:c r="G8" s="52" t="str">
        <x:v>Retained source row 282 as the audit survivor</x:v>
      </x:c>
    </x:row>
    <x:row r="9">
      <x:c r="A9" s="52" t="str">
        <x:v>ORD-2024-10503</x:v>
      </x:c>
      <x:c r="B9" s="64" t="n">
        <x:v>504</x:v>
      </x:c>
      <x:c r="C9" s="64" t="n">
        <x:v>902</x:v>
      </x:c>
      <x:c r="D9" s="52" t="str">
        <x:v>Exact-only group</x:v>
      </x:c>
      <x:c r="E9" s="52" t="str">
        <x:v>All 21 raw data columns exactly match</x:v>
      </x:c>
      <x:c r="F9" s="52" t="str">
        <x:v>Removed redundant later occurrence</x:v>
      </x:c>
      <x:c r="G9" s="52" t="str">
        <x:v>Retained source row 504 as the audit survivor</x:v>
      </x:c>
    </x:row>
    <x:row r="10">
      <x:c r="A10" s="52" t="str">
        <x:v>ORD-2024-10599</x:v>
      </x:c>
      <x:c r="B10" s="64" t="n">
        <x:v>600</x:v>
      </x:c>
      <x:c r="C10" s="64" t="n">
        <x:v>903</x:v>
      </x:c>
      <x:c r="D10" s="52" t="str">
        <x:v>Exact-only group</x:v>
      </x:c>
      <x:c r="E10" s="52" t="str">
        <x:v>All 21 raw data columns exactly match</x:v>
      </x:c>
      <x:c r="F10" s="52" t="str">
        <x:v>Removed redundant later occurrence</x:v>
      </x:c>
      <x:c r="G10" s="52" t="str">
        <x:v>Retained source row 600 as the audit survivor</x:v>
      </x:c>
    </x:row>
    <x:row r="11">
      <x:c r="A11" s="52" t="str">
        <x:v>ORD-2024-10705</x:v>
      </x:c>
      <x:c r="B11" s="64" t="n">
        <x:v>706</x:v>
      </x:c>
      <x:c r="C11" s="64" t="n">
        <x:v>905</x:v>
      </x:c>
      <x:c r="D11" s="52" t="str">
        <x:v>Exact-only group</x:v>
      </x:c>
      <x:c r="E11" s="52" t="str">
        <x:v>All 21 raw data columns exactly match</x:v>
      </x:c>
      <x:c r="F11" s="52" t="str">
        <x:v>Removed redundant later occurrence</x:v>
      </x:c>
      <x:c r="G11" s="52" t="str">
        <x:v>Retained source row 706 as the audit survivor</x:v>
      </x:c>
    </x:row>
    <x:row r="12">
      <x:c r="A12" s="52" t="str">
        <x:v>ORD-2024-10713</x:v>
      </x:c>
      <x:c r="B12" s="64" t="n">
        <x:v>714</x:v>
      </x:c>
      <x:c r="C12" s="64" t="n">
        <x:v>916</x:v>
      </x:c>
      <x:c r="D12" s="52" t="str">
        <x:v>Exact-only group</x:v>
      </x:c>
      <x:c r="E12" s="52" t="str">
        <x:v>All 21 raw data columns exactly match</x:v>
      </x:c>
      <x:c r="F12" s="52" t="str">
        <x:v>Removed redundant later occurrence</x:v>
      </x:c>
      <x:c r="G12" s="52" t="str">
        <x:v>Retained source row 714 as the audit survivor</x:v>
      </x:c>
    </x:row>
    <x:row r="13">
      <x:c r="A13" s="52" t="str">
        <x:v>ORD-2024-10850</x:v>
      </x:c>
      <x:c r="B13" s="64" t="n">
        <x:v>851</x:v>
      </x:c>
      <x:c r="C13" s="64" t="n">
        <x:v>918</x:v>
      </x:c>
      <x:c r="D13" s="52" t="str">
        <x:v>Exact-only group</x:v>
      </x:c>
      <x:c r="E13" s="52" t="str">
        <x:v>All 21 raw data columns exactly match</x:v>
      </x:c>
      <x:c r="F13" s="52" t="str">
        <x:v>Removed redundant later occurrence</x:v>
      </x:c>
      <x:c r="G13" s="52" t="str">
        <x:v>Retained source row 851 as the audit survivor</x:v>
      </x:c>
    </x:row>
    <x:row r="14">
      <x:c r="A14" s="52" t="str">
        <x:v>ORD-2025-10007</x:v>
      </x:c>
      <x:c r="B14" s="64" t="n">
        <x:v>8</x:v>
      </x:c>
      <x:c r="C14" s="64" t="n">
        <x:v>921</x:v>
      </x:c>
      <x:c r="D14" s="52" t="str">
        <x:v>Exact-only group</x:v>
      </x:c>
      <x:c r="E14" s="52" t="str">
        <x:v>All 21 raw data columns exactly match</x:v>
      </x:c>
      <x:c r="F14" s="52" t="str">
        <x:v>Removed redundant later occurrence</x:v>
      </x:c>
      <x:c r="G14" s="52" t="str">
        <x:v>Retained source row 8 as the audit survivor</x:v>
      </x:c>
    </x:row>
    <x:row r="15">
      <x:c r="A15" s="52" t="str">
        <x:v>ORD-2025-10128</x:v>
      </x:c>
      <x:c r="B15" s="64" t="n">
        <x:v>129</x:v>
      </x:c>
      <x:c r="C15" s="64" t="n">
        <x:v>919</x:v>
      </x:c>
      <x:c r="D15" s="52" t="str">
        <x:v>Exact-only group</x:v>
      </x:c>
      <x:c r="E15" s="52" t="str">
        <x:v>All 21 raw data columns exactly match</x:v>
      </x:c>
      <x:c r="F15" s="52" t="str">
        <x:v>Removed redundant later occurrence</x:v>
      </x:c>
      <x:c r="G15" s="52" t="str">
        <x:v>Retained source row 129 as the audit survivor</x:v>
      </x:c>
    </x:row>
    <x:row r="16">
      <x:c r="A16" s="52" t="str">
        <x:v>ORD-2025-10378</x:v>
      </x:c>
      <x:c r="B16" s="64" t="n">
        <x:v>379</x:v>
      </x:c>
      <x:c r="C16" s="64" t="n">
        <x:v>914</x:v>
      </x:c>
      <x:c r="D16" s="52" t="str">
        <x:v>Exact-only group</x:v>
      </x:c>
      <x:c r="E16" s="52" t="str">
        <x:v>All 21 raw data columns exactly match</x:v>
      </x:c>
      <x:c r="F16" s="52" t="str">
        <x:v>Removed redundant later occurrence</x:v>
      </x:c>
      <x:c r="G16" s="52" t="str">
        <x:v>Retained source row 379 as the audit survivor</x:v>
      </x:c>
    </x:row>
    <x:row r="17">
      <x:c r="A17" s="52" t="str">
        <x:v>ORD-2025-10400</x:v>
      </x:c>
      <x:c r="B17" s="64" t="n">
        <x:v>401</x:v>
      </x:c>
      <x:c r="C17" s="64" t="n">
        <x:v>911</x:v>
      </x:c>
      <x:c r="D17" s="52" t="str">
        <x:v>Exact-only group</x:v>
      </x:c>
      <x:c r="E17" s="52" t="str">
        <x:v>All 21 raw data columns exactly match</x:v>
      </x:c>
      <x:c r="F17" s="52" t="str">
        <x:v>Removed redundant later occurrence</x:v>
      </x:c>
      <x:c r="G17" s="52" t="str">
        <x:v>Retained source row 401 as the audit survivor</x:v>
      </x:c>
    </x:row>
    <x:row r="18">
      <x:c r="A18" s="52" t="str">
        <x:v>ORD-2025-10550</x:v>
      </x:c>
      <x:c r="B18" s="64" t="n">
        <x:v>551</x:v>
      </x:c>
      <x:c r="C18" s="64" t="n">
        <x:v>917</x:v>
      </x:c>
      <x:c r="D18" s="52" t="str">
        <x:v>Exact-only group</x:v>
      </x:c>
      <x:c r="E18" s="52" t="str">
        <x:v>All 21 raw data columns exactly match</x:v>
      </x:c>
      <x:c r="F18" s="52" t="str">
        <x:v>Removed redundant later occurrence</x:v>
      </x:c>
      <x:c r="G18" s="52" t="str">
        <x:v>Retained source row 551 as the audit survivor</x:v>
      </x:c>
    </x:row>
    <x:row r="19">
      <x:c r="A19" s="52" t="str">
        <x:v>ORD-2025-10633</x:v>
      </x:c>
      <x:c r="B19" s="64" t="n">
        <x:v>634</x:v>
      </x:c>
      <x:c r="C19" s="64" t="n">
        <x:v>907</x:v>
      </x:c>
      <x:c r="D19" s="52" t="str">
        <x:v>Exact-only group</x:v>
      </x:c>
      <x:c r="E19" s="52" t="str">
        <x:v>All 21 raw data columns exactly match</x:v>
      </x:c>
      <x:c r="F19" s="52" t="str">
        <x:v>Removed redundant later occurrence</x:v>
      </x:c>
      <x:c r="G19" s="52" t="str">
        <x:v>Retained source row 634 as the audit survivor</x:v>
      </x:c>
    </x:row>
    <x:row r="20">
      <x:c r="A20" s="52" t="str">
        <x:v>ORD-2025-10677</x:v>
      </x:c>
      <x:c r="B20" s="64" t="n">
        <x:v>678</x:v>
      </x:c>
      <x:c r="C20" s="64" t="n">
        <x:v>920</x:v>
      </x:c>
      <x:c r="D20" s="52" t="str">
        <x:v>Exact-only group</x:v>
      </x:c>
      <x:c r="E20" s="52" t="str">
        <x:v>All 21 raw data columns exactly match</x:v>
      </x:c>
      <x:c r="F20" s="52" t="str">
        <x:v>Removed redundant later occurrence</x:v>
      </x:c>
      <x:c r="G20" s="52" t="str">
        <x:v>Retained source row 678 as the audit survivor</x:v>
      </x:c>
    </x:row>
    <x:row r="21">
      <x:c r="A21" s="52" t="str">
        <x:v>ORD-2025-10695</x:v>
      </x:c>
      <x:c r="B21" s="64" t="n">
        <x:v>696</x:v>
      </x:c>
      <x:c r="C21" s="64" t="n">
        <x:v>904</x:v>
      </x:c>
      <x:c r="D21" s="52" t="str">
        <x:v>Exact-only group</x:v>
      </x:c>
      <x:c r="E21" s="52" t="str">
        <x:v>All 21 raw data columns exactly match</x:v>
      </x:c>
      <x:c r="F21" s="52" t="str">
        <x:v>Removed redundant later occurrence</x:v>
      </x:c>
      <x:c r="G21" s="52" t="str">
        <x:v>Retained source row 696 as the audit survivor</x:v>
      </x:c>
    </x:row>
    <x:row r="22">
      <x:c r="A22" s="52" t="str">
        <x:v>ORD-2025-10720</x:v>
      </x:c>
      <x:c r="B22" s="64" t="n">
        <x:v>721</x:v>
      </x:c>
      <x:c r="C22" s="64" t="n">
        <x:v>910</x:v>
      </x:c>
      <x:c r="D22" s="52" t="str">
        <x:v>Exact-only group</x:v>
      </x:c>
      <x:c r="E22" s="52" t="str">
        <x:v>All 21 raw data columns exactly match</x:v>
      </x:c>
      <x:c r="F22" s="52" t="str">
        <x:v>Removed redundant later occurrence</x:v>
      </x:c>
      <x:c r="G22" s="52" t="str">
        <x:v>Retained source row 721 as the audit survivor</x:v>
      </x:c>
    </x:row>
    <x:row r="23">
      <x:c r="A23" s="52" t="str">
        <x:v>ORD-2025-10730</x:v>
      </x:c>
      <x:c r="B23" s="64" t="n">
        <x:v>731</x:v>
      </x:c>
      <x:c r="C23" s="64" t="n">
        <x:v>908</x:v>
      </x:c>
      <x:c r="D23" s="52" t="str">
        <x:v>Exact-only group</x:v>
      </x:c>
      <x:c r="E23" s="52" t="str">
        <x:v>All 21 raw data columns exactly match</x:v>
      </x:c>
      <x:c r="F23" s="52" t="str">
        <x:v>Removed redundant later occurrence</x:v>
      </x:c>
      <x:c r="G23" s="52" t="str">
        <x:v>Retained source row 731 as the audit survivor</x:v>
      </x:c>
    </x:row>
  </x:sheetData>
  <x:mergeCells>
    <x:mergeCell ref="A1:G1"/>
    <x:mergeCell ref="A2:G2"/>
  </x:mergeCells>
  <x:conditionalFormatting sqref="F4:F23">
    <x:cfRule type="expression" dxfId="2" priority="1">
      <x:formula>$F4="Removed redundant later occurrence"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1378fac14f24a4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1" hidden="0" customWidth="1"/>
    <x:col min="3" max="3" width="13" hidden="0" customWidth="1"/>
    <x:col min="4" max="4" width="25" hidden="0" customWidth="1"/>
    <x:col min="5" max="5" width="12" hidden="0" customWidth="1"/>
    <x:col min="6" max="6" width="12" hidden="0" customWidth="1"/>
    <x:col min="7" max="7" width="15" hidden="0" customWidth="1"/>
    <x:col min="8" max="8" width="20" hidden="0" customWidth="1"/>
    <x:col min="9" max="9" width="15" hidden="0" customWidth="1"/>
    <x:col min="10" max="10" width="12" hidden="0" customWidth="1"/>
    <x:col min="11" max="11" width="18" hidden="0" customWidth="1"/>
    <x:col min="12" max="12" width="15" hidden="0" customWidth="1"/>
    <x:col min="13" max="13" width="16" hidden="0" customWidth="1"/>
    <x:col min="14" max="14" width="16" hidden="0" customWidth="1"/>
    <x:col min="15" max="15" width="24" hidden="0" customWidth="1"/>
    <x:col min="16" max="16" width="16" hidden="0" customWidth="1"/>
    <x:col min="17" max="17" width="10" hidden="0" customWidth="1"/>
    <x:col min="18" max="18" width="13" hidden="0" customWidth="1"/>
    <x:col min="19" max="19" width="10" hidden="0" customWidth="1"/>
    <x:col min="20" max="20" width="13" hidden="0" customWidth="1"/>
    <x:col min="21" max="21" width="13" hidden="0" customWidth="1"/>
    <x:col min="22" max="22" width="13" hidden="0" customWidth="1"/>
    <x:col min="23" max="23" width="14" hidden="0" customWidth="1"/>
    <x:col min="24" max="24" width="14" hidden="0" customWidth="1"/>
    <x:col min="25" max="25" width="16" hidden="0" customWidth="1"/>
    <x:col min="26" max="26" width="42" hidden="0" customWidth="1"/>
  </x:cols>
  <x:sheetData>
    <x:row r="1" ht="28" customHeight="1">
      <x:c r="A1" s="5" t="str">
        <x:v>Conflicting Duplicate Order IDs — Review Required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 ht="25" customHeight="1">
      <x:c r="A2" s="12" t="str">
        <x:v>These 24 retained records belong to 12 order IDs with multiple unique standardized versions. No unique conflicting record was deleted.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45" t="str">
        <x:v>order_id</x:v>
      </x:c>
      <x:c r="B3" s="45" t="str">
        <x:v>source_row</x:v>
      </x:c>
      <x:c r="C3" s="45" t="str">
        <x:v>conflict_group_size</x:v>
      </x:c>
      <x:c r="D3" s="45" t="str">
        <x:v>fields_in_conflict</x:v>
      </x:c>
      <x:c r="E3" s="45" t="str">
        <x:v>order_date</x:v>
      </x:c>
      <x:c r="F3" s="45" t="str">
        <x:v>ship_date</x:v>
      </x:c>
      <x:c r="G3" s="45" t="str">
        <x:v>customer_id</x:v>
      </x:c>
      <x:c r="H3" s="45" t="str">
        <x:v>customer_name</x:v>
      </x:c>
      <x:c r="I3" s="45" t="str">
        <x:v>segment</x:v>
      </x:c>
      <x:c r="J3" s="45" t="str">
        <x:v>region</x:v>
      </x:c>
      <x:c r="K3" s="45" t="str">
        <x:v>state</x:v>
      </x:c>
      <x:c r="L3" s="45" t="str">
        <x:v>city</x:v>
      </x:c>
      <x:c r="M3" s="45" t="str">
        <x:v>category</x:v>
      </x:c>
      <x:c r="N3" s="45" t="str">
        <x:v>sub_category</x:v>
      </x:c>
      <x:c r="O3" s="45" t="str">
        <x:v>product_name</x:v>
      </x:c>
      <x:c r="P3" s="45" t="str">
        <x:v>ship_mode</x:v>
      </x:c>
      <x:c r="Q3" s="45" t="str">
        <x:v>quantity</x:v>
      </x:c>
      <x:c r="R3" s="45" t="str">
        <x:v>unit_price</x:v>
      </x:c>
      <x:c r="S3" s="45" t="str">
        <x:v>discount</x:v>
      </x:c>
      <x:c r="T3" s="45" t="str">
        <x:v>sales_raw</x:v>
      </x:c>
      <x:c r="U3" s="45" t="str">
        <x:v>cost_raw</x:v>
      </x:c>
      <x:c r="V3" s="45" t="str">
        <x:v>profit_raw</x:v>
      </x:c>
      <x:c r="W3" s="45" t="str">
        <x:v>payment_status</x:v>
      </x:c>
      <x:c r="X3" s="45" t="str">
        <x:v>order_status</x:v>
      </x:c>
      <x:c r="Y3" s="45" t="str">
        <x:v>review_status</x:v>
      </x:c>
      <x:c r="Z3" s="45" t="str">
        <x:v>required_action</x:v>
      </x:c>
    </x:row>
    <x:row r="4">
      <x:c r="A4" s="52" t="str">
        <x:v>ORD-2024-10124</x:v>
      </x:c>
      <x:c r="B4" s="64" t="n">
        <x:v>125</x:v>
      </x:c>
      <x:c r="C4" s="64" t="n">
        <x:v>2</x:v>
      </x:c>
      <x:c r="D4" s="52" t="str">
        <x:v>sales_raw; order_status</x:v>
      </x:c>
      <x:c r="E4" s="66" t="n">
        <x:v>45436</x:v>
      </x:c>
      <x:c r="F4" s="66" t="n">
        <x:v>45437</x:v>
      </x:c>
      <x:c r="G4" s="52" t="str">
        <x:v>CUST-1007</x:v>
      </x:c>
      <x:c r="H4" s="52" t="str">
        <x:v>Sneha Kapoor</x:v>
      </x:c>
      <x:c r="I4" s="52" t="str">
        <x:v>Small Business</x:v>
      </x:c>
      <x:c r="J4" s="52" t="str">
        <x:v>North</x:v>
      </x:c>
      <x:c r="K4" s="52" t="str">
        <x:v>Punjab</x:v>
      </x:c>
      <x:c r="L4" s="52" t="str">
        <x:v>Ludhiana</x:v>
      </x:c>
      <x:c r="M4" s="52" t="str">
        <x:v>Technology</x:v>
      </x:c>
      <x:c r="N4" s="52" t="str">
        <x:v>Copiers</x:v>
      </x:c>
      <x:c r="O4" s="52" t="str">
        <x:v>Max Copiers 970</x:v>
      </x:c>
      <x:c r="P4" s="52" t="str">
        <x:v>Same Day</x:v>
      </x:c>
      <x:c r="Q4" s="64" t="n">
        <x:v>1</x:v>
      </x:c>
      <x:c r="R4" s="68" t="n">
        <x:v>634.13</x:v>
      </x:c>
      <x:c r="S4" s="70" t="n">
        <x:v>0</x:v>
      </x:c>
      <x:c r="T4" s="68" t="n">
        <x:v>634.13</x:v>
      </x:c>
      <x:c r="U4" s="68" t="n">
        <x:v>453.35</x:v>
      </x:c>
      <x:c r="V4" s="68" t="n">
        <x:v>180.78</x:v>
      </x:c>
      <x:c r="W4" s="52" t="str">
        <x:v>Refunded</x:v>
      </x:c>
      <x:c r="X4" s="52" t="str">
        <x:v>Cancelled</x:v>
      </x:c>
      <x:c r="Y4" s="52" t="str">
        <x:v>Review Required</x:v>
      </x:c>
      <x:c r="Z4" s="52" t="str">
        <x:v>Confirm the authoritative sales and order status values</x:v>
      </x:c>
    </x:row>
    <x:row r="5">
      <x:c r="A5" s="52" t="str">
        <x:v>ORD-2024-10124</x:v>
      </x:c>
      <x:c r="B5" s="64" t="n">
        <x:v>932</x:v>
      </x:c>
      <x:c r="C5" s="64" t="n">
        <x:v>2</x:v>
      </x:c>
      <x:c r="D5" s="52" t="str">
        <x:v>sales_raw; order_status</x:v>
      </x:c>
      <x:c r="E5" s="66" t="n">
        <x:v>45436</x:v>
      </x:c>
      <x:c r="F5" s="66" t="n">
        <x:v>45437</x:v>
      </x:c>
      <x:c r="G5" s="52" t="str">
        <x:v>CUST-1007</x:v>
      </x:c>
      <x:c r="H5" s="52" t="str">
        <x:v>Sneha Kapoor</x:v>
      </x:c>
      <x:c r="I5" s="52" t="str">
        <x:v>Small Business</x:v>
      </x:c>
      <x:c r="J5" s="52" t="str">
        <x:v>North</x:v>
      </x:c>
      <x:c r="K5" s="52" t="str">
        <x:v>Punjab</x:v>
      </x:c>
      <x:c r="L5" s="52" t="str">
        <x:v>Ludhiana</x:v>
      </x:c>
      <x:c r="M5" s="52" t="str">
        <x:v>Technology</x:v>
      </x:c>
      <x:c r="N5" s="52" t="str">
        <x:v>Copiers</x:v>
      </x:c>
      <x:c r="O5" s="52" t="str">
        <x:v>Max Copiers 970</x:v>
      </x:c>
      <x:c r="P5" s="52" t="str">
        <x:v>Same Day</x:v>
      </x:c>
      <x:c r="Q5" s="64" t="n">
        <x:v>1</x:v>
      </x:c>
      <x:c r="R5" s="68" t="n">
        <x:v>634.13</x:v>
      </x:c>
      <x:c r="S5" s="70" t="n">
        <x:v>0</x:v>
      </x:c>
      <x:c r="T5" s="68" t="n">
        <x:v>808.67</x:v>
      </x:c>
      <x:c r="U5" s="68" t="n">
        <x:v>453.35</x:v>
      </x:c>
      <x:c r="V5" s="68" t="n">
        <x:v>180.78</x:v>
      </x:c>
      <x:c r="W5" s="52" t="str">
        <x:v>Refunded</x:v>
      </x:c>
      <x:c r="X5" s="52" t="str">
        <x:v>Returned</x:v>
      </x:c>
      <x:c r="Y5" s="52" t="str">
        <x:v>Review Required</x:v>
      </x:c>
      <x:c r="Z5" s="52" t="str">
        <x:v>Confirm the authoritative sales and order status values</x:v>
      </x:c>
    </x:row>
    <x:row r="6">
      <x:c r="A6" s="52" t="str">
        <x:v>ORD-2024-10143</x:v>
      </x:c>
      <x:c r="B6" s="64" t="n">
        <x:v>144</x:v>
      </x:c>
      <x:c r="C6" s="64" t="n">
        <x:v>2</x:v>
      </x:c>
      <x:c r="D6" s="52" t="str">
        <x:v>sales_raw; order_status</x:v>
      </x:c>
      <x:c r="E6" s="66" t="n">
        <x:v>45381</x:v>
      </x:c>
      <x:c r="F6" s="66" t="n">
        <x:v>45377</x:v>
      </x:c>
      <x:c r="G6" s="52" t="str">
        <x:v>CUST-8944</x:v>
      </x:c>
      <x:c r="H6" s="52" t="str">
        <x:v>Aditi Sen</x:v>
      </x:c>
      <x:c r="I6" s="52" t="str">
        <x:v>Home Office</x:v>
      </x:c>
      <x:c r="J6" s="52" t="str">
        <x:v>North</x:v>
      </x:c>
      <x:c r="K6" s="52" t="str">
        <x:v>Rajasthan</x:v>
      </x:c>
      <x:c r="L6" s="52" t="str">
        <x:v>Jaipur</x:v>
      </x:c>
      <x:c r="M6" s="52" t="str">
        <x:v>Technology</x:v>
      </x:c>
      <x:c r="N6" s="52" t="str">
        <x:v>Phones</x:v>
      </x:c>
      <x:c r="O6" s="52" t="str">
        <x:v>Classic Phones 142</x:v>
      </x:c>
      <x:c r="P6" s="52" t="str">
        <x:v>Second Class</x:v>
      </x:c>
      <x:c r="Q6" s="64" t="n">
        <x:v>5</x:v>
      </x:c>
      <x:c r="R6" s="68" t="n">
        <x:v>907.54</x:v>
      </x:c>
      <x:c r="S6" s="70" t="n">
        <x:v>0.15</x:v>
      </x:c>
      <x:c r="T6" s="68" t="n">
        <x:v>3857.04</x:v>
      </x:c>
      <x:c r="U6" s="68" t="n">
        <x:v>2769.26</x:v>
      </x:c>
      <x:c r="V6" s="68" t="n">
        <x:v>1087.78</x:v>
      </x:c>
      <x:c r="W6" s="52" t="str">
        <x:v>Paid</x:v>
      </x:c>
      <x:c r="X6" s="52" t="str">
        <x:v>Completed</x:v>
      </x:c>
      <x:c r="Y6" s="52" t="str">
        <x:v>Review Required</x:v>
      </x:c>
      <x:c r="Z6" s="52" t="str">
        <x:v>Confirm the authoritative sales and order status values</x:v>
      </x:c>
    </x:row>
    <x:row r="7">
      <x:c r="A7" s="52" t="str">
        <x:v>ORD-2024-10143</x:v>
      </x:c>
      <x:c r="B7" s="64" t="n">
        <x:v>930</x:v>
      </x:c>
      <x:c r="C7" s="64" t="n">
        <x:v>2</x:v>
      </x:c>
      <x:c r="D7" s="52" t="str">
        <x:v>sales_raw; order_status</x:v>
      </x:c>
      <x:c r="E7" s="66" t="n">
        <x:v>45381</x:v>
      </x:c>
      <x:c r="F7" s="66" t="n">
        <x:v>45377</x:v>
      </x:c>
      <x:c r="G7" s="52" t="str">
        <x:v>CUST-8944</x:v>
      </x:c>
      <x:c r="H7" s="52" t="str">
        <x:v>Aditi Sen</x:v>
      </x:c>
      <x:c r="I7" s="52" t="str">
        <x:v>Home Office</x:v>
      </x:c>
      <x:c r="J7" s="52" t="str">
        <x:v>North</x:v>
      </x:c>
      <x:c r="K7" s="52" t="str">
        <x:v>Rajasthan</x:v>
      </x:c>
      <x:c r="L7" s="52" t="str">
        <x:v>Jaipur</x:v>
      </x:c>
      <x:c r="M7" s="52" t="str">
        <x:v>Technology</x:v>
      </x:c>
      <x:c r="N7" s="52" t="str">
        <x:v>Phones</x:v>
      </x:c>
      <x:c r="O7" s="52" t="str">
        <x:v>Classic Phones 142</x:v>
      </x:c>
      <x:c r="P7" s="52" t="str">
        <x:v>Second Class</x:v>
      </x:c>
      <x:c r="Q7" s="64" t="n">
        <x:v>5</x:v>
      </x:c>
      <x:c r="R7" s="68" t="n">
        <x:v>907.54</x:v>
      </x:c>
      <x:c r="S7" s="70" t="n">
        <x:v>0.15</x:v>
      </x:c>
      <x:c r="T7" s="68" t="n">
        <x:v>4099.69</x:v>
      </x:c>
      <x:c r="U7" s="68" t="n">
        <x:v>2769.26</x:v>
      </x:c>
      <x:c r="V7" s="68" t="n">
        <x:v>1087.78</x:v>
      </x:c>
      <x:c r="W7" s="52" t="str">
        <x:v>Paid</x:v>
      </x:c>
      <x:c r="X7" s="52" t="str">
        <x:v>Returned</x:v>
      </x:c>
      <x:c r="Y7" s="52" t="str">
        <x:v>Review Required</x:v>
      </x:c>
      <x:c r="Z7" s="52" t="str">
        <x:v>Confirm the authoritative sales and order status values</x:v>
      </x:c>
    </x:row>
    <x:row r="8">
      <x:c r="A8" s="52" t="str">
        <x:v>ORD-2024-10273</x:v>
      </x:c>
      <x:c r="B8" s="64" t="n">
        <x:v>274</x:v>
      </x:c>
      <x:c r="C8" s="64" t="n">
        <x:v>2</x:v>
      </x:c>
      <x:c r="D8" s="52" t="str">
        <x:v>sales_raw; order_status</x:v>
      </x:c>
      <x:c r="E8" s="66" t="n">
        <x:v>45522</x:v>
      </x:c>
      <x:c r="F8" s="66" t="n">
        <x:v>45528</x:v>
      </x:c>
      <x:c r="G8" s="52" t="str">
        <x:v>CUST-7389</x:v>
      </x:c>
      <x:c r="H8" s="52" t="str">
        <x:v>Arjun Bose</x:v>
      </x:c>
      <x:c r="I8" s="52" t="str">
        <x:v>Consumer</x:v>
      </x:c>
      <x:c r="J8" s="52" t="str">
        <x:v>South</x:v>
      </x:c>
      <x:c r="K8" s="52" t="str">
        <x:v>Andhra Pradesh</x:v>
      </x:c>
      <x:c r="L8" s="52" t="str">
        <x:v>Vijayawada</x:v>
      </x:c>
      <x:c r="M8" s="52" t="str">
        <x:v>Furniture</x:v>
      </x:c>
      <x:c r="N8" s="52" t="str">
        <x:v>Chairs</x:v>
      </x:c>
      <x:c r="O8" s="52" t="str">
        <x:v>Eco Chairs 314</x:v>
      </x:c>
      <x:c r="P8" s="52" t="str">
        <x:v>First Class</x:v>
      </x:c>
      <x:c r="Q8" s="64" t="n">
        <x:v>7</x:v>
      </x:c>
      <x:c r="R8" s="68" t="n">
        <x:v>557.21</x:v>
      </x:c>
      <x:c r="S8" s="70" t="n">
        <x:v>0.1</x:v>
      </x:c>
      <x:c r="T8" s="68" t="n">
        <x:v>3510.42</x:v>
      </x:c>
      <x:c r="U8" s="68" t="n">
        <x:v>2191.5</x:v>
      </x:c>
      <x:c r="V8" s="68" t="n">
        <x:v>1213.48</x:v>
      </x:c>
      <x:c r="W8" s="52" t="str">
        <x:v>Paid</x:v>
      </x:c>
      <x:c r="X8" s="52" t="str">
        <x:v>Completed</x:v>
      </x:c>
      <x:c r="Y8" s="52" t="str">
        <x:v>Review Required</x:v>
      </x:c>
      <x:c r="Z8" s="52" t="str">
        <x:v>Confirm the authoritative sales and order status values</x:v>
      </x:c>
    </x:row>
    <x:row r="9">
      <x:c r="A9" s="52" t="str">
        <x:v>ORD-2024-10273</x:v>
      </x:c>
      <x:c r="B9" s="64" t="n">
        <x:v>931</x:v>
      </x:c>
      <x:c r="C9" s="64" t="n">
        <x:v>2</x:v>
      </x:c>
      <x:c r="D9" s="52" t="str">
        <x:v>sales_raw; order_status</x:v>
      </x:c>
      <x:c r="E9" s="66" t="n">
        <x:v>45522</x:v>
      </x:c>
      <x:c r="F9" s="66" t="n">
        <x:v>45528</x:v>
      </x:c>
      <x:c r="G9" s="52" t="str">
        <x:v>CUST-7389</x:v>
      </x:c>
      <x:c r="H9" s="52" t="str">
        <x:v>Arjun Bose</x:v>
      </x:c>
      <x:c r="I9" s="52" t="str">
        <x:v>Consumer</x:v>
      </x:c>
      <x:c r="J9" s="52" t="str">
        <x:v>South</x:v>
      </x:c>
      <x:c r="K9" s="52" t="str">
        <x:v>Andhra Pradesh</x:v>
      </x:c>
      <x:c r="L9" s="52" t="str">
        <x:v>Vijayawada</x:v>
      </x:c>
      <x:c r="M9" s="52" t="str">
        <x:v>Furniture</x:v>
      </x:c>
      <x:c r="N9" s="52" t="str">
        <x:v>Chairs</x:v>
      </x:c>
      <x:c r="O9" s="52" t="str">
        <x:v>Eco Chairs 314</x:v>
      </x:c>
      <x:c r="P9" s="52" t="str">
        <x:v>First Class</x:v>
      </x:c>
      <x:c r="Q9" s="64" t="n">
        <x:v>7</x:v>
      </x:c>
      <x:c r="R9" s="68" t="n">
        <x:v>557.21</x:v>
      </x:c>
      <x:c r="S9" s="70" t="n">
        <x:v>0.1</x:v>
      </x:c>
      <x:c r="T9" s="68" t="n">
        <x:v>3797.79</x:v>
      </x:c>
      <x:c r="U9" s="68" t="n">
        <x:v>2191.5</x:v>
      </x:c>
      <x:c r="V9" s="68" t="n">
        <x:v>1213.48</x:v>
      </x:c>
      <x:c r="W9" s="52" t="str">
        <x:v>Paid</x:v>
      </x:c>
      <x:c r="X9" s="52" t="str">
        <x:v>Returned</x:v>
      </x:c>
      <x:c r="Y9" s="52" t="str">
        <x:v>Review Required</x:v>
      </x:c>
      <x:c r="Z9" s="52" t="str">
        <x:v>Confirm the authoritative sales and order status values</x:v>
      </x:c>
    </x:row>
    <x:row r="10">
      <x:c r="A10" s="52" t="str">
        <x:v>ORD-2024-10332</x:v>
      </x:c>
      <x:c r="B10" s="64" t="n">
        <x:v>333</x:v>
      </x:c>
      <x:c r="C10" s="64" t="n">
        <x:v>2</x:v>
      </x:c>
      <x:c r="D10" s="52" t="str">
        <x:v>sales_raw; order_status</x:v>
      </x:c>
      <x:c r="E10" s="66" t="n">
        <x:v>45630</x:v>
      </x:c>
      <x:c r="F10" s="66" t="n">
        <x:v>45632</x:v>
      </x:c>
      <x:c r="G10" s="52" t="str">
        <x:v>CUST-9346</x:v>
      </x:c>
      <x:c r="H10" s="52" t="str">
        <x:v>Sneha Kapoor</x:v>
      </x:c>
      <x:c r="I10" s="52" t="str">
        <x:v>Home Office</x:v>
      </x:c>
      <x:c r="J10" s="52" t="str">
        <x:v>East</x:v>
      </x:c>
      <x:c r="K10" s="52" t="str">
        <x:v>Odisha</x:v>
      </x:c>
      <x:c r="L10" s="52" t="str">
        <x:v>Bhubaneswar</x:v>
      </x:c>
      <x:c r="M10" s="52" t="str">
        <x:v>Office Supplies</x:v>
      </x:c>
      <x:c r="N10" s="52" t="str">
        <x:v>Binders</x:v>
      </x:c>
      <x:c r="O10" s="52" t="str">
        <x:v>Smart Binders 939</x:v>
      </x:c>
      <x:c r="P10" s="52" t="str">
        <x:v>Second Class</x:v>
      </x:c>
      <x:c r="Q10" s="64" t="n">
        <x:v>4</x:v>
      </x:c>
      <x:c r="R10" s="68" t="n">
        <x:v>2685.66</x:v>
      </x:c>
      <x:c r="S10" s="70" t="n">
        <x:v>0</x:v>
      </x:c>
      <x:c r="T10" s="68" t="n">
        <x:v>10742.64</x:v>
      </x:c>
      <x:c r="U10" s="68" t="n">
        <x:v>6477.37</x:v>
      </x:c>
      <x:c r="V10" s="68" t="n">
        <x:v>4265.27</x:v>
      </x:c>
      <x:c r="W10" s="52" t="str">
        <x:v>Paid</x:v>
      </x:c>
      <x:c r="X10" s="52" t="str">
        <x:v>Returned</x:v>
      </x:c>
      <x:c r="Y10" s="52" t="str">
        <x:v>Review Required</x:v>
      </x:c>
      <x:c r="Z10" s="52" t="str">
        <x:v>Confirm the authoritative sales and order status values</x:v>
      </x:c>
    </x:row>
    <x:row r="11">
      <x:c r="A11" s="52" t="str">
        <x:v>ORD-2024-10332</x:v>
      </x:c>
      <x:c r="B11" s="64" t="n">
        <x:v>922</x:v>
      </x:c>
      <x:c r="C11" s="64" t="n">
        <x:v>2</x:v>
      </x:c>
      <x:c r="D11" s="52" t="str">
        <x:v>sales_raw; order_status</x:v>
      </x:c>
      <x:c r="E11" s="66" t="n">
        <x:v>45630</x:v>
      </x:c>
      <x:c r="F11" s="66" t="n">
        <x:v>45632</x:v>
      </x:c>
      <x:c r="G11" s="52" t="str">
        <x:v>CUST-9346</x:v>
      </x:c>
      <x:c r="H11" s="52" t="str">
        <x:v>Sneha Kapoor</x:v>
      </x:c>
      <x:c r="I11" s="52" t="str">
        <x:v>Home Office</x:v>
      </x:c>
      <x:c r="J11" s="52" t="str">
        <x:v>East</x:v>
      </x:c>
      <x:c r="K11" s="52" t="str">
        <x:v>Odisha</x:v>
      </x:c>
      <x:c r="L11" s="52" t="str">
        <x:v>Bhubaneswar</x:v>
      </x:c>
      <x:c r="M11" s="52" t="str">
        <x:v>Office Supplies</x:v>
      </x:c>
      <x:c r="N11" s="52" t="str">
        <x:v>Binders</x:v>
      </x:c>
      <x:c r="O11" s="52" t="str">
        <x:v>Smart Binders 939</x:v>
      </x:c>
      <x:c r="P11" s="52" t="str">
        <x:v>Second Class</x:v>
      </x:c>
      <x:c r="Q11" s="64" t="n">
        <x:v>4</x:v>
      </x:c>
      <x:c r="R11" s="68" t="n">
        <x:v>2685.66</x:v>
      </x:c>
      <x:c r="S11" s="70" t="n">
        <x:v>0</x:v>
      </x:c>
      <x:c r="T11" s="68" t="n">
        <x:v>10989.89</x:v>
      </x:c>
      <x:c r="U11" s="68" t="n">
        <x:v>6477.37</x:v>
      </x:c>
      <x:c r="V11" s="68" t="n">
        <x:v>4265.27</x:v>
      </x:c>
      <x:c r="W11" s="52" t="str">
        <x:v>Paid</x:v>
      </x:c>
      <x:c r="X11" s="52" t="str">
        <x:v>Completed</x:v>
      </x:c>
      <x:c r="Y11" s="52" t="str">
        <x:v>Review Required</x:v>
      </x:c>
      <x:c r="Z11" s="52" t="str">
        <x:v>Confirm the authoritative sales and order status values</x:v>
      </x:c>
    </x:row>
    <x:row r="12">
      <x:c r="A12" s="52" t="str">
        <x:v>ORD-2024-10424</x:v>
      </x:c>
      <x:c r="B12" s="64" t="n">
        <x:v>425</x:v>
      </x:c>
      <x:c r="C12" s="64" t="n">
        <x:v>2</x:v>
      </x:c>
      <x:c r="D12" s="52" t="str">
        <x:v>sales_raw; order_status</x:v>
      </x:c>
      <x:c r="E12" s="66" t="n">
        <x:v>45342</x:v>
      </x:c>
      <x:c r="F12" s="66" t="n">
        <x:v>45349</x:v>
      </x:c>
      <x:c r="G12" s="52" t="str">
        <x:v>CUST-6169</x:v>
      </x:c>
      <x:c r="H12" s="52" t="str">
        <x:v>Diya Patel</x:v>
      </x:c>
      <x:c r="I12" s="52" t="str">
        <x:v>Consumer</x:v>
      </x:c>
      <x:c r="J12" s="52" t="str">
        <x:v>South</x:v>
      </x:c>
      <x:c r="K12" s="52" t="str">
        <x:v>Kerala</x:v>
      </x:c>
      <x:c r="L12" s="52" t="str">
        <x:v>Kochi</x:v>
      </x:c>
      <x:c r="M12" s="52" t="str">
        <x:v>Technology</x:v>
      </x:c>
      <x:c r="N12" s="52" t="str">
        <x:v>Accessories</x:v>
      </x:c>
      <x:c r="O12" s="52" t="str">
        <x:v>Prime Accessories 236</x:v>
      </x:c>
      <x:c r="P12" s="52" t="str">
        <x:v>First Class</x:v>
      </x:c>
      <x:c r="Q12" s="64" t="n">
        <x:v>9</x:v>
      </x:c>
      <x:c r="R12" s="68" t="n">
        <x:v>3779.31</x:v>
      </x:c>
      <x:c r="S12" s="70" t="n">
        <x:v>0.2</x:v>
      </x:c>
      <x:c r="T12" s="68" t="n">
        <x:v>27211.03</x:v>
      </x:c>
      <x:c r="U12" s="68" t="n">
        <x:v>17940.43</x:v>
      </x:c>
      <x:c r="V12" s="68" t="n">
        <x:v>9270.6</x:v>
      </x:c>
      <x:c r="W12" s="52" t="str">
        <x:v>Paid</x:v>
      </x:c>
      <x:c r="X12" s="52" t="str">
        <x:v>Completed</x:v>
      </x:c>
      <x:c r="Y12" s="52" t="str">
        <x:v>Review Required</x:v>
      </x:c>
      <x:c r="Z12" s="52" t="str">
        <x:v>Confirm the authoritative sales and order status values</x:v>
      </x:c>
    </x:row>
    <x:row r="13">
      <x:c r="A13" s="52" t="str">
        <x:v>ORD-2024-10424</x:v>
      </x:c>
      <x:c r="B13" s="64" t="n">
        <x:v>928</x:v>
      </x:c>
      <x:c r="C13" s="64" t="n">
        <x:v>2</x:v>
      </x:c>
      <x:c r="D13" s="52" t="str">
        <x:v>sales_raw; order_status</x:v>
      </x:c>
      <x:c r="E13" s="66" t="n">
        <x:v>45342</x:v>
      </x:c>
      <x:c r="F13" s="66" t="n">
        <x:v>45349</x:v>
      </x:c>
      <x:c r="G13" s="52" t="str">
        <x:v>CUST-6169</x:v>
      </x:c>
      <x:c r="H13" s="52" t="str">
        <x:v>Diya Patel</x:v>
      </x:c>
      <x:c r="I13" s="52" t="str">
        <x:v>Consumer</x:v>
      </x:c>
      <x:c r="J13" s="52" t="str">
        <x:v>South</x:v>
      </x:c>
      <x:c r="K13" s="52" t="str">
        <x:v>Kerala</x:v>
      </x:c>
      <x:c r="L13" s="52" t="str">
        <x:v>Kochi</x:v>
      </x:c>
      <x:c r="M13" s="52" t="str">
        <x:v>Technology</x:v>
      </x:c>
      <x:c r="N13" s="52" t="str">
        <x:v>Accessories</x:v>
      </x:c>
      <x:c r="O13" s="52" t="str">
        <x:v>Prime Accessories 236</x:v>
      </x:c>
      <x:c r="P13" s="52" t="str">
        <x:v>First Class</x:v>
      </x:c>
      <x:c r="Q13" s="64" t="n">
        <x:v>9</x:v>
      </x:c>
      <x:c r="R13" s="68" t="n">
        <x:v>3779.31</x:v>
      </x:c>
      <x:c r="S13" s="70" t="n">
        <x:v>0.2</x:v>
      </x:c>
      <x:c r="T13" s="68" t="n">
        <x:v>27322.9</x:v>
      </x:c>
      <x:c r="U13" s="68" t="n">
        <x:v>17940.43</x:v>
      </x:c>
      <x:c r="V13" s="68" t="n">
        <x:v>9270.6</x:v>
      </x:c>
      <x:c r="W13" s="52" t="str">
        <x:v>Paid</x:v>
      </x:c>
      <x:c r="X13" s="52" t="str">
        <x:v>Returned</x:v>
      </x:c>
      <x:c r="Y13" s="52" t="str">
        <x:v>Review Required</x:v>
      </x:c>
      <x:c r="Z13" s="52" t="str">
        <x:v>Confirm the authoritative sales and order status values</x:v>
      </x:c>
    </x:row>
    <x:row r="14">
      <x:c r="A14" s="52" t="str">
        <x:v>ORD-2025-10091</x:v>
      </x:c>
      <x:c r="B14" s="64" t="n">
        <x:v>92</x:v>
      </x:c>
      <x:c r="C14" s="64" t="n">
        <x:v>2</x:v>
      </x:c>
      <x:c r="D14" s="52" t="str">
        <x:v>sales_raw; order_status</x:v>
      </x:c>
      <x:c r="E14" s="66" t="n">
        <x:v>45893</x:v>
      </x:c>
      <x:c r="F14" s="66" t="n">
        <x:v>45898</x:v>
      </x:c>
      <x:c r="G14" s="52" t="str">
        <x:v>CUST-5909</x:v>
      </x:c>
      <x:c r="H14" s="52" t="str">
        <x:v>Aarav Sharma</x:v>
      </x:c>
      <x:c r="I14" s="52" t="str">
        <x:v>Small Business</x:v>
      </x:c>
      <x:c r="J14" s="52" t="str">
        <x:v>East</x:v>
      </x:c>
      <x:c r="K14" s="52" t="str">
        <x:v>Bihar</x:v>
      </x:c>
      <x:c r="L14" s="52" t="str">
        <x:v>Patna</x:v>
      </x:c>
      <x:c r="M14" s="52" t="str">
        <x:v>Technology</x:v>
      </x:c>
      <x:c r="N14" s="52" t="str">
        <x:v>Copiers</x:v>
      </x:c>
      <x:c r="O14" s="52" t="str">
        <x:v>Smart Copiers 556</x:v>
      </x:c>
      <x:c r="P14" s="52" t="str">
        <x:v>First Class</x:v>
      </x:c>
      <x:c r="Q14" s="64" t="n">
        <x:v>3</x:v>
      </x:c>
      <x:c r="R14" s="68" t="n">
        <x:v>3703.96</x:v>
      </x:c>
      <x:c r="S14" s="70" t="n">
        <x:v>0.15</x:v>
      </x:c>
      <x:c r="T14" s="68" t="n">
        <x:v>9445.1</x:v>
      </x:c>
      <x:c r="U14" s="68" t="n">
        <x:v>5586.28</x:v>
      </x:c>
      <x:c r="V14" s="68" t="n">
        <x:v>3858.82</x:v>
      </x:c>
      <x:c r="W14" s="52" t="str">
        <x:v>Paid</x:v>
      </x:c>
      <x:c r="X14" s="52" t="str">
        <x:v>Completed</x:v>
      </x:c>
      <x:c r="Y14" s="52" t="str">
        <x:v>Review Required</x:v>
      </x:c>
      <x:c r="Z14" s="52" t="str">
        <x:v>Confirm the authoritative sales and order status values</x:v>
      </x:c>
    </x:row>
    <x:row r="15">
      <x:c r="A15" s="52" t="str">
        <x:v>ORD-2025-10091</x:v>
      </x:c>
      <x:c r="B15" s="64" t="n">
        <x:v>923</x:v>
      </x:c>
      <x:c r="C15" s="64" t="n">
        <x:v>2</x:v>
      </x:c>
      <x:c r="D15" s="52" t="str">
        <x:v>sales_raw; order_status</x:v>
      </x:c>
      <x:c r="E15" s="66" t="n">
        <x:v>45893</x:v>
      </x:c>
      <x:c r="F15" s="66" t="n">
        <x:v>45898</x:v>
      </x:c>
      <x:c r="G15" s="52" t="str">
        <x:v>CUST-5909</x:v>
      </x:c>
      <x:c r="H15" s="52" t="str">
        <x:v>Aarav Sharma</x:v>
      </x:c>
      <x:c r="I15" s="52" t="str">
        <x:v>Small Business</x:v>
      </x:c>
      <x:c r="J15" s="52" t="str">
        <x:v>East</x:v>
      </x:c>
      <x:c r="K15" s="52" t="str">
        <x:v>Bihar</x:v>
      </x:c>
      <x:c r="L15" s="52" t="str">
        <x:v>Patna</x:v>
      </x:c>
      <x:c r="M15" s="52" t="str">
        <x:v>Technology</x:v>
      </x:c>
      <x:c r="N15" s="52" t="str">
        <x:v>Copiers</x:v>
      </x:c>
      <x:c r="O15" s="52" t="str">
        <x:v>Smart Copiers 556</x:v>
      </x:c>
      <x:c r="P15" s="52" t="str">
        <x:v>First Class</x:v>
      </x:c>
      <x:c r="Q15" s="64" t="n">
        <x:v>3</x:v>
      </x:c>
      <x:c r="R15" s="68" t="n">
        <x:v>3703.96</x:v>
      </x:c>
      <x:c r="S15" s="70" t="n">
        <x:v>0.15</x:v>
      </x:c>
      <x:c r="T15" s="68" t="n">
        <x:v>9549.44</x:v>
      </x:c>
      <x:c r="U15" s="68" t="n">
        <x:v>5586.28</x:v>
      </x:c>
      <x:c r="V15" s="68" t="n">
        <x:v>3858.82</x:v>
      </x:c>
      <x:c r="W15" s="52" t="str">
        <x:v>Paid</x:v>
      </x:c>
      <x:c r="X15" s="52" t="str">
        <x:v>Returned</x:v>
      </x:c>
      <x:c r="Y15" s="52" t="str">
        <x:v>Review Required</x:v>
      </x:c>
      <x:c r="Z15" s="52" t="str">
        <x:v>Confirm the authoritative sales and order status values</x:v>
      </x:c>
    </x:row>
    <x:row r="16">
      <x:c r="A16" s="52" t="str">
        <x:v>ORD-2025-10171</x:v>
      </x:c>
      <x:c r="B16" s="64" t="n">
        <x:v>172</x:v>
      </x:c>
      <x:c r="C16" s="64" t="n">
        <x:v>2</x:v>
      </x:c>
      <x:c r="D16" s="52" t="str">
        <x:v>sales_raw; order_status</x:v>
      </x:c>
      <x:c r="E16" s="66" t="n">
        <x:v>45907</x:v>
      </x:c>
      <x:c r="F16" s="66" t="n">
        <x:v>45915</x:v>
      </x:c>
      <x:c r="G16" s="52" t="str">
        <x:v>CUST-3734</x:v>
      </x:c>
      <x:c r="H16" s="52" t="str">
        <x:v>Rohan Mehta</x:v>
      </x:c>
      <x:c r="I16" s="52" t="str">
        <x:v>Corporate</x:v>
      </x:c>
      <x:c r="J16" s="52" t="str">
        <x:v>East</x:v>
      </x:c>
      <x:c r="K16" s="52" t="str">
        <x:v>Bihar</x:v>
      </x:c>
      <x:c r="L16" s="52" t="str">
        <x:v>Patna</x:v>
      </x:c>
      <x:c r="M16" s="52" t="str">
        <x:v>Technology</x:v>
      </x:c>
      <x:c r="N16" s="52" t="str">
        <x:v>Copiers</x:v>
      </x:c>
      <x:c r="O16" s="52" t="str">
        <x:v>Eco Copiers 102</x:v>
      </x:c>
      <x:c r="P16" s="52" t="str">
        <x:v>Standard Class</x:v>
      </x:c>
      <x:c r="Q16" s="64" t="n">
        <x:v>3</x:v>
      </x:c>
      <x:c r="R16" s="68" t="n">
        <x:v>1711.32</x:v>
      </x:c>
      <x:c r="S16" s="70" t="n">
        <x:v>0</x:v>
      </x:c>
      <x:c r="T16" s="68" t="n">
        <x:v>5133.96</x:v>
      </x:c>
      <x:c r="U16" s="68" t="n">
        <x:v>3930</x:v>
      </x:c>
      <x:c r="V16" s="68" t="n">
        <x:v>1203.96</x:v>
      </x:c>
      <x:c r="W16" s="52" t="str">
        <x:v>Paid</x:v>
      </x:c>
      <x:c r="X16" s="52" t="str">
        <x:v>Completed</x:v>
      </x:c>
      <x:c r="Y16" s="52" t="str">
        <x:v>Review Required</x:v>
      </x:c>
      <x:c r="Z16" s="52" t="str">
        <x:v>Confirm the authoritative sales and order status values</x:v>
      </x:c>
    </x:row>
    <x:row r="17">
      <x:c r="A17" s="52" t="str">
        <x:v>ORD-2025-10171</x:v>
      </x:c>
      <x:c r="B17" s="64" t="n">
        <x:v>927</x:v>
      </x:c>
      <x:c r="C17" s="64" t="n">
        <x:v>2</x:v>
      </x:c>
      <x:c r="D17" s="52" t="str">
        <x:v>sales_raw; order_status</x:v>
      </x:c>
      <x:c r="E17" s="66" t="n">
        <x:v>45907</x:v>
      </x:c>
      <x:c r="F17" s="66" t="n">
        <x:v>45915</x:v>
      </x:c>
      <x:c r="G17" s="52" t="str">
        <x:v>CUST-3734</x:v>
      </x:c>
      <x:c r="H17" s="52" t="str">
        <x:v>Rohan Mehta</x:v>
      </x:c>
      <x:c r="I17" s="52" t="str">
        <x:v>Corporate</x:v>
      </x:c>
      <x:c r="J17" s="52" t="str">
        <x:v>East</x:v>
      </x:c>
      <x:c r="K17" s="52" t="str">
        <x:v>Bihar</x:v>
      </x:c>
      <x:c r="L17" s="52" t="str">
        <x:v>Patna</x:v>
      </x:c>
      <x:c r="M17" s="52" t="str">
        <x:v>Technology</x:v>
      </x:c>
      <x:c r="N17" s="52" t="str">
        <x:v>Copiers</x:v>
      </x:c>
      <x:c r="O17" s="52" t="str">
        <x:v>Eco Copiers 102</x:v>
      </x:c>
      <x:c r="P17" s="52" t="str">
        <x:v>Standard Class</x:v>
      </x:c>
      <x:c r="Q17" s="64" t="n">
        <x:v>3</x:v>
      </x:c>
      <x:c r="R17" s="68" t="n">
        <x:v>1711.32</x:v>
      </x:c>
      <x:c r="S17" s="70" t="n">
        <x:v>0</x:v>
      </x:c>
      <x:c r="T17" s="68" t="n">
        <x:v>5206.53</x:v>
      </x:c>
      <x:c r="U17" s="68" t="n">
        <x:v>3930</x:v>
      </x:c>
      <x:c r="V17" s="68" t="n">
        <x:v>1203.96</x:v>
      </x:c>
      <x:c r="W17" s="52" t="str">
        <x:v>Paid</x:v>
      </x:c>
      <x:c r="X17" s="52" t="str">
        <x:v>Returned</x:v>
      </x:c>
      <x:c r="Y17" s="52" t="str">
        <x:v>Review Required</x:v>
      </x:c>
      <x:c r="Z17" s="52" t="str">
        <x:v>Confirm the authoritative sales and order status values</x:v>
      </x:c>
    </x:row>
    <x:row r="18">
      <x:c r="A18" s="52" t="str">
        <x:v>ORD-2025-10225</x:v>
      </x:c>
      <x:c r="B18" s="64" t="n">
        <x:v>226</x:v>
      </x:c>
      <x:c r="C18" s="64" t="n">
        <x:v>2</x:v>
      </x:c>
      <x:c r="D18" s="52" t="str">
        <x:v>sales_raw; order_status</x:v>
      </x:c>
      <x:c r="E18" s="66" t="n">
        <x:v>45932</x:v>
      </x:c>
      <x:c r="F18" s="66" t="n">
        <x:v>45938</x:v>
      </x:c>
      <x:c r="G18" s="52" t="str">
        <x:v>CUST-9871</x:v>
      </x:c>
      <x:c r="H18" s="52" t="str">
        <x:v>Isha Nair</x:v>
      </x:c>
      <x:c r="I18" s="52" t="str">
        <x:v>Small Business</x:v>
      </x:c>
      <x:c r="J18" s="52" t="str">
        <x:v>North</x:v>
      </x:c>
      <x:c r="K18" s="52" t="str">
        <x:v>Punjab</x:v>
      </x:c>
      <x:c r="L18" s="52" t="str">
        <x:v>Ludhiana</x:v>
      </x:c>
      <x:c r="M18" s="52" t="str">
        <x:v>Furniture</x:v>
      </x:c>
      <x:c r="N18" s="52" t="str">
        <x:v>Furnishings</x:v>
      </x:c>
      <x:c r="O18" s="52" t="str">
        <x:v>Classic Furnishings 109</x:v>
      </x:c>
      <x:c r="P18" s="52" t="str">
        <x:v>Standard Class</x:v>
      </x:c>
      <x:c r="Q18" s="64" t="n">
        <x:v>4</x:v>
      </x:c>
      <x:c r="R18" s="68" t="n">
        <x:v>3944.64</x:v>
      </x:c>
      <x:c r="S18" s="70" t="n">
        <x:v>0.25</x:v>
      </x:c>
      <x:c r="T18" s="68" t="n">
        <x:v>11833.92</x:v>
      </x:c>
      <x:c r="U18" s="68" t="n">
        <x:v>6682.92</x:v>
      </x:c>
      <x:c r="V18" s="68" t="n">
        <x:v>5151</x:v>
      </x:c>
      <x:c r="W18" s="52" t="str">
        <x:v>Paid</x:v>
      </x:c>
      <x:c r="X18" s="52" t="str">
        <x:v>Cancelled</x:v>
      </x:c>
      <x:c r="Y18" s="52" t="str">
        <x:v>Review Required</x:v>
      </x:c>
      <x:c r="Z18" s="52" t="str">
        <x:v>Confirm the authoritative sales and order status values</x:v>
      </x:c>
    </x:row>
    <x:row r="19">
      <x:c r="A19" s="52" t="str">
        <x:v>ORD-2025-10225</x:v>
      </x:c>
      <x:c r="B19" s="64" t="n">
        <x:v>925</x:v>
      </x:c>
      <x:c r="C19" s="64" t="n">
        <x:v>2</x:v>
      </x:c>
      <x:c r="D19" s="52" t="str">
        <x:v>sales_raw; order_status</x:v>
      </x:c>
      <x:c r="E19" s="66" t="n">
        <x:v>45932</x:v>
      </x:c>
      <x:c r="F19" s="66" t="n">
        <x:v>45938</x:v>
      </x:c>
      <x:c r="G19" s="52" t="str">
        <x:v>CUST-9871</x:v>
      </x:c>
      <x:c r="H19" s="52" t="str">
        <x:v>Isha Nair</x:v>
      </x:c>
      <x:c r="I19" s="52" t="str">
        <x:v>Small Business</x:v>
      </x:c>
      <x:c r="J19" s="52" t="str">
        <x:v>North</x:v>
      </x:c>
      <x:c r="K19" s="52" t="str">
        <x:v>Punjab</x:v>
      </x:c>
      <x:c r="L19" s="52" t="str">
        <x:v>Ludhiana</x:v>
      </x:c>
      <x:c r="M19" s="52" t="str">
        <x:v>Furniture</x:v>
      </x:c>
      <x:c r="N19" s="52" t="str">
        <x:v>Furnishings</x:v>
      </x:c>
      <x:c r="O19" s="52" t="str">
        <x:v>Classic Furnishings 109</x:v>
      </x:c>
      <x:c r="P19" s="52" t="str">
        <x:v>Standard Class</x:v>
      </x:c>
      <x:c r="Q19" s="64" t="n">
        <x:v>4</x:v>
      </x:c>
      <x:c r="R19" s="68" t="n">
        <x:v>3944.64</x:v>
      </x:c>
      <x:c r="S19" s="70" t="n">
        <x:v>0.25</x:v>
      </x:c>
      <x:c r="T19" s="68" t="n">
        <x:v>12116.89</x:v>
      </x:c>
      <x:c r="U19" s="68" t="n">
        <x:v>6682.92</x:v>
      </x:c>
      <x:c r="V19" s="68" t="n">
        <x:v>5151</x:v>
      </x:c>
      <x:c r="W19" s="52" t="str">
        <x:v>Paid</x:v>
      </x:c>
      <x:c r="X19" s="52" t="str">
        <x:v>Returned</x:v>
      </x:c>
      <x:c r="Y19" s="52" t="str">
        <x:v>Review Required</x:v>
      </x:c>
      <x:c r="Z19" s="52" t="str">
        <x:v>Confirm the authoritative sales and order status values</x:v>
      </x:c>
    </x:row>
    <x:row r="20">
      <x:c r="A20" s="52" t="str">
        <x:v>ORD-2025-10315</x:v>
      </x:c>
      <x:c r="B20" s="64" t="n">
        <x:v>316</x:v>
      </x:c>
      <x:c r="C20" s="64" t="n">
        <x:v>2</x:v>
      </x:c>
      <x:c r="D20" s="52" t="str">
        <x:v>sales_raw; order_status</x:v>
      </x:c>
      <x:c r="E20" s="66" t="n">
        <x:v>45795</x:v>
      </x:c>
      <x:c r="F20" s="66" t="n">
        <x:v>45797</x:v>
      </x:c>
      <x:c r="G20" s="52" t="str">
        <x:v>CUST-1945</x:v>
      </x:c>
      <x:c r="H20" s="52" t="str">
        <x:v>Isha Nair</x:v>
      </x:c>
      <x:c r="I20" s="52" t="str">
        <x:v>Corporate</x:v>
      </x:c>
      <x:c r="J20" s="52" t="str">
        <x:v>West</x:v>
      </x:c>
      <x:c r="K20" s="52" t="str">
        <x:v>Madhya Pradesh</x:v>
      </x:c>
      <x:c r="L20" s="52" t="str">
        <x:v>Indore</x:v>
      </x:c>
      <x:c r="M20" s="52" t="str">
        <x:v>Office Supplies</x:v>
      </x:c>
      <x:c r="N20" s="52" t="str">
        <x:v>Labels</x:v>
      </x:c>
      <x:c r="O20" s="52" t="str">
        <x:v>Elite Labels 544</x:v>
      </x:c>
      <x:c r="P20" s="52" t="str">
        <x:v>Standard Class</x:v>
      </x:c>
      <x:c r="Q20" s="64" t="n">
        <x:v>9</x:v>
      </x:c>
      <x:c r="R20" s="68" t="n">
        <x:v>847.76</x:v>
      </x:c>
      <x:c r="S20" s="70" t="n">
        <x:v>0.15</x:v>
      </x:c>
      <x:c r="T20" s="68" t="n">
        <x:v>6485.36</x:v>
      </x:c>
      <x:c r="U20" s="68" t="n">
        <x:v>5376.17</x:v>
      </x:c>
      <x:c r="V20" s="68" t="n">
        <x:v>1109.19</x:v>
      </x:c>
      <x:c r="W20" s="52" t="str">
        <x:v>Failed</x:v>
      </x:c>
      <x:c r="X20" s="52" t="str">
        <x:v>Returned</x:v>
      </x:c>
      <x:c r="Y20" s="52" t="str">
        <x:v>Review Required</x:v>
      </x:c>
      <x:c r="Z20" s="52" t="str">
        <x:v>Confirm the authoritative sales and order status values</x:v>
      </x:c>
    </x:row>
    <x:row r="21">
      <x:c r="A21" s="52" t="str">
        <x:v>ORD-2025-10315</x:v>
      </x:c>
      <x:c r="B21" s="64" t="n">
        <x:v>926</x:v>
      </x:c>
      <x:c r="C21" s="64" t="n">
        <x:v>2</x:v>
      </x:c>
      <x:c r="D21" s="52" t="str">
        <x:v>sales_raw; order_status</x:v>
      </x:c>
      <x:c r="E21" s="66" t="n">
        <x:v>45795</x:v>
      </x:c>
      <x:c r="F21" s="66" t="n">
        <x:v>45797</x:v>
      </x:c>
      <x:c r="G21" s="52" t="str">
        <x:v>CUST-1945</x:v>
      </x:c>
      <x:c r="H21" s="52" t="str">
        <x:v>Isha Nair</x:v>
      </x:c>
      <x:c r="I21" s="52" t="str">
        <x:v>Corporate</x:v>
      </x:c>
      <x:c r="J21" s="52" t="str">
        <x:v>West</x:v>
      </x:c>
      <x:c r="K21" s="52" t="str">
        <x:v>Madhya Pradesh</x:v>
      </x:c>
      <x:c r="L21" s="52" t="str">
        <x:v>Indore</x:v>
      </x:c>
      <x:c r="M21" s="52" t="str">
        <x:v>Office Supplies</x:v>
      </x:c>
      <x:c r="N21" s="52" t="str">
        <x:v>Labels</x:v>
      </x:c>
      <x:c r="O21" s="52" t="str">
        <x:v>Elite Labels 544</x:v>
      </x:c>
      <x:c r="P21" s="52" t="str">
        <x:v>Standard Class</x:v>
      </x:c>
      <x:c r="Q21" s="64" t="n">
        <x:v>9</x:v>
      </x:c>
      <x:c r="R21" s="68" t="n">
        <x:v>847.76</x:v>
      </x:c>
      <x:c r="S21" s="70" t="n">
        <x:v>0.15</x:v>
      </x:c>
      <x:c r="T21" s="68" t="n">
        <x:v>6589.37</x:v>
      </x:c>
      <x:c r="U21" s="68" t="n">
        <x:v>5376.17</x:v>
      </x:c>
      <x:c r="V21" s="68" t="n">
        <x:v>1109.19</x:v>
      </x:c>
      <x:c r="W21" s="52" t="str">
        <x:v>Failed</x:v>
      </x:c>
      <x:c r="X21" s="52" t="str">
        <x:v>Completed</x:v>
      </x:c>
      <x:c r="Y21" s="52" t="str">
        <x:v>Review Required</x:v>
      </x:c>
      <x:c r="Z21" s="52" t="str">
        <x:v>Confirm the authoritative sales and order status values</x:v>
      </x:c>
    </x:row>
    <x:row r="22">
      <x:c r="A22" s="52" t="str">
        <x:v>ORD-2025-10336</x:v>
      </x:c>
      <x:c r="B22" s="64" t="n">
        <x:v>337</x:v>
      </x:c>
      <x:c r="C22" s="64" t="n">
        <x:v>2</x:v>
      </x:c>
      <x:c r="D22" s="52" t="str">
        <x:v>sales_raw; order_status</x:v>
      </x:c>
      <x:c r="E22" s="66" t="n">
        <x:v>45824</x:v>
      </x:c>
      <x:c r="F22" s="66" t="n">
        <x:v>45826</x:v>
      </x:c>
      <x:c r="G22" s="52" t="str">
        <x:v>CUST-3621</x:v>
      </x:c>
      <x:c r="H22" s="52" t="str">
        <x:v>Rahul Verma</x:v>
      </x:c>
      <x:c r="I22" s="52" t="str">
        <x:v>Home Office</x:v>
      </x:c>
      <x:c r="J22" s="52" t="str">
        <x:v>West</x:v>
      </x:c>
      <x:c r="K22" s="52" t="str">
        <x:v>Madhya Pradesh</x:v>
      </x:c>
      <x:c r="L22" s="52" t="str">
        <x:v>Indore</x:v>
      </x:c>
      <x:c r="M22" s="52" t="str">
        <x:v>Office Supplies</x:v>
      </x:c>
      <x:c r="N22" s="52" t="str">
        <x:v>Paper</x:v>
      </x:c>
      <x:c r="O22" s="52" t="str">
        <x:v>Prime Paper 559</x:v>
      </x:c>
      <x:c r="P22" s="52" t="str">
        <x:v>First Class</x:v>
      </x:c>
      <x:c r="Q22" s="64" t="n">
        <x:v>3</x:v>
      </x:c>
      <x:c r="R22" s="68" t="n">
        <x:v>4289.37</x:v>
      </x:c>
      <x:c r="S22" s="70" t="n">
        <x:v>0.1</x:v>
      </x:c>
      <x:c r="T22" s="68" t="n">
        <x:v>11581.3</x:v>
      </x:c>
      <x:c r="U22" s="68" t="n">
        <x:v>6829.43</x:v>
      </x:c>
      <x:c r="V22" s="68" t="n">
        <x:v>4751.87</x:v>
      </x:c>
      <x:c r="W22" s="52" t="str">
        <x:v>Paid</x:v>
      </x:c>
      <x:c r="X22" s="52" t="str">
        <x:v>Completed</x:v>
      </x:c>
      <x:c r="Y22" s="52" t="str">
        <x:v>Review Required</x:v>
      </x:c>
      <x:c r="Z22" s="52" t="str">
        <x:v>Confirm the authoritative sales and order status values</x:v>
      </x:c>
    </x:row>
    <x:row r="23">
      <x:c r="A23" s="52" t="str">
        <x:v>ORD-2025-10336</x:v>
      </x:c>
      <x:c r="B23" s="64" t="n">
        <x:v>933</x:v>
      </x:c>
      <x:c r="C23" s="64" t="n">
        <x:v>2</x:v>
      </x:c>
      <x:c r="D23" s="52" t="str">
        <x:v>sales_raw; order_status</x:v>
      </x:c>
      <x:c r="E23" s="66" t="n">
        <x:v>45824</x:v>
      </x:c>
      <x:c r="F23" s="66" t="n">
        <x:v>45826</x:v>
      </x:c>
      <x:c r="G23" s="52" t="str">
        <x:v>CUST-3621</x:v>
      </x:c>
      <x:c r="H23" s="52" t="str">
        <x:v>Rahul Verma</x:v>
      </x:c>
      <x:c r="I23" s="52" t="str">
        <x:v>Home Office</x:v>
      </x:c>
      <x:c r="J23" s="52" t="str">
        <x:v>West</x:v>
      </x:c>
      <x:c r="K23" s="52" t="str">
        <x:v>Madhya Pradesh</x:v>
      </x:c>
      <x:c r="L23" s="52" t="str">
        <x:v>Indore</x:v>
      </x:c>
      <x:c r="M23" s="52" t="str">
        <x:v>Office Supplies</x:v>
      </x:c>
      <x:c r="N23" s="52" t="str">
        <x:v>Paper</x:v>
      </x:c>
      <x:c r="O23" s="52" t="str">
        <x:v>Prime Paper 559</x:v>
      </x:c>
      <x:c r="P23" s="52" t="str">
        <x:v>First Class</x:v>
      </x:c>
      <x:c r="Q23" s="64" t="n">
        <x:v>3</x:v>
      </x:c>
      <x:c r="R23" s="68" t="n">
        <x:v>4289.37</x:v>
      </x:c>
      <x:c r="S23" s="70" t="n">
        <x:v>0.1</x:v>
      </x:c>
      <x:c r="T23" s="68" t="n">
        <x:v>11778.71</x:v>
      </x:c>
      <x:c r="U23" s="68" t="n">
        <x:v>6829.43</x:v>
      </x:c>
      <x:c r="V23" s="68" t="n">
        <x:v>4751.87</x:v>
      </x:c>
      <x:c r="W23" s="52" t="str">
        <x:v>Paid</x:v>
      </x:c>
      <x:c r="X23" s="52" t="str">
        <x:v>Returned</x:v>
      </x:c>
      <x:c r="Y23" s="52" t="str">
        <x:v>Review Required</x:v>
      </x:c>
      <x:c r="Z23" s="52" t="str">
        <x:v>Confirm the authoritative sales and order status values</x:v>
      </x:c>
    </x:row>
    <x:row r="24">
      <x:c r="A24" s="52" t="str">
        <x:v>ORD-2025-10374</x:v>
      </x:c>
      <x:c r="B24" s="64" t="n">
        <x:v>375</x:v>
      </x:c>
      <x:c r="C24" s="64" t="n">
        <x:v>2</x:v>
      </x:c>
      <x:c r="D24" s="52" t="str">
        <x:v>sales_raw; order_status</x:v>
      </x:c>
      <x:c r="E24" s="66" t="n">
        <x:v>45760</x:v>
      </x:c>
      <x:c r="F24" s="66" t="n">
        <x:v>45760</x:v>
      </x:c>
      <x:c r="G24" s="52" t="str">
        <x:v>CUST-8566</x:v>
      </x:c>
      <x:c r="H24" s="52" t="str">
        <x:v>Sneha Kapoor</x:v>
      </x:c>
      <x:c r="I24" s="52" t="str">
        <x:v>Small Business</x:v>
      </x:c>
      <x:c r="J24" s="52" t="str">
        <x:v>North</x:v>
      </x:c>
      <x:c r="K24" s="52" t="str">
        <x:v>Uttar Pradesh</x:v>
      </x:c>
      <x:c r="L24" s="52" t="str">
        <x:v>Noida</x:v>
      </x:c>
      <x:c r="M24" s="52" t="str">
        <x:v>Office Supplies</x:v>
      </x:c>
      <x:c r="N24" s="52" t="str">
        <x:v>Storage</x:v>
      </x:c>
      <x:c r="O24" s="52" t="str">
        <x:v>Prime Storage 951</x:v>
      </x:c>
      <x:c r="P24" s="52" t="str">
        <x:v>Second Class</x:v>
      </x:c>
      <x:c r="Q24" s="64" t="n">
        <x:v>9</x:v>
      </x:c>
      <x:c r="R24" s="68" t="n">
        <x:v>1118.68</x:v>
      </x:c>
      <x:c r="S24" s="70" t="n">
        <x:v>0</x:v>
      </x:c>
      <x:c r="T24" s="68" t="n">
        <x:v>10068.12</x:v>
      </x:c>
      <x:c r="U24" s="68" t="n">
        <x:v>8595.37</x:v>
      </x:c>
      <x:c r="V24" s="68" t="n">
        <x:v>1472.75</x:v>
      </x:c>
      <x:c r="W24" s="52" t="str">
        <x:v>Paid</x:v>
      </x:c>
      <x:c r="X24" s="52" t="str">
        <x:v>Completed</x:v>
      </x:c>
      <x:c r="Y24" s="52" t="str">
        <x:v>Review Required</x:v>
      </x:c>
      <x:c r="Z24" s="52" t="str">
        <x:v>Confirm the authoritative sales and order status values</x:v>
      </x:c>
    </x:row>
    <x:row r="25">
      <x:c r="A25" s="52" t="str">
        <x:v>ORD-2025-10374</x:v>
      </x:c>
      <x:c r="B25" s="64" t="n">
        <x:v>924</x:v>
      </x:c>
      <x:c r="C25" s="64" t="n">
        <x:v>2</x:v>
      </x:c>
      <x:c r="D25" s="52" t="str">
        <x:v>sales_raw; order_status</x:v>
      </x:c>
      <x:c r="E25" s="66" t="n">
        <x:v>45760</x:v>
      </x:c>
      <x:c r="F25" s="66" t="n">
        <x:v>45760</x:v>
      </x:c>
      <x:c r="G25" s="52" t="str">
        <x:v>CUST-8566</x:v>
      </x:c>
      <x:c r="H25" s="52" t="str">
        <x:v>Sneha Kapoor</x:v>
      </x:c>
      <x:c r="I25" s="52" t="str">
        <x:v>Small Business</x:v>
      </x:c>
      <x:c r="J25" s="52" t="str">
        <x:v>North</x:v>
      </x:c>
      <x:c r="K25" s="52" t="str">
        <x:v>Uttar Pradesh</x:v>
      </x:c>
      <x:c r="L25" s="52" t="str">
        <x:v>Noida</x:v>
      </x:c>
      <x:c r="M25" s="52" t="str">
        <x:v>Office Supplies</x:v>
      </x:c>
      <x:c r="N25" s="52" t="str">
        <x:v>Storage</x:v>
      </x:c>
      <x:c r="O25" s="52" t="str">
        <x:v>Prime Storage 951</x:v>
      </x:c>
      <x:c r="P25" s="52" t="str">
        <x:v>Second Class</x:v>
      </x:c>
      <x:c r="Q25" s="64" t="n">
        <x:v>9</x:v>
      </x:c>
      <x:c r="R25" s="68" t="n">
        <x:v>1118.68</x:v>
      </x:c>
      <x:c r="S25" s="70" t="n">
        <x:v>0</x:v>
      </x:c>
      <x:c r="T25" s="68" t="n">
        <x:v>10348.43</x:v>
      </x:c>
      <x:c r="U25" s="68" t="n">
        <x:v>8595.37</x:v>
      </x:c>
      <x:c r="V25" s="68" t="n">
        <x:v>1472.75</x:v>
      </x:c>
      <x:c r="W25" s="52" t="str">
        <x:v>Paid</x:v>
      </x:c>
      <x:c r="X25" s="52" t="str">
        <x:v>Returned</x:v>
      </x:c>
      <x:c r="Y25" s="52" t="str">
        <x:v>Review Required</x:v>
      </x:c>
      <x:c r="Z25" s="52" t="str">
        <x:v>Confirm the authoritative sales and order status values</x:v>
      </x:c>
    </x:row>
    <x:row r="26">
      <x:c r="A26" s="52" t="str">
        <x:v>ORD-2025-10572</x:v>
      </x:c>
      <x:c r="B26" s="64" t="n">
        <x:v>573</x:v>
      </x:c>
      <x:c r="C26" s="64" t="n">
        <x:v>2</x:v>
      </x:c>
      <x:c r="D26" s="52" t="str">
        <x:v>sales_raw; order_status</x:v>
      </x:c>
      <x:c r="E26" s="66" t="n">
        <x:v>45698</x:v>
      </x:c>
      <x:c r="F26" s="66" t="n">
        <x:v>45702</x:v>
      </x:c>
      <x:c r="G26" s="52" t="str">
        <x:v>CUST-3425</x:v>
      </x:c>
      <x:c r="H26" s="52" t="str">
        <x:v>Priya Menon</x:v>
      </x:c>
      <x:c r="I26" s="52" t="str">
        <x:v>Small Business</x:v>
      </x:c>
      <x:c r="J26" s="52" t="str">
        <x:v>North</x:v>
      </x:c>
      <x:c r="K26" s="52" t="str">
        <x:v>Uttar Pradesh</x:v>
      </x:c>
      <x:c r="L26" s="52" t="str">
        <x:v>Noida</x:v>
      </x:c>
      <x:c r="M26" s="52" t="str">
        <x:v>Technology</x:v>
      </x:c>
      <x:c r="N26" s="52" t="str">
        <x:v>Phones</x:v>
      </x:c>
      <x:c r="O26" s="52" t="str">
        <x:v>Prime Phones 895</x:v>
      </x:c>
      <x:c r="P26" s="52" t="str">
        <x:v>Unknown</x:v>
      </x:c>
      <x:c r="Q26" s="64" t="n">
        <x:v>5</x:v>
      </x:c>
      <x:c r="R26" s="68" t="n">
        <x:v>4276.29</x:v>
      </x:c>
      <x:c r="S26" s="70" t="n">
        <x:v>0</x:v>
      </x:c>
      <x:c r="T26" s="68" t="n">
        <x:v>21381.45</x:v>
      </x:c>
      <x:c r="U26" s="68" t="n">
        <x:v>13240.21</x:v>
      </x:c>
      <x:c r="V26" s="68" t="n">
        <x:v>8141.24</x:v>
      </x:c>
      <x:c r="W26" s="52" t="str">
        <x:v>Failed</x:v>
      </x:c>
      <x:c r="X26" s="52" t="str">
        <x:v>Returned</x:v>
      </x:c>
      <x:c r="Y26" s="52" t="str">
        <x:v>Review Required</x:v>
      </x:c>
      <x:c r="Z26" s="52" t="str">
        <x:v>Confirm the authoritative sales and order status values</x:v>
      </x:c>
    </x:row>
    <x:row r="27">
      <x:c r="A27" s="52" t="str">
        <x:v>ORD-2025-10572</x:v>
      </x:c>
      <x:c r="B27" s="64" t="n">
        <x:v>929</x:v>
      </x:c>
      <x:c r="C27" s="64" t="n">
        <x:v>2</x:v>
      </x:c>
      <x:c r="D27" s="52" t="str">
        <x:v>sales_raw; order_status</x:v>
      </x:c>
      <x:c r="E27" s="66" t="n">
        <x:v>45698</x:v>
      </x:c>
      <x:c r="F27" s="66" t="n">
        <x:v>45702</x:v>
      </x:c>
      <x:c r="G27" s="52" t="str">
        <x:v>CUST-3425</x:v>
      </x:c>
      <x:c r="H27" s="52" t="str">
        <x:v>Priya Menon</x:v>
      </x:c>
      <x:c r="I27" s="52" t="str">
        <x:v>Small Business</x:v>
      </x:c>
      <x:c r="J27" s="52" t="str">
        <x:v>North</x:v>
      </x:c>
      <x:c r="K27" s="52" t="str">
        <x:v>Uttar Pradesh</x:v>
      </x:c>
      <x:c r="L27" s="52" t="str">
        <x:v>Noida</x:v>
      </x:c>
      <x:c r="M27" s="52" t="str">
        <x:v>Technology</x:v>
      </x:c>
      <x:c r="N27" s="52" t="str">
        <x:v>Phones</x:v>
      </x:c>
      <x:c r="O27" s="52" t="str">
        <x:v>Prime Phones 895</x:v>
      </x:c>
      <x:c r="P27" s="52" t="str">
        <x:v>Unknown</x:v>
      </x:c>
      <x:c r="Q27" s="64" t="n">
        <x:v>5</x:v>
      </x:c>
      <x:c r="R27" s="68" t="n">
        <x:v>4276.29</x:v>
      </x:c>
      <x:c r="S27" s="70" t="n">
        <x:v>0</x:v>
      </x:c>
      <x:c r="T27" s="68" t="n">
        <x:v>21443.63</x:v>
      </x:c>
      <x:c r="U27" s="68" t="n">
        <x:v>13240.21</x:v>
      </x:c>
      <x:c r="V27" s="68" t="n">
        <x:v>8141.24</x:v>
      </x:c>
      <x:c r="W27" s="52" t="str">
        <x:v>Failed</x:v>
      </x:c>
      <x:c r="X27" s="52" t="str">
        <x:v>Completed</x:v>
      </x:c>
      <x:c r="Y27" s="52" t="str">
        <x:v>Review Required</x:v>
      </x:c>
      <x:c r="Z27" s="52" t="str">
        <x:v>Confirm the authoritative sales and order status values</x:v>
      </x:c>
    </x:row>
  </x:sheetData>
  <x:mergeCells>
    <x:mergeCell ref="A1:Z1"/>
    <x:mergeCell ref="A2:Z2"/>
  </x:mergeCells>
  <x:conditionalFormatting sqref="Y4:Y27">
    <x:cfRule type="expression" dxfId="3" priority="1">
      <x:formula>$Y4="Review Required"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e97016c50ec44b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58" hidden="0" customWidth="1"/>
    <x:col min="4" max="4" width="58" hidden="0" customWidth="1"/>
  </x:cols>
  <x:sheetData>
    <x:row r="1" ht="28" customHeight="1">
      <x:c r="A1" s="5" t="str">
        <x:v>Duplicate Detection &amp; Handling Methodology</x:v>
      </x:c>
      <x:c r="B1" s="5"/>
      <x:c r="C1" s="5"/>
      <x:c r="D1" s="5"/>
    </x:row>
    <x:row r="2" ht="25" customHeight="1">
      <x:c r="A2" s="12" t="str">
        <x:v>Audit methodology used to distinguish removable exact duplicates from data conflicts that require business review.</x:v>
      </x:c>
      <x:c r="B2" s="12"/>
      <x:c r="C2" s="12"/>
      <x:c r="D2" s="12"/>
    </x:row>
    <x:row r="3">
      <x:c r="A3" s="45" t="str">
        <x:v>rule_id</x:v>
      </x:c>
      <x:c r="B3" s="45" t="str">
        <x:v>topic</x:v>
      </x:c>
      <x:c r="C3" s="45" t="str">
        <x:v>rule / control</x:v>
      </x:c>
      <x:c r="D3" s="45" t="str">
        <x:v>applied action</x:v>
      </x:c>
    </x:row>
    <x:row r="4">
      <x:c r="A4" s="52" t="str">
        <x:v>DQ-DUP-01</x:v>
      </x:c>
      <x:c r="B4" s="52" t="str">
        <x:v>Source scope</x:v>
      </x:c>
      <x:c r="C4" s="52" t="str">
        <x:v>Analyzed all 932 order-level rows from raw_orders.xlsx.</x:v>
      </x:c>
      <x:c r="D4" s="52" t="str">
        <x:v>Raw data preserved; report created separately.</x:v>
      </x:c>
    </x:row>
    <x:row r="5">
      <x:c r="A5" s="52" t="str">
        <x:v>DQ-DUP-02</x:v>
      </x:c>
      <x:c r="B5" s="52" t="str">
        <x:v>Exact duplicate</x:v>
      </x:c>
      <x:c r="C5" s="52" t="str">
        <x:v>Rows are exact duplicates only when all 21 raw data columns match an earlier row exactly.</x:v>
      </x:c>
      <x:c r="D5" s="52" t="str">
        <x:v>Retain the earliest source row and remove later exact repetitions.</x:v>
      </x:c>
    </x:row>
    <x:row r="6">
      <x:c r="A6" s="52" t="str">
        <x:v>DQ-DUP-03</x:v>
      </x:c>
      <x:c r="B6" s="52" t="str">
        <x:v>Duplicate order_id</x:v>
      </x:c>
      <x:c r="C6" s="52" t="str">
        <x:v>Group records by order_id to identify repeated identifiers.</x:v>
      </x:c>
      <x:c r="D6" s="52" t="str">
        <x:v>Classify every repeated order ID in Duplicate_ID_Summary.</x:v>
      </x:c>
    </x:row>
    <x:row r="7">
      <x:c r="A7" s="52" t="str">
        <x:v>DQ-DUP-04</x:v>
      </x:c>
      <x:c r="B7" s="52" t="str">
        <x:v>Conflict comparison</x:v>
      </x:c>
      <x:c r="C7" s="52" t="str">
        <x:v>Compare standardized business values so whitespace, case, and date display do not create false conflicts.</x:v>
      </x:c>
      <x:c r="D7" s="52" t="str">
        <x:v>Flag order IDs with two or more unique standardized record versions.</x:v>
      </x:c>
    </x:row>
    <x:row r="8">
      <x:c r="A8" s="52" t="str">
        <x:v>DQ-DUP-05</x:v>
      </x:c>
      <x:c r="B8" s="52" t="str">
        <x:v>Conflict handling</x:v>
      </x:c>
      <x:c r="C8" s="52" t="str">
        <x:v>Never silently delete a unique record with the same order_id but different values.</x:v>
      </x:c>
      <x:c r="D8" s="52" t="str">
        <x:v>Keep every unique version and set Review Required in Conflicting_Order_IDs.</x:v>
      </x:c>
    </x:row>
    <x:row r="9">
      <x:c r="A9" s="52" t="str">
        <x:v>DQ-DUP-06</x:v>
      </x:c>
      <x:c r="B9" s="52" t="str">
        <x:v>Mixed duplicate group</x:v>
      </x:c>
      <x:c r="C9" s="52" t="str">
        <x:v>Where a group contains an exact repeat plus a different version, only the exact redundant copy is removable.</x:v>
      </x:c>
      <x:c r="D9" s="52" t="str">
        <x:v>Retain all unique versions and log both removal and review requirements.</x:v>
      </x:c>
    </x:row>
    <x:row r="10">
      <x:c r="A10" s="52" t="str">
        <x:v>DQ-DUP-07</x:v>
      </x:c>
      <x:c r="B10" s="52" t="str">
        <x:v>Traceability</x:v>
      </x:c>
      <x:c r="C10" s="52" t="str">
        <x:v>Preserve raw source row numbers in every duplicate log.</x:v>
      </x:c>
      <x:c r="D10" s="52" t="str">
        <x:v>Support source-system reconciliation and management review.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e5649f71eba44be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2" hidden="0" customWidth="1"/>
    <x:col min="3" max="3" width="22" hidden="0" customWidth="1"/>
    <x:col min="4" max="4" width="3" hidden="0" customWidth="1"/>
    <x:col min="5" max="5" width="35" hidden="0" customWidth="1"/>
    <x:col min="6" max="6" width="20" hidden="0" customWidth="1"/>
  </x:cols>
  <x:sheetData>
    <x:row r="1" ht="26" customHeight="1">
      <x:c r="A1" s="76" t="str">
        <x:v>Data Quality Report – Business Rule Application</x:v>
      </x:c>
      <x:c r="B1" s="76"/>
      <x:c r="C1" s="76"/>
      <x:c r="D1" s="76"/>
      <x:c r="E1" s="76"/>
      <x:c r="F1" s="76"/>
    </x:row>
    <x:row r="3">
      <x:c r="A3" s="100" t="str">
        <x:v>Business rule</x:v>
      </x:c>
      <x:c r="B3" s="101" t="str">
        <x:v>Decision applied</x:v>
      </x:c>
      <x:c r="C3" s="102" t="str">
        <x:v>Affected retained records</x:v>
      </x:c>
      <x:c r="E3" s="100" t="str">
        <x:v>Outcome metric</x:v>
      </x:c>
      <x:c r="F3" s="102" t="str">
        <x:v>Value</x:v>
      </x:c>
    </x:row>
    <x:row r="4">
      <x:c r="A4" s="103" t="str">
        <x:v>Missing region</x:v>
      </x:c>
      <x:c r="B4" s="104" t="str">
        <x:v>Filled as Unknown; retained and flagged.</x:v>
      </x:c>
      <x:c r="C4" s="105" t="n">
        <x:v>25</x:v>
      </x:c>
      <x:c r="E4" s="103" t="str">
        <x:v>Source rows</x:v>
      </x:c>
      <x:c r="F4" s="105" t="n">
        <x:v>932</x:v>
      </x:c>
    </x:row>
    <x:row r="5">
      <x:c r="A5" s="103" t="str">
        <x:v>Missing ship_mode</x:v>
      </x:c>
      <x:c r="B5" s="104" t="str">
        <x:v>Filled as Unknown; retained and flagged.</x:v>
      </x:c>
      <x:c r="C5" s="105" t="n">
        <x:v>21</x:v>
      </x:c>
      <x:c r="E5" s="103" t="str">
        <x:v>Exact duplicate rows removed</x:v>
      </x:c>
      <x:c r="F5" s="105" t="n">
        <x:v>20</x:v>
      </x:c>
    </x:row>
    <x:row r="6">
      <x:c r="A6" s="103" t="str">
        <x:v>Missing discount</x:v>
      </x:c>
      <x:c r="B6" s="104" t="str">
        <x:v>Imputed as 0 only where quantity, unit price, sales, cost and profit were present and internally reconciled.</x:v>
      </x:c>
      <x:c r="C6" s="105" t="n">
        <x:v>18</x:v>
      </x:c>
      <x:c r="E6" s="103" t="str">
        <x:v>Cleaned retained rows</x:v>
      </x:c>
      <x:c r="F6" s="105" t="n">
        <x:v>912</x:v>
      </x:c>
    </x:row>
    <x:row r="7">
      <x:c r="A7" s="103" t="str">
        <x:v>Negative discount</x:v>
      </x:c>
      <x:c r="B7" s="104" t="str">
        <x:v>Flagged invalid; retained for audit and excluded from completed sales.</x:v>
      </x:c>
      <x:c r="C7" s="105" t="n">
        <x:v>15</x:v>
      </x:c>
      <x:c r="E7" s="103" t="str">
        <x:v>Rows requiring review</x:v>
      </x:c>
      <x:c r="F7" s="105" t="n">
        <x:v>112</x:v>
      </x:c>
    </x:row>
    <x:row r="8">
      <x:c r="A8" s="103" t="str">
        <x:v>Discount above allowed range</x:v>
      </x:c>
      <x:c r="B8" s="104" t="str">
        <x:v>Allowed range set at 0%–50%; above 50% flagged invalid and excluded.</x:v>
      </x:c>
      <x:c r="C8" s="105" t="n">
        <x:v>15</x:v>
      </x:c>
      <x:c r="E8" s="103" t="str">
        <x:v>Rows eligible for completed sales</x:v>
      </x:c>
      <x:c r="F8" s="105" t="n">
        <x:v>537</x:v>
      </x:c>
    </x:row>
    <x:row r="9">
      <x:c r="A9" s="103" t="str">
        <x:v>Cancelled orders</x:v>
      </x:c>
      <x:c r="B9" s="104" t="str">
        <x:v>Excluded from final completed-sales summary.</x:v>
      </x:c>
      <x:c r="C9" s="105" t="n">
        <x:v>145</x:v>
      </x:c>
      <x:c r="E9" s="103" t="str">
        <x:v>Completed sales value</x:v>
      </x:c>
      <x:c r="F9" s="109" t="n">
        <x:v>5329453.93</x:v>
      </x:c>
    </x:row>
    <x:row r="10">
      <x:c r="A10" s="103" t="str">
        <x:v>Failed payments</x:v>
      </x:c>
      <x:c r="B10" s="104" t="str">
        <x:v>Excluded from final completed-sales summary.</x:v>
      </x:c>
      <x:c r="C10" s="105" t="n">
        <x:v>69</x:v>
      </x:c>
      <x:c r="E10" s="103" t="str">
        <x:v>Refunded sales value (raw)</x:v>
      </x:c>
      <x:c r="F10" s="109" t="n">
        <x:v>677073.75</x:v>
      </x:c>
    </x:row>
    <x:row r="11">
      <x:c r="A11" s="103" t="str">
        <x:v>Refunded payments</x:v>
      </x:c>
      <x:c r="B11" s="104" t="str">
        <x:v>Excluded from final completed sales and summarized separately.</x:v>
      </x:c>
      <x:c r="C11" s="105" t="n">
        <x:v>71</x:v>
      </x:c>
      <x:c r="E11" s="106" t="str">
        <x:v>Conflicting order-ID records retained</x:v>
      </x:c>
      <x:c r="F11" s="108" t="n">
        <x:v>24</x:v>
      </x:c>
    </x:row>
    <x:row r="12">
      <x:c r="A12" s="106" t="str">
        <x:v>Ship date before order date</x:v>
      </x:c>
      <x:c r="B12" s="107" t="str">
        <x:v>Flagged invalid shipping record; excluded from completed sales.</x:v>
      </x:c>
      <x:c r="C12" s="108" t="n">
        <x:v>21</x:v>
      </x:c>
    </x:row>
    <x:row r="14" ht="35" customHeight="1">
      <x:c r="A14" s="84" t="str">
        <x:v>Eligibility applied: order_status = Completed, payment_status = Paid, a valid discount, and no unresolved Review-level issue. Unknown region or ship mode remains permitted after imputation.</x:v>
      </x:c>
      <x:c r="B14" s="84"/>
      <x:c r="C14" s="84"/>
      <x:c r="D14" s="84"/>
      <x:c r="E14" s="84"/>
      <x:c r="F14" s="84"/>
    </x:row>
  </x:sheetData>
  <x:mergeCells>
    <x:mergeCell ref="A1:F1"/>
    <x:mergeCell ref="A14:F1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12" hidden="0" customWidth="1"/>
    <x:col min="4" max="4" width="12" hidden="0" customWidth="1"/>
    <x:col min="5" max="5" width="14" hidden="0" customWidth="1"/>
    <x:col min="6" max="6" width="16" hidden="0" customWidth="1"/>
    <x:col min="7" max="7" width="12" hidden="0" customWidth="1"/>
    <x:col min="8" max="8" width="16" hidden="0" customWidth="1"/>
    <x:col min="9" max="9" width="16" hidden="0" customWidth="1"/>
    <x:col min="10" max="10" width="15" hidden="0" customWidth="1"/>
    <x:col min="11" max="11" width="16" hidden="0" customWidth="1"/>
    <x:col min="12" max="12" width="42" hidden="0" customWidth="1"/>
    <x:col min="13" max="13" width="48" hidden="0" customWidth="1"/>
    <x:col min="14" max="14" width="42" hidden="0" customWidth="1"/>
    <x:col min="15" max="15" width="48" hidden="0" customWidth="1"/>
  </x:cols>
  <x:sheetData>
    <x:row r="1" ht="26" customHeight="1">
      <x:c r="A1" s="76" t="str">
        <x:v>Business Rule Exceptions and Adjustments</x:v>
      </x:c>
      <x:c r="B1" s="76"/>
      <x:c r="C1" s="76"/>
      <x:c r="D1" s="76"/>
      <x:c r="E1" s="76"/>
      <x:c r="F1" s="76"/>
      <x:c r="G1" s="76"/>
      <x:c r="H1" s="76"/>
      <x:c r="I1" s="76"/>
      <x:c r="J1" s="76"/>
      <x:c r="K1" s="76"/>
      <x:c r="L1" s="76"/>
      <x:c r="M1" s="76"/>
      <x:c r="N1" s="76"/>
      <x:c r="O1" s="76"/>
    </x:row>
    <x:row r="3">
      <x:c r="A3" s="100" t="str">
        <x:v>source_row</x:v>
      </x:c>
      <x:c r="B3" s="101" t="str">
        <x:v>order_id</x:v>
      </x:c>
      <x:c r="C3" s="101" t="str">
        <x:v>order_date</x:v>
      </x:c>
      <x:c r="D3" s="101" t="str">
        <x:v>ship_date</x:v>
      </x:c>
      <x:c r="E3" s="101" t="str">
        <x:v>region</x:v>
      </x:c>
      <x:c r="F3" s="101" t="str">
        <x:v>ship_mode</x:v>
      </x:c>
      <x:c r="G3" s="101" t="str">
        <x:v>discount</x:v>
      </x:c>
      <x:c r="H3" s="101" t="str">
        <x:v>payment_status</x:v>
      </x:c>
      <x:c r="I3" s="101" t="str">
        <x:v>order_status</x:v>
      </x:c>
      <x:c r="J3" s="101" t="str">
        <x:v>shipping_delay_days</x:v>
      </x:c>
      <x:c r="K3" s="101" t="str">
        <x:v>data_quality_status</x:v>
      </x:c>
      <x:c r="L3" s="101" t="str">
        <x:v>data_quality_flag</x:v>
      </x:c>
      <x:c r="M3" s="101" t="str">
        <x:v>business_rule_flags</x:v>
      </x:c>
      <x:c r="N3" s="101" t="str">
        <x:v>discount_rule_result</x:v>
      </x:c>
      <x:c r="O3" s="102" t="str">
        <x:v>review_action</x:v>
      </x:c>
    </x:row>
    <x:row r="4">
      <x:c r="A4" s="103" t="n">
        <x:v>4</x:v>
      </x:c>
      <x:c r="B4" s="104" t="str">
        <x:v>ORD-2024-10003</x:v>
      </x:c>
      <x:c r="C4" s="120" t="n">
        <x:v>45451</x:v>
      </x:c>
      <x:c r="D4" s="120" t="n">
        <x:v>45458</x:v>
      </x:c>
      <x:c r="E4" s="104" t="str">
        <x:v>East</x:v>
      </x:c>
      <x:c r="F4" s="104" t="str">
        <x:v>First Class</x:v>
      </x:c>
      <x:c r="G4" s="121" t="n">
        <x:v>0.55</x:v>
      </x:c>
      <x:c r="H4" s="104" t="str">
        <x:v>Paid</x:v>
      </x:c>
      <x:c r="I4" s="104" t="str">
        <x:v>Completed</x:v>
      </x:c>
      <x:c r="J4" s="104" t="n">
        <x:v>7</x:v>
      </x:c>
      <x:c r="K4" s="104" t="str">
        <x:v>Review</x:v>
      </x:c>
      <x:c r="L4" s="104" t="str">
        <x:v>Discount above allowed range (&gt;50%)</x:v>
      </x:c>
      <x:c r="M4" s="104" t="str">
        <x:v>None</x:v>
      </x:c>
      <x:c r="N4" s="104" t="str">
        <x:v>Invalid discount – above 50% allowed range</x:v>
      </x:c>
      <x:c r="O4" s="105" t="str">
        <x:v>Confirm or correct source discount</x:v>
      </x:c>
    </x:row>
    <x:row r="5">
      <x:c r="A5" s="103" t="n">
        <x:v>6</x:v>
      </x:c>
      <x:c r="B5" s="104" t="str">
        <x:v>ORD-2025-10005</x:v>
      </x:c>
      <x:c r="C5" s="120" t="n">
        <x:v>45898</x:v>
      </x:c>
      <x:c r="D5" s="120" t="n">
        <x:v>45901</x:v>
      </x:c>
      <x:c r="E5" s="104" t="str">
        <x:v>West</x:v>
      </x:c>
      <x:c r="F5" s="104" t="str">
        <x:v>First Class</x:v>
      </x:c>
      <x:c r="G5" s="121" t="n">
        <x:v>0</x:v>
      </x:c>
      <x:c r="H5" s="104" t="str">
        <x:v>Paid</x:v>
      </x:c>
      <x:c r="I5" s="104" t="str">
        <x:v>Cancelled</x:v>
      </x:c>
      <x:c r="J5" s="104" t="n">
        <x:v>3</x:v>
      </x:c>
      <x:c r="K5" s="104" t="str">
        <x:v>Pass</x:v>
      </x:c>
      <x:c r="L5" s="104" t="str">
        <x:v>OK</x:v>
      </x:c>
      <x:c r="M5" s="104" t="str">
        <x:v>Cancelled order – excluded from completed sales</x:v>
      </x:c>
      <x:c r="N5" s="104" t="str">
        <x:v>Valid</x:v>
      </x:c>
      <x:c r="O5" s="105" t="str">
        <x:v>Exclude from completed sales</x:v>
      </x:c>
    </x:row>
    <x:row r="6">
      <x:c r="A6" s="103" t="n">
        <x:v>12</x:v>
      </x:c>
      <x:c r="B6" s="104" t="str">
        <x:v>ORD-2025-10011</x:v>
      </x:c>
      <x:c r="C6" s="120" t="n">
        <x:v>45797</x:v>
      </x:c>
      <x:c r="D6" s="120" t="n">
        <x:v>45797</x:v>
      </x:c>
      <x:c r="E6" s="104" t="str">
        <x:v>East</x:v>
      </x:c>
      <x:c r="F6" s="104" t="str">
        <x:v>Second Class</x:v>
      </x:c>
      <x:c r="G6" s="121" t="n">
        <x:v>0.05</x:v>
      </x:c>
      <x:c r="H6" s="104" t="str">
        <x:v>Refunded</x:v>
      </x:c>
      <x:c r="I6" s="104" t="str">
        <x:v>Returned</x:v>
      </x:c>
      <x:c r="J6" s="104" t="n">
        <x:v>0</x:v>
      </x:c>
      <x:c r="K6" s="104" t="str">
        <x:v>Pass</x:v>
      </x:c>
      <x:c r="L6" s="104" t="str">
        <x:v>OK</x:v>
      </x:c>
      <x:c r="M6" s="104" t="str">
        <x:v>Refunded payment – separately summarized</x:v>
      </x:c>
      <x:c r="N6" s="104" t="str">
        <x:v>Valid</x:v>
      </x:c>
      <x:c r="O6" s="105" t="str">
        <x:v>Included in refund summary</x:v>
      </x:c>
    </x:row>
    <x:row r="7">
      <x:c r="A7" s="103" t="n">
        <x:v>20</x:v>
      </x:c>
      <x:c r="B7" s="104" t="str">
        <x:v>ORD-2025-10019</x:v>
      </x:c>
      <x:c r="C7" s="120" t="n">
        <x:v>45853</x:v>
      </x:c>
      <x:c r="D7" s="120" t="n">
        <x:v>45855</x:v>
      </x:c>
      <x:c r="E7" s="104" t="str">
        <x:v>North</x:v>
      </x:c>
      <x:c r="F7" s="104" t="str">
        <x:v>First Class</x:v>
      </x:c>
      <x:c r="G7" s="121" t="n">
        <x:v>0</x:v>
      </x:c>
      <x:c r="H7" s="104" t="str">
        <x:v>Refunded</x:v>
      </x:c>
      <x:c r="I7" s="104" t="str">
        <x:v>Cancelled</x:v>
      </x:c>
      <x:c r="J7" s="104" t="n">
        <x:v>2</x:v>
      </x:c>
      <x:c r="K7" s="104" t="str">
        <x:v>Pass</x:v>
      </x:c>
      <x:c r="L7" s="104" t="str">
        <x:v>OK</x:v>
      </x:c>
      <x:c r="M7" s="104" t="str">
        <x:v>Cancelled order – excluded from completed sales; Refunded payment – separately summarized</x:v>
      </x:c>
      <x:c r="N7" s="104" t="str">
        <x:v>Valid</x:v>
      </x:c>
      <x:c r="O7" s="105" t="str">
        <x:v>Included in refund summary</x:v>
      </x:c>
    </x:row>
    <x:row r="8">
      <x:c r="A8" s="103" t="n">
        <x:v>21</x:v>
      </x:c>
      <x:c r="B8" s="104" t="str">
        <x:v>ORD-2024-10020</x:v>
      </x:c>
      <x:c r="C8" s="120" t="n">
        <x:v>45500</x:v>
      </x:c>
      <x:c r="D8" s="120" t="n">
        <x:v>45504</x:v>
      </x:c>
      <x:c r="E8" s="104" t="str">
        <x:v>West</x:v>
      </x:c>
      <x:c r="F8" s="104" t="str">
        <x:v>Second Class</x:v>
      </x:c>
      <x:c r="G8" s="121" t="n">
        <x:v>-0.19</x:v>
      </x:c>
      <x:c r="H8" s="104" t="str">
        <x:v>Paid</x:v>
      </x:c>
      <x:c r="I8" s="104" t="str">
        <x:v>Completed</x:v>
      </x:c>
      <x:c r="J8" s="104" t="n">
        <x:v>4</x:v>
      </x:c>
      <x:c r="K8" s="104" t="str">
        <x:v>Review</x:v>
      </x:c>
      <x:c r="L8" s="104" t="str">
        <x:v>Negative discount</x:v>
      </x:c>
      <x:c r="M8" s="104" t="str">
        <x:v>None</x:v>
      </x:c>
      <x:c r="N8" s="104" t="str">
        <x:v>Invalid discount – negative</x:v>
      </x:c>
      <x:c r="O8" s="105" t="str">
        <x:v>Confirm or correct source discount</x:v>
      </x:c>
    </x:row>
    <x:row r="9">
      <x:c r="A9" s="103" t="n">
        <x:v>23</x:v>
      </x:c>
      <x:c r="B9" s="104" t="str">
        <x:v>ORD-2025-10022</x:v>
      </x:c>
      <x:c r="C9" s="120" t="n">
        <x:v>45681</x:v>
      </x:c>
      <x:c r="D9" s="120" t="n">
        <x:v>45687</x:v>
      </x:c>
      <x:c r="E9" s="104" t="str">
        <x:v>West</x:v>
      </x:c>
      <x:c r="F9" s="104" t="str">
        <x:v>Second Class</x:v>
      </x:c>
      <x:c r="G9" s="121" t="n">
        <x:v>-0.23</x:v>
      </x:c>
      <x:c r="H9" s="104" t="str">
        <x:v>Paid</x:v>
      </x:c>
      <x:c r="I9" s="104" t="str">
        <x:v>Completed</x:v>
      </x:c>
      <x:c r="J9" s="104" t="n">
        <x:v>6</x:v>
      </x:c>
      <x:c r="K9" s="104" t="str">
        <x:v>Review</x:v>
      </x:c>
      <x:c r="L9" s="104" t="str">
        <x:v>Negative discount</x:v>
      </x:c>
      <x:c r="M9" s="104" t="str">
        <x:v>None</x:v>
      </x:c>
      <x:c r="N9" s="104" t="str">
        <x:v>Invalid discount – negative</x:v>
      </x:c>
      <x:c r="O9" s="105" t="str">
        <x:v>Confirm or correct source discount</x:v>
      </x:c>
    </x:row>
    <x:row r="10">
      <x:c r="A10" s="103" t="n">
        <x:v>24</x:v>
      </x:c>
      <x:c r="B10" s="104" t="str">
        <x:v>ORD-2025-10023</x:v>
      </x:c>
      <x:c r="C10" s="120" t="n">
        <x:v>45676</x:v>
      </x:c>
      <x:c r="D10" s="120" t="n">
        <x:v>45678</x:v>
      </x:c>
      <x:c r="E10" s="104" t="str">
        <x:v>South</x:v>
      </x:c>
      <x:c r="F10" s="104" t="str">
        <x:v>Standard Class</x:v>
      </x:c>
      <x:c r="G10" s="121" t="n">
        <x:v>0.15</x:v>
      </x:c>
      <x:c r="H10" s="104" t="str">
        <x:v>Failed</x:v>
      </x:c>
      <x:c r="I10" s="104" t="str">
        <x:v>Returned</x:v>
      </x:c>
      <x:c r="J10" s="104" t="n">
        <x:v>2</x:v>
      </x:c>
      <x:c r="K10" s="104" t="str">
        <x:v>Pass</x:v>
      </x:c>
      <x:c r="L10" s="104" t="str">
        <x:v>OK</x:v>
      </x:c>
      <x:c r="M10" s="104" t="str">
        <x:v>Failed payment – excluded from completed sales</x:v>
      </x:c>
      <x:c r="N10" s="104" t="str">
        <x:v>Valid</x:v>
      </x:c>
      <x:c r="O10" s="105" t="str">
        <x:v>Exclude from completed sales</x:v>
      </x:c>
    </x:row>
    <x:row r="11">
      <x:c r="A11" s="103" t="n">
        <x:v>26</x:v>
      </x:c>
      <x:c r="B11" s="104" t="str">
        <x:v>ORD-2024-10025</x:v>
      </x:c>
      <x:c r="C11" s="120" t="n">
        <x:v>45355</x:v>
      </x:c>
      <x:c r="D11" s="120" t="n">
        <x:v>45352</x:v>
      </x:c>
      <x:c r="E11" s="104" t="str">
        <x:v>North</x:v>
      </x:c>
      <x:c r="F11" s="104" t="str">
        <x:v>Standard Class</x:v>
      </x:c>
      <x:c r="G11" s="121" t="n">
        <x:v>0.25</x:v>
      </x:c>
      <x:c r="H11" s="104" t="str">
        <x:v>Pending</x:v>
      </x:c>
      <x:c r="I11" s="104" t="str">
        <x:v>Cancelled</x:v>
      </x:c>
      <x:c r="J11" s="104" t="n">
        <x:v>-3</x:v>
      </x:c>
      <x:c r="K11" s="104" t="str">
        <x:v>Review</x:v>
      </x:c>
      <x:c r="L11" s="104" t="str">
        <x:v>Ship date earlier than order date</x:v>
      </x:c>
      <x:c r="M11" s="104" t="str">
        <x:v>Cancelled order – excluded from completed sales</x:v>
      </x:c>
      <x:c r="N11" s="104" t="str">
        <x:v>Valid</x:v>
      </x:c>
      <x:c r="O11" s="105" t="str">
        <x:v>Validate order and ship dates; Exclude from completed sales</x:v>
      </x:c>
    </x:row>
    <x:row r="12">
      <x:c r="A12" s="103" t="n">
        <x:v>29</x:v>
      </x:c>
      <x:c r="B12" s="104" t="str">
        <x:v>ORD-2025-10028</x:v>
      </x:c>
      <x:c r="C12" s="120" t="n">
        <x:v>45929</x:v>
      </x:c>
      <x:c r="D12" s="120" t="n">
        <x:v>45935</x:v>
      </x:c>
      <x:c r="E12" s="104" t="str">
        <x:v>South</x:v>
      </x:c>
      <x:c r="F12" s="104" t="str">
        <x:v>Second Class</x:v>
      </x:c>
      <x:c r="G12" s="121" t="n">
        <x:v>0.25</x:v>
      </x:c>
      <x:c r="H12" s="104" t="str">
        <x:v>Failed</x:v>
      </x:c>
      <x:c r="I12" s="104" t="str">
        <x:v>Returned</x:v>
      </x:c>
      <x:c r="J12" s="104" t="n">
        <x:v>6</x:v>
      </x:c>
      <x:c r="K12" s="104" t="str">
        <x:v>Pass</x:v>
      </x:c>
      <x:c r="L12" s="104" t="str">
        <x:v>OK</x:v>
      </x:c>
      <x:c r="M12" s="104" t="str">
        <x:v>Failed payment – excluded from completed sales</x:v>
      </x:c>
      <x:c r="N12" s="104" t="str">
        <x:v>Valid</x:v>
      </x:c>
      <x:c r="O12" s="105" t="str">
        <x:v>Exclude from completed sales</x:v>
      </x:c>
    </x:row>
    <x:row r="13">
      <x:c r="A13" s="103" t="n">
        <x:v>30</x:v>
      </x:c>
      <x:c r="B13" s="104" t="str">
        <x:v>ORD-2024-10029</x:v>
      </x:c>
      <x:c r="C13" s="120" t="n">
        <x:v>45576</x:v>
      </x:c>
      <x:c r="D13" s="120" t="n">
        <x:v>45583</x:v>
      </x:c>
      <x:c r="E13" s="104" t="str">
        <x:v>West</x:v>
      </x:c>
      <x:c r="F13" s="104" t="str">
        <x:v>Second Class</x:v>
      </x:c>
      <x:c r="G13" s="121" t="n">
        <x:v>0.25</x:v>
      </x:c>
      <x:c r="H13" s="104" t="str">
        <x:v>Refunded</x:v>
      </x:c>
      <x:c r="I13" s="104" t="str">
        <x:v>Cancelled</x:v>
      </x:c>
      <x:c r="J13" s="104" t="n">
        <x:v>7</x:v>
      </x:c>
      <x:c r="K13" s="104" t="str">
        <x:v>Pass</x:v>
      </x:c>
      <x:c r="L13" s="104" t="str">
        <x:v>OK</x:v>
      </x:c>
      <x:c r="M13" s="104" t="str">
        <x:v>Cancelled order – excluded from completed sales; Refunded payment – separately summarized</x:v>
      </x:c>
      <x:c r="N13" s="104" t="str">
        <x:v>Valid</x:v>
      </x:c>
      <x:c r="O13" s="105" t="str">
        <x:v>Included in refund summary</x:v>
      </x:c>
    </x:row>
    <x:row r="14">
      <x:c r="A14" s="103" t="n">
        <x:v>33</x:v>
      </x:c>
      <x:c r="B14" s="104" t="str">
        <x:v>ORD-2025-10032</x:v>
      </x:c>
      <x:c r="C14" s="120" t="n">
        <x:v>45823</x:v>
      </x:c>
      <x:c r="D14" s="120" t="n">
        <x:v>45827</x:v>
      </x:c>
      <x:c r="E14" s="104" t="str">
        <x:v>West</x:v>
      </x:c>
      <x:c r="F14" s="104" t="str">
        <x:v>Second Class</x:v>
      </x:c>
      <x:c r="G14" s="121" t="n">
        <x:v>0</x:v>
      </x:c>
      <x:c r="H14" s="104" t="str">
        <x:v>Failed</x:v>
      </x:c>
      <x:c r="I14" s="104" t="str">
        <x:v>Returned</x:v>
      </x:c>
      <x:c r="J14" s="104" t="n">
        <x:v>4</x:v>
      </x:c>
      <x:c r="K14" s="104" t="str">
        <x:v>Pass</x:v>
      </x:c>
      <x:c r="L14" s="104" t="str">
        <x:v>OK</x:v>
      </x:c>
      <x:c r="M14" s="104" t="str">
        <x:v>Failed payment – excluded from completed sales</x:v>
      </x:c>
      <x:c r="N14" s="104" t="str">
        <x:v>Valid</x:v>
      </x:c>
      <x:c r="O14" s="105" t="str">
        <x:v>Exclude from completed sales</x:v>
      </x:c>
    </x:row>
    <x:row r="15">
      <x:c r="A15" s="103" t="n">
        <x:v>34</x:v>
      </x:c>
      <x:c r="B15" s="104" t="str">
        <x:v>ORD-2024-10033</x:v>
      </x:c>
      <x:c r="C15" s="120" t="n">
        <x:v>45618</x:v>
      </x:c>
      <x:c r="D15" s="120" t="n">
        <x:v>45622</x:v>
      </x:c>
      <x:c r="E15" s="104" t="str">
        <x:v>South</x:v>
      </x:c>
      <x:c r="F15" s="104" t="str">
        <x:v>Second Class</x:v>
      </x:c>
      <x:c r="G15" s="121" t="n">
        <x:v>0</x:v>
      </x:c>
      <x:c r="H15" s="104" t="str">
        <x:v>Paid</x:v>
      </x:c>
      <x:c r="I15" s="104" t="str">
        <x:v>Completed</x:v>
      </x:c>
      <x:c r="J15" s="104" t="n">
        <x:v>4</x:v>
      </x:c>
      <x:c r="K15" s="104" t="str">
        <x:v>Review</x:v>
      </x:c>
      <x:c r="L15" s="104" t="str">
        <x:v>Sales calculation mismatch</x:v>
      </x:c>
      <x:c r="M15" s="104" t="str">
        <x:v>Missing discount imputed as 0</x:v>
      </x:c>
      <x:c r="N15" s="104" t="str">
        <x:v>Missing discount imputed as 0</x:v>
      </x:c>
      <x:c r="O15" s="105" t="str">
        <x:v>Reconcile sales/cost/profit fields</x:v>
      </x:c>
    </x:row>
    <x:row r="16">
      <x:c r="A16" s="103" t="n">
        <x:v>36</x:v>
      </x:c>
      <x:c r="B16" s="104" t="str">
        <x:v>ORD-2025-10035</x:v>
      </x:c>
      <x:c r="C16" s="120" t="n">
        <x:v>45688</x:v>
      </x:c>
      <x:c r="D16" s="120" t="n">
        <x:v>45693</x:v>
      </x:c>
      <x:c r="E16" s="104" t="str">
        <x:v>East</x:v>
      </x:c>
      <x:c r="F16" s="104" t="str">
        <x:v>Unknown</x:v>
      </x:c>
      <x:c r="G16" s="121" t="n">
        <x:v>0.2</x:v>
      </x:c>
      <x:c r="H16" s="104" t="str">
        <x:v>Paid</x:v>
      </x:c>
      <x:c r="I16" s="104" t="str">
        <x:v>Completed</x:v>
      </x:c>
      <x:c r="J16" s="104" t="n">
        <x:v>5</x:v>
      </x:c>
      <x:c r="K16" s="104" t="str">
        <x:v>Review</x:v>
      </x:c>
      <x:c r="L16" s="104" t="str">
        <x:v>Profit calculation mismatch</x:v>
      </x:c>
      <x:c r="M16" s="104" t="str">
        <x:v>Missing ship_mode filled as Unknown</x:v>
      </x:c>
      <x:c r="N16" s="104" t="str">
        <x:v>Valid</x:v>
      </x:c>
      <x:c r="O16" s="105" t="str">
        <x:v>Reconcile sales/cost/profit fields</x:v>
      </x:c>
    </x:row>
    <x:row r="17">
      <x:c r="A17" s="103" t="n">
        <x:v>43</x:v>
      </x:c>
      <x:c r="B17" s="104" t="str">
        <x:v>ORD-2024-10042</x:v>
      </x:c>
      <x:c r="C17" s="120" t="n">
        <x:v>45363</x:v>
      </x:c>
      <x:c r="D17" s="120" t="n">
        <x:v>45368</x:v>
      </x:c>
      <x:c r="E17" s="104" t="str">
        <x:v>East</x:v>
      </x:c>
      <x:c r="F17" s="104" t="str">
        <x:v>Same Day</x:v>
      </x:c>
      <x:c r="G17" s="121" t="n">
        <x:v>0</x:v>
      </x:c>
      <x:c r="H17" s="104" t="str">
        <x:v>Pending</x:v>
      </x:c>
      <x:c r="I17" s="104" t="str">
        <x:v>Cancelled</x:v>
      </x:c>
      <x:c r="J17" s="104" t="n">
        <x:v>5</x:v>
      </x:c>
      <x:c r="K17" s="104" t="str">
        <x:v>Pass</x:v>
      </x:c>
      <x:c r="L17" s="104" t="str">
        <x:v>OK</x:v>
      </x:c>
      <x:c r="M17" s="104" t="str">
        <x:v>Cancelled order – excluded from completed sales</x:v>
      </x:c>
      <x:c r="N17" s="104" t="str">
        <x:v>Valid</x:v>
      </x:c>
      <x:c r="O17" s="105" t="str">
        <x:v>Exclude from completed sales</x:v>
      </x:c>
    </x:row>
    <x:row r="18">
      <x:c r="A18" s="103" t="n">
        <x:v>48</x:v>
      </x:c>
      <x:c r="B18" s="104" t="str">
        <x:v>ORD-2024-10047</x:v>
      </x:c>
      <x:c r="C18" s="120" t="n">
        <x:v>45492</x:v>
      </x:c>
      <x:c r="D18" s="120" t="n">
        <x:v>45492</x:v>
      </x:c>
      <x:c r="E18" s="104" t="str">
        <x:v>South</x:v>
      </x:c>
      <x:c r="F18" s="104" t="str">
        <x:v>Standard Class</x:v>
      </x:c>
      <x:c r="G18" s="121" t="n">
        <x:v>0.25</x:v>
      </x:c>
      <x:c r="H18" s="104" t="str">
        <x:v>Refunded</x:v>
      </x:c>
      <x:c r="I18" s="104" t="str">
        <x:v>Returned</x:v>
      </x:c>
      <x:c r="J18" s="104" t="n">
        <x:v>0</x:v>
      </x:c>
      <x:c r="K18" s="104" t="str">
        <x:v>Pass</x:v>
      </x:c>
      <x:c r="L18" s="104" t="str">
        <x:v>OK</x:v>
      </x:c>
      <x:c r="M18" s="104" t="str">
        <x:v>Refunded payment – separately summarized</x:v>
      </x:c>
      <x:c r="N18" s="104" t="str">
        <x:v>Valid</x:v>
      </x:c>
      <x:c r="O18" s="105" t="str">
        <x:v>Included in refund summary</x:v>
      </x:c>
    </x:row>
    <x:row r="19">
      <x:c r="A19" s="103" t="n">
        <x:v>54</x:v>
      </x:c>
      <x:c r="B19" s="104" t="str">
        <x:v>ORD-2024-10053</x:v>
      </x:c>
      <x:c r="C19" s="120" t="n">
        <x:v>45591</x:v>
      </x:c>
      <x:c r="D19" s="120" t="n">
        <x:v>45593</x:v>
      </x:c>
      <x:c r="E19" s="104" t="str">
        <x:v>North</x:v>
      </x:c>
      <x:c r="F19" s="104" t="str">
        <x:v>First Class</x:v>
      </x:c>
      <x:c r="G19" s="121" t="n">
        <x:v>0</x:v>
      </x:c>
      <x:c r="H19" s="104" t="str">
        <x:v>Failed</x:v>
      </x:c>
      <x:c r="I19" s="104" t="str">
        <x:v>Cancelled</x:v>
      </x:c>
      <x:c r="J19" s="104" t="n">
        <x:v>2</x:v>
      </x:c>
      <x:c r="K19" s="104" t="str">
        <x:v>Pass</x:v>
      </x:c>
      <x:c r="L19" s="104" t="str">
        <x:v>OK</x:v>
      </x:c>
      <x:c r="M19" s="104" t="str">
        <x:v>Cancelled order – excluded from completed sales; Failed payment – excluded from completed sales</x:v>
      </x:c>
      <x:c r="N19" s="104" t="str">
        <x:v>Valid</x:v>
      </x:c>
      <x:c r="O19" s="105" t="str">
        <x:v>Exclude from completed sales</x:v>
      </x:c>
    </x:row>
    <x:row r="20">
      <x:c r="A20" s="103" t="n">
        <x:v>56</x:v>
      </x:c>
      <x:c r="B20" s="104" t="str">
        <x:v>ORD-2025-10055</x:v>
      </x:c>
      <x:c r="C20" s="120" t="n">
        <x:v>45807</x:v>
      </x:c>
      <x:c r="D20" s="120" t="n">
        <x:v>45810</x:v>
      </x:c>
      <x:c r="E20" s="104" t="str">
        <x:v>South</x:v>
      </x:c>
      <x:c r="F20" s="104" t="str">
        <x:v>Same Day</x:v>
      </x:c>
      <x:c r="G20" s="121" t="n">
        <x:v>0.1</x:v>
      </x:c>
      <x:c r="H20" s="104" t="str">
        <x:v>Failed</x:v>
      </x:c>
      <x:c r="I20" s="104" t="str">
        <x:v>Cancelled</x:v>
      </x:c>
      <x:c r="J20" s="104" t="n">
        <x:v>3</x:v>
      </x:c>
      <x:c r="K20" s="104" t="str">
        <x:v>Pass</x:v>
      </x:c>
      <x:c r="L20" s="104" t="str">
        <x:v>OK</x:v>
      </x:c>
      <x:c r="M20" s="104" t="str">
        <x:v>Cancelled order – excluded from completed sales; Failed payment – excluded from completed sales</x:v>
      </x:c>
      <x:c r="N20" s="104" t="str">
        <x:v>Valid</x:v>
      </x:c>
      <x:c r="O20" s="105" t="str">
        <x:v>Exclude from completed sales</x:v>
      </x:c>
    </x:row>
    <x:row r="21">
      <x:c r="A21" s="103" t="n">
        <x:v>58</x:v>
      </x:c>
      <x:c r="B21" s="104" t="str">
        <x:v>ORD-2025-10057</x:v>
      </x:c>
      <x:c r="C21" s="120" t="n">
        <x:v>45662</x:v>
      </x:c>
      <x:c r="D21" s="120" t="n">
        <x:v>45663</x:v>
      </x:c>
      <x:c r="E21" s="104" t="str">
        <x:v>South</x:v>
      </x:c>
      <x:c r="F21" s="104" t="str">
        <x:v>Second Class</x:v>
      </x:c>
      <x:c r="G21" s="121" t="n">
        <x:v>0</x:v>
      </x:c>
      <x:c r="H21" s="104" t="str">
        <x:v>Refunded</x:v>
      </x:c>
      <x:c r="I21" s="104" t="str">
        <x:v>Cancelled</x:v>
      </x:c>
      <x:c r="J21" s="104" t="n">
        <x:v>1</x:v>
      </x:c>
      <x:c r="K21" s="104" t="str">
        <x:v>Pass</x:v>
      </x:c>
      <x:c r="L21" s="104" t="str">
        <x:v>OK</x:v>
      </x:c>
      <x:c r="M21" s="104" t="str">
        <x:v>Cancelled order – excluded from completed sales; Refunded payment – separately summarized</x:v>
      </x:c>
      <x:c r="N21" s="104" t="str">
        <x:v>Valid</x:v>
      </x:c>
      <x:c r="O21" s="105" t="str">
        <x:v>Included in refund summary</x:v>
      </x:c>
    </x:row>
    <x:row r="22">
      <x:c r="A22" s="103" t="n">
        <x:v>60</x:v>
      </x:c>
      <x:c r="B22" s="104" t="str">
        <x:v>ORD-2024-10059</x:v>
      </x:c>
      <x:c r="C22" s="120" t="n">
        <x:v>45536</x:v>
      </x:c>
      <x:c r="D22" s="120" t="n">
        <x:v>45542</x:v>
      </x:c>
      <x:c r="E22" s="104" t="str">
        <x:v>North</x:v>
      </x:c>
      <x:c r="F22" s="104" t="str">
        <x:v>Unknown</x:v>
      </x:c>
      <x:c r="G22" s="121" t="n">
        <x:v>0.1</x:v>
      </x:c>
      <x:c r="H22" s="104" t="str">
        <x:v>Pending</x:v>
      </x:c>
      <x:c r="I22" s="104" t="str">
        <x:v>Returned</x:v>
      </x:c>
      <x:c r="J22" s="104" t="n">
        <x:v>6</x:v>
      </x:c>
      <x:c r="K22" s="104" t="str">
        <x:v>Cleaned</x:v>
      </x:c>
      <x:c r="L22" s="104" t="str">
        <x:v>OK</x:v>
      </x:c>
      <x:c r="M22" s="104" t="str">
        <x:v>Missing ship_mode filled as Unknown</x:v>
      </x:c>
      <x:c r="N22" s="104" t="str">
        <x:v>Valid</x:v>
      </x:c>
      <x:c r="O22" s="105" t="str">
        <x:v>No manual action; adjustment logged</x:v>
      </x:c>
    </x:row>
    <x:row r="23">
      <x:c r="A23" s="103" t="n">
        <x:v>61</x:v>
      </x:c>
      <x:c r="B23" s="104" t="str">
        <x:v>ORD-2024-10060</x:v>
      </x:c>
      <x:c r="C23" s="120" t="n">
        <x:v>45493</x:v>
      </x:c>
      <x:c r="D23" s="120" t="n">
        <x:v>45498</x:v>
      </x:c>
      <x:c r="E23" s="104" t="str">
        <x:v>East</x:v>
      </x:c>
      <x:c r="F23" s="104" t="str">
        <x:v>Same Day</x:v>
      </x:c>
      <x:c r="G23" s="121" t="n">
        <x:v>0.2</x:v>
      </x:c>
      <x:c r="H23" s="104" t="str">
        <x:v>Paid</x:v>
      </x:c>
      <x:c r="I23" s="104" t="str">
        <x:v>Cancelled</x:v>
      </x:c>
      <x:c r="J23" s="104" t="n">
        <x:v>5</x:v>
      </x:c>
      <x:c r="K23" s="104" t="str">
        <x:v>Pass</x:v>
      </x:c>
      <x:c r="L23" s="104" t="str">
        <x:v>OK</x:v>
      </x:c>
      <x:c r="M23" s="104" t="str">
        <x:v>Cancelled order – excluded from completed sales</x:v>
      </x:c>
      <x:c r="N23" s="104" t="str">
        <x:v>Valid</x:v>
      </x:c>
      <x:c r="O23" s="105" t="str">
        <x:v>Exclude from completed sales</x:v>
      </x:c>
    </x:row>
    <x:row r="24">
      <x:c r="A24" s="103" t="n">
        <x:v>62</x:v>
      </x:c>
      <x:c r="B24" s="104" t="str">
        <x:v>ORD-2024-10061</x:v>
      </x:c>
      <x:c r="C24" s="120" t="n">
        <x:v>45486</x:v>
      </x:c>
      <x:c r="D24" s="120" t="n">
        <x:v>45492</x:v>
      </x:c>
      <x:c r="E24" s="104" t="str">
        <x:v>East</x:v>
      </x:c>
      <x:c r="F24" s="104" t="str">
        <x:v>Same Day</x:v>
      </x:c>
      <x:c r="G24" s="121" t="n">
        <x:v>0.2</x:v>
      </x:c>
      <x:c r="H24" s="104" t="str">
        <x:v>Refunded</x:v>
      </x:c>
      <x:c r="I24" s="104" t="str">
        <x:v>Cancelled</x:v>
      </x:c>
      <x:c r="J24" s="104" t="n">
        <x:v>6</x:v>
      </x:c>
      <x:c r="K24" s="104" t="str">
        <x:v>Pass</x:v>
      </x:c>
      <x:c r="L24" s="104" t="str">
        <x:v>OK</x:v>
      </x:c>
      <x:c r="M24" s="104" t="str">
        <x:v>Cancelled order – excluded from completed sales; Refunded payment – separately summarized</x:v>
      </x:c>
      <x:c r="N24" s="104" t="str">
        <x:v>Valid</x:v>
      </x:c>
      <x:c r="O24" s="105" t="str">
        <x:v>Included in refund summary</x:v>
      </x:c>
    </x:row>
    <x:row r="25">
      <x:c r="A25" s="103" t="n">
        <x:v>65</x:v>
      </x:c>
      <x:c r="B25" s="104" t="str">
        <x:v>ORD-2024-10064</x:v>
      </x:c>
      <x:c r="C25" s="120" t="n">
        <x:v>45316</x:v>
      </x:c>
      <x:c r="D25" s="120" t="n">
        <x:v>45323</x:v>
      </x:c>
      <x:c r="E25" s="104" t="str">
        <x:v>North</x:v>
      </x:c>
      <x:c r="F25" s="104" t="str">
        <x:v>Same Day</x:v>
      </x:c>
      <x:c r="G25" s="121" t="n">
        <x:v>0.15</x:v>
      </x:c>
      <x:c r="H25" s="104" t="str">
        <x:v>Paid</x:v>
      </x:c>
      <x:c r="I25" s="104" t="str">
        <x:v>Completed</x:v>
      </x:c>
      <x:c r="J25" s="104" t="n">
        <x:v>7</x:v>
      </x:c>
      <x:c r="K25" s="104" t="str">
        <x:v>Review</x:v>
      </x:c>
      <x:c r="L25" s="104" t="str">
        <x:v>Profit calculation mismatch</x:v>
      </x:c>
      <x:c r="M25" s="104" t="str">
        <x:v>None</x:v>
      </x:c>
      <x:c r="N25" s="104" t="str">
        <x:v>Valid</x:v>
      </x:c>
      <x:c r="O25" s="105" t="str">
        <x:v>Reconcile sales/cost/profit fields</x:v>
      </x:c>
    </x:row>
    <x:row r="26">
      <x:c r="A26" s="103" t="n">
        <x:v>66</x:v>
      </x:c>
      <x:c r="B26" s="104" t="str">
        <x:v>ORD-2024-10065</x:v>
      </x:c>
      <x:c r="C26" s="120" t="n">
        <x:v>45649</x:v>
      </x:c>
      <x:c r="D26" s="120" t="n">
        <x:v>45655</x:v>
      </x:c>
      <x:c r="E26" s="104" t="str">
        <x:v>East</x:v>
      </x:c>
      <x:c r="F26" s="104" t="str">
        <x:v>First Class</x:v>
      </x:c>
      <x:c r="G26" s="121" t="n">
        <x:v>0</x:v>
      </x:c>
      <x:c r="H26" s="104" t="str">
        <x:v>Refunded</x:v>
      </x:c>
      <x:c r="I26" s="104" t="str">
        <x:v>Returned</x:v>
      </x:c>
      <x:c r="J26" s="104" t="n">
        <x:v>6</x:v>
      </x:c>
      <x:c r="K26" s="104" t="str">
        <x:v>Pass</x:v>
      </x:c>
      <x:c r="L26" s="104" t="str">
        <x:v>OK</x:v>
      </x:c>
      <x:c r="M26" s="104" t="str">
        <x:v>Refunded payment – separately summarized</x:v>
      </x:c>
      <x:c r="N26" s="104" t="str">
        <x:v>Valid</x:v>
      </x:c>
      <x:c r="O26" s="105" t="str">
        <x:v>Included in refund summary</x:v>
      </x:c>
    </x:row>
    <x:row r="27">
      <x:c r="A27" s="103" t="n">
        <x:v>70</x:v>
      </x:c>
      <x:c r="B27" s="104" t="str">
        <x:v>ORD-2024-10069</x:v>
      </x:c>
      <x:c r="C27" s="120" t="n">
        <x:v>45606</x:v>
      </x:c>
      <x:c r="D27" s="120" t="n">
        <x:v>45609</x:v>
      </x:c>
      <x:c r="E27" s="104" t="str">
        <x:v>East</x:v>
      </x:c>
      <x:c r="F27" s="104" t="str">
        <x:v>Second Class</x:v>
      </x:c>
      <x:c r="G27" s="121" t="n">
        <x:v>0</x:v>
      </x:c>
      <x:c r="H27" s="104" t="str">
        <x:v>Failed</x:v>
      </x:c>
      <x:c r="I27" s="104" t="str">
        <x:v>Returned</x:v>
      </x:c>
      <x:c r="J27" s="104" t="n">
        <x:v>3</x:v>
      </x:c>
      <x:c r="K27" s="104" t="str">
        <x:v>Pass</x:v>
      </x:c>
      <x:c r="L27" s="104" t="str">
        <x:v>OK</x:v>
      </x:c>
      <x:c r="M27" s="104" t="str">
        <x:v>Failed payment – excluded from completed sales</x:v>
      </x:c>
      <x:c r="N27" s="104" t="str">
        <x:v>Valid</x:v>
      </x:c>
      <x:c r="O27" s="105" t="str">
        <x:v>Exclude from completed sales</x:v>
      </x:c>
    </x:row>
    <x:row r="28">
      <x:c r="A28" s="103" t="n">
        <x:v>71</x:v>
      </x:c>
      <x:c r="B28" s="104" t="str">
        <x:v>ORD-2024-10070</x:v>
      </x:c>
      <x:c r="C28" s="120" t="n">
        <x:v>45391</x:v>
      </x:c>
      <x:c r="D28" s="120" t="n">
        <x:v>45396</x:v>
      </x:c>
      <x:c r="E28" s="104" t="str">
        <x:v>West</x:v>
      </x:c>
      <x:c r="F28" s="104" t="str">
        <x:v>Same Day</x:v>
      </x:c>
      <x:c r="G28" s="121" t="n">
        <x:v>0.1</x:v>
      </x:c>
      <x:c r="H28" s="104" t="str">
        <x:v>Refunded</x:v>
      </x:c>
      <x:c r="I28" s="104" t="str">
        <x:v>Returned</x:v>
      </x:c>
      <x:c r="J28" s="104" t="n">
        <x:v>5</x:v>
      </x:c>
      <x:c r="K28" s="104" t="str">
        <x:v>Pass</x:v>
      </x:c>
      <x:c r="L28" s="104" t="str">
        <x:v>OK</x:v>
      </x:c>
      <x:c r="M28" s="104" t="str">
        <x:v>Refunded payment – separately summarized</x:v>
      </x:c>
      <x:c r="N28" s="104" t="str">
        <x:v>Valid</x:v>
      </x:c>
      <x:c r="O28" s="105" t="str">
        <x:v>Included in refund summary</x:v>
      </x:c>
    </x:row>
    <x:row r="29">
      <x:c r="A29" s="103" t="n">
        <x:v>74</x:v>
      </x:c>
      <x:c r="B29" s="104" t="str">
        <x:v>ORD-2024-10073</x:v>
      </x:c>
      <x:c r="C29" s="120" t="n">
        <x:v>45333</x:v>
      </x:c>
      <x:c r="D29" s="120" t="n">
        <x:v>45329</x:v>
      </x:c>
      <x:c r="E29" s="104" t="str">
        <x:v>South</x:v>
      </x:c>
      <x:c r="F29" s="104" t="str">
        <x:v>First Class</x:v>
      </x:c>
      <x:c r="G29" s="121" t="n">
        <x:v>0.15</x:v>
      </x:c>
      <x:c r="H29" s="104" t="str">
        <x:v>Paid</x:v>
      </x:c>
      <x:c r="I29" s="104" t="str">
        <x:v>Completed</x:v>
      </x:c>
      <x:c r="J29" s="104" t="n">
        <x:v>-4</x:v>
      </x:c>
      <x:c r="K29" s="104" t="str">
        <x:v>Review</x:v>
      </x:c>
      <x:c r="L29" s="104" t="str">
        <x:v>Ship date earlier than order date</x:v>
      </x:c>
      <x:c r="M29" s="104" t="str">
        <x:v>None</x:v>
      </x:c>
      <x:c r="N29" s="104" t="str">
        <x:v>Valid</x:v>
      </x:c>
      <x:c r="O29" s="105" t="str">
        <x:v>Validate order and ship dates</x:v>
      </x:c>
    </x:row>
    <x:row r="30">
      <x:c r="A30" s="103" t="n">
        <x:v>79</x:v>
      </x:c>
      <x:c r="B30" s="104" t="str">
        <x:v>ORD-2025-10078</x:v>
      </x:c>
      <x:c r="C30" s="120" t="n">
        <x:v>45846</x:v>
      </x:c>
      <x:c r="D30" s="120" t="n">
        <x:v>45850</x:v>
      </x:c>
      <x:c r="E30" s="104" t="str">
        <x:v>North</x:v>
      </x:c>
      <x:c r="F30" s="104" t="str">
        <x:v>Standard Class</x:v>
      </x:c>
      <x:c r="G30" s="121" t="n">
        <x:v>0.15</x:v>
      </x:c>
      <x:c r="H30" s="104" t="str">
        <x:v>Refunded</x:v>
      </x:c>
      <x:c r="I30" s="104" t="str">
        <x:v>Cancelled</x:v>
      </x:c>
      <x:c r="J30" s="104" t="n">
        <x:v>4</x:v>
      </x:c>
      <x:c r="K30" s="104" t="str">
        <x:v>Pass</x:v>
      </x:c>
      <x:c r="L30" s="104" t="str">
        <x:v>OK</x:v>
      </x:c>
      <x:c r="M30" s="104" t="str">
        <x:v>Cancelled order – excluded from completed sales; Refunded payment – separately summarized</x:v>
      </x:c>
      <x:c r="N30" s="104" t="str">
        <x:v>Valid</x:v>
      </x:c>
      <x:c r="O30" s="105" t="str">
        <x:v>Included in refund summary</x:v>
      </x:c>
    </x:row>
    <x:row r="31">
      <x:c r="A31" s="103" t="n">
        <x:v>84</x:v>
      </x:c>
      <x:c r="B31" s="104" t="str">
        <x:v>ORD-2024-10083</x:v>
      </x:c>
      <x:c r="C31" s="120" t="n">
        <x:v>45507</x:v>
      </x:c>
      <x:c r="D31" s="120" t="n">
        <x:v>45508</x:v>
      </x:c>
      <x:c r="E31" s="104" t="str">
        <x:v>North</x:v>
      </x:c>
      <x:c r="F31" s="104" t="str">
        <x:v>Second Class</x:v>
      </x:c>
      <x:c r="G31" s="121" t="n">
        <x:v>0</x:v>
      </x:c>
      <x:c r="H31" s="104" t="str">
        <x:v>Failed</x:v>
      </x:c>
      <x:c r="I31" s="104" t="str">
        <x:v>Returned</x:v>
      </x:c>
      <x:c r="J31" s="104" t="n">
        <x:v>1</x:v>
      </x:c>
      <x:c r="K31" s="104" t="str">
        <x:v>Pass</x:v>
      </x:c>
      <x:c r="L31" s="104" t="str">
        <x:v>OK</x:v>
      </x:c>
      <x:c r="M31" s="104" t="str">
        <x:v>Failed payment – excluded from completed sales</x:v>
      </x:c>
      <x:c r="N31" s="104" t="str">
        <x:v>Valid</x:v>
      </x:c>
      <x:c r="O31" s="105" t="str">
        <x:v>Exclude from completed sales</x:v>
      </x:c>
    </x:row>
    <x:row r="32">
      <x:c r="A32" s="103" t="n">
        <x:v>87</x:v>
      </x:c>
      <x:c r="B32" s="104" t="str">
        <x:v>ORD-2024-10086</x:v>
      </x:c>
      <x:c r="C32" s="120" t="n">
        <x:v>45503</x:v>
      </x:c>
      <x:c r="D32" s="120" t="n">
        <x:v>45509</x:v>
      </x:c>
      <x:c r="E32" s="104" t="str">
        <x:v>North</x:v>
      </x:c>
      <x:c r="F32" s="104" t="str">
        <x:v>Standard Class</x:v>
      </x:c>
      <x:c r="G32" s="121" t="n">
        <x:v>0</x:v>
      </x:c>
      <x:c r="H32" s="104" t="str">
        <x:v>Paid</x:v>
      </x:c>
      <x:c r="I32" s="104" t="str">
        <x:v>Cancelled</x:v>
      </x:c>
      <x:c r="J32" s="104" t="n">
        <x:v>6</x:v>
      </x:c>
      <x:c r="K32" s="104" t="str">
        <x:v>Pass</x:v>
      </x:c>
      <x:c r="L32" s="104" t="str">
        <x:v>OK</x:v>
      </x:c>
      <x:c r="M32" s="104" t="str">
        <x:v>Cancelled order – excluded from completed sales</x:v>
      </x:c>
      <x:c r="N32" s="104" t="str">
        <x:v>Valid</x:v>
      </x:c>
      <x:c r="O32" s="105" t="str">
        <x:v>Exclude from completed sales</x:v>
      </x:c>
    </x:row>
    <x:row r="33">
      <x:c r="A33" s="103" t="n">
        <x:v>88</x:v>
      </x:c>
      <x:c r="B33" s="104" t="str">
        <x:v>ORD-2024-10087</x:v>
      </x:c>
      <x:c r="C33" s="120" t="n">
        <x:v>45474</x:v>
      </x:c>
      <x:c r="D33" s="120" t="n">
        <x:v>45474</x:v>
      </x:c>
      <x:c r="E33" s="104" t="str">
        <x:v>North</x:v>
      </x:c>
      <x:c r="F33" s="104" t="str">
        <x:v>Second Class</x:v>
      </x:c>
      <x:c r="G33" s="121" t="n">
        <x:v>0.1</x:v>
      </x:c>
      <x:c r="H33" s="104" t="str">
        <x:v>Refunded</x:v>
      </x:c>
      <x:c r="I33" s="104" t="str">
        <x:v>Cancelled</x:v>
      </x:c>
      <x:c r="J33" s="104" t="n">
        <x:v>0</x:v>
      </x:c>
      <x:c r="K33" s="104" t="str">
        <x:v>Pass</x:v>
      </x:c>
      <x:c r="L33" s="104" t="str">
        <x:v>OK</x:v>
      </x:c>
      <x:c r="M33" s="104" t="str">
        <x:v>Cancelled order – excluded from completed sales; Refunded payment – separately summarized</x:v>
      </x:c>
      <x:c r="N33" s="104" t="str">
        <x:v>Valid</x:v>
      </x:c>
      <x:c r="O33" s="105" t="str">
        <x:v>Included in refund summary</x:v>
      </x:c>
    </x:row>
    <x:row r="34">
      <x:c r="A34" s="103" t="n">
        <x:v>91</x:v>
      </x:c>
      <x:c r="B34" s="104" t="str">
        <x:v>ORD-2024-10090</x:v>
      </x:c>
      <x:c r="C34" s="120" t="n">
        <x:v>45540</x:v>
      </x:c>
      <x:c r="D34" s="120" t="n">
        <x:v>45540</x:v>
      </x:c>
      <x:c r="E34" s="104" t="str">
        <x:v>South</x:v>
      </x:c>
      <x:c r="F34" s="104" t="str">
        <x:v>Standard Class</x:v>
      </x:c>
      <x:c r="G34" s="121" t="n">
        <x:v>0.2</x:v>
      </x:c>
      <x:c r="H34" s="104" t="str">
        <x:v>Pending</x:v>
      </x:c>
      <x:c r="I34" s="104" t="str">
        <x:v>Cancelled</x:v>
      </x:c>
      <x:c r="J34" s="104" t="n">
        <x:v>0</x:v>
      </x:c>
      <x:c r="K34" s="104" t="str">
        <x:v>Pass</x:v>
      </x:c>
      <x:c r="L34" s="104" t="str">
        <x:v>OK</x:v>
      </x:c>
      <x:c r="M34" s="104" t="str">
        <x:v>Cancelled order – excluded from completed sales</x:v>
      </x:c>
      <x:c r="N34" s="104" t="str">
        <x:v>Valid</x:v>
      </x:c>
      <x:c r="O34" s="105" t="str">
        <x:v>Exclude from completed sales</x:v>
      </x:c>
    </x:row>
    <x:row r="35">
      <x:c r="A35" s="103" t="n">
        <x:v>92</x:v>
      </x:c>
      <x:c r="B35" s="104" t="str">
        <x:v>ORD-2025-10091</x:v>
      </x:c>
      <x:c r="C35" s="120" t="n">
        <x:v>45893</x:v>
      </x:c>
      <x:c r="D35" s="120" t="n">
        <x:v>45898</x:v>
      </x:c>
      <x:c r="E35" s="104" t="str">
        <x:v>East</x:v>
      </x:c>
      <x:c r="F35" s="104" t="str">
        <x:v>First Class</x:v>
      </x:c>
      <x:c r="G35" s="121" t="n">
        <x:v>0.15</x:v>
      </x:c>
      <x:c r="H35" s="104" t="str">
        <x:v>Paid</x:v>
      </x:c>
      <x:c r="I35" s="104" t="str">
        <x:v>Completed</x:v>
      </x:c>
      <x:c r="J35" s="104" t="n">
        <x:v>5</x:v>
      </x:c>
      <x:c r="K35" s="104" t="str">
        <x:v>Review</x:v>
      </x:c>
      <x:c r="L35" s="104" t="str">
        <x:v>Conflicting duplicate order ID</x:v>
      </x:c>
      <x:c r="M35" s="104" t="str">
        <x:v>None</x:v>
      </x:c>
      <x:c r="N35" s="104" t="str">
        <x:v>Valid</x:v>
      </x:c>
      <x:c r="O35" s="105" t="str">
        <x:v>Resolve duplicate order-ID conflict</x:v>
      </x:c>
    </x:row>
    <x:row r="36">
      <x:c r="A36" s="103" t="n">
        <x:v>93</x:v>
      </x:c>
      <x:c r="B36" s="104" t="str">
        <x:v>ORD-2025-10092</x:v>
      </x:c>
      <x:c r="C36" s="120" t="n">
        <x:v>45718</x:v>
      </x:c>
      <x:c r="D36" s="120" t="n">
        <x:v>45724</x:v>
      </x:c>
      <x:c r="E36" s="104" t="str">
        <x:v>West</x:v>
      </x:c>
      <x:c r="F36" s="104" t="str">
        <x:v>Second Class</x:v>
      </x:c>
      <x:c r="G36" s="121" t="n">
        <x:v>0</x:v>
      </x:c>
      <x:c r="H36" s="104" t="str">
        <x:v>Paid</x:v>
      </x:c>
      <x:c r="I36" s="104" t="str">
        <x:v>Completed</x:v>
      </x:c>
      <x:c r="J36" s="104" t="n">
        <x:v>6</x:v>
      </x:c>
      <x:c r="K36" s="104" t="str">
        <x:v>Review</x:v>
      </x:c>
      <x:c r="L36" s="104" t="str">
        <x:v>Profit calculation mismatch</x:v>
      </x:c>
      <x:c r="M36" s="104" t="str">
        <x:v>None</x:v>
      </x:c>
      <x:c r="N36" s="104" t="str">
        <x:v>Valid</x:v>
      </x:c>
      <x:c r="O36" s="105" t="str">
        <x:v>Reconcile sales/cost/profit fields</x:v>
      </x:c>
    </x:row>
    <x:row r="37">
      <x:c r="A37" s="103" t="n">
        <x:v>95</x:v>
      </x:c>
      <x:c r="B37" s="104" t="str">
        <x:v>ORD-2024-10094</x:v>
      </x:c>
      <x:c r="C37" s="120" t="n">
        <x:v>45298</x:v>
      </x:c>
      <x:c r="D37" s="120" t="n">
        <x:v>45304</x:v>
      </x:c>
      <x:c r="E37" s="104" t="str">
        <x:v>North</x:v>
      </x:c>
      <x:c r="F37" s="104" t="str">
        <x:v>Standard Class</x:v>
      </x:c>
      <x:c r="G37" s="121" t="n">
        <x:v>-0.09</x:v>
      </x:c>
      <x:c r="H37" s="104" t="str">
        <x:v>Paid</x:v>
      </x:c>
      <x:c r="I37" s="104" t="str">
        <x:v>Completed</x:v>
      </x:c>
      <x:c r="J37" s="104" t="n">
        <x:v>6</x:v>
      </x:c>
      <x:c r="K37" s="104" t="str">
        <x:v>Review</x:v>
      </x:c>
      <x:c r="L37" s="104" t="str">
        <x:v>Negative discount</x:v>
      </x:c>
      <x:c r="M37" s="104" t="str">
        <x:v>None</x:v>
      </x:c>
      <x:c r="N37" s="104" t="str">
        <x:v>Invalid discount – negative</x:v>
      </x:c>
      <x:c r="O37" s="105" t="str">
        <x:v>Confirm or correct source discount</x:v>
      </x:c>
    </x:row>
    <x:row r="38">
      <x:c r="A38" s="103" t="n">
        <x:v>96</x:v>
      </x:c>
      <x:c r="B38" s="104" t="str">
        <x:v>ORD-2024-10095</x:v>
      </x:c>
      <x:c r="C38" s="120" t="n">
        <x:v>45541</x:v>
      </x:c>
      <x:c r="D38" s="120" t="n">
        <x:v>45544</x:v>
      </x:c>
      <x:c r="E38" s="104" t="str">
        <x:v>North</x:v>
      </x:c>
      <x:c r="F38" s="104" t="str">
        <x:v>Second Class</x:v>
      </x:c>
      <x:c r="G38" s="121" t="n">
        <x:v>0</x:v>
      </x:c>
      <x:c r="H38" s="104" t="str">
        <x:v>Pending</x:v>
      </x:c>
      <x:c r="I38" s="104" t="str">
        <x:v>Cancelled</x:v>
      </x:c>
      <x:c r="J38" s="104" t="n">
        <x:v>3</x:v>
      </x:c>
      <x:c r="K38" s="104" t="str">
        <x:v>Pass</x:v>
      </x:c>
      <x:c r="L38" s="104" t="str">
        <x:v>OK</x:v>
      </x:c>
      <x:c r="M38" s="104" t="str">
        <x:v>Cancelled order – excluded from completed sales</x:v>
      </x:c>
      <x:c r="N38" s="104" t="str">
        <x:v>Valid</x:v>
      </x:c>
      <x:c r="O38" s="105" t="str">
        <x:v>Exclude from completed sales</x:v>
      </x:c>
    </x:row>
    <x:row r="39">
      <x:c r="A39" s="103" t="n">
        <x:v>100</x:v>
      </x:c>
      <x:c r="B39" s="104" t="str">
        <x:v>ORD-2024-10099</x:v>
      </x:c>
      <x:c r="C39" s="120" t="n">
        <x:v>45317</x:v>
      </x:c>
      <x:c r="D39" s="120" t="n">
        <x:v>45323</x:v>
      </x:c>
      <x:c r="E39" s="104" t="str">
        <x:v>South</x:v>
      </x:c>
      <x:c r="F39" s="104" t="str">
        <x:v>Unknown</x:v>
      </x:c>
      <x:c r="G39" s="121" t="n">
        <x:v>0.1</x:v>
      </x:c>
      <x:c r="H39" s="104" t="str">
        <x:v>Paid</x:v>
      </x:c>
      <x:c r="I39" s="104" t="str">
        <x:v>Completed</x:v>
      </x:c>
      <x:c r="J39" s="104" t="n">
        <x:v>6</x:v>
      </x:c>
      <x:c r="K39" s="104" t="str">
        <x:v>Cleaned</x:v>
      </x:c>
      <x:c r="L39" s="104" t="str">
        <x:v>OK</x:v>
      </x:c>
      <x:c r="M39" s="104" t="str">
        <x:v>Missing ship_mode filled as Unknown</x:v>
      </x:c>
      <x:c r="N39" s="104" t="str">
        <x:v>Valid</x:v>
      </x:c>
      <x:c r="O39" s="105" t="str">
        <x:v>No manual action; adjustment logged</x:v>
      </x:c>
    </x:row>
    <x:row r="40">
      <x:c r="A40" s="103" t="n">
        <x:v>104</x:v>
      </x:c>
      <x:c r="B40" s="104" t="str">
        <x:v>ORD-2025-10103</x:v>
      </x:c>
      <x:c r="C40" s="120" t="n">
        <x:v>45850</x:v>
      </x:c>
      <x:c r="D40" s="120" t="n">
        <x:v>45854</x:v>
      </x:c>
      <x:c r="E40" s="104" t="str">
        <x:v>South</x:v>
      </x:c>
      <x:c r="F40" s="104" t="str">
        <x:v>First Class</x:v>
      </x:c>
      <x:c r="G40" s="121" t="n">
        <x:v>0</x:v>
      </x:c>
      <x:c r="H40" s="104" t="str">
        <x:v>Refunded</x:v>
      </x:c>
      <x:c r="I40" s="104" t="str">
        <x:v>Cancelled</x:v>
      </x:c>
      <x:c r="J40" s="104" t="n">
        <x:v>4</x:v>
      </x:c>
      <x:c r="K40" s="104" t="str">
        <x:v>Pass</x:v>
      </x:c>
      <x:c r="L40" s="104" t="str">
        <x:v>OK</x:v>
      </x:c>
      <x:c r="M40" s="104" t="str">
        <x:v>Cancelled order – excluded from completed sales; Refunded payment – separately summarized</x:v>
      </x:c>
      <x:c r="N40" s="104" t="str">
        <x:v>Valid</x:v>
      </x:c>
      <x:c r="O40" s="105" t="str">
        <x:v>Included in refund summary</x:v>
      </x:c>
    </x:row>
    <x:row r="41">
      <x:c r="A41" s="103" t="n">
        <x:v>106</x:v>
      </x:c>
      <x:c r="B41" s="104" t="str">
        <x:v>ORD-2025-10105</x:v>
      </x:c>
      <x:c r="C41" s="120" t="n">
        <x:v>45689</x:v>
      </x:c>
      <x:c r="D41" s="120" t="n">
        <x:v>45696</x:v>
      </x:c>
      <x:c r="E41" s="104" t="str">
        <x:v>South</x:v>
      </x:c>
      <x:c r="F41" s="104" t="str">
        <x:v>Same Day</x:v>
      </x:c>
      <x:c r="G41" s="121" t="n">
        <x:v>0.25</x:v>
      </x:c>
      <x:c r="H41" s="104" t="str">
        <x:v>Paid</x:v>
      </x:c>
      <x:c r="I41" s="104" t="str">
        <x:v>Cancelled</x:v>
      </x:c>
      <x:c r="J41" s="104" t="n">
        <x:v>7</x:v>
      </x:c>
      <x:c r="K41" s="104" t="str">
        <x:v>Review</x:v>
      </x:c>
      <x:c r="L41" s="104" t="str">
        <x:v>Sales calculation mismatch; Profit calculation mismatch</x:v>
      </x:c>
      <x:c r="M41" s="104" t="str">
        <x:v>Cancelled order – excluded from completed sales</x:v>
      </x:c>
      <x:c r="N41" s="104" t="str">
        <x:v>Valid</x:v>
      </x:c>
      <x:c r="O41" s="105" t="str">
        <x:v>Reconcile sales/cost/profit fields; Exclude from completed sales</x:v>
      </x:c>
    </x:row>
    <x:row r="42">
      <x:c r="A42" s="103" t="n">
        <x:v>108</x:v>
      </x:c>
      <x:c r="B42" s="104" t="str">
        <x:v>ORD-2024-10107</x:v>
      </x:c>
      <x:c r="C42" s="120" t="n">
        <x:v>45342</x:v>
      </x:c>
      <x:c r="D42" s="120" t="n">
        <x:v>45350</x:v>
      </x:c>
      <x:c r="E42" s="104" t="str">
        <x:v>East</x:v>
      </x:c>
      <x:c r="F42" s="104" t="str">
        <x:v>Standard Class</x:v>
      </x:c>
      <x:c r="G42" s="121" t="n">
        <x:v>0</x:v>
      </x:c>
      <x:c r="H42" s="104" t="str">
        <x:v>Paid</x:v>
      </x:c>
      <x:c r="I42" s="104" t="str">
        <x:v>Cancelled</x:v>
      </x:c>
      <x:c r="J42" s="104" t="n">
        <x:v>8</x:v>
      </x:c>
      <x:c r="K42" s="104" t="str">
        <x:v>Review</x:v>
      </x:c>
      <x:c r="L42" s="104" t="str">
        <x:v>Sales calculation mismatch</x:v>
      </x:c>
      <x:c r="M42" s="104" t="str">
        <x:v>Missing discount imputed as 0; Cancelled order – excluded from completed sales</x:v>
      </x:c>
      <x:c r="N42" s="104" t="str">
        <x:v>Missing discount imputed as 0</x:v>
      </x:c>
      <x:c r="O42" s="105" t="str">
        <x:v>Reconcile sales/cost/profit fields; Exclude from completed sales</x:v>
      </x:c>
    </x:row>
    <x:row r="43">
      <x:c r="A43" s="103" t="n">
        <x:v>112</x:v>
      </x:c>
      <x:c r="B43" s="104" t="str">
        <x:v>ORD-2024-10111</x:v>
      </x:c>
      <x:c r="C43" s="120" t="n">
        <x:v>45583</x:v>
      </x:c>
      <x:c r="D43" s="120" t="n">
        <x:v>45589</x:v>
      </x:c>
      <x:c r="E43" s="104" t="str">
        <x:v>South</x:v>
      </x:c>
      <x:c r="F43" s="104" t="str">
        <x:v>First Class</x:v>
      </x:c>
      <x:c r="G43" s="121" t="n">
        <x:v>0</x:v>
      </x:c>
      <x:c r="H43" s="104" t="str">
        <x:v>Refunded</x:v>
      </x:c>
      <x:c r="I43" s="104" t="str">
        <x:v>Cancelled</x:v>
      </x:c>
      <x:c r="J43" s="104" t="n">
        <x:v>6</x:v>
      </x:c>
      <x:c r="K43" s="104" t="str">
        <x:v>Pass</x:v>
      </x:c>
      <x:c r="L43" s="104" t="str">
        <x:v>OK</x:v>
      </x:c>
      <x:c r="M43" s="104" t="str">
        <x:v>Cancelled order – excluded from completed sales; Refunded payment – separately summarized</x:v>
      </x:c>
      <x:c r="N43" s="104" t="str">
        <x:v>Valid</x:v>
      </x:c>
      <x:c r="O43" s="105" t="str">
        <x:v>Included in refund summary</x:v>
      </x:c>
    </x:row>
    <x:row r="44">
      <x:c r="A44" s="103" t="n">
        <x:v>113</x:v>
      </x:c>
      <x:c r="B44" s="104" t="str">
        <x:v>ORD-2025-10112</x:v>
      </x:c>
      <x:c r="C44" s="120" t="n">
        <x:v>45835</x:v>
      </x:c>
      <x:c r="D44" s="120" t="n">
        <x:v>45838</x:v>
      </x:c>
      <x:c r="E44" s="104" t="str">
        <x:v>East</x:v>
      </x:c>
      <x:c r="F44" s="104" t="str">
        <x:v>First Class</x:v>
      </x:c>
      <x:c r="G44" s="121" t="n">
        <x:v>0.05</x:v>
      </x:c>
      <x:c r="H44" s="104" t="str">
        <x:v>Pending</x:v>
      </x:c>
      <x:c r="I44" s="104" t="str">
        <x:v>Cancelled</x:v>
      </x:c>
      <x:c r="J44" s="104" t="n">
        <x:v>3</x:v>
      </x:c>
      <x:c r="K44" s="104" t="str">
        <x:v>Pass</x:v>
      </x:c>
      <x:c r="L44" s="104" t="str">
        <x:v>OK</x:v>
      </x:c>
      <x:c r="M44" s="104" t="str">
        <x:v>Cancelled order – excluded from completed sales</x:v>
      </x:c>
      <x:c r="N44" s="104" t="str">
        <x:v>Valid</x:v>
      </x:c>
      <x:c r="O44" s="105" t="str">
        <x:v>Exclude from completed sales</x:v>
      </x:c>
    </x:row>
    <x:row r="45">
      <x:c r="A45" s="103" t="n">
        <x:v>114</x:v>
      </x:c>
      <x:c r="B45" s="104" t="str">
        <x:v>ORD-2024-10113</x:v>
      </x:c>
      <x:c r="C45" s="120" t="n">
        <x:v>45301</x:v>
      </x:c>
      <x:c r="D45" s="120" t="n">
        <x:v>45305</x:v>
      </x:c>
      <x:c r="E45" s="104" t="str">
        <x:v>Unknown</x:v>
      </x:c>
      <x:c r="F45" s="104" t="str">
        <x:v>Standard Class</x:v>
      </x:c>
      <x:c r="G45" s="121" t="n">
        <x:v>0.05</x:v>
      </x:c>
      <x:c r="H45" s="104" t="str">
        <x:v>Paid</x:v>
      </x:c>
      <x:c r="I45" s="104" t="str">
        <x:v>Completed</x:v>
      </x:c>
      <x:c r="J45" s="104" t="n">
        <x:v>4</x:v>
      </x:c>
      <x:c r="K45" s="104" t="str">
        <x:v>Cleaned</x:v>
      </x:c>
      <x:c r="L45" s="104" t="str">
        <x:v>OK</x:v>
      </x:c>
      <x:c r="M45" s="104" t="str">
        <x:v>Missing region filled as Unknown</x:v>
      </x:c>
      <x:c r="N45" s="104" t="str">
        <x:v>Valid</x:v>
      </x:c>
      <x:c r="O45" s="105" t="str">
        <x:v>No manual action; adjustment logged</x:v>
      </x:c>
    </x:row>
    <x:row r="46">
      <x:c r="A46" s="103" t="n">
        <x:v>116</x:v>
      </x:c>
      <x:c r="B46" s="104" t="str">
        <x:v>ORD-2024-10115</x:v>
      </x:c>
      <x:c r="C46" s="120" t="n">
        <x:v>45560</x:v>
      </x:c>
      <x:c r="D46" s="120" t="n">
        <x:v>45565</x:v>
      </x:c>
      <x:c r="E46" s="104" t="str">
        <x:v>North</x:v>
      </x:c>
      <x:c r="F46" s="104" t="str">
        <x:v>Second Class</x:v>
      </x:c>
      <x:c r="G46" s="121" t="n">
        <x:v>0.1</x:v>
      </x:c>
      <x:c r="H46" s="104" t="str">
        <x:v>Pending</x:v>
      </x:c>
      <x:c r="I46" s="104" t="str">
        <x:v>Cancelled</x:v>
      </x:c>
      <x:c r="J46" s="104" t="n">
        <x:v>5</x:v>
      </x:c>
      <x:c r="K46" s="104" t="str">
        <x:v>Pass</x:v>
      </x:c>
      <x:c r="L46" s="104" t="str">
        <x:v>OK</x:v>
      </x:c>
      <x:c r="M46" s="104" t="str">
        <x:v>Cancelled order – excluded from completed sales</x:v>
      </x:c>
      <x:c r="N46" s="104" t="str">
        <x:v>Valid</x:v>
      </x:c>
      <x:c r="O46" s="105" t="str">
        <x:v>Exclude from completed sales</x:v>
      </x:c>
    </x:row>
    <x:row r="47">
      <x:c r="A47" s="103" t="n">
        <x:v>117</x:v>
      </x:c>
      <x:c r="B47" s="104" t="str">
        <x:v>ORD-2024-10116</x:v>
      </x:c>
      <x:c r="C47" s="120" t="n">
        <x:v>45653</x:v>
      </x:c>
      <x:c r="D47" s="120" t="n">
        <x:v>45658</x:v>
      </x:c>
      <x:c r="E47" s="104" t="str">
        <x:v>South</x:v>
      </x:c>
      <x:c r="F47" s="104" t="str">
        <x:v>Same Day</x:v>
      </x:c>
      <x:c r="G47" s="121" t="n">
        <x:v>0.15</x:v>
      </x:c>
      <x:c r="H47" s="104" t="str">
        <x:v>Paid</x:v>
      </x:c>
      <x:c r="I47" s="104" t="str">
        <x:v>Cancelled</x:v>
      </x:c>
      <x:c r="J47" s="104" t="n">
        <x:v>5</x:v>
      </x:c>
      <x:c r="K47" s="104" t="str">
        <x:v>Pass</x:v>
      </x:c>
      <x:c r="L47" s="104" t="str">
        <x:v>OK</x:v>
      </x:c>
      <x:c r="M47" s="104" t="str">
        <x:v>Cancelled order – excluded from completed sales</x:v>
      </x:c>
      <x:c r="N47" s="104" t="str">
        <x:v>Valid</x:v>
      </x:c>
      <x:c r="O47" s="105" t="str">
        <x:v>Exclude from completed sales</x:v>
      </x:c>
    </x:row>
    <x:row r="48">
      <x:c r="A48" s="103" t="n">
        <x:v>118</x:v>
      </x:c>
      <x:c r="B48" s="104" t="str">
        <x:v>ORD-2025-10117</x:v>
      </x:c>
      <x:c r="C48" s="120" t="n">
        <x:v>45703</x:v>
      </x:c>
      <x:c r="D48" s="120" t="n">
        <x:v>45707</x:v>
      </x:c>
      <x:c r="E48" s="104" t="str">
        <x:v>Unknown</x:v>
      </x:c>
      <x:c r="F48" s="104" t="str">
        <x:v>First Class</x:v>
      </x:c>
      <x:c r="G48" s="121" t="n">
        <x:v>0.25</x:v>
      </x:c>
      <x:c r="H48" s="104" t="str">
        <x:v>Failed</x:v>
      </x:c>
      <x:c r="I48" s="104" t="str">
        <x:v>Cancelled</x:v>
      </x:c>
      <x:c r="J48" s="104" t="n">
        <x:v>4</x:v>
      </x:c>
      <x:c r="K48" s="104" t="str">
        <x:v>Cleaned</x:v>
      </x:c>
      <x:c r="L48" s="104" t="str">
        <x:v>OK</x:v>
      </x:c>
      <x:c r="M48" s="104" t="str">
        <x:v>Missing region filled as Unknown; Cancelled order – excluded from completed sales; Failed payment – excluded from completed sales</x:v>
      </x:c>
      <x:c r="N48" s="104" t="str">
        <x:v>Valid</x:v>
      </x:c>
      <x:c r="O48" s="105" t="str">
        <x:v>Exclude from completed sales</x:v>
      </x:c>
    </x:row>
    <x:row r="49">
      <x:c r="A49" s="103" t="n">
        <x:v>119</x:v>
      </x:c>
      <x:c r="B49" s="104" t="str">
        <x:v>ORD-2024-10118</x:v>
      </x:c>
      <x:c r="C49" s="120" t="n">
        <x:v>45337</x:v>
      </x:c>
      <x:c r="D49" s="120" t="n">
        <x:v>45339</x:v>
      </x:c>
      <x:c r="E49" s="104" t="str">
        <x:v>South</x:v>
      </x:c>
      <x:c r="F49" s="104" t="str">
        <x:v>Standard Class</x:v>
      </x:c>
      <x:c r="G49" s="121" t="n">
        <x:v>0.7</x:v>
      </x:c>
      <x:c r="H49" s="104" t="str">
        <x:v>Paid</x:v>
      </x:c>
      <x:c r="I49" s="104" t="str">
        <x:v>Completed</x:v>
      </x:c>
      <x:c r="J49" s="104" t="n">
        <x:v>2</x:v>
      </x:c>
      <x:c r="K49" s="104" t="str">
        <x:v>Review</x:v>
      </x:c>
      <x:c r="L49" s="104" t="str">
        <x:v>Discount above allowed range (&gt;50%)</x:v>
      </x:c>
      <x:c r="M49" s="104" t="str">
        <x:v>None</x:v>
      </x:c>
      <x:c r="N49" s="104" t="str">
        <x:v>Invalid discount – above 50% allowed range</x:v>
      </x:c>
      <x:c r="O49" s="105" t="str">
        <x:v>Confirm or correct source discount</x:v>
      </x:c>
    </x:row>
    <x:row r="50">
      <x:c r="A50" s="103" t="n">
        <x:v>121</x:v>
      </x:c>
      <x:c r="B50" s="104" t="str">
        <x:v>ORD-2024-10120</x:v>
      </x:c>
      <x:c r="C50" s="120" t="n">
        <x:v>45455</x:v>
      </x:c>
      <x:c r="D50" s="120" t="n">
        <x:v>45462</x:v>
      </x:c>
      <x:c r="E50" s="104" t="str">
        <x:v>South</x:v>
      </x:c>
      <x:c r="F50" s="104" t="str">
        <x:v>Standard Class</x:v>
      </x:c>
      <x:c r="G50" s="121" t="n">
        <x:v>0.25</x:v>
      </x:c>
      <x:c r="H50" s="104" t="str">
        <x:v>Refunded</x:v>
      </x:c>
      <x:c r="I50" s="104" t="str">
        <x:v>Returned</x:v>
      </x:c>
      <x:c r="J50" s="104" t="n">
        <x:v>7</x:v>
      </x:c>
      <x:c r="K50" s="104" t="str">
        <x:v>Cleaned</x:v>
      </x:c>
      <x:c r="L50" s="104" t="str">
        <x:v>OK</x:v>
      </x:c>
      <x:c r="M50" s="104" t="str">
        <x:v>Refunded payment – separately summarized</x:v>
      </x:c>
      <x:c r="N50" s="104" t="str">
        <x:v>Valid</x:v>
      </x:c>
      <x:c r="O50" s="105" t="str">
        <x:v>Included in refund summary</x:v>
      </x:c>
    </x:row>
    <x:row r="51">
      <x:c r="A51" s="103" t="n">
        <x:v>123</x:v>
      </x:c>
      <x:c r="B51" s="104" t="str">
        <x:v>ORD-2025-10122</x:v>
      </x:c>
      <x:c r="C51" s="120" t="n">
        <x:v>45891</x:v>
      </x:c>
      <x:c r="D51" s="120" t="n">
        <x:v>45895</x:v>
      </x:c>
      <x:c r="E51" s="104" t="str">
        <x:v>South</x:v>
      </x:c>
      <x:c r="F51" s="104" t="str">
        <x:v>Second Class</x:v>
      </x:c>
      <x:c r="G51" s="121" t="n">
        <x:v>0</x:v>
      </x:c>
      <x:c r="H51" s="104" t="str">
        <x:v>Refunded</x:v>
      </x:c>
      <x:c r="I51" s="104" t="str">
        <x:v>Cancelled</x:v>
      </x:c>
      <x:c r="J51" s="104" t="n">
        <x:v>4</x:v>
      </x:c>
      <x:c r="K51" s="104" t="str">
        <x:v>Cleaned</x:v>
      </x:c>
      <x:c r="L51" s="104" t="str">
        <x:v>OK</x:v>
      </x:c>
      <x:c r="M51" s="104" t="str">
        <x:v>Cancelled order – excluded from completed sales; Refunded payment – separately summarized</x:v>
      </x:c>
      <x:c r="N51" s="104" t="str">
        <x:v>Valid</x:v>
      </x:c>
      <x:c r="O51" s="105" t="str">
        <x:v>Included in refund summary</x:v>
      </x:c>
    </x:row>
    <x:row r="52">
      <x:c r="A52" s="103" t="n">
        <x:v>125</x:v>
      </x:c>
      <x:c r="B52" s="104" t="str">
        <x:v>ORD-2024-10124</x:v>
      </x:c>
      <x:c r="C52" s="120" t="n">
        <x:v>45436</x:v>
      </x:c>
      <x:c r="D52" s="120" t="n">
        <x:v>45437</x:v>
      </x:c>
      <x:c r="E52" s="104" t="str">
        <x:v>North</x:v>
      </x:c>
      <x:c r="F52" s="104" t="str">
        <x:v>Same Day</x:v>
      </x:c>
      <x:c r="G52" s="121" t="n">
        <x:v>0</x:v>
      </x:c>
      <x:c r="H52" s="104" t="str">
        <x:v>Refunded</x:v>
      </x:c>
      <x:c r="I52" s="104" t="str">
        <x:v>Cancelled</x:v>
      </x:c>
      <x:c r="J52" s="104" t="n">
        <x:v>1</x:v>
      </x:c>
      <x:c r="K52" s="104" t="str">
        <x:v>Review</x:v>
      </x:c>
      <x:c r="L52" s="104" t="str">
        <x:v>Conflicting duplicate order ID</x:v>
      </x:c>
      <x:c r="M52" s="104" t="str">
        <x:v>Cancelled order – excluded from completed sales; Refunded payment – separately summarized</x:v>
      </x:c>
      <x:c r="N52" s="104" t="str">
        <x:v>Valid</x:v>
      </x:c>
      <x:c r="O52" s="105" t="str">
        <x:v>Resolve duplicate order-ID conflict; Included in refund summary</x:v>
      </x:c>
    </x:row>
    <x:row r="53">
      <x:c r="A53" s="103" t="n">
        <x:v>126</x:v>
      </x:c>
      <x:c r="B53" s="104" t="str">
        <x:v>ORD-2024-10125</x:v>
      </x:c>
      <x:c r="C53" s="120" t="n">
        <x:v>45494</x:v>
      </x:c>
      <x:c r="D53" s="120" t="n">
        <x:v>45497</x:v>
      </x:c>
      <x:c r="E53" s="104" t="str">
        <x:v>South</x:v>
      </x:c>
      <x:c r="F53" s="104" t="str">
        <x:v>Standard Class</x:v>
      </x:c>
      <x:c r="G53" s="121" t="n">
        <x:v>-0.15</x:v>
      </x:c>
      <x:c r="H53" s="104" t="str">
        <x:v>Paid</x:v>
      </x:c>
      <x:c r="I53" s="104" t="str">
        <x:v>Completed</x:v>
      </x:c>
      <x:c r="J53" s="104" t="n">
        <x:v>3</x:v>
      </x:c>
      <x:c r="K53" s="104" t="str">
        <x:v>Review</x:v>
      </x:c>
      <x:c r="L53" s="104" t="str">
        <x:v>Negative discount</x:v>
      </x:c>
      <x:c r="M53" s="104" t="str">
        <x:v>None</x:v>
      </x:c>
      <x:c r="N53" s="104" t="str">
        <x:v>Invalid discount – negative</x:v>
      </x:c>
      <x:c r="O53" s="105" t="str">
        <x:v>Confirm or correct source discount</x:v>
      </x:c>
    </x:row>
    <x:row r="54">
      <x:c r="A54" s="103" t="n">
        <x:v>127</x:v>
      </x:c>
      <x:c r="B54" s="104" t="str">
        <x:v>ORD-2025-10126</x:v>
      </x:c>
      <x:c r="C54" s="120" t="n">
        <x:v>45855</x:v>
      </x:c>
      <x:c r="D54" s="120" t="n">
        <x:v>45856</x:v>
      </x:c>
      <x:c r="E54" s="104" t="str">
        <x:v>West</x:v>
      </x:c>
      <x:c r="F54" s="104" t="str">
        <x:v>Same Day</x:v>
      </x:c>
      <x:c r="G54" s="121" t="n">
        <x:v>0.25</x:v>
      </x:c>
      <x:c r="H54" s="104" t="str">
        <x:v>Refunded</x:v>
      </x:c>
      <x:c r="I54" s="104" t="str">
        <x:v>Returned</x:v>
      </x:c>
      <x:c r="J54" s="104" t="n">
        <x:v>1</x:v>
      </x:c>
      <x:c r="K54" s="104" t="str">
        <x:v>Pass</x:v>
      </x:c>
      <x:c r="L54" s="104" t="str">
        <x:v>OK</x:v>
      </x:c>
      <x:c r="M54" s="104" t="str">
        <x:v>Refunded payment – separately summarized</x:v>
      </x:c>
      <x:c r="N54" s="104" t="str">
        <x:v>Valid</x:v>
      </x:c>
      <x:c r="O54" s="105" t="str">
        <x:v>Included in refund summary</x:v>
      </x:c>
    </x:row>
    <x:row r="55">
      <x:c r="A55" s="103" t="n">
        <x:v>129</x:v>
      </x:c>
      <x:c r="B55" s="104" t="str">
        <x:v>ORD-2025-10128</x:v>
      </x:c>
      <x:c r="C55" s="120" t="n">
        <x:v>45687</x:v>
      </x:c>
      <x:c r="D55" s="120" t="n">
        <x:v>45683</x:v>
      </x:c>
      <x:c r="E55" s="104" t="str">
        <x:v>West</x:v>
      </x:c>
      <x:c r="F55" s="104" t="str">
        <x:v>Second Class</x:v>
      </x:c>
      <x:c r="G55" s="121" t="n">
        <x:v>0.05</x:v>
      </x:c>
      <x:c r="H55" s="104" t="str">
        <x:v>Paid</x:v>
      </x:c>
      <x:c r="I55" s="104" t="str">
        <x:v>Completed</x:v>
      </x:c>
      <x:c r="J55" s="104" t="n">
        <x:v>-4</x:v>
      </x:c>
      <x:c r="K55" s="104" t="str">
        <x:v>Review</x:v>
      </x:c>
      <x:c r="L55" s="104" t="str">
        <x:v>Ship date earlier than order date</x:v>
      </x:c>
      <x:c r="M55" s="104" t="str">
        <x:v>None</x:v>
      </x:c>
      <x:c r="N55" s="104" t="str">
        <x:v>Valid</x:v>
      </x:c>
      <x:c r="O55" s="105" t="str">
        <x:v>Validate order and ship dates</x:v>
      </x:c>
    </x:row>
    <x:row r="56">
      <x:c r="A56" s="103" t="n">
        <x:v>132</x:v>
      </x:c>
      <x:c r="B56" s="104" t="str">
        <x:v>ORD-2024-10131</x:v>
      </x:c>
      <x:c r="C56" s="120" t="n">
        <x:v>45318</x:v>
      </x:c>
      <x:c r="D56" s="120" t="n">
        <x:v>45324</x:v>
      </x:c>
      <x:c r="E56" s="104" t="str">
        <x:v>West</x:v>
      </x:c>
      <x:c r="F56" s="104" t="str">
        <x:v>Same Day</x:v>
      </x:c>
      <x:c r="G56" s="121" t="n">
        <x:v>0.2</x:v>
      </x:c>
      <x:c r="H56" s="104" t="str">
        <x:v>Pending</x:v>
      </x:c>
      <x:c r="I56" s="104" t="str">
        <x:v>Cancelled</x:v>
      </x:c>
      <x:c r="J56" s="104" t="n">
        <x:v>6</x:v>
      </x:c>
      <x:c r="K56" s="104" t="str">
        <x:v>Pass</x:v>
      </x:c>
      <x:c r="L56" s="104" t="str">
        <x:v>OK</x:v>
      </x:c>
      <x:c r="M56" s="104" t="str">
        <x:v>Cancelled order – excluded from completed sales</x:v>
      </x:c>
      <x:c r="N56" s="104" t="str">
        <x:v>Valid</x:v>
      </x:c>
      <x:c r="O56" s="105" t="str">
        <x:v>Exclude from completed sales</x:v>
      </x:c>
    </x:row>
    <x:row r="57">
      <x:c r="A57" s="103" t="n">
        <x:v>134</x:v>
      </x:c>
      <x:c r="B57" s="104" t="str">
        <x:v>ORD-2024-10133</x:v>
      </x:c>
      <x:c r="C57" s="120" t="n">
        <x:v>45600</x:v>
      </x:c>
      <x:c r="D57" s="120" t="n">
        <x:v>45600</x:v>
      </x:c>
      <x:c r="E57" s="104" t="str">
        <x:v>East</x:v>
      </x:c>
      <x:c r="F57" s="104" t="str">
        <x:v>First Class</x:v>
      </x:c>
      <x:c r="G57" s="121" t="n">
        <x:v>0</x:v>
      </x:c>
      <x:c r="H57" s="104" t="str">
        <x:v>Failed</x:v>
      </x:c>
      <x:c r="I57" s="104" t="str">
        <x:v>Cancelled</x:v>
      </x:c>
      <x:c r="J57" s="104" t="n">
        <x:v>0</x:v>
      </x:c>
      <x:c r="K57" s="104" t="str">
        <x:v>Pass</x:v>
      </x:c>
      <x:c r="L57" s="104" t="str">
        <x:v>OK</x:v>
      </x:c>
      <x:c r="M57" s="104" t="str">
        <x:v>Cancelled order – excluded from completed sales; Failed payment – excluded from completed sales</x:v>
      </x:c>
      <x:c r="N57" s="104" t="str">
        <x:v>Valid</x:v>
      </x:c>
      <x:c r="O57" s="105" t="str">
        <x:v>Exclude from completed sales</x:v>
      </x:c>
    </x:row>
    <x:row r="58">
      <x:c r="A58" s="103" t="n">
        <x:v>136</x:v>
      </x:c>
      <x:c r="B58" s="104" t="str">
        <x:v>ORD-2025-10135</x:v>
      </x:c>
      <x:c r="C58" s="120" t="n">
        <x:v>45852</x:v>
      </x:c>
      <x:c r="D58" s="120" t="n">
        <x:v>45852</x:v>
      </x:c>
      <x:c r="E58" s="104" t="str">
        <x:v>East</x:v>
      </x:c>
      <x:c r="F58" s="104" t="str">
        <x:v>Unknown</x:v>
      </x:c>
      <x:c r="G58" s="121" t="n">
        <x:v>0.25</x:v>
      </x:c>
      <x:c r="H58" s="104" t="str">
        <x:v>Pending</x:v>
      </x:c>
      <x:c r="I58" s="104" t="str">
        <x:v>Cancelled</x:v>
      </x:c>
      <x:c r="J58" s="104" t="n">
        <x:v>0</x:v>
      </x:c>
      <x:c r="K58" s="104" t="str">
        <x:v>Cleaned</x:v>
      </x:c>
      <x:c r="L58" s="104" t="str">
        <x:v>OK</x:v>
      </x:c>
      <x:c r="M58" s="104" t="str">
        <x:v>Missing ship_mode filled as Unknown; Cancelled order – excluded from completed sales</x:v>
      </x:c>
      <x:c r="N58" s="104" t="str">
        <x:v>Valid</x:v>
      </x:c>
      <x:c r="O58" s="105" t="str">
        <x:v>Exclude from completed sales</x:v>
      </x:c>
    </x:row>
    <x:row r="59">
      <x:c r="A59" s="103" t="n">
        <x:v>144</x:v>
      </x:c>
      <x:c r="B59" s="104" t="str">
        <x:v>ORD-2024-10143</x:v>
      </x:c>
      <x:c r="C59" s="120" t="n">
        <x:v>45381</x:v>
      </x:c>
      <x:c r="D59" s="120" t="n">
        <x:v>45377</x:v>
      </x:c>
      <x:c r="E59" s="104" t="str">
        <x:v>North</x:v>
      </x:c>
      <x:c r="F59" s="104" t="str">
        <x:v>Second Class</x:v>
      </x:c>
      <x:c r="G59" s="121" t="n">
        <x:v>0.15</x:v>
      </x:c>
      <x:c r="H59" s="104" t="str">
        <x:v>Paid</x:v>
      </x:c>
      <x:c r="I59" s="104" t="str">
        <x:v>Completed</x:v>
      </x:c>
      <x:c r="J59" s="104" t="n">
        <x:v>-4</x:v>
      </x:c>
      <x:c r="K59" s="104" t="str">
        <x:v>Review</x:v>
      </x:c>
      <x:c r="L59" s="104" t="str">
        <x:v>Ship date earlier than order date; Conflicting duplicate order ID</x:v>
      </x:c>
      <x:c r="M59" s="104" t="str">
        <x:v>None</x:v>
      </x:c>
      <x:c r="N59" s="104" t="str">
        <x:v>Valid</x:v>
      </x:c>
      <x:c r="O59" s="105" t="str">
        <x:v>Validate order and ship dates; Resolve duplicate order-ID conflict</x:v>
      </x:c>
    </x:row>
    <x:row r="60">
      <x:c r="A60" s="103" t="n">
        <x:v>146</x:v>
      </x:c>
      <x:c r="B60" s="104" t="str">
        <x:v>ORD-2024-10145</x:v>
      </x:c>
      <x:c r="C60" s="120" t="n">
        <x:v>45450</x:v>
      </x:c>
      <x:c r="D60" s="120" t="n">
        <x:v>45458</x:v>
      </x:c>
      <x:c r="E60" s="104" t="str">
        <x:v>South</x:v>
      </x:c>
      <x:c r="F60" s="104" t="str">
        <x:v>First Class</x:v>
      </x:c>
      <x:c r="G60" s="121" t="n">
        <x:v>0.25</x:v>
      </x:c>
      <x:c r="H60" s="104" t="str">
        <x:v>Refunded</x:v>
      </x:c>
      <x:c r="I60" s="104" t="str">
        <x:v>Returned</x:v>
      </x:c>
      <x:c r="J60" s="104" t="n">
        <x:v>8</x:v>
      </x:c>
      <x:c r="K60" s="104" t="str">
        <x:v>Pass</x:v>
      </x:c>
      <x:c r="L60" s="104" t="str">
        <x:v>OK</x:v>
      </x:c>
      <x:c r="M60" s="104" t="str">
        <x:v>Refunded payment – separately summarized</x:v>
      </x:c>
      <x:c r="N60" s="104" t="str">
        <x:v>Valid</x:v>
      </x:c>
      <x:c r="O60" s="105" t="str">
        <x:v>Included in refund summary</x:v>
      </x:c>
    </x:row>
    <x:row r="61">
      <x:c r="A61" s="103" t="n">
        <x:v>150</x:v>
      </x:c>
      <x:c r="B61" s="104" t="str">
        <x:v>ORD-2025-10149</x:v>
      </x:c>
      <x:c r="C61" s="120" t="n">
        <x:v>45697</x:v>
      </x:c>
      <x:c r="D61" s="120" t="n">
        <x:v>45701</x:v>
      </x:c>
      <x:c r="E61" s="104" t="str">
        <x:v>West</x:v>
      </x:c>
      <x:c r="F61" s="104" t="str">
        <x:v>Unknown</x:v>
      </x:c>
      <x:c r="G61" s="121" t="n">
        <x:v>0.25</x:v>
      </x:c>
      <x:c r="H61" s="104" t="str">
        <x:v>Paid</x:v>
      </x:c>
      <x:c r="I61" s="104" t="str">
        <x:v>Completed</x:v>
      </x:c>
      <x:c r="J61" s="104" t="n">
        <x:v>4</x:v>
      </x:c>
      <x:c r="K61" s="104" t="str">
        <x:v>Cleaned</x:v>
      </x:c>
      <x:c r="L61" s="104" t="str">
        <x:v>OK</x:v>
      </x:c>
      <x:c r="M61" s="104" t="str">
        <x:v>Missing ship_mode filled as Unknown</x:v>
      </x:c>
      <x:c r="N61" s="104" t="str">
        <x:v>Valid</x:v>
      </x:c>
      <x:c r="O61" s="105" t="str">
        <x:v>No manual action; adjustment logged</x:v>
      </x:c>
    </x:row>
    <x:row r="62">
      <x:c r="A62" s="103" t="n">
        <x:v>152</x:v>
      </x:c>
      <x:c r="B62" s="104" t="str">
        <x:v>ORD-2024-10151</x:v>
      </x:c>
      <x:c r="C62" s="120" t="n">
        <x:v>45355</x:v>
      </x:c>
      <x:c r="D62" s="120" t="n">
        <x:v>45363</x:v>
      </x:c>
      <x:c r="E62" s="104" t="str">
        <x:v>Unknown</x:v>
      </x:c>
      <x:c r="F62" s="104" t="str">
        <x:v>First Class</x:v>
      </x:c>
      <x:c r="G62" s="121" t="n">
        <x:v>0.1</x:v>
      </x:c>
      <x:c r="H62" s="104" t="str">
        <x:v>Paid</x:v>
      </x:c>
      <x:c r="I62" s="104" t="str">
        <x:v>Completed</x:v>
      </x:c>
      <x:c r="J62" s="104" t="n">
        <x:v>8</x:v>
      </x:c>
      <x:c r="K62" s="104" t="str">
        <x:v>Cleaned</x:v>
      </x:c>
      <x:c r="L62" s="104" t="str">
        <x:v>OK</x:v>
      </x:c>
      <x:c r="M62" s="104" t="str">
        <x:v>Missing region filled as Unknown</x:v>
      </x:c>
      <x:c r="N62" s="104" t="str">
        <x:v>Valid</x:v>
      </x:c>
      <x:c r="O62" s="105" t="str">
        <x:v>No manual action; adjustment logged</x:v>
      </x:c>
    </x:row>
    <x:row r="63">
      <x:c r="A63" s="103" t="n">
        <x:v>153</x:v>
      </x:c>
      <x:c r="B63" s="104" t="str">
        <x:v>ORD-2024-10152</x:v>
      </x:c>
      <x:c r="C63" s="120" t="n">
        <x:v>45470</x:v>
      </x:c>
      <x:c r="D63" s="120" t="n">
        <x:v>45470</x:v>
      </x:c>
      <x:c r="E63" s="104" t="str">
        <x:v>Unknown</x:v>
      </x:c>
      <x:c r="F63" s="104" t="str">
        <x:v>Standard Class</x:v>
      </x:c>
      <x:c r="G63" s="121" t="n">
        <x:v>0</x:v>
      </x:c>
      <x:c r="H63" s="104" t="str">
        <x:v>Pending</x:v>
      </x:c>
      <x:c r="I63" s="104" t="str">
        <x:v>Returned</x:v>
      </x:c>
      <x:c r="J63" s="104" t="n">
        <x:v>0</x:v>
      </x:c>
      <x:c r="K63" s="104" t="str">
        <x:v>Cleaned</x:v>
      </x:c>
      <x:c r="L63" s="104" t="str">
        <x:v>OK</x:v>
      </x:c>
      <x:c r="M63" s="104" t="str">
        <x:v>Missing region filled as Unknown</x:v>
      </x:c>
      <x:c r="N63" s="104" t="str">
        <x:v>Valid</x:v>
      </x:c>
      <x:c r="O63" s="105" t="str">
        <x:v>No manual action; adjustment logged</x:v>
      </x:c>
    </x:row>
    <x:row r="64">
      <x:c r="A64" s="103" t="n">
        <x:v>155</x:v>
      </x:c>
      <x:c r="B64" s="104" t="str">
        <x:v>ORD-2025-10154</x:v>
      </x:c>
      <x:c r="C64" s="120" t="n">
        <x:v>45923</x:v>
      </x:c>
      <x:c r="D64" s="120" t="n">
        <x:v>45925</x:v>
      </x:c>
      <x:c r="E64" s="104" t="str">
        <x:v>East</x:v>
      </x:c>
      <x:c r="F64" s="104" t="str">
        <x:v>Standard Class</x:v>
      </x:c>
      <x:c r="G64" s="121" t="n">
        <x:v>0</x:v>
      </x:c>
      <x:c r="H64" s="104" t="str">
        <x:v>Refunded</x:v>
      </x:c>
      <x:c r="I64" s="104" t="str">
        <x:v>Returned</x:v>
      </x:c>
      <x:c r="J64" s="104" t="n">
        <x:v>2</x:v>
      </x:c>
      <x:c r="K64" s="104" t="str">
        <x:v>Pass</x:v>
      </x:c>
      <x:c r="L64" s="104" t="str">
        <x:v>OK</x:v>
      </x:c>
      <x:c r="M64" s="104" t="str">
        <x:v>Refunded payment – separately summarized</x:v>
      </x:c>
      <x:c r="N64" s="104" t="str">
        <x:v>Valid</x:v>
      </x:c>
      <x:c r="O64" s="105" t="str">
        <x:v>Included in refund summary</x:v>
      </x:c>
    </x:row>
    <x:row r="65">
      <x:c r="A65" s="103" t="n">
        <x:v>156</x:v>
      </x:c>
      <x:c r="B65" s="104" t="str">
        <x:v>ORD-2024-10155</x:v>
      </x:c>
      <x:c r="C65" s="120" t="n">
        <x:v>45334</x:v>
      </x:c>
      <x:c r="D65" s="120" t="n">
        <x:v>45333</x:v>
      </x:c>
      <x:c r="E65" s="104" t="str">
        <x:v>South</x:v>
      </x:c>
      <x:c r="F65" s="104" t="str">
        <x:v>Same Day</x:v>
      </x:c>
      <x:c r="G65" s="121" t="n">
        <x:v>0.15</x:v>
      </x:c>
      <x:c r="H65" s="104" t="str">
        <x:v>Paid</x:v>
      </x:c>
      <x:c r="I65" s="104" t="str">
        <x:v>Completed</x:v>
      </x:c>
      <x:c r="J65" s="104" t="n">
        <x:v>-1</x:v>
      </x:c>
      <x:c r="K65" s="104" t="str">
        <x:v>Review</x:v>
      </x:c>
      <x:c r="L65" s="104" t="str">
        <x:v>Ship date earlier than order date</x:v>
      </x:c>
      <x:c r="M65" s="104" t="str">
        <x:v>None</x:v>
      </x:c>
      <x:c r="N65" s="104" t="str">
        <x:v>Valid</x:v>
      </x:c>
      <x:c r="O65" s="105" t="str">
        <x:v>Validate order and ship dates</x:v>
      </x:c>
    </x:row>
    <x:row r="66">
      <x:c r="A66" s="103" t="n">
        <x:v>157</x:v>
      </x:c>
      <x:c r="B66" s="104" t="str">
        <x:v>ORD-2025-10156</x:v>
      </x:c>
      <x:c r="C66" s="120" t="n">
        <x:v>45683</x:v>
      </x:c>
      <x:c r="D66" s="120" t="n">
        <x:v>45691</x:v>
      </x:c>
      <x:c r="E66" s="104" t="str">
        <x:v>West</x:v>
      </x:c>
      <x:c r="F66" s="104" t="str">
        <x:v>Same Day</x:v>
      </x:c>
      <x:c r="G66" s="121" t="n">
        <x:v>0.1</x:v>
      </x:c>
      <x:c r="H66" s="104" t="str">
        <x:v>Refunded</x:v>
      </x:c>
      <x:c r="I66" s="104" t="str">
        <x:v>Returned</x:v>
      </x:c>
      <x:c r="J66" s="104" t="n">
        <x:v>8</x:v>
      </x:c>
      <x:c r="K66" s="104" t="str">
        <x:v>Pass</x:v>
      </x:c>
      <x:c r="L66" s="104" t="str">
        <x:v>OK</x:v>
      </x:c>
      <x:c r="M66" s="104" t="str">
        <x:v>Refunded payment – separately summarized</x:v>
      </x:c>
      <x:c r="N66" s="104" t="str">
        <x:v>Valid</x:v>
      </x:c>
      <x:c r="O66" s="105" t="str">
        <x:v>Included in refund summary</x:v>
      </x:c>
    </x:row>
    <x:row r="67">
      <x:c r="A67" s="103" t="n">
        <x:v>161</x:v>
      </x:c>
      <x:c r="B67" s="104" t="str">
        <x:v>ORD-2025-10160</x:v>
      </x:c>
      <x:c r="C67" s="120" t="n">
        <x:v>45687</x:v>
      </x:c>
      <x:c r="D67" s="120" t="n">
        <x:v>45692</x:v>
      </x:c>
      <x:c r="E67" s="104" t="str">
        <x:v>North</x:v>
      </x:c>
      <x:c r="F67" s="104" t="str">
        <x:v>Same Day</x:v>
      </x:c>
      <x:c r="G67" s="121" t="n">
        <x:v>0.15</x:v>
      </x:c>
      <x:c r="H67" s="104" t="str">
        <x:v>Pending</x:v>
      </x:c>
      <x:c r="I67" s="104" t="str">
        <x:v>Cancelled</x:v>
      </x:c>
      <x:c r="J67" s="104" t="n">
        <x:v>5</x:v>
      </x:c>
      <x:c r="K67" s="104" t="str">
        <x:v>Pass</x:v>
      </x:c>
      <x:c r="L67" s="104" t="str">
        <x:v>OK</x:v>
      </x:c>
      <x:c r="M67" s="104" t="str">
        <x:v>Cancelled order – excluded from completed sales</x:v>
      </x:c>
      <x:c r="N67" s="104" t="str">
        <x:v>Valid</x:v>
      </x:c>
      <x:c r="O67" s="105" t="str">
        <x:v>Exclude from completed sales</x:v>
      </x:c>
    </x:row>
    <x:row r="68">
      <x:c r="A68" s="103" t="n">
        <x:v>162</x:v>
      </x:c>
      <x:c r="B68" s="104" t="str">
        <x:v>ORD-2025-10161</x:v>
      </x:c>
      <x:c r="C68" s="120" t="n">
        <x:v>45938</x:v>
      </x:c>
      <x:c r="D68" s="120" t="n">
        <x:v>45936</x:v>
      </x:c>
      <x:c r="E68" s="104" t="str">
        <x:v>West</x:v>
      </x:c>
      <x:c r="F68" s="104" t="str">
        <x:v>Second Class</x:v>
      </x:c>
      <x:c r="G68" s="121" t="n">
        <x:v>0.05</x:v>
      </x:c>
      <x:c r="H68" s="104" t="str">
        <x:v>Pending</x:v>
      </x:c>
      <x:c r="I68" s="104" t="str">
        <x:v>Cancelled</x:v>
      </x:c>
      <x:c r="J68" s="104" t="n">
        <x:v>-2</x:v>
      </x:c>
      <x:c r="K68" s="104" t="str">
        <x:v>Review</x:v>
      </x:c>
      <x:c r="L68" s="104" t="str">
        <x:v>Ship date earlier than order date</x:v>
      </x:c>
      <x:c r="M68" s="104" t="str">
        <x:v>Cancelled order – excluded from completed sales</x:v>
      </x:c>
      <x:c r="N68" s="104" t="str">
        <x:v>Valid</x:v>
      </x:c>
      <x:c r="O68" s="105" t="str">
        <x:v>Validate order and ship dates; Exclude from completed sales</x:v>
      </x:c>
    </x:row>
    <x:row r="69">
      <x:c r="A69" s="103" t="n">
        <x:v>163</x:v>
      </x:c>
      <x:c r="B69" s="104" t="str">
        <x:v>ORD-2025-10162</x:v>
      </x:c>
      <x:c r="C69" s="120" t="n">
        <x:v>45862</x:v>
      </x:c>
      <x:c r="D69" s="120" t="n">
        <x:v>45868</x:v>
      </x:c>
      <x:c r="E69" s="104" t="str">
        <x:v>West</x:v>
      </x:c>
      <x:c r="F69" s="104" t="str">
        <x:v>Standard Class</x:v>
      </x:c>
      <x:c r="G69" s="121" t="n">
        <x:v>0</x:v>
      </x:c>
      <x:c r="H69" s="104" t="str">
        <x:v>Pending</x:v>
      </x:c>
      <x:c r="I69" s="104" t="str">
        <x:v>Cancelled</x:v>
      </x:c>
      <x:c r="J69" s="104" t="n">
        <x:v>6</x:v>
      </x:c>
      <x:c r="K69" s="104" t="str">
        <x:v>Cleaned</x:v>
      </x:c>
      <x:c r="L69" s="104" t="str">
        <x:v>OK</x:v>
      </x:c>
      <x:c r="M69" s="104" t="str">
        <x:v>Cancelled order – excluded from completed sales</x:v>
      </x:c>
      <x:c r="N69" s="104" t="str">
        <x:v>Valid</x:v>
      </x:c>
      <x:c r="O69" s="105" t="str">
        <x:v>Exclude from completed sales</x:v>
      </x:c>
    </x:row>
    <x:row r="70">
      <x:c r="A70" s="103" t="n">
        <x:v>164</x:v>
      </x:c>
      <x:c r="B70" s="104" t="str">
        <x:v>ORD-2024-10163</x:v>
      </x:c>
      <x:c r="C70" s="120" t="n">
        <x:v>45360</x:v>
      </x:c>
      <x:c r="D70" s="120" t="n">
        <x:v>45365</x:v>
      </x:c>
      <x:c r="E70" s="104" t="str">
        <x:v>West</x:v>
      </x:c>
      <x:c r="F70" s="104" t="str">
        <x:v>Second Class</x:v>
      </x:c>
      <x:c r="G70" s="121" t="n">
        <x:v>0</x:v>
      </x:c>
      <x:c r="H70" s="104" t="str">
        <x:v>Pending</x:v>
      </x:c>
      <x:c r="I70" s="104" t="str">
        <x:v>Returned</x:v>
      </x:c>
      <x:c r="J70" s="104" t="n">
        <x:v>5</x:v>
      </x:c>
      <x:c r="K70" s="104" t="str">
        <x:v>Review</x:v>
      </x:c>
      <x:c r="L70" s="104" t="str">
        <x:v>Sales calculation mismatch; Profit calculation mismatch</x:v>
      </x:c>
      <x:c r="M70" s="104" t="str">
        <x:v>None</x:v>
      </x:c>
      <x:c r="N70" s="104" t="str">
        <x:v>Valid</x:v>
      </x:c>
      <x:c r="O70" s="105" t="str">
        <x:v>Reconcile sales/cost/profit fields</x:v>
      </x:c>
    </x:row>
    <x:row r="71">
      <x:c r="A71" s="103" t="n">
        <x:v>165</x:v>
      </x:c>
      <x:c r="B71" s="104" t="str">
        <x:v>ORD-2025-10164</x:v>
      </x:c>
      <x:c r="C71" s="120" t="n">
        <x:v>45921</x:v>
      </x:c>
      <x:c r="D71" s="120" t="n">
        <x:v>45926</x:v>
      </x:c>
      <x:c r="E71" s="104" t="str">
        <x:v>West</x:v>
      </x:c>
      <x:c r="F71" s="104" t="str">
        <x:v>Unknown</x:v>
      </x:c>
      <x:c r="G71" s="121" t="n">
        <x:v>0.1</x:v>
      </x:c>
      <x:c r="H71" s="104" t="str">
        <x:v>Pending</x:v>
      </x:c>
      <x:c r="I71" s="104" t="str">
        <x:v>Returned</x:v>
      </x:c>
      <x:c r="J71" s="104" t="n">
        <x:v>5</x:v>
      </x:c>
      <x:c r="K71" s="104" t="str">
        <x:v>Cleaned</x:v>
      </x:c>
      <x:c r="L71" s="104" t="str">
        <x:v>OK</x:v>
      </x:c>
      <x:c r="M71" s="104" t="str">
        <x:v>Missing ship_mode filled as Unknown</x:v>
      </x:c>
      <x:c r="N71" s="104" t="str">
        <x:v>Valid</x:v>
      </x:c>
      <x:c r="O71" s="105" t="str">
        <x:v>No manual action; adjustment logged</x:v>
      </x:c>
    </x:row>
    <x:row r="72">
      <x:c r="A72" s="103" t="n">
        <x:v>170</x:v>
      </x:c>
      <x:c r="B72" s="104" t="str">
        <x:v>ORD-2025-10169</x:v>
      </x:c>
      <x:c r="C72" s="120" t="n">
        <x:v>45677</x:v>
      </x:c>
      <x:c r="D72" s="120" t="n">
        <x:v>45680</x:v>
      </x:c>
      <x:c r="E72" s="104" t="str">
        <x:v>West</x:v>
      </x:c>
      <x:c r="F72" s="104" t="str">
        <x:v>Same Day</x:v>
      </x:c>
      <x:c r="G72" s="121" t="n">
        <x:v>0.2</x:v>
      </x:c>
      <x:c r="H72" s="104" t="str">
        <x:v>Paid</x:v>
      </x:c>
      <x:c r="I72" s="104" t="str">
        <x:v>Cancelled</x:v>
      </x:c>
      <x:c r="J72" s="104" t="n">
        <x:v>3</x:v>
      </x:c>
      <x:c r="K72" s="104" t="str">
        <x:v>Pass</x:v>
      </x:c>
      <x:c r="L72" s="104" t="str">
        <x:v>OK</x:v>
      </x:c>
      <x:c r="M72" s="104" t="str">
        <x:v>Cancelled order – excluded from completed sales</x:v>
      </x:c>
      <x:c r="N72" s="104" t="str">
        <x:v>Valid</x:v>
      </x:c>
      <x:c r="O72" s="105" t="str">
        <x:v>Exclude from completed sales</x:v>
      </x:c>
    </x:row>
    <x:row r="73">
      <x:c r="A73" s="103" t="n">
        <x:v>172</x:v>
      </x:c>
      <x:c r="B73" s="104" t="str">
        <x:v>ORD-2025-10171</x:v>
      </x:c>
      <x:c r="C73" s="120" t="n">
        <x:v>45907</x:v>
      </x:c>
      <x:c r="D73" s="120" t="n">
        <x:v>45915</x:v>
      </x:c>
      <x:c r="E73" s="104" t="str">
        <x:v>East</x:v>
      </x:c>
      <x:c r="F73" s="104" t="str">
        <x:v>Standard Class</x:v>
      </x:c>
      <x:c r="G73" s="121" t="n">
        <x:v>0</x:v>
      </x:c>
      <x:c r="H73" s="104" t="str">
        <x:v>Paid</x:v>
      </x:c>
      <x:c r="I73" s="104" t="str">
        <x:v>Completed</x:v>
      </x:c>
      <x:c r="J73" s="104" t="n">
        <x:v>8</x:v>
      </x:c>
      <x:c r="K73" s="104" t="str">
        <x:v>Review</x:v>
      </x:c>
      <x:c r="L73" s="104" t="str">
        <x:v>Conflicting duplicate order ID</x:v>
      </x:c>
      <x:c r="M73" s="104" t="str">
        <x:v>None</x:v>
      </x:c>
      <x:c r="N73" s="104" t="str">
        <x:v>Valid</x:v>
      </x:c>
      <x:c r="O73" s="105" t="str">
        <x:v>Resolve duplicate order-ID conflict</x:v>
      </x:c>
    </x:row>
    <x:row r="74">
      <x:c r="A74" s="103" t="n">
        <x:v>174</x:v>
      </x:c>
      <x:c r="B74" s="104" t="str">
        <x:v>ORD-2025-10173</x:v>
      </x:c>
      <x:c r="C74" s="120" t="n">
        <x:v>45871</x:v>
      </x:c>
      <x:c r="D74" s="120" t="n">
        <x:v>45879</x:v>
      </x:c>
      <x:c r="E74" s="104" t="str">
        <x:v>North</x:v>
      </x:c>
      <x:c r="F74" s="104" t="str">
        <x:v>Same Day</x:v>
      </x:c>
      <x:c r="G74" s="121" t="n">
        <x:v>0.1</x:v>
      </x:c>
      <x:c r="H74" s="104" t="str">
        <x:v>Refunded</x:v>
      </x:c>
      <x:c r="I74" s="104" t="str">
        <x:v>Returned</x:v>
      </x:c>
      <x:c r="J74" s="104" t="n">
        <x:v>8</x:v>
      </x:c>
      <x:c r="K74" s="104" t="str">
        <x:v>Pass</x:v>
      </x:c>
      <x:c r="L74" s="104" t="str">
        <x:v>OK</x:v>
      </x:c>
      <x:c r="M74" s="104" t="str">
        <x:v>Refunded payment – separately summarized</x:v>
      </x:c>
      <x:c r="N74" s="104" t="str">
        <x:v>Valid</x:v>
      </x:c>
      <x:c r="O74" s="105" t="str">
        <x:v>Included in refund summary</x:v>
      </x:c>
    </x:row>
    <x:row r="75">
      <x:c r="A75" s="103" t="n">
        <x:v>179</x:v>
      </x:c>
      <x:c r="B75" s="104" t="str">
        <x:v>ORD-2024-10178</x:v>
      </x:c>
      <x:c r="C75" s="120" t="n">
        <x:v>45444</x:v>
      </x:c>
      <x:c r="D75" s="120" t="n">
        <x:v>45446</x:v>
      </x:c>
      <x:c r="E75" s="104" t="str">
        <x:v>Unknown</x:v>
      </x:c>
      <x:c r="F75" s="104" t="str">
        <x:v>Same Day</x:v>
      </x:c>
      <x:c r="G75" s="121" t="n">
        <x:v>0</x:v>
      </x:c>
      <x:c r="H75" s="104" t="str">
        <x:v>Paid</x:v>
      </x:c>
      <x:c r="I75" s="104" t="str">
        <x:v>Completed</x:v>
      </x:c>
      <x:c r="J75" s="104" t="n">
        <x:v>2</x:v>
      </x:c>
      <x:c r="K75" s="104" t="str">
        <x:v>Cleaned</x:v>
      </x:c>
      <x:c r="L75" s="104" t="str">
        <x:v>OK</x:v>
      </x:c>
      <x:c r="M75" s="104" t="str">
        <x:v>Missing region filled as Unknown</x:v>
      </x:c>
      <x:c r="N75" s="104" t="str">
        <x:v>Valid</x:v>
      </x:c>
      <x:c r="O75" s="105" t="str">
        <x:v>No manual action; adjustment logged</x:v>
      </x:c>
    </x:row>
    <x:row r="76">
      <x:c r="A76" s="103" t="n">
        <x:v>181</x:v>
      </x:c>
      <x:c r="B76" s="104" t="str">
        <x:v>ORD-2024-10180</x:v>
      </x:c>
      <x:c r="C76" s="120" t="n">
        <x:v>45366</x:v>
      </x:c>
      <x:c r="D76" s="120" t="n">
        <x:v>45370</x:v>
      </x:c>
      <x:c r="E76" s="104" t="str">
        <x:v>South</x:v>
      </x:c>
      <x:c r="F76" s="104" t="str">
        <x:v>Standard Class</x:v>
      </x:c>
      <x:c r="G76" s="121" t="n">
        <x:v>0.25</x:v>
      </x:c>
      <x:c r="H76" s="104" t="str">
        <x:v>Refunded</x:v>
      </x:c>
      <x:c r="I76" s="104" t="str">
        <x:v>Returned</x:v>
      </x:c>
      <x:c r="J76" s="104" t="n">
        <x:v>4</x:v>
      </x:c>
      <x:c r="K76" s="104" t="str">
        <x:v>Pass</x:v>
      </x:c>
      <x:c r="L76" s="104" t="str">
        <x:v>OK</x:v>
      </x:c>
      <x:c r="M76" s="104" t="str">
        <x:v>Refunded payment – separately summarized</x:v>
      </x:c>
      <x:c r="N76" s="104" t="str">
        <x:v>Valid</x:v>
      </x:c>
      <x:c r="O76" s="105" t="str">
        <x:v>Included in refund summary</x:v>
      </x:c>
    </x:row>
    <x:row r="77">
      <x:c r="A77" s="103" t="n">
        <x:v>186</x:v>
      </x:c>
      <x:c r="B77" s="104" t="str">
        <x:v>ORD-2024-10185</x:v>
      </x:c>
      <x:c r="C77" s="120" t="n">
        <x:v>45384</x:v>
      </x:c>
      <x:c r="D77" s="120" t="n">
        <x:v>45388</x:v>
      </x:c>
      <x:c r="E77" s="104" t="str">
        <x:v>West</x:v>
      </x:c>
      <x:c r="F77" s="104" t="str">
        <x:v>Standard Class</x:v>
      </x:c>
      <x:c r="G77" s="121" t="n">
        <x:v>0</x:v>
      </x:c>
      <x:c r="H77" s="104" t="str">
        <x:v>Refunded</x:v>
      </x:c>
      <x:c r="I77" s="104" t="str">
        <x:v>Returned</x:v>
      </x:c>
      <x:c r="J77" s="104" t="n">
        <x:v>4</x:v>
      </x:c>
      <x:c r="K77" s="104" t="str">
        <x:v>Pass</x:v>
      </x:c>
      <x:c r="L77" s="104" t="str">
        <x:v>OK</x:v>
      </x:c>
      <x:c r="M77" s="104" t="str">
        <x:v>Refunded payment – separately summarized</x:v>
      </x:c>
      <x:c r="N77" s="104" t="str">
        <x:v>Valid</x:v>
      </x:c>
      <x:c r="O77" s="105" t="str">
        <x:v>Included in refund summary</x:v>
      </x:c>
    </x:row>
    <x:row r="78">
      <x:c r="A78" s="103" t="n">
        <x:v>187</x:v>
      </x:c>
      <x:c r="B78" s="104" t="str">
        <x:v>ORD-2024-10186</x:v>
      </x:c>
      <x:c r="C78" s="120" t="n">
        <x:v>45601</x:v>
      </x:c>
      <x:c r="D78" s="120" t="n">
        <x:v>45609</x:v>
      </x:c>
      <x:c r="E78" s="104" t="str">
        <x:v>Unknown</x:v>
      </x:c>
      <x:c r="F78" s="104" t="str">
        <x:v>Second Class</x:v>
      </x:c>
      <x:c r="G78" s="121" t="n">
        <x:v>0.2</x:v>
      </x:c>
      <x:c r="H78" s="104" t="str">
        <x:v>Paid</x:v>
      </x:c>
      <x:c r="I78" s="104" t="str">
        <x:v>Completed</x:v>
      </x:c>
      <x:c r="J78" s="104" t="n">
        <x:v>8</x:v>
      </x:c>
      <x:c r="K78" s="104" t="str">
        <x:v>Cleaned</x:v>
      </x:c>
      <x:c r="L78" s="104" t="str">
        <x:v>OK</x:v>
      </x:c>
      <x:c r="M78" s="104" t="str">
        <x:v>Missing region filled as Unknown</x:v>
      </x:c>
      <x:c r="N78" s="104" t="str">
        <x:v>Valid</x:v>
      </x:c>
      <x:c r="O78" s="105" t="str">
        <x:v>No manual action; adjustment logged</x:v>
      </x:c>
    </x:row>
    <x:row r="79">
      <x:c r="A79" s="103" t="n">
        <x:v>190</x:v>
      </x:c>
      <x:c r="B79" s="104" t="str">
        <x:v>ORD-2025-10189</x:v>
      </x:c>
      <x:c r="C79" s="120" t="n">
        <x:v>45798</x:v>
      </x:c>
      <x:c r="D79" s="120" t="n">
        <x:v>45805</x:v>
      </x:c>
      <x:c r="E79" s="104" t="str">
        <x:v>East</x:v>
      </x:c>
      <x:c r="F79" s="104" t="str">
        <x:v>Same Day</x:v>
      </x:c>
      <x:c r="G79" s="121" t="n">
        <x:v>0.1</x:v>
      </x:c>
      <x:c r="H79" s="104" t="str">
        <x:v>Paid</x:v>
      </x:c>
      <x:c r="I79" s="104" t="str">
        <x:v>Completed</x:v>
      </x:c>
      <x:c r="J79" s="104" t="n">
        <x:v>7</x:v>
      </x:c>
      <x:c r="K79" s="104" t="str">
        <x:v>Review</x:v>
      </x:c>
      <x:c r="L79" s="104" t="str">
        <x:v>Sales calculation mismatch; Profit calculation mismatch</x:v>
      </x:c>
      <x:c r="M79" s="104" t="str">
        <x:v>None</x:v>
      </x:c>
      <x:c r="N79" s="104" t="str">
        <x:v>Valid</x:v>
      </x:c>
      <x:c r="O79" s="105" t="str">
        <x:v>Reconcile sales/cost/profit fields</x:v>
      </x:c>
    </x:row>
    <x:row r="80">
      <x:c r="A80" s="103" t="n">
        <x:v>191</x:v>
      </x:c>
      <x:c r="B80" s="104" t="str">
        <x:v>ORD-2025-10190</x:v>
      </x:c>
      <x:c r="C80" s="120" t="n">
        <x:v>45783</x:v>
      </x:c>
      <x:c r="D80" s="120" t="n">
        <x:v>45784</x:v>
      </x:c>
      <x:c r="E80" s="104" t="str">
        <x:v>West</x:v>
      </x:c>
      <x:c r="F80" s="104" t="str">
        <x:v>First Class</x:v>
      </x:c>
      <x:c r="G80" s="121" t="n">
        <x:v>0</x:v>
      </x:c>
      <x:c r="H80" s="104" t="str">
        <x:v>Paid</x:v>
      </x:c>
      <x:c r="I80" s="104" t="str">
        <x:v>Completed</x:v>
      </x:c>
      <x:c r="J80" s="104" t="n">
        <x:v>1</x:v>
      </x:c>
      <x:c r="K80" s="104" t="str">
        <x:v>Review</x:v>
      </x:c>
      <x:c r="L80" s="104" t="str">
        <x:v>Sales calculation mismatch</x:v>
      </x:c>
      <x:c r="M80" s="104" t="str">
        <x:v>Missing discount imputed as 0</x:v>
      </x:c>
      <x:c r="N80" s="104" t="str">
        <x:v>Missing discount imputed as 0</x:v>
      </x:c>
      <x:c r="O80" s="105" t="str">
        <x:v>Reconcile sales/cost/profit fields</x:v>
      </x:c>
    </x:row>
    <x:row r="81">
      <x:c r="A81" s="103" t="n">
        <x:v>193</x:v>
      </x:c>
      <x:c r="B81" s="104" t="str">
        <x:v>ORD-2024-10192</x:v>
      </x:c>
      <x:c r="C81" s="120" t="n">
        <x:v>45584</x:v>
      </x:c>
      <x:c r="D81" s="120" t="n">
        <x:v>45589</x:v>
      </x:c>
      <x:c r="E81" s="104" t="str">
        <x:v>South</x:v>
      </x:c>
      <x:c r="F81" s="104" t="str">
        <x:v>Second Class</x:v>
      </x:c>
      <x:c r="G81" s="121" t="n">
        <x:v>0.65</x:v>
      </x:c>
      <x:c r="H81" s="104" t="str">
        <x:v>Paid</x:v>
      </x:c>
      <x:c r="I81" s="104" t="str">
        <x:v>Completed</x:v>
      </x:c>
      <x:c r="J81" s="104" t="n">
        <x:v>5</x:v>
      </x:c>
      <x:c r="K81" s="104" t="str">
        <x:v>Review</x:v>
      </x:c>
      <x:c r="L81" s="104" t="str">
        <x:v>Discount above allowed range (&gt;50%)</x:v>
      </x:c>
      <x:c r="M81" s="104" t="str">
        <x:v>None</x:v>
      </x:c>
      <x:c r="N81" s="104" t="str">
        <x:v>Invalid discount – above 50% allowed range</x:v>
      </x:c>
      <x:c r="O81" s="105" t="str">
        <x:v>Confirm or correct source discount</x:v>
      </x:c>
    </x:row>
    <x:row r="82">
      <x:c r="A82" s="103" t="n">
        <x:v>195</x:v>
      </x:c>
      <x:c r="B82" s="104" t="str">
        <x:v>ORD-2024-10194</x:v>
      </x:c>
      <x:c r="C82" s="120" t="n">
        <x:v>45466</x:v>
      </x:c>
      <x:c r="D82" s="120" t="n">
        <x:v>45471</x:v>
      </x:c>
      <x:c r="E82" s="104" t="str">
        <x:v>North</x:v>
      </x:c>
      <x:c r="F82" s="104" t="str">
        <x:v>Same Day</x:v>
      </x:c>
      <x:c r="G82" s="121" t="n">
        <x:v>0.2</x:v>
      </x:c>
      <x:c r="H82" s="104" t="str">
        <x:v>Refunded</x:v>
      </x:c>
      <x:c r="I82" s="104" t="str">
        <x:v>Returned</x:v>
      </x:c>
      <x:c r="J82" s="104" t="n">
        <x:v>5</x:v>
      </x:c>
      <x:c r="K82" s="104" t="str">
        <x:v>Pass</x:v>
      </x:c>
      <x:c r="L82" s="104" t="str">
        <x:v>OK</x:v>
      </x:c>
      <x:c r="M82" s="104" t="str">
        <x:v>Refunded payment – separately summarized</x:v>
      </x:c>
      <x:c r="N82" s="104" t="str">
        <x:v>Valid</x:v>
      </x:c>
      <x:c r="O82" s="105" t="str">
        <x:v>Included in refund summary</x:v>
      </x:c>
    </x:row>
    <x:row r="83">
      <x:c r="A83" s="103" t="n">
        <x:v>200</x:v>
      </x:c>
      <x:c r="B83" s="104" t="str">
        <x:v>ORD-2024-10199</x:v>
      </x:c>
      <x:c r="C83" s="120" t="n">
        <x:v>45448</x:v>
      </x:c>
      <x:c r="D83" s="120" t="n">
        <x:v>45449</x:v>
      </x:c>
      <x:c r="E83" s="104" t="str">
        <x:v>West</x:v>
      </x:c>
      <x:c r="F83" s="104" t="str">
        <x:v>Second Class</x:v>
      </x:c>
      <x:c r="G83" s="121" t="n">
        <x:v>0.05</x:v>
      </x:c>
      <x:c r="H83" s="104" t="str">
        <x:v>Failed</x:v>
      </x:c>
      <x:c r="I83" s="104" t="str">
        <x:v>Cancelled</x:v>
      </x:c>
      <x:c r="J83" s="104" t="n">
        <x:v>1</x:v>
      </x:c>
      <x:c r="K83" s="104" t="str">
        <x:v>Pass</x:v>
      </x:c>
      <x:c r="L83" s="104" t="str">
        <x:v>OK</x:v>
      </x:c>
      <x:c r="M83" s="104" t="str">
        <x:v>Cancelled order – excluded from completed sales; Failed payment – excluded from completed sales</x:v>
      </x:c>
      <x:c r="N83" s="104" t="str">
        <x:v>Valid</x:v>
      </x:c>
      <x:c r="O83" s="105" t="str">
        <x:v>Exclude from completed sales</x:v>
      </x:c>
    </x:row>
    <x:row r="84">
      <x:c r="A84" s="103" t="n">
        <x:v>201</x:v>
      </x:c>
      <x:c r="B84" s="104" t="str">
        <x:v>ORD-2024-10200</x:v>
      </x:c>
      <x:c r="C84" s="120" t="n">
        <x:v>45363</x:v>
      </x:c>
      <x:c r="D84" s="120" t="n">
        <x:v>45363</x:v>
      </x:c>
      <x:c r="E84" s="104" t="str">
        <x:v>East</x:v>
      </x:c>
      <x:c r="F84" s="104" t="str">
        <x:v>Unknown</x:v>
      </x:c>
      <x:c r="G84" s="121" t="n">
        <x:v>0.25</x:v>
      </x:c>
      <x:c r="H84" s="104" t="str">
        <x:v>Paid</x:v>
      </x:c>
      <x:c r="I84" s="104" t="str">
        <x:v>Completed</x:v>
      </x:c>
      <x:c r="J84" s="104" t="n">
        <x:v>0</x:v>
      </x:c>
      <x:c r="K84" s="104" t="str">
        <x:v>Cleaned</x:v>
      </x:c>
      <x:c r="L84" s="104" t="str">
        <x:v>OK</x:v>
      </x:c>
      <x:c r="M84" s="104" t="str">
        <x:v>Missing ship_mode filled as Unknown</x:v>
      </x:c>
      <x:c r="N84" s="104" t="str">
        <x:v>Valid</x:v>
      </x:c>
      <x:c r="O84" s="105" t="str">
        <x:v>No manual action; adjustment logged</x:v>
      </x:c>
    </x:row>
    <x:row r="85">
      <x:c r="A85" s="103" t="n">
        <x:v>202</x:v>
      </x:c>
      <x:c r="B85" s="104" t="str">
        <x:v>ORD-2025-10201</x:v>
      </x:c>
      <x:c r="C85" s="120" t="n">
        <x:v>45835</x:v>
      </x:c>
      <x:c r="D85" s="120" t="n">
        <x:v>45843</x:v>
      </x:c>
      <x:c r="E85" s="104" t="str">
        <x:v>North</x:v>
      </x:c>
      <x:c r="F85" s="104" t="str">
        <x:v>First Class</x:v>
      </x:c>
      <x:c r="G85" s="121" t="n">
        <x:v>0.1</x:v>
      </x:c>
      <x:c r="H85" s="104" t="str">
        <x:v>Pending</x:v>
      </x:c>
      <x:c r="I85" s="104" t="str">
        <x:v>Cancelled</x:v>
      </x:c>
      <x:c r="J85" s="104" t="n">
        <x:v>8</x:v>
      </x:c>
      <x:c r="K85" s="104" t="str">
        <x:v>Pass</x:v>
      </x:c>
      <x:c r="L85" s="104" t="str">
        <x:v>OK</x:v>
      </x:c>
      <x:c r="M85" s="104" t="str">
        <x:v>Cancelled order – excluded from completed sales</x:v>
      </x:c>
      <x:c r="N85" s="104" t="str">
        <x:v>Valid</x:v>
      </x:c>
      <x:c r="O85" s="105" t="str">
        <x:v>Exclude from completed sales</x:v>
      </x:c>
    </x:row>
    <x:row r="86">
      <x:c r="A86" s="103" t="n">
        <x:v>203</x:v>
      </x:c>
      <x:c r="B86" s="104" t="str">
        <x:v>ORD-2025-10202</x:v>
      </x:c>
      <x:c r="C86" s="120" t="n">
        <x:v>45864</x:v>
      </x:c>
      <x:c r="D86" s="120" t="n">
        <x:v>45872</x:v>
      </x:c>
      <x:c r="E86" s="104" t="str">
        <x:v>West</x:v>
      </x:c>
      <x:c r="F86" s="104" t="str">
        <x:v>Second Class</x:v>
      </x:c>
      <x:c r="G86" s="121" t="n">
        <x:v>-0.16</x:v>
      </x:c>
      <x:c r="H86" s="104" t="str">
        <x:v>Refunded</x:v>
      </x:c>
      <x:c r="I86" s="104" t="str">
        <x:v>Cancelled</x:v>
      </x:c>
      <x:c r="J86" s="104" t="n">
        <x:v>8</x:v>
      </x:c>
      <x:c r="K86" s="104" t="str">
        <x:v>Review</x:v>
      </x:c>
      <x:c r="L86" s="104" t="str">
        <x:v>Negative discount</x:v>
      </x:c>
      <x:c r="M86" s="104" t="str">
        <x:v>Cancelled order – excluded from completed sales; Refunded payment – separately summarized</x:v>
      </x:c>
      <x:c r="N86" s="104" t="str">
        <x:v>Invalid discount – negative</x:v>
      </x:c>
      <x:c r="O86" s="105" t="str">
        <x:v>Confirm or correct source discount; Included in refund summary</x:v>
      </x:c>
    </x:row>
    <x:row r="87">
      <x:c r="A87" s="103" t="n">
        <x:v>212</x:v>
      </x:c>
      <x:c r="B87" s="104" t="str">
        <x:v>ORD-2024-10211</x:v>
      </x:c>
      <x:c r="C87" s="120" t="n">
        <x:v>45366</x:v>
      </x:c>
      <x:c r="D87" s="120" t="n">
        <x:v>45369</x:v>
      </x:c>
      <x:c r="E87" s="104" t="str">
        <x:v>South</x:v>
      </x:c>
      <x:c r="F87" s="104" t="str">
        <x:v>Second Class</x:v>
      </x:c>
      <x:c r="G87" s="121" t="n">
        <x:v>0</x:v>
      </x:c>
      <x:c r="H87" s="104" t="str">
        <x:v>Failed</x:v>
      </x:c>
      <x:c r="I87" s="104" t="str">
        <x:v>Returned</x:v>
      </x:c>
      <x:c r="J87" s="104" t="n">
        <x:v>3</x:v>
      </x:c>
      <x:c r="K87" s="104" t="str">
        <x:v>Pass</x:v>
      </x:c>
      <x:c r="L87" s="104" t="str">
        <x:v>OK</x:v>
      </x:c>
      <x:c r="M87" s="104" t="str">
        <x:v>Failed payment – excluded from completed sales</x:v>
      </x:c>
      <x:c r="N87" s="104" t="str">
        <x:v>Valid</x:v>
      </x:c>
      <x:c r="O87" s="105" t="str">
        <x:v>Exclude from completed sales</x:v>
      </x:c>
    </x:row>
    <x:row r="88">
      <x:c r="A88" s="103" t="n">
        <x:v>218</x:v>
      </x:c>
      <x:c r="B88" s="104" t="str">
        <x:v>ORD-2025-10217</x:v>
      </x:c>
      <x:c r="C88" s="120" t="n">
        <x:v>45757</x:v>
      </x:c>
      <x:c r="D88" s="120" t="n">
        <x:v>45762</x:v>
      </x:c>
      <x:c r="E88" s="104" t="str">
        <x:v>West</x:v>
      </x:c>
      <x:c r="F88" s="104" t="str">
        <x:v>Standard Class</x:v>
      </x:c>
      <x:c r="G88" s="121" t="n">
        <x:v>0.25</x:v>
      </x:c>
      <x:c r="H88" s="104" t="str">
        <x:v>Failed</x:v>
      </x:c>
      <x:c r="I88" s="104" t="str">
        <x:v>Returned</x:v>
      </x:c>
      <x:c r="J88" s="104" t="n">
        <x:v>5</x:v>
      </x:c>
      <x:c r="K88" s="104" t="str">
        <x:v>Pass</x:v>
      </x:c>
      <x:c r="L88" s="104" t="str">
        <x:v>OK</x:v>
      </x:c>
      <x:c r="M88" s="104" t="str">
        <x:v>Failed payment – excluded from completed sales</x:v>
      </x:c>
      <x:c r="N88" s="104" t="str">
        <x:v>Valid</x:v>
      </x:c>
      <x:c r="O88" s="105" t="str">
        <x:v>Exclude from completed sales</x:v>
      </x:c>
    </x:row>
    <x:row r="89">
      <x:c r="A89" s="103" t="n">
        <x:v>219</x:v>
      </x:c>
      <x:c r="B89" s="104" t="str">
        <x:v>ORD-2025-10218</x:v>
      </x:c>
      <x:c r="C89" s="120" t="n">
        <x:v>45748</x:v>
      </x:c>
      <x:c r="D89" s="120" t="n">
        <x:v>45755</x:v>
      </x:c>
      <x:c r="E89" s="104" t="str">
        <x:v>East</x:v>
      </x:c>
      <x:c r="F89" s="104" t="str">
        <x:v>Second Class</x:v>
      </x:c>
      <x:c r="G89" s="121" t="n">
        <x:v>0.1</x:v>
      </x:c>
      <x:c r="H89" s="104" t="str">
        <x:v>Refunded</x:v>
      </x:c>
      <x:c r="I89" s="104" t="str">
        <x:v>Cancelled</x:v>
      </x:c>
      <x:c r="J89" s="104" t="n">
        <x:v>7</x:v>
      </x:c>
      <x:c r="K89" s="104" t="str">
        <x:v>Pass</x:v>
      </x:c>
      <x:c r="L89" s="104" t="str">
        <x:v>OK</x:v>
      </x:c>
      <x:c r="M89" s="104" t="str">
        <x:v>Cancelled order – excluded from completed sales; Refunded payment – separately summarized</x:v>
      </x:c>
      <x:c r="N89" s="104" t="str">
        <x:v>Valid</x:v>
      </x:c>
      <x:c r="O89" s="105" t="str">
        <x:v>Included in refund summary</x:v>
      </x:c>
    </x:row>
    <x:row r="90">
      <x:c r="A90" s="103" t="n">
        <x:v>221</x:v>
      </x:c>
      <x:c r="B90" s="104" t="str">
        <x:v>ORD-2024-10220</x:v>
      </x:c>
      <x:c r="C90" s="120" t="n">
        <x:v>45461</x:v>
      </x:c>
      <x:c r="D90" s="120" t="n">
        <x:v>45462</x:v>
      </x:c>
      <x:c r="E90" s="104" t="str">
        <x:v>East</x:v>
      </x:c>
      <x:c r="F90" s="104" t="str">
        <x:v>First Class</x:v>
      </x:c>
      <x:c r="G90" s="121" t="n">
        <x:v>0.85</x:v>
      </x:c>
      <x:c r="H90" s="104" t="str">
        <x:v>Paid</x:v>
      </x:c>
      <x:c r="I90" s="104" t="str">
        <x:v>Completed</x:v>
      </x:c>
      <x:c r="J90" s="104" t="n">
        <x:v>1</x:v>
      </x:c>
      <x:c r="K90" s="104" t="str">
        <x:v>Review</x:v>
      </x:c>
      <x:c r="L90" s="104" t="str">
        <x:v>Discount above allowed range (&gt;50%)</x:v>
      </x:c>
      <x:c r="M90" s="104" t="str">
        <x:v>None</x:v>
      </x:c>
      <x:c r="N90" s="104" t="str">
        <x:v>Invalid discount – above 50% allowed range</x:v>
      </x:c>
      <x:c r="O90" s="105" t="str">
        <x:v>Confirm or correct source discount</x:v>
      </x:c>
    </x:row>
    <x:row r="91">
      <x:c r="A91" s="103" t="n">
        <x:v>222</x:v>
      </x:c>
      <x:c r="B91" s="104" t="str">
        <x:v>ORD-2024-10221</x:v>
      </x:c>
      <x:c r="C91" s="120" t="n">
        <x:v>45538</x:v>
      </x:c>
      <x:c r="D91" s="120" t="n">
        <x:v>45538</x:v>
      </x:c>
      <x:c r="E91" s="104" t="str">
        <x:v>South</x:v>
      </x:c>
      <x:c r="F91" s="104" t="str">
        <x:v>First Class</x:v>
      </x:c>
      <x:c r="G91" s="121" t="n">
        <x:v>0.15</x:v>
      </x:c>
      <x:c r="H91" s="104" t="str">
        <x:v>Refunded</x:v>
      </x:c>
      <x:c r="I91" s="104" t="str">
        <x:v>Cancelled</x:v>
      </x:c>
      <x:c r="J91" s="104" t="n">
        <x:v>0</x:v>
      </x:c>
      <x:c r="K91" s="104" t="str">
        <x:v>Pass</x:v>
      </x:c>
      <x:c r="L91" s="104" t="str">
        <x:v>OK</x:v>
      </x:c>
      <x:c r="M91" s="104" t="str">
        <x:v>Cancelled order – excluded from completed sales; Refunded payment – separately summarized</x:v>
      </x:c>
      <x:c r="N91" s="104" t="str">
        <x:v>Valid</x:v>
      </x:c>
      <x:c r="O91" s="105" t="str">
        <x:v>Included in refund summary</x:v>
      </x:c>
    </x:row>
    <x:row r="92">
      <x:c r="A92" s="103" t="n">
        <x:v>226</x:v>
      </x:c>
      <x:c r="B92" s="104" t="str">
        <x:v>ORD-2025-10225</x:v>
      </x:c>
      <x:c r="C92" s="120" t="n">
        <x:v>45932</x:v>
      </x:c>
      <x:c r="D92" s="120" t="n">
        <x:v>45938</x:v>
      </x:c>
      <x:c r="E92" s="104" t="str">
        <x:v>North</x:v>
      </x:c>
      <x:c r="F92" s="104" t="str">
        <x:v>Standard Class</x:v>
      </x:c>
      <x:c r="G92" s="121" t="n">
        <x:v>0.25</x:v>
      </x:c>
      <x:c r="H92" s="104" t="str">
        <x:v>Paid</x:v>
      </x:c>
      <x:c r="I92" s="104" t="str">
        <x:v>Cancelled</x:v>
      </x:c>
      <x:c r="J92" s="104" t="n">
        <x:v>6</x:v>
      </x:c>
      <x:c r="K92" s="104" t="str">
        <x:v>Review</x:v>
      </x:c>
      <x:c r="L92" s="104" t="str">
        <x:v>Conflicting duplicate order ID</x:v>
      </x:c>
      <x:c r="M92" s="104" t="str">
        <x:v>Cancelled order – excluded from completed sales</x:v>
      </x:c>
      <x:c r="N92" s="104" t="str">
        <x:v>Valid</x:v>
      </x:c>
      <x:c r="O92" s="105" t="str">
        <x:v>Resolve duplicate order-ID conflict; Exclude from completed sales</x:v>
      </x:c>
    </x:row>
    <x:row r="93">
      <x:c r="A93" s="103" t="n">
        <x:v>227</x:v>
      </x:c>
      <x:c r="B93" s="104" t="str">
        <x:v>ORD-2024-10226</x:v>
      </x:c>
      <x:c r="C93" s="120" t="n">
        <x:v>45537</x:v>
      </x:c>
      <x:c r="D93" s="120" t="n">
        <x:v>45545</x:v>
      </x:c>
      <x:c r="E93" s="104" t="str">
        <x:v>West</x:v>
      </x:c>
      <x:c r="F93" s="104" t="str">
        <x:v>Standard Class</x:v>
      </x:c>
      <x:c r="G93" s="121" t="n">
        <x:v>0.15</x:v>
      </x:c>
      <x:c r="H93" s="104" t="str">
        <x:v>Paid</x:v>
      </x:c>
      <x:c r="I93" s="104" t="str">
        <x:v>Completed</x:v>
      </x:c>
      <x:c r="J93" s="104" t="n">
        <x:v>8</x:v>
      </x:c>
      <x:c r="K93" s="104" t="str">
        <x:v>Review</x:v>
      </x:c>
      <x:c r="L93" s="104" t="str">
        <x:v>Profit calculation mismatch</x:v>
      </x:c>
      <x:c r="M93" s="104" t="str">
        <x:v>None</x:v>
      </x:c>
      <x:c r="N93" s="104" t="str">
        <x:v>Valid</x:v>
      </x:c>
      <x:c r="O93" s="105" t="str">
        <x:v>Reconcile sales/cost/profit fields</x:v>
      </x:c>
    </x:row>
    <x:row r="94">
      <x:c r="A94" s="103" t="n">
        <x:v>228</x:v>
      </x:c>
      <x:c r="B94" s="104" t="str">
        <x:v>ORD-2025-10227</x:v>
      </x:c>
      <x:c r="C94" s="120" t="n">
        <x:v>45757</x:v>
      </x:c>
      <x:c r="D94" s="120" t="n">
        <x:v>45762</x:v>
      </x:c>
      <x:c r="E94" s="104" t="str">
        <x:v>Unknown</x:v>
      </x:c>
      <x:c r="F94" s="104" t="str">
        <x:v>Same Day</x:v>
      </x:c>
      <x:c r="G94" s="121" t="n">
        <x:v>0.1</x:v>
      </x:c>
      <x:c r="H94" s="104" t="str">
        <x:v>Paid</x:v>
      </x:c>
      <x:c r="I94" s="104" t="str">
        <x:v>Completed</x:v>
      </x:c>
      <x:c r="J94" s="104" t="n">
        <x:v>5</x:v>
      </x:c>
      <x:c r="K94" s="104" t="str">
        <x:v>Cleaned</x:v>
      </x:c>
      <x:c r="L94" s="104" t="str">
        <x:v>OK</x:v>
      </x:c>
      <x:c r="M94" s="104" t="str">
        <x:v>Missing region filled as Unknown</x:v>
      </x:c>
      <x:c r="N94" s="104" t="str">
        <x:v>Valid</x:v>
      </x:c>
      <x:c r="O94" s="105" t="str">
        <x:v>No manual action; adjustment logged</x:v>
      </x:c>
    </x:row>
    <x:row r="95">
      <x:c r="A95" s="103" t="n">
        <x:v>231</x:v>
      </x:c>
      <x:c r="B95" s="104" t="str">
        <x:v>ORD-2025-10230</x:v>
      </x:c>
      <x:c r="C95" s="120" t="n">
        <x:v>45836</x:v>
      </x:c>
      <x:c r="D95" s="120" t="n">
        <x:v>45842</x:v>
      </x:c>
      <x:c r="E95" s="104" t="str">
        <x:v>South</x:v>
      </x:c>
      <x:c r="F95" s="104" t="str">
        <x:v>First Class</x:v>
      </x:c>
      <x:c r="G95" s="121" t="n">
        <x:v>0</x:v>
      </x:c>
      <x:c r="H95" s="104" t="str">
        <x:v>Refunded</x:v>
      </x:c>
      <x:c r="I95" s="104" t="str">
        <x:v>Returned</x:v>
      </x:c>
      <x:c r="J95" s="104" t="n">
        <x:v>6</x:v>
      </x:c>
      <x:c r="K95" s="104" t="str">
        <x:v>Pass</x:v>
      </x:c>
      <x:c r="L95" s="104" t="str">
        <x:v>OK</x:v>
      </x:c>
      <x:c r="M95" s="104" t="str">
        <x:v>Refunded payment – separately summarized</x:v>
      </x:c>
      <x:c r="N95" s="104" t="str">
        <x:v>Valid</x:v>
      </x:c>
      <x:c r="O95" s="105" t="str">
        <x:v>Included in refund summary</x:v>
      </x:c>
    </x:row>
    <x:row r="96">
      <x:c r="A96" s="103" t="n">
        <x:v>233</x:v>
      </x:c>
      <x:c r="B96" s="104" t="str">
        <x:v>ORD-2024-10232</x:v>
      </x:c>
      <x:c r="C96" s="120" t="n">
        <x:v>45414</x:v>
      </x:c>
      <x:c r="D96" s="120" t="n">
        <x:v>45414</x:v>
      </x:c>
      <x:c r="E96" s="104" t="str">
        <x:v>North</x:v>
      </x:c>
      <x:c r="F96" s="104" t="str">
        <x:v>First Class</x:v>
      </x:c>
      <x:c r="G96" s="121" t="n">
        <x:v>0.25</x:v>
      </x:c>
      <x:c r="H96" s="104" t="str">
        <x:v>Refunded</x:v>
      </x:c>
      <x:c r="I96" s="104" t="str">
        <x:v>Cancelled</x:v>
      </x:c>
      <x:c r="J96" s="104" t="n">
        <x:v>0</x:v>
      </x:c>
      <x:c r="K96" s="104" t="str">
        <x:v>Cleaned</x:v>
      </x:c>
      <x:c r="L96" s="104" t="str">
        <x:v>OK</x:v>
      </x:c>
      <x:c r="M96" s="104" t="str">
        <x:v>Cancelled order – excluded from completed sales; Refunded payment – separately summarized</x:v>
      </x:c>
      <x:c r="N96" s="104" t="str">
        <x:v>Valid</x:v>
      </x:c>
      <x:c r="O96" s="105" t="str">
        <x:v>Included in refund summary</x:v>
      </x:c>
    </x:row>
    <x:row r="97">
      <x:c r="A97" s="103" t="n">
        <x:v>235</x:v>
      </x:c>
      <x:c r="B97" s="104" t="str">
        <x:v>ORD-2024-10234</x:v>
      </x:c>
      <x:c r="C97" s="120" t="n">
        <x:v>45579</x:v>
      </x:c>
      <x:c r="D97" s="120" t="n">
        <x:v>45579</x:v>
      </x:c>
      <x:c r="E97" s="104" t="str">
        <x:v>South</x:v>
      </x:c>
      <x:c r="F97" s="104" t="str">
        <x:v>Unknown</x:v>
      </x:c>
      <x:c r="G97" s="121" t="n">
        <x:v>0</x:v>
      </x:c>
      <x:c r="H97" s="104" t="str">
        <x:v>Paid</x:v>
      </x:c>
      <x:c r="I97" s="104" t="str">
        <x:v>Completed</x:v>
      </x:c>
      <x:c r="J97" s="104" t="n">
        <x:v>0</x:v>
      </x:c>
      <x:c r="K97" s="104" t="str">
        <x:v>Cleaned</x:v>
      </x:c>
      <x:c r="L97" s="104" t="str">
        <x:v>OK</x:v>
      </x:c>
      <x:c r="M97" s="104" t="str">
        <x:v>Missing ship_mode filled as Unknown</x:v>
      </x:c>
      <x:c r="N97" s="104" t="str">
        <x:v>Valid</x:v>
      </x:c>
      <x:c r="O97" s="105" t="str">
        <x:v>No manual action; adjustment logged</x:v>
      </x:c>
    </x:row>
    <x:row r="98">
      <x:c r="A98" s="103" t="n">
        <x:v>240</x:v>
      </x:c>
      <x:c r="B98" s="104" t="str">
        <x:v>ORD-2024-10239</x:v>
      </x:c>
      <x:c r="C98" s="120" t="n">
        <x:v>45303</x:v>
      </x:c>
      <x:c r="D98" s="120" t="n">
        <x:v>45308</x:v>
      </x:c>
      <x:c r="E98" s="104" t="str">
        <x:v>South</x:v>
      </x:c>
      <x:c r="F98" s="104" t="str">
        <x:v>First Class</x:v>
      </x:c>
      <x:c r="G98" s="121" t="n">
        <x:v>0.55</x:v>
      </x:c>
      <x:c r="H98" s="104" t="str">
        <x:v>Paid</x:v>
      </x:c>
      <x:c r="I98" s="104" t="str">
        <x:v>Completed</x:v>
      </x:c>
      <x:c r="J98" s="104" t="n">
        <x:v>5</x:v>
      </x:c>
      <x:c r="K98" s="104" t="str">
        <x:v>Review</x:v>
      </x:c>
      <x:c r="L98" s="104" t="str">
        <x:v>Discount above allowed range (&gt;50%)</x:v>
      </x:c>
      <x:c r="M98" s="104" t="str">
        <x:v>None</x:v>
      </x:c>
      <x:c r="N98" s="104" t="str">
        <x:v>Invalid discount – above 50% allowed range</x:v>
      </x:c>
      <x:c r="O98" s="105" t="str">
        <x:v>Confirm or correct source discount</x:v>
      </x:c>
    </x:row>
    <x:row r="99">
      <x:c r="A99" s="103" t="n">
        <x:v>245</x:v>
      </x:c>
      <x:c r="B99" s="104" t="str">
        <x:v>ORD-2025-10244</x:v>
      </x:c>
      <x:c r="C99" s="120" t="n">
        <x:v>45867</x:v>
      </x:c>
      <x:c r="D99" s="120" t="n">
        <x:v>45871</x:v>
      </x:c>
      <x:c r="E99" s="104" t="str">
        <x:v>Unknown</x:v>
      </x:c>
      <x:c r="F99" s="104" t="str">
        <x:v>First Class</x:v>
      </x:c>
      <x:c r="G99" s="121" t="n">
        <x:v>0.1</x:v>
      </x:c>
      <x:c r="H99" s="104" t="str">
        <x:v>Paid</x:v>
      </x:c>
      <x:c r="I99" s="104" t="str">
        <x:v>Completed</x:v>
      </x:c>
      <x:c r="J99" s="104" t="n">
        <x:v>4</x:v>
      </x:c>
      <x:c r="K99" s="104" t="str">
        <x:v>Cleaned</x:v>
      </x:c>
      <x:c r="L99" s="104" t="str">
        <x:v>OK</x:v>
      </x:c>
      <x:c r="M99" s="104" t="str">
        <x:v>Missing region filled as Unknown</x:v>
      </x:c>
      <x:c r="N99" s="104" t="str">
        <x:v>Valid</x:v>
      </x:c>
      <x:c r="O99" s="105" t="str">
        <x:v>No manual action; adjustment logged</x:v>
      </x:c>
    </x:row>
    <x:row r="100">
      <x:c r="A100" s="103" t="n">
        <x:v>248</x:v>
      </x:c>
      <x:c r="B100" s="104" t="str">
        <x:v>ORD-2024-10247</x:v>
      </x:c>
      <x:c r="C100" s="120" t="n">
        <x:v>45416</x:v>
      </x:c>
      <x:c r="D100" s="120" t="n">
        <x:v>45421</x:v>
      </x:c>
      <x:c r="E100" s="104" t="str">
        <x:v>North</x:v>
      </x:c>
      <x:c r="F100" s="104" t="str">
        <x:v>Same Day</x:v>
      </x:c>
      <x:c r="G100" s="121" t="n">
        <x:v>0.25</x:v>
      </x:c>
      <x:c r="H100" s="104" t="str">
        <x:v>Refunded</x:v>
      </x:c>
      <x:c r="I100" s="104" t="str">
        <x:v>Cancelled</x:v>
      </x:c>
      <x:c r="J100" s="104" t="n">
        <x:v>5</x:v>
      </x:c>
      <x:c r="K100" s="104" t="str">
        <x:v>Pass</x:v>
      </x:c>
      <x:c r="L100" s="104" t="str">
        <x:v>OK</x:v>
      </x:c>
      <x:c r="M100" s="104" t="str">
        <x:v>Cancelled order – excluded from completed sales; Refunded payment – separately summarized</x:v>
      </x:c>
      <x:c r="N100" s="104" t="str">
        <x:v>Valid</x:v>
      </x:c>
      <x:c r="O100" s="105" t="str">
        <x:v>Included in refund summary</x:v>
      </x:c>
    </x:row>
    <x:row r="101">
      <x:c r="A101" s="103" t="n">
        <x:v>255</x:v>
      </x:c>
      <x:c r="B101" s="104" t="str">
        <x:v>ORD-2024-10254</x:v>
      </x:c>
      <x:c r="C101" s="120" t="n">
        <x:v>45547</x:v>
      </x:c>
      <x:c r="D101" s="120" t="n">
        <x:v>45548</x:v>
      </x:c>
      <x:c r="E101" s="104" t="str">
        <x:v>North</x:v>
      </x:c>
      <x:c r="F101" s="104" t="str">
        <x:v>Same Day</x:v>
      </x:c>
      <x:c r="G101" s="121" t="n">
        <x:v>0.05</x:v>
      </x:c>
      <x:c r="H101" s="104" t="str">
        <x:v>Refunded</x:v>
      </x:c>
      <x:c r="I101" s="104" t="str">
        <x:v>Cancelled</x:v>
      </x:c>
      <x:c r="J101" s="104" t="n">
        <x:v>1</x:v>
      </x:c>
      <x:c r="K101" s="104" t="str">
        <x:v>Review</x:v>
      </x:c>
      <x:c r="L101" s="104" t="str">
        <x:v>Profit calculation mismatch</x:v>
      </x:c>
      <x:c r="M101" s="104" t="str">
        <x:v>Cancelled order – excluded from completed sales; Refunded payment – separately summarized</x:v>
      </x:c>
      <x:c r="N101" s="104" t="str">
        <x:v>Valid</x:v>
      </x:c>
      <x:c r="O101" s="105" t="str">
        <x:v>Reconcile sales/cost/profit fields; Included in refund summary</x:v>
      </x:c>
    </x:row>
    <x:row r="102">
      <x:c r="A102" s="103" t="n">
        <x:v>258</x:v>
      </x:c>
      <x:c r="B102" s="104" t="str">
        <x:v>ORD-2024-10257</x:v>
      </x:c>
      <x:c r="C102" s="120" t="n">
        <x:v>45601</x:v>
      </x:c>
      <x:c r="D102" s="120" t="n">
        <x:v>45599</x:v>
      </x:c>
      <x:c r="E102" s="104" t="str">
        <x:v>East</x:v>
      </x:c>
      <x:c r="F102" s="104" t="str">
        <x:v>First Class</x:v>
      </x:c>
      <x:c r="G102" s="121" t="n">
        <x:v>0.05</x:v>
      </x:c>
      <x:c r="H102" s="104" t="str">
        <x:v>Paid</x:v>
      </x:c>
      <x:c r="I102" s="104" t="str">
        <x:v>Completed</x:v>
      </x:c>
      <x:c r="J102" s="104" t="n">
        <x:v>-2</x:v>
      </x:c>
      <x:c r="K102" s="104" t="str">
        <x:v>Review</x:v>
      </x:c>
      <x:c r="L102" s="104" t="str">
        <x:v>Ship date earlier than order date</x:v>
      </x:c>
      <x:c r="M102" s="104" t="str">
        <x:v>None</x:v>
      </x:c>
      <x:c r="N102" s="104" t="str">
        <x:v>Valid</x:v>
      </x:c>
      <x:c r="O102" s="105" t="str">
        <x:v>Validate order and ship dates</x:v>
      </x:c>
    </x:row>
    <x:row r="103">
      <x:c r="A103" s="103" t="n">
        <x:v>259</x:v>
      </x:c>
      <x:c r="B103" s="104" t="str">
        <x:v>ORD-2025-10258</x:v>
      </x:c>
      <x:c r="C103" s="120" t="n">
        <x:v>45878</x:v>
      </x:c>
      <x:c r="D103" s="120" t="n">
        <x:v>45881</x:v>
      </x:c>
      <x:c r="E103" s="104" t="str">
        <x:v>South</x:v>
      </x:c>
      <x:c r="F103" s="104" t="str">
        <x:v>Second Class</x:v>
      </x:c>
      <x:c r="G103" s="121" t="n">
        <x:v>0</x:v>
      </x:c>
      <x:c r="H103" s="104" t="str">
        <x:v>Paid</x:v>
      </x:c>
      <x:c r="I103" s="104" t="str">
        <x:v>Cancelled</x:v>
      </x:c>
      <x:c r="J103" s="104" t="n">
        <x:v>3</x:v>
      </x:c>
      <x:c r="K103" s="104" t="str">
        <x:v>Pass</x:v>
      </x:c>
      <x:c r="L103" s="104" t="str">
        <x:v>OK</x:v>
      </x:c>
      <x:c r="M103" s="104" t="str">
        <x:v>Cancelled order – excluded from completed sales</x:v>
      </x:c>
      <x:c r="N103" s="104" t="str">
        <x:v>Valid</x:v>
      </x:c>
      <x:c r="O103" s="105" t="str">
        <x:v>Exclude from completed sales</x:v>
      </x:c>
    </x:row>
    <x:row r="104">
      <x:c r="A104" s="103" t="n">
        <x:v>262</x:v>
      </x:c>
      <x:c r="B104" s="104" t="str">
        <x:v>ORD-2025-10261</x:v>
      </x:c>
      <x:c r="C104" s="120" t="n">
        <x:v>45923</x:v>
      </x:c>
      <x:c r="D104" s="120" t="n">
        <x:v>45927</x:v>
      </x:c>
      <x:c r="E104" s="104" t="str">
        <x:v>East</x:v>
      </x:c>
      <x:c r="F104" s="104" t="str">
        <x:v>Same Day</x:v>
      </x:c>
      <x:c r="G104" s="121" t="n">
        <x:v>0.25</x:v>
      </x:c>
      <x:c r="H104" s="104" t="str">
        <x:v>Failed</x:v>
      </x:c>
      <x:c r="I104" s="104" t="str">
        <x:v>Returned</x:v>
      </x:c>
      <x:c r="J104" s="104" t="n">
        <x:v>4</x:v>
      </x:c>
      <x:c r="K104" s="104" t="str">
        <x:v>Pass</x:v>
      </x:c>
      <x:c r="L104" s="104" t="str">
        <x:v>OK</x:v>
      </x:c>
      <x:c r="M104" s="104" t="str">
        <x:v>Failed payment – excluded from completed sales</x:v>
      </x:c>
      <x:c r="N104" s="104" t="str">
        <x:v>Valid</x:v>
      </x:c>
      <x:c r="O104" s="105" t="str">
        <x:v>Exclude from completed sales</x:v>
      </x:c>
    </x:row>
    <x:row r="105">
      <x:c r="A105" s="103" t="n">
        <x:v>263</x:v>
      </x:c>
      <x:c r="B105" s="104" t="str">
        <x:v>ORD-2025-10262</x:v>
      </x:c>
      <x:c r="C105" s="120" t="n">
        <x:v>45826</x:v>
      </x:c>
      <x:c r="D105" s="120" t="n">
        <x:v>45832</x:v>
      </x:c>
      <x:c r="E105" s="104" t="str">
        <x:v>North</x:v>
      </x:c>
      <x:c r="F105" s="104" t="str">
        <x:v>Standard Class</x:v>
      </x:c>
      <x:c r="G105" s="121" t="n">
        <x:v>0.2</x:v>
      </x:c>
      <x:c r="H105" s="104" t="str">
        <x:v>Failed</x:v>
      </x:c>
      <x:c r="I105" s="104" t="str">
        <x:v>Cancelled</x:v>
      </x:c>
      <x:c r="J105" s="104" t="n">
        <x:v>6</x:v>
      </x:c>
      <x:c r="K105" s="104" t="str">
        <x:v>Pass</x:v>
      </x:c>
      <x:c r="L105" s="104" t="str">
        <x:v>OK</x:v>
      </x:c>
      <x:c r="M105" s="104" t="str">
        <x:v>Cancelled order – excluded from completed sales; Failed payment – excluded from completed sales</x:v>
      </x:c>
      <x:c r="N105" s="104" t="str">
        <x:v>Valid</x:v>
      </x:c>
      <x:c r="O105" s="105" t="str">
        <x:v>Exclude from completed sales</x:v>
      </x:c>
    </x:row>
    <x:row r="106">
      <x:c r="A106" s="103" t="n">
        <x:v>267</x:v>
      </x:c>
      <x:c r="B106" s="104" t="str">
        <x:v>ORD-2024-10266</x:v>
      </x:c>
      <x:c r="C106" s="120" t="n">
        <x:v>45610</x:v>
      </x:c>
      <x:c r="D106" s="120" t="n">
        <x:v>45618</x:v>
      </x:c>
      <x:c r="E106" s="104" t="str">
        <x:v>East</x:v>
      </x:c>
      <x:c r="F106" s="104" t="str">
        <x:v>Same Day</x:v>
      </x:c>
      <x:c r="G106" s="121" t="n">
        <x:v>0.15</x:v>
      </x:c>
      <x:c r="H106" s="104" t="str">
        <x:v>Refunded</x:v>
      </x:c>
      <x:c r="I106" s="104" t="str">
        <x:v>Cancelled</x:v>
      </x:c>
      <x:c r="J106" s="104" t="n">
        <x:v>8</x:v>
      </x:c>
      <x:c r="K106" s="104" t="str">
        <x:v>Cleaned</x:v>
      </x:c>
      <x:c r="L106" s="104" t="str">
        <x:v>OK</x:v>
      </x:c>
      <x:c r="M106" s="104" t="str">
        <x:v>Cancelled order – excluded from completed sales; Refunded payment – separately summarized</x:v>
      </x:c>
      <x:c r="N106" s="104" t="str">
        <x:v>Valid</x:v>
      </x:c>
      <x:c r="O106" s="105" t="str">
        <x:v>Included in refund summary</x:v>
      </x:c>
    </x:row>
    <x:row r="107">
      <x:c r="A107" s="103" t="n">
        <x:v>273</x:v>
      </x:c>
      <x:c r="B107" s="104" t="str">
        <x:v>ORD-2024-10272</x:v>
      </x:c>
      <x:c r="C107" s="120" t="n">
        <x:v>45647</x:v>
      </x:c>
      <x:c r="D107" s="120" t="n">
        <x:v>45651</x:v>
      </x:c>
      <x:c r="E107" s="104" t="str">
        <x:v>South</x:v>
      </x:c>
      <x:c r="F107" s="104" t="str">
        <x:v>Standard Class</x:v>
      </x:c>
      <x:c r="G107" s="121" t="n">
        <x:v>0</x:v>
      </x:c>
      <x:c r="H107" s="104" t="str">
        <x:v>Failed</x:v>
      </x:c>
      <x:c r="I107" s="104" t="str">
        <x:v>Cancelled</x:v>
      </x:c>
      <x:c r="J107" s="104" t="n">
        <x:v>4</x:v>
      </x:c>
      <x:c r="K107" s="104" t="str">
        <x:v>Pass</x:v>
      </x:c>
      <x:c r="L107" s="104" t="str">
        <x:v>OK</x:v>
      </x:c>
      <x:c r="M107" s="104" t="str">
        <x:v>Cancelled order – excluded from completed sales; Failed payment – excluded from completed sales</x:v>
      </x:c>
      <x:c r="N107" s="104" t="str">
        <x:v>Valid</x:v>
      </x:c>
      <x:c r="O107" s="105" t="str">
        <x:v>Exclude from completed sales</x:v>
      </x:c>
    </x:row>
    <x:row r="108">
      <x:c r="A108" s="103" t="n">
        <x:v>274</x:v>
      </x:c>
      <x:c r="B108" s="104" t="str">
        <x:v>ORD-2024-10273</x:v>
      </x:c>
      <x:c r="C108" s="120" t="n">
        <x:v>45522</x:v>
      </x:c>
      <x:c r="D108" s="120" t="n">
        <x:v>45528</x:v>
      </x:c>
      <x:c r="E108" s="104" t="str">
        <x:v>South</x:v>
      </x:c>
      <x:c r="F108" s="104" t="str">
        <x:v>First Class</x:v>
      </x:c>
      <x:c r="G108" s="121" t="n">
        <x:v>0.1</x:v>
      </x:c>
      <x:c r="H108" s="104" t="str">
        <x:v>Paid</x:v>
      </x:c>
      <x:c r="I108" s="104" t="str">
        <x:v>Completed</x:v>
      </x:c>
      <x:c r="J108" s="104" t="n">
        <x:v>6</x:v>
      </x:c>
      <x:c r="K108" s="104" t="str">
        <x:v>Review</x:v>
      </x:c>
      <x:c r="L108" s="104" t="str">
        <x:v>Profit calculation mismatch; Conflicting duplicate order ID</x:v>
      </x:c>
      <x:c r="M108" s="104" t="str">
        <x:v>None</x:v>
      </x:c>
      <x:c r="N108" s="104" t="str">
        <x:v>Valid</x:v>
      </x:c>
      <x:c r="O108" s="105" t="str">
        <x:v>Reconcile sales/cost/profit fields; Resolve duplicate order-ID conflict</x:v>
      </x:c>
    </x:row>
    <x:row r="109">
      <x:c r="A109" s="103" t="n">
        <x:v>276</x:v>
      </x:c>
      <x:c r="B109" s="104" t="str">
        <x:v>ORD-2024-10275</x:v>
      </x:c>
      <x:c r="C109" s="120" t="n">
        <x:v>45389</x:v>
      </x:c>
      <x:c r="D109" s="120" t="n">
        <x:v>45396</x:v>
      </x:c>
      <x:c r="E109" s="104" t="str">
        <x:v>South</x:v>
      </x:c>
      <x:c r="F109" s="104" t="str">
        <x:v>Standard Class</x:v>
      </x:c>
      <x:c r="G109" s="121" t="n">
        <x:v>0.15</x:v>
      </x:c>
      <x:c r="H109" s="104" t="str">
        <x:v>Failed</x:v>
      </x:c>
      <x:c r="I109" s="104" t="str">
        <x:v>Returned</x:v>
      </x:c>
      <x:c r="J109" s="104" t="n">
        <x:v>7</x:v>
      </x:c>
      <x:c r="K109" s="104" t="str">
        <x:v>Pass</x:v>
      </x:c>
      <x:c r="L109" s="104" t="str">
        <x:v>OK</x:v>
      </x:c>
      <x:c r="M109" s="104" t="str">
        <x:v>Failed payment – excluded from completed sales</x:v>
      </x:c>
      <x:c r="N109" s="104" t="str">
        <x:v>Valid</x:v>
      </x:c>
      <x:c r="O109" s="105" t="str">
        <x:v>Exclude from completed sales</x:v>
      </x:c>
    </x:row>
    <x:row r="110">
      <x:c r="A110" s="103" t="n">
        <x:v>278</x:v>
      </x:c>
      <x:c r="B110" s="104" t="str">
        <x:v>ORD-2024-10277</x:v>
      </x:c>
      <x:c r="C110" s="120" t="n">
        <x:v>45313</x:v>
      </x:c>
      <x:c r="D110" s="120" t="n">
        <x:v>45314</x:v>
      </x:c>
      <x:c r="E110" s="104" t="str">
        <x:v>Unknown</x:v>
      </x:c>
      <x:c r="F110" s="104" t="str">
        <x:v>Second Class</x:v>
      </x:c>
      <x:c r="G110" s="121" t="n">
        <x:v>-0.14</x:v>
      </x:c>
      <x:c r="H110" s="104" t="str">
        <x:v>Paid</x:v>
      </x:c>
      <x:c r="I110" s="104" t="str">
        <x:v>Completed</x:v>
      </x:c>
      <x:c r="J110" s="104" t="n">
        <x:v>1</x:v>
      </x:c>
      <x:c r="K110" s="104" t="str">
        <x:v>Review</x:v>
      </x:c>
      <x:c r="L110" s="104" t="str">
        <x:v>Negative discount</x:v>
      </x:c>
      <x:c r="M110" s="104" t="str">
        <x:v>Missing region filled as Unknown</x:v>
      </x:c>
      <x:c r="N110" s="104" t="str">
        <x:v>Invalid discount – negative</x:v>
      </x:c>
      <x:c r="O110" s="105" t="str">
        <x:v>Confirm or correct source discount</x:v>
      </x:c>
    </x:row>
    <x:row r="111">
      <x:c r="A111" s="103" t="n">
        <x:v>279</x:v>
      </x:c>
      <x:c r="B111" s="104" t="str">
        <x:v>ORD-2025-10278</x:v>
      </x:c>
      <x:c r="C111" s="120" t="n">
        <x:v>45812</x:v>
      </x:c>
      <x:c r="D111" s="120" t="n">
        <x:v>45812</x:v>
      </x:c>
      <x:c r="E111" s="104" t="str">
        <x:v>North</x:v>
      </x:c>
      <x:c r="F111" s="104" t="str">
        <x:v>Second Class</x:v>
      </x:c>
      <x:c r="G111" s="121" t="n">
        <x:v>0.15</x:v>
      </x:c>
      <x:c r="H111" s="104" t="str">
        <x:v>Pending</x:v>
      </x:c>
      <x:c r="I111" s="104" t="str">
        <x:v>Cancelled</x:v>
      </x:c>
      <x:c r="J111" s="104" t="n">
        <x:v>0</x:v>
      </x:c>
      <x:c r="K111" s="104" t="str">
        <x:v>Review</x:v>
      </x:c>
      <x:c r="L111" s="104" t="str">
        <x:v>Sales calculation mismatch; Profit calculation mismatch</x:v>
      </x:c>
      <x:c r="M111" s="104" t="str">
        <x:v>Cancelled order – excluded from completed sales</x:v>
      </x:c>
      <x:c r="N111" s="104" t="str">
        <x:v>Valid</x:v>
      </x:c>
      <x:c r="O111" s="105" t="str">
        <x:v>Reconcile sales/cost/profit fields; Exclude from completed sales</x:v>
      </x:c>
    </x:row>
    <x:row r="112">
      <x:c r="A112" s="103" t="n">
        <x:v>289</x:v>
      </x:c>
      <x:c r="B112" s="104" t="str">
        <x:v>ORD-2024-10288</x:v>
      </x:c>
      <x:c r="C112" s="120" t="n">
        <x:v>45540</x:v>
      </x:c>
      <x:c r="D112" s="120" t="n">
        <x:v>45542</x:v>
      </x:c>
      <x:c r="E112" s="104" t="str">
        <x:v>South</x:v>
      </x:c>
      <x:c r="F112" s="104" t="str">
        <x:v>Standard Class</x:v>
      </x:c>
      <x:c r="G112" s="121" t="n">
        <x:v>0.15</x:v>
      </x:c>
      <x:c r="H112" s="104" t="str">
        <x:v>Paid</x:v>
      </x:c>
      <x:c r="I112" s="104" t="str">
        <x:v>Cancelled</x:v>
      </x:c>
      <x:c r="J112" s="104" t="n">
        <x:v>2</x:v>
      </x:c>
      <x:c r="K112" s="104" t="str">
        <x:v>Pass</x:v>
      </x:c>
      <x:c r="L112" s="104" t="str">
        <x:v>OK</x:v>
      </x:c>
      <x:c r="M112" s="104" t="str">
        <x:v>Cancelled order – excluded from completed sales</x:v>
      </x:c>
      <x:c r="N112" s="104" t="str">
        <x:v>Valid</x:v>
      </x:c>
      <x:c r="O112" s="105" t="str">
        <x:v>Exclude from completed sales</x:v>
      </x:c>
    </x:row>
    <x:row r="113">
      <x:c r="A113" s="103" t="n">
        <x:v>294</x:v>
      </x:c>
      <x:c r="B113" s="104" t="str">
        <x:v>ORD-2025-10293</x:v>
      </x:c>
      <x:c r="C113" s="120" t="n">
        <x:v>45716</x:v>
      </x:c>
      <x:c r="D113" s="120" t="n">
        <x:v>45719</x:v>
      </x:c>
      <x:c r="E113" s="104" t="str">
        <x:v>North</x:v>
      </x:c>
      <x:c r="F113" s="104" t="str">
        <x:v>Same Day</x:v>
      </x:c>
      <x:c r="G113" s="121" t="n">
        <x:v>0</x:v>
      </x:c>
      <x:c r="H113" s="104" t="str">
        <x:v>Pending</x:v>
      </x:c>
      <x:c r="I113" s="104" t="str">
        <x:v>Cancelled</x:v>
      </x:c>
      <x:c r="J113" s="104" t="n">
        <x:v>3</x:v>
      </x:c>
      <x:c r="K113" s="104" t="str">
        <x:v>Pass</x:v>
      </x:c>
      <x:c r="L113" s="104" t="str">
        <x:v>OK</x:v>
      </x:c>
      <x:c r="M113" s="104" t="str">
        <x:v>Cancelled order – excluded from completed sales</x:v>
      </x:c>
      <x:c r="N113" s="104" t="str">
        <x:v>Valid</x:v>
      </x:c>
      <x:c r="O113" s="105" t="str">
        <x:v>Exclude from completed sales</x:v>
      </x:c>
    </x:row>
    <x:row r="114">
      <x:c r="A114" s="103" t="n">
        <x:v>295</x:v>
      </x:c>
      <x:c r="B114" s="104" t="str">
        <x:v>ORD-2024-10294</x:v>
      </x:c>
      <x:c r="C114" s="120" t="n">
        <x:v>45358</x:v>
      </x:c>
      <x:c r="D114" s="120" t="n">
        <x:v>45362</x:v>
      </x:c>
      <x:c r="E114" s="104" t="str">
        <x:v>South</x:v>
      </x:c>
      <x:c r="F114" s="104" t="str">
        <x:v>First Class</x:v>
      </x:c>
      <x:c r="G114" s="121" t="n">
        <x:v>0.65</x:v>
      </x:c>
      <x:c r="H114" s="104" t="str">
        <x:v>Paid</x:v>
      </x:c>
      <x:c r="I114" s="104" t="str">
        <x:v>Completed</x:v>
      </x:c>
      <x:c r="J114" s="104" t="n">
        <x:v>4</x:v>
      </x:c>
      <x:c r="K114" s="104" t="str">
        <x:v>Review</x:v>
      </x:c>
      <x:c r="L114" s="104" t="str">
        <x:v>Discount above allowed range (&gt;50%)</x:v>
      </x:c>
      <x:c r="M114" s="104" t="str">
        <x:v>None</x:v>
      </x:c>
      <x:c r="N114" s="104" t="str">
        <x:v>Invalid discount – above 50% allowed range</x:v>
      </x:c>
      <x:c r="O114" s="105" t="str">
        <x:v>Confirm or correct source discount</x:v>
      </x:c>
    </x:row>
    <x:row r="115">
      <x:c r="A115" s="103" t="n">
        <x:v>300</x:v>
      </x:c>
      <x:c r="B115" s="104" t="str">
        <x:v>ORD-2025-10299</x:v>
      </x:c>
      <x:c r="C115" s="120" t="n">
        <x:v>45680</x:v>
      </x:c>
      <x:c r="D115" s="120" t="n">
        <x:v>45683</x:v>
      </x:c>
      <x:c r="E115" s="104" t="str">
        <x:v>South</x:v>
      </x:c>
      <x:c r="F115" s="104" t="str">
        <x:v>First Class</x:v>
      </x:c>
      <x:c r="G115" s="121" t="n">
        <x:v>0.2</x:v>
      </x:c>
      <x:c r="H115" s="104" t="str">
        <x:v>Failed</x:v>
      </x:c>
      <x:c r="I115" s="104" t="str">
        <x:v>Returned</x:v>
      </x:c>
      <x:c r="J115" s="104" t="n">
        <x:v>3</x:v>
      </x:c>
      <x:c r="K115" s="104" t="str">
        <x:v>Pass</x:v>
      </x:c>
      <x:c r="L115" s="104" t="str">
        <x:v>OK</x:v>
      </x:c>
      <x:c r="M115" s="104" t="str">
        <x:v>Failed payment – excluded from completed sales</x:v>
      </x:c>
      <x:c r="N115" s="104" t="str">
        <x:v>Valid</x:v>
      </x:c>
      <x:c r="O115" s="105" t="str">
        <x:v>Exclude from completed sales</x:v>
      </x:c>
    </x:row>
    <x:row r="116">
      <x:c r="A116" s="103" t="n">
        <x:v>307</x:v>
      </x:c>
      <x:c r="B116" s="104" t="str">
        <x:v>ORD-2024-10306</x:v>
      </x:c>
      <x:c r="C116" s="120" t="n">
        <x:v>45413</x:v>
      </x:c>
      <x:c r="D116" s="120" t="n">
        <x:v>45414</x:v>
      </x:c>
      <x:c r="E116" s="104" t="str">
        <x:v>East</x:v>
      </x:c>
      <x:c r="F116" s="104" t="str">
        <x:v>First Class</x:v>
      </x:c>
      <x:c r="G116" s="121" t="n">
        <x:v>0.55</x:v>
      </x:c>
      <x:c r="H116" s="104" t="str">
        <x:v>Paid</x:v>
      </x:c>
      <x:c r="I116" s="104" t="str">
        <x:v>Cancelled</x:v>
      </x:c>
      <x:c r="J116" s="104" t="n">
        <x:v>1</x:v>
      </x:c>
      <x:c r="K116" s="104" t="str">
        <x:v>Review</x:v>
      </x:c>
      <x:c r="L116" s="104" t="str">
        <x:v>Discount above allowed range (&gt;50%)</x:v>
      </x:c>
      <x:c r="M116" s="104" t="str">
        <x:v>Cancelled order – excluded from completed sales</x:v>
      </x:c>
      <x:c r="N116" s="104" t="str">
        <x:v>Invalid discount – above 50% allowed range</x:v>
      </x:c>
      <x:c r="O116" s="105" t="str">
        <x:v>Confirm or correct source discount; Exclude from completed sales</x:v>
      </x:c>
    </x:row>
    <x:row r="117">
      <x:c r="A117" s="103" t="n">
        <x:v>309</x:v>
      </x:c>
      <x:c r="B117" s="104" t="str">
        <x:v>ORD-2025-10308</x:v>
      </x:c>
      <x:c r="C117" s="120" t="n">
        <x:v>45850</x:v>
      </x:c>
      <x:c r="D117" s="120" t="n">
        <x:v>45857</x:v>
      </x:c>
      <x:c r="E117" s="104" t="str">
        <x:v>North</x:v>
      </x:c>
      <x:c r="F117" s="104" t="str">
        <x:v>First Class</x:v>
      </x:c>
      <x:c r="G117" s="121" t="n">
        <x:v>0.2</x:v>
      </x:c>
      <x:c r="H117" s="104" t="str">
        <x:v>Pending</x:v>
      </x:c>
      <x:c r="I117" s="104" t="str">
        <x:v>Cancelled</x:v>
      </x:c>
      <x:c r="J117" s="104" t="n">
        <x:v>7</x:v>
      </x:c>
      <x:c r="K117" s="104" t="str">
        <x:v>Cleaned</x:v>
      </x:c>
      <x:c r="L117" s="104" t="str">
        <x:v>OK</x:v>
      </x:c>
      <x:c r="M117" s="104" t="str">
        <x:v>Cancelled order – excluded from completed sales</x:v>
      </x:c>
      <x:c r="N117" s="104" t="str">
        <x:v>Valid</x:v>
      </x:c>
      <x:c r="O117" s="105" t="str">
        <x:v>Exclude from completed sales</x:v>
      </x:c>
    </x:row>
    <x:row r="118">
      <x:c r="A118" s="103" t="n">
        <x:v>311</x:v>
      </x:c>
      <x:c r="B118" s="104" t="str">
        <x:v>ORD-2024-10310</x:v>
      </x:c>
      <x:c r="C118" s="120" t="n">
        <x:v>45493</x:v>
      </x:c>
      <x:c r="D118" s="120" t="n">
        <x:v>45495</x:v>
      </x:c>
      <x:c r="E118" s="104" t="str">
        <x:v>South</x:v>
      </x:c>
      <x:c r="F118" s="104" t="str">
        <x:v>First Class</x:v>
      </x:c>
      <x:c r="G118" s="121" t="n">
        <x:v>0.1</x:v>
      </x:c>
      <x:c r="H118" s="104" t="str">
        <x:v>Paid</x:v>
      </x:c>
      <x:c r="I118" s="104" t="str">
        <x:v>Cancelled</x:v>
      </x:c>
      <x:c r="J118" s="104" t="n">
        <x:v>2</x:v>
      </x:c>
      <x:c r="K118" s="104" t="str">
        <x:v>Pass</x:v>
      </x:c>
      <x:c r="L118" s="104" t="str">
        <x:v>OK</x:v>
      </x:c>
      <x:c r="M118" s="104" t="str">
        <x:v>Cancelled order – excluded from completed sales</x:v>
      </x:c>
      <x:c r="N118" s="104" t="str">
        <x:v>Valid</x:v>
      </x:c>
      <x:c r="O118" s="105" t="str">
        <x:v>Exclude from completed sales</x:v>
      </x:c>
    </x:row>
    <x:row r="119">
      <x:c r="A119" s="103" t="n">
        <x:v>314</x:v>
      </x:c>
      <x:c r="B119" s="104" t="str">
        <x:v>ORD-2024-10313</x:v>
      </x:c>
      <x:c r="C119" s="120" t="n">
        <x:v>45504</x:v>
      </x:c>
      <x:c r="D119" s="120" t="n">
        <x:v>45508</x:v>
      </x:c>
      <x:c r="E119" s="104" t="str">
        <x:v>East</x:v>
      </x:c>
      <x:c r="F119" s="104" t="str">
        <x:v>Standard Class</x:v>
      </x:c>
      <x:c r="G119" s="121" t="n">
        <x:v>0</x:v>
      </x:c>
      <x:c r="H119" s="104" t="str">
        <x:v>Paid</x:v>
      </x:c>
      <x:c r="I119" s="104" t="str">
        <x:v>Cancelled</x:v>
      </x:c>
      <x:c r="J119" s="104" t="n">
        <x:v>4</x:v>
      </x:c>
      <x:c r="K119" s="104" t="str">
        <x:v>Review</x:v>
      </x:c>
      <x:c r="L119" s="104" t="str">
        <x:v>Sales calculation mismatch</x:v>
      </x:c>
      <x:c r="M119" s="104" t="str">
        <x:v>Missing discount imputed as 0; Cancelled order – excluded from completed sales</x:v>
      </x:c>
      <x:c r="N119" s="104" t="str">
        <x:v>Missing discount imputed as 0</x:v>
      </x:c>
      <x:c r="O119" s="105" t="str">
        <x:v>Reconcile sales/cost/profit fields; Exclude from completed sales</x:v>
      </x:c>
    </x:row>
    <x:row r="120">
      <x:c r="A120" s="103" t="n">
        <x:v>315</x:v>
      </x:c>
      <x:c r="B120" s="104" t="str">
        <x:v>ORD-2025-10314</x:v>
      </x:c>
      <x:c r="C120" s="120" t="n">
        <x:v>45807</x:v>
      </x:c>
      <x:c r="D120" s="120" t="n">
        <x:v>45808</x:v>
      </x:c>
      <x:c r="E120" s="104" t="str">
        <x:v>North</x:v>
      </x:c>
      <x:c r="F120" s="104" t="str">
        <x:v>First Class</x:v>
      </x:c>
      <x:c r="G120" s="121" t="n">
        <x:v>0.25</x:v>
      </x:c>
      <x:c r="H120" s="104" t="str">
        <x:v>Refunded</x:v>
      </x:c>
      <x:c r="I120" s="104" t="str">
        <x:v>Cancelled</x:v>
      </x:c>
      <x:c r="J120" s="104" t="n">
        <x:v>1</x:v>
      </x:c>
      <x:c r="K120" s="104" t="str">
        <x:v>Pass</x:v>
      </x:c>
      <x:c r="L120" s="104" t="str">
        <x:v>OK</x:v>
      </x:c>
      <x:c r="M120" s="104" t="str">
        <x:v>Cancelled order – excluded from completed sales; Refunded payment – separately summarized</x:v>
      </x:c>
      <x:c r="N120" s="104" t="str">
        <x:v>Valid</x:v>
      </x:c>
      <x:c r="O120" s="105" t="str">
        <x:v>Included in refund summary</x:v>
      </x:c>
    </x:row>
    <x:row r="121">
      <x:c r="A121" s="103" t="n">
        <x:v>316</x:v>
      </x:c>
      <x:c r="B121" s="104" t="str">
        <x:v>ORD-2025-10315</x:v>
      </x:c>
      <x:c r="C121" s="120" t="n">
        <x:v>45795</x:v>
      </x:c>
      <x:c r="D121" s="120" t="n">
        <x:v>45797</x:v>
      </x:c>
      <x:c r="E121" s="104" t="str">
        <x:v>West</x:v>
      </x:c>
      <x:c r="F121" s="104" t="str">
        <x:v>Standard Class</x:v>
      </x:c>
      <x:c r="G121" s="121" t="n">
        <x:v>0.15</x:v>
      </x:c>
      <x:c r="H121" s="104" t="str">
        <x:v>Failed</x:v>
      </x:c>
      <x:c r="I121" s="104" t="str">
        <x:v>Returned</x:v>
      </x:c>
      <x:c r="J121" s="104" t="n">
        <x:v>2</x:v>
      </x:c>
      <x:c r="K121" s="104" t="str">
        <x:v>Review</x:v>
      </x:c>
      <x:c r="L121" s="104" t="str">
        <x:v>Conflicting duplicate order ID</x:v>
      </x:c>
      <x:c r="M121" s="104" t="str">
        <x:v>Failed payment – excluded from completed sales</x:v>
      </x:c>
      <x:c r="N121" s="104" t="str">
        <x:v>Valid</x:v>
      </x:c>
      <x:c r="O121" s="105" t="str">
        <x:v>Resolve duplicate order-ID conflict; Exclude from completed sales</x:v>
      </x:c>
    </x:row>
    <x:row r="122">
      <x:c r="A122" s="103" t="n">
        <x:v>318</x:v>
      </x:c>
      <x:c r="B122" s="104" t="str">
        <x:v>ORD-2024-10317</x:v>
      </x:c>
      <x:c r="C122" s="120" t="n">
        <x:v>45338</x:v>
      </x:c>
      <x:c r="D122" s="120" t="n">
        <x:v>45340</x:v>
      </x:c>
      <x:c r="E122" s="104" t="str">
        <x:v>North</x:v>
      </x:c>
      <x:c r="F122" s="104" t="str">
        <x:v>Standard Class</x:v>
      </x:c>
      <x:c r="G122" s="121" t="n">
        <x:v>0.2</x:v>
      </x:c>
      <x:c r="H122" s="104" t="str">
        <x:v>Paid</x:v>
      </x:c>
      <x:c r="I122" s="104" t="str">
        <x:v>Cancelled</x:v>
      </x:c>
      <x:c r="J122" s="104" t="n">
        <x:v>2</x:v>
      </x:c>
      <x:c r="K122" s="104" t="str">
        <x:v>Pass</x:v>
      </x:c>
      <x:c r="L122" s="104" t="str">
        <x:v>OK</x:v>
      </x:c>
      <x:c r="M122" s="104" t="str">
        <x:v>Cancelled order – excluded from completed sales</x:v>
      </x:c>
      <x:c r="N122" s="104" t="str">
        <x:v>Valid</x:v>
      </x:c>
      <x:c r="O122" s="105" t="str">
        <x:v>Exclude from completed sales</x:v>
      </x:c>
    </x:row>
    <x:row r="123">
      <x:c r="A123" s="103" t="n">
        <x:v>322</x:v>
      </x:c>
      <x:c r="B123" s="104" t="str">
        <x:v>ORD-2024-10321</x:v>
      </x:c>
      <x:c r="C123" s="120" t="n">
        <x:v>45630</x:v>
      </x:c>
      <x:c r="D123" s="120" t="n">
        <x:v>45632</x:v>
      </x:c>
      <x:c r="E123" s="104" t="str">
        <x:v>East</x:v>
      </x:c>
      <x:c r="F123" s="104" t="str">
        <x:v>Second Class</x:v>
      </x:c>
      <x:c r="G123" s="121" t="n">
        <x:v>0.7</x:v>
      </x:c>
      <x:c r="H123" s="104" t="str">
        <x:v>Pending</x:v>
      </x:c>
      <x:c r="I123" s="104" t="str">
        <x:v>Returned</x:v>
      </x:c>
      <x:c r="J123" s="104" t="n">
        <x:v>2</x:v>
      </x:c>
      <x:c r="K123" s="104" t="str">
        <x:v>Review</x:v>
      </x:c>
      <x:c r="L123" s="104" t="str">
        <x:v>Discount above allowed range (&gt;50%)</x:v>
      </x:c>
      <x:c r="M123" s="104" t="str">
        <x:v>None</x:v>
      </x:c>
      <x:c r="N123" s="104" t="str">
        <x:v>Invalid discount – above 50% allowed range</x:v>
      </x:c>
      <x:c r="O123" s="105" t="str">
        <x:v>Confirm or correct source discount</x:v>
      </x:c>
    </x:row>
    <x:row r="124">
      <x:c r="A124" s="103" t="n">
        <x:v>323</x:v>
      </x:c>
      <x:c r="B124" s="104" t="str">
        <x:v>ORD-2024-10322</x:v>
      </x:c>
      <x:c r="C124" s="120" t="n">
        <x:v>45466</x:v>
      </x:c>
      <x:c r="D124" s="120" t="n">
        <x:v>45473</x:v>
      </x:c>
      <x:c r="E124" s="104" t="str">
        <x:v>West</x:v>
      </x:c>
      <x:c r="F124" s="104" t="str">
        <x:v>Same Day</x:v>
      </x:c>
      <x:c r="G124" s="121" t="n">
        <x:v>0</x:v>
      </x:c>
      <x:c r="H124" s="104" t="str">
        <x:v>Failed</x:v>
      </x:c>
      <x:c r="I124" s="104" t="str">
        <x:v>Cancelled</x:v>
      </x:c>
      <x:c r="J124" s="104" t="n">
        <x:v>7</x:v>
      </x:c>
      <x:c r="K124" s="104" t="str">
        <x:v>Pass</x:v>
      </x:c>
      <x:c r="L124" s="104" t="str">
        <x:v>OK</x:v>
      </x:c>
      <x:c r="M124" s="104" t="str">
        <x:v>Cancelled order – excluded from completed sales; Failed payment – excluded from completed sales</x:v>
      </x:c>
      <x:c r="N124" s="104" t="str">
        <x:v>Valid</x:v>
      </x:c>
      <x:c r="O124" s="105" t="str">
        <x:v>Exclude from completed sales</x:v>
      </x:c>
    </x:row>
    <x:row r="125">
      <x:c r="A125" s="103" t="n">
        <x:v>329</x:v>
      </x:c>
      <x:c r="B125" s="104" t="str">
        <x:v>ORD-2024-10328</x:v>
      </x:c>
      <x:c r="C125" s="120" t="n">
        <x:v>45497</x:v>
      </x:c>
      <x:c r="D125" s="120" t="n">
        <x:v>45500</x:v>
      </x:c>
      <x:c r="E125" s="104" t="str">
        <x:v>West</x:v>
      </x:c>
      <x:c r="F125" s="104" t="str">
        <x:v>Second Class</x:v>
      </x:c>
      <x:c r="G125" s="121" t="n">
        <x:v>0.2</x:v>
      </x:c>
      <x:c r="H125" s="104" t="str">
        <x:v>Pending</x:v>
      </x:c>
      <x:c r="I125" s="104" t="str">
        <x:v>Cancelled</x:v>
      </x:c>
      <x:c r="J125" s="104" t="n">
        <x:v>3</x:v>
      </x:c>
      <x:c r="K125" s="104" t="str">
        <x:v>Pass</x:v>
      </x:c>
      <x:c r="L125" s="104" t="str">
        <x:v>OK</x:v>
      </x:c>
      <x:c r="M125" s="104" t="str">
        <x:v>Cancelled order – excluded from completed sales</x:v>
      </x:c>
      <x:c r="N125" s="104" t="str">
        <x:v>Valid</x:v>
      </x:c>
      <x:c r="O125" s="105" t="str">
        <x:v>Exclude from completed sales</x:v>
      </x:c>
    </x:row>
    <x:row r="126">
      <x:c r="A126" s="103" t="n">
        <x:v>332</x:v>
      </x:c>
      <x:c r="B126" s="104" t="str">
        <x:v>ORD-2024-10331</x:v>
      </x:c>
      <x:c r="C126" s="120" t="n">
        <x:v>45428</x:v>
      </x:c>
      <x:c r="D126" s="120" t="n">
        <x:v>45436</x:v>
      </x:c>
      <x:c r="E126" s="104" t="str">
        <x:v>North</x:v>
      </x:c>
      <x:c r="F126" s="104" t="str">
        <x:v>Same Day</x:v>
      </x:c>
      <x:c r="G126" s="121" t="n">
        <x:v>0</x:v>
      </x:c>
      <x:c r="H126" s="104" t="str">
        <x:v>Failed</x:v>
      </x:c>
      <x:c r="I126" s="104" t="str">
        <x:v>Cancelled</x:v>
      </x:c>
      <x:c r="J126" s="104" t="n">
        <x:v>8</x:v>
      </x:c>
      <x:c r="K126" s="104" t="str">
        <x:v>Pass</x:v>
      </x:c>
      <x:c r="L126" s="104" t="str">
        <x:v>OK</x:v>
      </x:c>
      <x:c r="M126" s="104" t="str">
        <x:v>Cancelled order – excluded from completed sales; Failed payment – excluded from completed sales</x:v>
      </x:c>
      <x:c r="N126" s="104" t="str">
        <x:v>Valid</x:v>
      </x:c>
      <x:c r="O126" s="105" t="str">
        <x:v>Exclude from completed sales</x:v>
      </x:c>
    </x:row>
    <x:row r="127">
      <x:c r="A127" s="103" t="n">
        <x:v>333</x:v>
      </x:c>
      <x:c r="B127" s="104" t="str">
        <x:v>ORD-2024-10332</x:v>
      </x:c>
      <x:c r="C127" s="120" t="n">
        <x:v>45630</x:v>
      </x:c>
      <x:c r="D127" s="120" t="n">
        <x:v>45632</x:v>
      </x:c>
      <x:c r="E127" s="104" t="str">
        <x:v>East</x:v>
      </x:c>
      <x:c r="F127" s="104" t="str">
        <x:v>Second Class</x:v>
      </x:c>
      <x:c r="G127" s="121" t="n">
        <x:v>0</x:v>
      </x:c>
      <x:c r="H127" s="104" t="str">
        <x:v>Paid</x:v>
      </x:c>
      <x:c r="I127" s="104" t="str">
        <x:v>Returned</x:v>
      </x:c>
      <x:c r="J127" s="104" t="n">
        <x:v>2</x:v>
      </x:c>
      <x:c r="K127" s="104" t="str">
        <x:v>Review</x:v>
      </x:c>
      <x:c r="L127" s="104" t="str">
        <x:v>Conflicting duplicate order ID</x:v>
      </x:c>
      <x:c r="M127" s="104" t="str">
        <x:v>None</x:v>
      </x:c>
      <x:c r="N127" s="104" t="str">
        <x:v>Valid</x:v>
      </x:c>
      <x:c r="O127" s="105" t="str">
        <x:v>Resolve duplicate order-ID conflict</x:v>
      </x:c>
    </x:row>
    <x:row r="128">
      <x:c r="A128" s="103" t="n">
        <x:v>335</x:v>
      </x:c>
      <x:c r="B128" s="104" t="str">
        <x:v>ORD-2025-10334</x:v>
      </x:c>
      <x:c r="C128" s="120" t="n">
        <x:v>45830</x:v>
      </x:c>
      <x:c r="D128" s="120" t="n">
        <x:v>45835</x:v>
      </x:c>
      <x:c r="E128" s="104" t="str">
        <x:v>Unknown</x:v>
      </x:c>
      <x:c r="F128" s="104" t="str">
        <x:v>First Class</x:v>
      </x:c>
      <x:c r="G128" s="121" t="n">
        <x:v>0</x:v>
      </x:c>
      <x:c r="H128" s="104" t="str">
        <x:v>Paid</x:v>
      </x:c>
      <x:c r="I128" s="104" t="str">
        <x:v>Completed</x:v>
      </x:c>
      <x:c r="J128" s="104" t="n">
        <x:v>5</x:v>
      </x:c>
      <x:c r="K128" s="104" t="str">
        <x:v>Cleaned</x:v>
      </x:c>
      <x:c r="L128" s="104" t="str">
        <x:v>OK</x:v>
      </x:c>
      <x:c r="M128" s="104" t="str">
        <x:v>Missing region filled as Unknown</x:v>
      </x:c>
      <x:c r="N128" s="104" t="str">
        <x:v>Valid</x:v>
      </x:c>
      <x:c r="O128" s="105" t="str">
        <x:v>No manual action; adjustment logged</x:v>
      </x:c>
    </x:row>
    <x:row r="129">
      <x:c r="A129" s="103" t="n">
        <x:v>337</x:v>
      </x:c>
      <x:c r="B129" s="104" t="str">
        <x:v>ORD-2025-10336</x:v>
      </x:c>
      <x:c r="C129" s="120" t="n">
        <x:v>45824</x:v>
      </x:c>
      <x:c r="D129" s="120" t="n">
        <x:v>45826</x:v>
      </x:c>
      <x:c r="E129" s="104" t="str">
        <x:v>West</x:v>
      </x:c>
      <x:c r="F129" s="104" t="str">
        <x:v>First Class</x:v>
      </x:c>
      <x:c r="G129" s="121" t="n">
        <x:v>0.1</x:v>
      </x:c>
      <x:c r="H129" s="104" t="str">
        <x:v>Paid</x:v>
      </x:c>
      <x:c r="I129" s="104" t="str">
        <x:v>Completed</x:v>
      </x:c>
      <x:c r="J129" s="104" t="n">
        <x:v>2</x:v>
      </x:c>
      <x:c r="K129" s="104" t="str">
        <x:v>Review</x:v>
      </x:c>
      <x:c r="L129" s="104" t="str">
        <x:v>Conflicting duplicate order ID</x:v>
      </x:c>
      <x:c r="M129" s="104" t="str">
        <x:v>None</x:v>
      </x:c>
      <x:c r="N129" s="104" t="str">
        <x:v>Valid</x:v>
      </x:c>
      <x:c r="O129" s="105" t="str">
        <x:v>Resolve duplicate order-ID conflict</x:v>
      </x:c>
    </x:row>
    <x:row r="130">
      <x:c r="A130" s="103" t="n">
        <x:v>339</x:v>
      </x:c>
      <x:c r="B130" s="104" t="str">
        <x:v>ORD-2024-10338</x:v>
      </x:c>
      <x:c r="C130" s="120" t="n">
        <x:v>45516</x:v>
      </x:c>
      <x:c r="D130" s="120" t="n">
        <x:v>45522</x:v>
      </x:c>
      <x:c r="E130" s="104" t="str">
        <x:v>East</x:v>
      </x:c>
      <x:c r="F130" s="104" t="str">
        <x:v>Same Day</x:v>
      </x:c>
      <x:c r="G130" s="121" t="n">
        <x:v>0</x:v>
      </x:c>
      <x:c r="H130" s="104" t="str">
        <x:v>Paid</x:v>
      </x:c>
      <x:c r="I130" s="104" t="str">
        <x:v>Completed</x:v>
      </x:c>
      <x:c r="J130" s="104" t="n">
        <x:v>6</x:v>
      </x:c>
      <x:c r="K130" s="104" t="str">
        <x:v>Review</x:v>
      </x:c>
      <x:c r="L130" s="104" t="str">
        <x:v>Profit calculation mismatch</x:v>
      </x:c>
      <x:c r="M130" s="104" t="str">
        <x:v>None</x:v>
      </x:c>
      <x:c r="N130" s="104" t="str">
        <x:v>Valid</x:v>
      </x:c>
      <x:c r="O130" s="105" t="str">
        <x:v>Reconcile sales/cost/profit fields</x:v>
      </x:c>
    </x:row>
    <x:row r="131">
      <x:c r="A131" s="103" t="n">
        <x:v>349</x:v>
      </x:c>
      <x:c r="B131" s="104" t="str">
        <x:v>ORD-2024-10348</x:v>
      </x:c>
      <x:c r="C131" s="120" t="n">
        <x:v>45627</x:v>
      </x:c>
      <x:c r="D131" s="120" t="n">
        <x:v>45634</x:v>
      </x:c>
      <x:c r="E131" s="104" t="str">
        <x:v>West</x:v>
      </x:c>
      <x:c r="F131" s="104" t="str">
        <x:v>Second Class</x:v>
      </x:c>
      <x:c r="G131" s="121" t="n">
        <x:v>0.2</x:v>
      </x:c>
      <x:c r="H131" s="104" t="str">
        <x:v>Refunded</x:v>
      </x:c>
      <x:c r="I131" s="104" t="str">
        <x:v>Returned</x:v>
      </x:c>
      <x:c r="J131" s="104" t="n">
        <x:v>7</x:v>
      </x:c>
      <x:c r="K131" s="104" t="str">
        <x:v>Pass</x:v>
      </x:c>
      <x:c r="L131" s="104" t="str">
        <x:v>OK</x:v>
      </x:c>
      <x:c r="M131" s="104" t="str">
        <x:v>Refunded payment – separately summarized</x:v>
      </x:c>
      <x:c r="N131" s="104" t="str">
        <x:v>Valid</x:v>
      </x:c>
      <x:c r="O131" s="105" t="str">
        <x:v>Included in refund summary</x:v>
      </x:c>
    </x:row>
    <x:row r="132">
      <x:c r="A132" s="103" t="n">
        <x:v>351</x:v>
      </x:c>
      <x:c r="B132" s="104" t="str">
        <x:v>ORD-2025-10350</x:v>
      </x:c>
      <x:c r="C132" s="120" t="n">
        <x:v>45927</x:v>
      </x:c>
      <x:c r="D132" s="120" t="n">
        <x:v>45929</x:v>
      </x:c>
      <x:c r="E132" s="104" t="str">
        <x:v>East</x:v>
      </x:c>
      <x:c r="F132" s="104" t="str">
        <x:v>Second Class</x:v>
      </x:c>
      <x:c r="G132" s="121" t="n">
        <x:v>0.25</x:v>
      </x:c>
      <x:c r="H132" s="104" t="str">
        <x:v>Paid</x:v>
      </x:c>
      <x:c r="I132" s="104" t="str">
        <x:v>Completed</x:v>
      </x:c>
      <x:c r="J132" s="104" t="n">
        <x:v>2</x:v>
      </x:c>
      <x:c r="K132" s="104" t="str">
        <x:v>Review</x:v>
      </x:c>
      <x:c r="L132" s="104" t="str">
        <x:v>Profit calculation mismatch</x:v>
      </x:c>
      <x:c r="M132" s="104" t="str">
        <x:v>None</x:v>
      </x:c>
      <x:c r="N132" s="104" t="str">
        <x:v>Valid</x:v>
      </x:c>
      <x:c r="O132" s="105" t="str">
        <x:v>Reconcile sales/cost/profit fields</x:v>
      </x:c>
    </x:row>
    <x:row r="133">
      <x:c r="A133" s="103" t="n">
        <x:v>352</x:v>
      </x:c>
      <x:c r="B133" s="104" t="str">
        <x:v>ORD-2024-10351</x:v>
      </x:c>
      <x:c r="C133" s="120" t="n">
        <x:v>45298</x:v>
      </x:c>
      <x:c r="D133" s="120" t="n">
        <x:v>45305</x:v>
      </x:c>
      <x:c r="E133" s="104" t="str">
        <x:v>East</x:v>
      </x:c>
      <x:c r="F133" s="104" t="str">
        <x:v>Second Class</x:v>
      </x:c>
      <x:c r="G133" s="121" t="n">
        <x:v>0.1</x:v>
      </x:c>
      <x:c r="H133" s="104" t="str">
        <x:v>Refunded</x:v>
      </x:c>
      <x:c r="I133" s="104" t="str">
        <x:v>Returned</x:v>
      </x:c>
      <x:c r="J133" s="104" t="n">
        <x:v>7</x:v>
      </x:c>
      <x:c r="K133" s="104" t="str">
        <x:v>Pass</x:v>
      </x:c>
      <x:c r="L133" s="104" t="str">
        <x:v>OK</x:v>
      </x:c>
      <x:c r="M133" s="104" t="str">
        <x:v>Refunded payment – separately summarized</x:v>
      </x:c>
      <x:c r="N133" s="104" t="str">
        <x:v>Valid</x:v>
      </x:c>
      <x:c r="O133" s="105" t="str">
        <x:v>Included in refund summary</x:v>
      </x:c>
    </x:row>
    <x:row r="134">
      <x:c r="A134" s="103" t="n">
        <x:v>353</x:v>
      </x:c>
      <x:c r="B134" s="104" t="str">
        <x:v>ORD-2025-10352</x:v>
      </x:c>
      <x:c r="C134" s="120" t="n">
        <x:v>45800</x:v>
      </x:c>
      <x:c r="D134" s="120" t="n">
        <x:v>45804</x:v>
      </x:c>
      <x:c r="E134" s="104" t="str">
        <x:v>South</x:v>
      </x:c>
      <x:c r="F134" s="104" t="str">
        <x:v>First Class</x:v>
      </x:c>
      <x:c r="G134" s="121" t="n">
        <x:v>0.25</x:v>
      </x:c>
      <x:c r="H134" s="104" t="str">
        <x:v>Pending</x:v>
      </x:c>
      <x:c r="I134" s="104" t="str">
        <x:v>Cancelled</x:v>
      </x:c>
      <x:c r="J134" s="104" t="n">
        <x:v>4</x:v>
      </x:c>
      <x:c r="K134" s="104" t="str">
        <x:v>Pass</x:v>
      </x:c>
      <x:c r="L134" s="104" t="str">
        <x:v>OK</x:v>
      </x:c>
      <x:c r="M134" s="104" t="str">
        <x:v>Cancelled order – excluded from completed sales</x:v>
      </x:c>
      <x:c r="N134" s="104" t="str">
        <x:v>Valid</x:v>
      </x:c>
      <x:c r="O134" s="105" t="str">
        <x:v>Exclude from completed sales</x:v>
      </x:c>
    </x:row>
    <x:row r="135">
      <x:c r="A135" s="103" t="n">
        <x:v>356</x:v>
      </x:c>
      <x:c r="B135" s="104" t="str">
        <x:v>ORD-2024-10355</x:v>
      </x:c>
      <x:c r="C135" s="120" t="n">
        <x:v>45653</x:v>
      </x:c>
      <x:c r="D135" s="120" t="n">
        <x:v>45657</x:v>
      </x:c>
      <x:c r="E135" s="104" t="str">
        <x:v>North</x:v>
      </x:c>
      <x:c r="F135" s="104" t="str">
        <x:v>Standard Class</x:v>
      </x:c>
      <x:c r="G135" s="121" t="n">
        <x:v>-0.06</x:v>
      </x:c>
      <x:c r="H135" s="104" t="str">
        <x:v>Pending</x:v>
      </x:c>
      <x:c r="I135" s="104" t="str">
        <x:v>Cancelled</x:v>
      </x:c>
      <x:c r="J135" s="104" t="n">
        <x:v>4</x:v>
      </x:c>
      <x:c r="K135" s="104" t="str">
        <x:v>Review</x:v>
      </x:c>
      <x:c r="L135" s="104" t="str">
        <x:v>Negative discount</x:v>
      </x:c>
      <x:c r="M135" s="104" t="str">
        <x:v>Cancelled order – excluded from completed sales</x:v>
      </x:c>
      <x:c r="N135" s="104" t="str">
        <x:v>Invalid discount – negative</x:v>
      </x:c>
      <x:c r="O135" s="105" t="str">
        <x:v>Confirm or correct source discount; Exclude from completed sales</x:v>
      </x:c>
    </x:row>
    <x:row r="136">
      <x:c r="A136" s="103" t="n">
        <x:v>357</x:v>
      </x:c>
      <x:c r="B136" s="104" t="str">
        <x:v>ORD-2024-10356</x:v>
      </x:c>
      <x:c r="C136" s="120" t="n">
        <x:v>45424</x:v>
      </x:c>
      <x:c r="D136" s="120" t="n">
        <x:v>45421</x:v>
      </x:c>
      <x:c r="E136" s="104" t="str">
        <x:v>West</x:v>
      </x:c>
      <x:c r="F136" s="104" t="str">
        <x:v>Standard Class</x:v>
      </x:c>
      <x:c r="G136" s="121" t="n">
        <x:v>0</x:v>
      </x:c>
      <x:c r="H136" s="104" t="str">
        <x:v>Pending</x:v>
      </x:c>
      <x:c r="I136" s="104" t="str">
        <x:v>Cancelled</x:v>
      </x:c>
      <x:c r="J136" s="104" t="n">
        <x:v>-3</x:v>
      </x:c>
      <x:c r="K136" s="104" t="str">
        <x:v>Review</x:v>
      </x:c>
      <x:c r="L136" s="104" t="str">
        <x:v>Ship date earlier than order date</x:v>
      </x:c>
      <x:c r="M136" s="104" t="str">
        <x:v>Cancelled order – excluded from completed sales</x:v>
      </x:c>
      <x:c r="N136" s="104" t="str">
        <x:v>Valid</x:v>
      </x:c>
      <x:c r="O136" s="105" t="str">
        <x:v>Validate order and ship dates; Exclude from completed sales</x:v>
      </x:c>
    </x:row>
    <x:row r="137">
      <x:c r="A137" s="103" t="n">
        <x:v>359</x:v>
      </x:c>
      <x:c r="B137" s="104" t="str">
        <x:v>ORD-2025-10358</x:v>
      </x:c>
      <x:c r="C137" s="120" t="n">
        <x:v>45678</x:v>
      </x:c>
      <x:c r="D137" s="120" t="n">
        <x:v>45686</x:v>
      </x:c>
      <x:c r="E137" s="104" t="str">
        <x:v>South</x:v>
      </x:c>
      <x:c r="F137" s="104" t="str">
        <x:v>Second Class</x:v>
      </x:c>
      <x:c r="G137" s="121" t="n">
        <x:v>0</x:v>
      </x:c>
      <x:c r="H137" s="104" t="str">
        <x:v>Paid</x:v>
      </x:c>
      <x:c r="I137" s="104" t="str">
        <x:v>Cancelled</x:v>
      </x:c>
      <x:c r="J137" s="104" t="n">
        <x:v>8</x:v>
      </x:c>
      <x:c r="K137" s="104" t="str">
        <x:v>Pass</x:v>
      </x:c>
      <x:c r="L137" s="104" t="str">
        <x:v>OK</x:v>
      </x:c>
      <x:c r="M137" s="104" t="str">
        <x:v>Cancelled order – excluded from completed sales</x:v>
      </x:c>
      <x:c r="N137" s="104" t="str">
        <x:v>Valid</x:v>
      </x:c>
      <x:c r="O137" s="105" t="str">
        <x:v>Exclude from completed sales</x:v>
      </x:c>
    </x:row>
    <x:row r="138">
      <x:c r="A138" s="103" t="n">
        <x:v>360</x:v>
      </x:c>
      <x:c r="B138" s="104" t="str">
        <x:v>ORD-2025-10359</x:v>
      </x:c>
      <x:c r="C138" s="120" t="n">
        <x:v>45878</x:v>
      </x:c>
      <x:c r="D138" s="120" t="n">
        <x:v>45876</x:v>
      </x:c>
      <x:c r="E138" s="104" t="str">
        <x:v>West</x:v>
      </x:c>
      <x:c r="F138" s="104" t="str">
        <x:v>Second Class</x:v>
      </x:c>
      <x:c r="G138" s="121" t="n">
        <x:v>0.05</x:v>
      </x:c>
      <x:c r="H138" s="104" t="str">
        <x:v>Pending</x:v>
      </x:c>
      <x:c r="I138" s="104" t="str">
        <x:v>Returned</x:v>
      </x:c>
      <x:c r="J138" s="104" t="n">
        <x:v>-2</x:v>
      </x:c>
      <x:c r="K138" s="104" t="str">
        <x:v>Review</x:v>
      </x:c>
      <x:c r="L138" s="104" t="str">
        <x:v>Ship date earlier than order date</x:v>
      </x:c>
      <x:c r="M138" s="104" t="str">
        <x:v>None</x:v>
      </x:c>
      <x:c r="N138" s="104" t="str">
        <x:v>Valid</x:v>
      </x:c>
      <x:c r="O138" s="105" t="str">
        <x:v>Validate order and ship dates</x:v>
      </x:c>
    </x:row>
    <x:row r="139">
      <x:c r="A139" s="103" t="n">
        <x:v>362</x:v>
      </x:c>
      <x:c r="B139" s="104" t="str">
        <x:v>ORD-2024-10361</x:v>
      </x:c>
      <x:c r="C139" s="120" t="n">
        <x:v>45460</x:v>
      </x:c>
      <x:c r="D139" s="120" t="n">
        <x:v>45463</x:v>
      </x:c>
      <x:c r="E139" s="104" t="str">
        <x:v>West</x:v>
      </x:c>
      <x:c r="F139" s="104" t="str">
        <x:v>Standard Class</x:v>
      </x:c>
      <x:c r="G139" s="121" t="n">
        <x:v>0.2</x:v>
      </x:c>
      <x:c r="H139" s="104" t="str">
        <x:v>Refunded</x:v>
      </x:c>
      <x:c r="I139" s="104" t="str">
        <x:v>Cancelled</x:v>
      </x:c>
      <x:c r="J139" s="104" t="n">
        <x:v>3</x:v>
      </x:c>
      <x:c r="K139" s="104" t="str">
        <x:v>Pass</x:v>
      </x:c>
      <x:c r="L139" s="104" t="str">
        <x:v>OK</x:v>
      </x:c>
      <x:c r="M139" s="104" t="str">
        <x:v>Cancelled order – excluded from completed sales; Refunded payment – separately summarized</x:v>
      </x:c>
      <x:c r="N139" s="104" t="str">
        <x:v>Valid</x:v>
      </x:c>
      <x:c r="O139" s="105" t="str">
        <x:v>Included in refund summary</x:v>
      </x:c>
    </x:row>
    <x:row r="140">
      <x:c r="A140" s="103" t="n">
        <x:v>367</x:v>
      </x:c>
      <x:c r="B140" s="104" t="str">
        <x:v>ORD-2024-10366</x:v>
      </x:c>
      <x:c r="C140" s="120" t="n">
        <x:v>45458</x:v>
      </x:c>
      <x:c r="D140" s="120" t="n">
        <x:v>45464</x:v>
      </x:c>
      <x:c r="E140" s="104" t="str">
        <x:v>West</x:v>
      </x:c>
      <x:c r="F140" s="104" t="str">
        <x:v>First Class</x:v>
      </x:c>
      <x:c r="G140" s="121" t="n">
        <x:v>0</x:v>
      </x:c>
      <x:c r="H140" s="104" t="str">
        <x:v>Paid</x:v>
      </x:c>
      <x:c r="I140" s="104" t="str">
        <x:v>Completed</x:v>
      </x:c>
      <x:c r="J140" s="104" t="n">
        <x:v>6</x:v>
      </x:c>
      <x:c r="K140" s="104" t="str">
        <x:v>Review</x:v>
      </x:c>
      <x:c r="L140" s="104" t="str">
        <x:v>Sales calculation mismatch</x:v>
      </x:c>
      <x:c r="M140" s="104" t="str">
        <x:v>Missing discount imputed as 0</x:v>
      </x:c>
      <x:c r="N140" s="104" t="str">
        <x:v>Missing discount imputed as 0</x:v>
      </x:c>
      <x:c r="O140" s="105" t="str">
        <x:v>Reconcile sales/cost/profit fields</x:v>
      </x:c>
    </x:row>
    <x:row r="141">
      <x:c r="A141" s="103" t="n">
        <x:v>369</x:v>
      </x:c>
      <x:c r="B141" s="104" t="str">
        <x:v>ORD-2024-10368</x:v>
      </x:c>
      <x:c r="C141" s="120" t="n">
        <x:v>45366</x:v>
      </x:c>
      <x:c r="D141" s="120" t="n">
        <x:v>45367</x:v>
      </x:c>
      <x:c r="E141" s="104" t="str">
        <x:v>North</x:v>
      </x:c>
      <x:c r="F141" s="104" t="str">
        <x:v>Standard Class</x:v>
      </x:c>
      <x:c r="G141" s="121" t="n">
        <x:v>0.15</x:v>
      </x:c>
      <x:c r="H141" s="104" t="str">
        <x:v>Failed</x:v>
      </x:c>
      <x:c r="I141" s="104" t="str">
        <x:v>Cancelled</x:v>
      </x:c>
      <x:c r="J141" s="104" t="n">
        <x:v>1</x:v>
      </x:c>
      <x:c r="K141" s="104" t="str">
        <x:v>Pass</x:v>
      </x:c>
      <x:c r="L141" s="104" t="str">
        <x:v>OK</x:v>
      </x:c>
      <x:c r="M141" s="104" t="str">
        <x:v>Cancelled order – excluded from completed sales; Failed payment – excluded from completed sales</x:v>
      </x:c>
      <x:c r="N141" s="104" t="str">
        <x:v>Valid</x:v>
      </x:c>
      <x:c r="O141" s="105" t="str">
        <x:v>Exclude from completed sales</x:v>
      </x:c>
    </x:row>
    <x:row r="142">
      <x:c r="A142" s="103" t="n">
        <x:v>370</x:v>
      </x:c>
      <x:c r="B142" s="104" t="str">
        <x:v>ORD-2025-10369</x:v>
      </x:c>
      <x:c r="C142" s="120" t="n">
        <x:v>45844</x:v>
      </x:c>
      <x:c r="D142" s="120" t="n">
        <x:v>45844</x:v>
      </x:c>
      <x:c r="E142" s="104" t="str">
        <x:v>North</x:v>
      </x:c>
      <x:c r="F142" s="104" t="str">
        <x:v>Same Day</x:v>
      </x:c>
      <x:c r="G142" s="121" t="n">
        <x:v>0.05</x:v>
      </x:c>
      <x:c r="H142" s="104" t="str">
        <x:v>Refunded</x:v>
      </x:c>
      <x:c r="I142" s="104" t="str">
        <x:v>Returned</x:v>
      </x:c>
      <x:c r="J142" s="104" t="n">
        <x:v>0</x:v>
      </x:c>
      <x:c r="K142" s="104" t="str">
        <x:v>Pass</x:v>
      </x:c>
      <x:c r="L142" s="104" t="str">
        <x:v>OK</x:v>
      </x:c>
      <x:c r="M142" s="104" t="str">
        <x:v>Refunded payment – separately summarized</x:v>
      </x:c>
      <x:c r="N142" s="104" t="str">
        <x:v>Valid</x:v>
      </x:c>
      <x:c r="O142" s="105" t="str">
        <x:v>Included in refund summary</x:v>
      </x:c>
    </x:row>
    <x:row r="143">
      <x:c r="A143" s="103" t="n">
        <x:v>373</x:v>
      </x:c>
      <x:c r="B143" s="104" t="str">
        <x:v>ORD-2024-10372</x:v>
      </x:c>
      <x:c r="C143" s="120" t="n">
        <x:v>45313</x:v>
      </x:c>
      <x:c r="D143" s="120" t="n">
        <x:v>45315</x:v>
      </x:c>
      <x:c r="E143" s="104" t="str">
        <x:v>West</x:v>
      </x:c>
      <x:c r="F143" s="104" t="str">
        <x:v>Standard Class</x:v>
      </x:c>
      <x:c r="G143" s="121" t="n">
        <x:v>0</x:v>
      </x:c>
      <x:c r="H143" s="104" t="str">
        <x:v>Refunded</x:v>
      </x:c>
      <x:c r="I143" s="104" t="str">
        <x:v>Cancelled</x:v>
      </x:c>
      <x:c r="J143" s="104" t="n">
        <x:v>2</x:v>
      </x:c>
      <x:c r="K143" s="104" t="str">
        <x:v>Review</x:v>
      </x:c>
      <x:c r="L143" s="104" t="str">
        <x:v>Sales calculation mismatch</x:v>
      </x:c>
      <x:c r="M143" s="104" t="str">
        <x:v>Missing discount imputed as 0; Cancelled order – excluded from completed sales; Refunded payment – separately summarized</x:v>
      </x:c>
      <x:c r="N143" s="104" t="str">
        <x:v>Missing discount imputed as 0</x:v>
      </x:c>
      <x:c r="O143" s="105" t="str">
        <x:v>Reconcile sales/cost/profit fields; Included in refund summary</x:v>
      </x:c>
    </x:row>
    <x:row r="144">
      <x:c r="A144" s="103" t="n">
        <x:v>375</x:v>
      </x:c>
      <x:c r="B144" s="104" t="str">
        <x:v>ORD-2025-10374</x:v>
      </x:c>
      <x:c r="C144" s="120" t="n">
        <x:v>45760</x:v>
      </x:c>
      <x:c r="D144" s="120" t="n">
        <x:v>45760</x:v>
      </x:c>
      <x:c r="E144" s="104" t="str">
        <x:v>North</x:v>
      </x:c>
      <x:c r="F144" s="104" t="str">
        <x:v>Second Class</x:v>
      </x:c>
      <x:c r="G144" s="121" t="n">
        <x:v>0</x:v>
      </x:c>
      <x:c r="H144" s="104" t="str">
        <x:v>Paid</x:v>
      </x:c>
      <x:c r="I144" s="104" t="str">
        <x:v>Completed</x:v>
      </x:c>
      <x:c r="J144" s="104" t="n">
        <x:v>0</x:v>
      </x:c>
      <x:c r="K144" s="104" t="str">
        <x:v>Review</x:v>
      </x:c>
      <x:c r="L144" s="104" t="str">
        <x:v>Conflicting duplicate order ID</x:v>
      </x:c>
      <x:c r="M144" s="104" t="str">
        <x:v>None</x:v>
      </x:c>
      <x:c r="N144" s="104" t="str">
        <x:v>Valid</x:v>
      </x:c>
      <x:c r="O144" s="105" t="str">
        <x:v>Resolve duplicate order-ID conflict</x:v>
      </x:c>
    </x:row>
    <x:row r="145">
      <x:c r="A145" s="103" t="n">
        <x:v>381</x:v>
      </x:c>
      <x:c r="B145" s="104" t="str">
        <x:v>ORD-2024-10380</x:v>
      </x:c>
      <x:c r="C145" s="120" t="n">
        <x:v>45554</x:v>
      </x:c>
      <x:c r="D145" s="120" t="n">
        <x:v>45558</x:v>
      </x:c>
      <x:c r="E145" s="104" t="str">
        <x:v>South</x:v>
      </x:c>
      <x:c r="F145" s="104" t="str">
        <x:v>Standard Class</x:v>
      </x:c>
      <x:c r="G145" s="121" t="n">
        <x:v>0</x:v>
      </x:c>
      <x:c r="H145" s="104" t="str">
        <x:v>Paid</x:v>
      </x:c>
      <x:c r="I145" s="104" t="str">
        <x:v>Completed</x:v>
      </x:c>
      <x:c r="J145" s="104" t="n">
        <x:v>4</x:v>
      </x:c>
      <x:c r="K145" s="104" t="str">
        <x:v>Cleaned</x:v>
      </x:c>
      <x:c r="L145" s="104" t="str">
        <x:v>OK</x:v>
      </x:c>
      <x:c r="M145" s="104" t="str">
        <x:v>Missing discount imputed as 0</x:v>
      </x:c>
      <x:c r="N145" s="104" t="str">
        <x:v>Missing discount imputed as 0</x:v>
      </x:c>
      <x:c r="O145" s="105" t="str">
        <x:v>No manual action; adjustment logged</x:v>
      </x:c>
    </x:row>
    <x:row r="146">
      <x:c r="A146" s="103" t="n">
        <x:v>383</x:v>
      </x:c>
      <x:c r="B146" s="104" t="str">
        <x:v>ORD-2025-10382</x:v>
      </x:c>
      <x:c r="C146" s="120" t="n">
        <x:v>45919</x:v>
      </x:c>
      <x:c r="D146" s="120" t="n">
        <x:v>45923</x:v>
      </x:c>
      <x:c r="E146" s="104" t="str">
        <x:v>North</x:v>
      </x:c>
      <x:c r="F146" s="104" t="str">
        <x:v>Standard Class</x:v>
      </x:c>
      <x:c r="G146" s="121" t="n">
        <x:v>0.05</x:v>
      </x:c>
      <x:c r="H146" s="104" t="str">
        <x:v>Failed</x:v>
      </x:c>
      <x:c r="I146" s="104" t="str">
        <x:v>Cancelled</x:v>
      </x:c>
      <x:c r="J146" s="104" t="n">
        <x:v>4</x:v>
      </x:c>
      <x:c r="K146" s="104" t="str">
        <x:v>Cleaned</x:v>
      </x:c>
      <x:c r="L146" s="104" t="str">
        <x:v>OK</x:v>
      </x:c>
      <x:c r="M146" s="104" t="str">
        <x:v>Cancelled order – excluded from completed sales; Failed payment – excluded from completed sales</x:v>
      </x:c>
      <x:c r="N146" s="104" t="str">
        <x:v>Valid</x:v>
      </x:c>
      <x:c r="O146" s="105" t="str">
        <x:v>Exclude from completed sales</x:v>
      </x:c>
    </x:row>
    <x:row r="147">
      <x:c r="A147" s="103" t="n">
        <x:v>385</x:v>
      </x:c>
      <x:c r="B147" s="104" t="str">
        <x:v>ORD-2025-10384</x:v>
      </x:c>
      <x:c r="C147" s="120" t="n">
        <x:v>45836</x:v>
      </x:c>
      <x:c r="D147" s="120" t="n">
        <x:v>45843</x:v>
      </x:c>
      <x:c r="E147" s="104" t="str">
        <x:v>East</x:v>
      </x:c>
      <x:c r="F147" s="104" t="str">
        <x:v>First Class</x:v>
      </x:c>
      <x:c r="G147" s="121" t="n">
        <x:v>0</x:v>
      </x:c>
      <x:c r="H147" s="104" t="str">
        <x:v>Paid</x:v>
      </x:c>
      <x:c r="I147" s="104" t="str">
        <x:v>Cancelled</x:v>
      </x:c>
      <x:c r="J147" s="104" t="n">
        <x:v>7</x:v>
      </x:c>
      <x:c r="K147" s="104" t="str">
        <x:v>Pass</x:v>
      </x:c>
      <x:c r="L147" s="104" t="str">
        <x:v>OK</x:v>
      </x:c>
      <x:c r="M147" s="104" t="str">
        <x:v>Cancelled order – excluded from completed sales</x:v>
      </x:c>
      <x:c r="N147" s="104" t="str">
        <x:v>Valid</x:v>
      </x:c>
      <x:c r="O147" s="105" t="str">
        <x:v>Exclude from completed sales</x:v>
      </x:c>
    </x:row>
    <x:row r="148">
      <x:c r="A148" s="103" t="n">
        <x:v>389</x:v>
      </x:c>
      <x:c r="B148" s="104" t="str">
        <x:v>ORD-2025-10388</x:v>
      </x:c>
      <x:c r="C148" s="120" t="n">
        <x:v>45879</x:v>
      </x:c>
      <x:c r="D148" s="120" t="n">
        <x:v>45882</x:v>
      </x:c>
      <x:c r="E148" s="104" t="str">
        <x:v>West</x:v>
      </x:c>
      <x:c r="F148" s="104" t="str">
        <x:v>Standard Class</x:v>
      </x:c>
      <x:c r="G148" s="121" t="n">
        <x:v>0</x:v>
      </x:c>
      <x:c r="H148" s="104" t="str">
        <x:v>Pending</x:v>
      </x:c>
      <x:c r="I148" s="104" t="str">
        <x:v>Cancelled</x:v>
      </x:c>
      <x:c r="J148" s="104" t="n">
        <x:v>3</x:v>
      </x:c>
      <x:c r="K148" s="104" t="str">
        <x:v>Pass</x:v>
      </x:c>
      <x:c r="L148" s="104" t="str">
        <x:v>OK</x:v>
      </x:c>
      <x:c r="M148" s="104" t="str">
        <x:v>Cancelled order – excluded from completed sales</x:v>
      </x:c>
      <x:c r="N148" s="104" t="str">
        <x:v>Valid</x:v>
      </x:c>
      <x:c r="O148" s="105" t="str">
        <x:v>Exclude from completed sales</x:v>
      </x:c>
    </x:row>
    <x:row r="149">
      <x:c r="A149" s="103" t="n">
        <x:v>390</x:v>
      </x:c>
      <x:c r="B149" s="104" t="str">
        <x:v>ORD-2024-10389</x:v>
      </x:c>
      <x:c r="C149" s="120" t="n">
        <x:v>45425</x:v>
      </x:c>
      <x:c r="D149" s="120" t="n">
        <x:v>45430</x:v>
      </x:c>
      <x:c r="E149" s="104" t="str">
        <x:v>West</x:v>
      </x:c>
      <x:c r="F149" s="104" t="str">
        <x:v>Standard Class</x:v>
      </x:c>
      <x:c r="G149" s="121" t="n">
        <x:v>0</x:v>
      </x:c>
      <x:c r="H149" s="104" t="str">
        <x:v>Paid</x:v>
      </x:c>
      <x:c r="I149" s="104" t="str">
        <x:v>Completed</x:v>
      </x:c>
      <x:c r="J149" s="104" t="n">
        <x:v>5</x:v>
      </x:c>
      <x:c r="K149" s="104" t="str">
        <x:v>Review</x:v>
      </x:c>
      <x:c r="L149" s="104" t="str">
        <x:v>Profit calculation mismatch</x:v>
      </x:c>
      <x:c r="M149" s="104" t="str">
        <x:v>None</x:v>
      </x:c>
      <x:c r="N149" s="104" t="str">
        <x:v>Valid</x:v>
      </x:c>
      <x:c r="O149" s="105" t="str">
        <x:v>Reconcile sales/cost/profit fields</x:v>
      </x:c>
    </x:row>
    <x:row r="150">
      <x:c r="A150" s="103" t="n">
        <x:v>391</x:v>
      </x:c>
      <x:c r="B150" s="104" t="str">
        <x:v>ORD-2024-10390</x:v>
      </x:c>
      <x:c r="C150" s="120" t="n">
        <x:v>45387</x:v>
      </x:c>
      <x:c r="D150" s="120" t="n">
        <x:v>45395</x:v>
      </x:c>
      <x:c r="E150" s="104" t="str">
        <x:v>West</x:v>
      </x:c>
      <x:c r="F150" s="104" t="str">
        <x:v>Second Class</x:v>
      </x:c>
      <x:c r="G150" s="121" t="n">
        <x:v>0.2</x:v>
      </x:c>
      <x:c r="H150" s="104" t="str">
        <x:v>Pending</x:v>
      </x:c>
      <x:c r="I150" s="104" t="str">
        <x:v>Cancelled</x:v>
      </x:c>
      <x:c r="J150" s="104" t="n">
        <x:v>8</x:v>
      </x:c>
      <x:c r="K150" s="104" t="str">
        <x:v>Pass</x:v>
      </x:c>
      <x:c r="L150" s="104" t="str">
        <x:v>OK</x:v>
      </x:c>
      <x:c r="M150" s="104" t="str">
        <x:v>Cancelled order – excluded from completed sales</x:v>
      </x:c>
      <x:c r="N150" s="104" t="str">
        <x:v>Valid</x:v>
      </x:c>
      <x:c r="O150" s="105" t="str">
        <x:v>Exclude from completed sales</x:v>
      </x:c>
    </x:row>
    <x:row r="151">
      <x:c r="A151" s="103" t="n">
        <x:v>402</x:v>
      </x:c>
      <x:c r="B151" s="104" t="str">
        <x:v>ORD-2025-10401</x:v>
      </x:c>
      <x:c r="C151" s="120" t="n">
        <x:v>45814</x:v>
      </x:c>
      <x:c r="D151" s="120" t="n">
        <x:v>45819</x:v>
      </x:c>
      <x:c r="E151" s="104" t="str">
        <x:v>North</x:v>
      </x:c>
      <x:c r="F151" s="104" t="str">
        <x:v>Same Day</x:v>
      </x:c>
      <x:c r="G151" s="121" t="n">
        <x:v>-0.1</x:v>
      </x:c>
      <x:c r="H151" s="104" t="str">
        <x:v>Paid</x:v>
      </x:c>
      <x:c r="I151" s="104" t="str">
        <x:v>Completed</x:v>
      </x:c>
      <x:c r="J151" s="104" t="n">
        <x:v>5</x:v>
      </x:c>
      <x:c r="K151" s="104" t="str">
        <x:v>Review</x:v>
      </x:c>
      <x:c r="L151" s="104" t="str">
        <x:v>Negative discount</x:v>
      </x:c>
      <x:c r="M151" s="104" t="str">
        <x:v>None</x:v>
      </x:c>
      <x:c r="N151" s="104" t="str">
        <x:v>Invalid discount – negative</x:v>
      </x:c>
      <x:c r="O151" s="105" t="str">
        <x:v>Confirm or correct source discount</x:v>
      </x:c>
    </x:row>
    <x:row r="152">
      <x:c r="A152" s="103" t="n">
        <x:v>404</x:v>
      </x:c>
      <x:c r="B152" s="104" t="str">
        <x:v>ORD-2024-10403</x:v>
      </x:c>
      <x:c r="C152" s="120" t="n">
        <x:v>45373</x:v>
      </x:c>
      <x:c r="D152" s="120" t="n">
        <x:v>45373</x:v>
      </x:c>
      <x:c r="E152" s="104" t="str">
        <x:v>South</x:v>
      </x:c>
      <x:c r="F152" s="104" t="str">
        <x:v>Unknown</x:v>
      </x:c>
      <x:c r="G152" s="121" t="n">
        <x:v>0</x:v>
      </x:c>
      <x:c r="H152" s="104" t="str">
        <x:v>Paid</x:v>
      </x:c>
      <x:c r="I152" s="104" t="str">
        <x:v>Completed</x:v>
      </x:c>
      <x:c r="J152" s="104" t="n">
        <x:v>0</x:v>
      </x:c>
      <x:c r="K152" s="104" t="str">
        <x:v>Cleaned</x:v>
      </x:c>
      <x:c r="L152" s="104" t="str">
        <x:v>OK</x:v>
      </x:c>
      <x:c r="M152" s="104" t="str">
        <x:v>Missing ship_mode filled as Unknown</x:v>
      </x:c>
      <x:c r="N152" s="104" t="str">
        <x:v>Valid</x:v>
      </x:c>
      <x:c r="O152" s="105" t="str">
        <x:v>No manual action; adjustment logged</x:v>
      </x:c>
    </x:row>
    <x:row r="153">
      <x:c r="A153" s="103" t="n">
        <x:v>407</x:v>
      </x:c>
      <x:c r="B153" s="104" t="str">
        <x:v>ORD-2024-10406</x:v>
      </x:c>
      <x:c r="C153" s="120" t="n">
        <x:v>45558</x:v>
      </x:c>
      <x:c r="D153" s="120" t="n">
        <x:v>45559</x:v>
      </x:c>
      <x:c r="E153" s="104" t="str">
        <x:v>West</x:v>
      </x:c>
      <x:c r="F153" s="104" t="str">
        <x:v>Unknown</x:v>
      </x:c>
      <x:c r="G153" s="121" t="n">
        <x:v>0.1</x:v>
      </x:c>
      <x:c r="H153" s="104" t="str">
        <x:v>Paid</x:v>
      </x:c>
      <x:c r="I153" s="104" t="str">
        <x:v>Completed</x:v>
      </x:c>
      <x:c r="J153" s="104" t="n">
        <x:v>1</x:v>
      </x:c>
      <x:c r="K153" s="104" t="str">
        <x:v>Cleaned</x:v>
      </x:c>
      <x:c r="L153" s="104" t="str">
        <x:v>OK</x:v>
      </x:c>
      <x:c r="M153" s="104" t="str">
        <x:v>Missing ship_mode filled as Unknown</x:v>
      </x:c>
      <x:c r="N153" s="104" t="str">
        <x:v>Valid</x:v>
      </x:c>
      <x:c r="O153" s="105" t="str">
        <x:v>No manual action; adjustment logged</x:v>
      </x:c>
    </x:row>
    <x:row r="154">
      <x:c r="A154" s="103" t="n">
        <x:v>410</x:v>
      </x:c>
      <x:c r="B154" s="104" t="str">
        <x:v>ORD-2025-10409</x:v>
      </x:c>
      <x:c r="C154" s="120" t="n">
        <x:v>45870</x:v>
      </x:c>
      <x:c r="D154" s="120" t="n">
        <x:v>45872</x:v>
      </x:c>
      <x:c r="E154" s="104" t="str">
        <x:v>West</x:v>
      </x:c>
      <x:c r="F154" s="104" t="str">
        <x:v>First Class</x:v>
      </x:c>
      <x:c r="G154" s="121" t="n">
        <x:v>0</x:v>
      </x:c>
      <x:c r="H154" s="104" t="str">
        <x:v>Failed</x:v>
      </x:c>
      <x:c r="I154" s="104" t="str">
        <x:v>Returned</x:v>
      </x:c>
      <x:c r="J154" s="104" t="n">
        <x:v>2</x:v>
      </x:c>
      <x:c r="K154" s="104" t="str">
        <x:v>Pass</x:v>
      </x:c>
      <x:c r="L154" s="104" t="str">
        <x:v>OK</x:v>
      </x:c>
      <x:c r="M154" s="104" t="str">
        <x:v>Failed payment – excluded from completed sales</x:v>
      </x:c>
      <x:c r="N154" s="104" t="str">
        <x:v>Valid</x:v>
      </x:c>
      <x:c r="O154" s="105" t="str">
        <x:v>Exclude from completed sales</x:v>
      </x:c>
    </x:row>
    <x:row r="155">
      <x:c r="A155" s="103" t="n">
        <x:v>411</x:v>
      </x:c>
      <x:c r="B155" s="104" t="str">
        <x:v>ORD-2025-10410</x:v>
      </x:c>
      <x:c r="C155" s="120" t="n">
        <x:v>45701</x:v>
      </x:c>
      <x:c r="D155" s="120" t="n">
        <x:v>45703</x:v>
      </x:c>
      <x:c r="E155" s="104" t="str">
        <x:v>East</x:v>
      </x:c>
      <x:c r="F155" s="104" t="str">
        <x:v>Same Day</x:v>
      </x:c>
      <x:c r="G155" s="121" t="n">
        <x:v>0.25</x:v>
      </x:c>
      <x:c r="H155" s="104" t="str">
        <x:v>Refunded</x:v>
      </x:c>
      <x:c r="I155" s="104" t="str">
        <x:v>Returned</x:v>
      </x:c>
      <x:c r="J155" s="104" t="n">
        <x:v>2</x:v>
      </x:c>
      <x:c r="K155" s="104" t="str">
        <x:v>Pass</x:v>
      </x:c>
      <x:c r="L155" s="104" t="str">
        <x:v>OK</x:v>
      </x:c>
      <x:c r="M155" s="104" t="str">
        <x:v>Refunded payment – separately summarized</x:v>
      </x:c>
      <x:c r="N155" s="104" t="str">
        <x:v>Valid</x:v>
      </x:c>
      <x:c r="O155" s="105" t="str">
        <x:v>Included in refund summary</x:v>
      </x:c>
    </x:row>
    <x:row r="156">
      <x:c r="A156" s="103" t="n">
        <x:v>413</x:v>
      </x:c>
      <x:c r="B156" s="104" t="str">
        <x:v>ORD-2025-10412</x:v>
      </x:c>
      <x:c r="C156" s="120" t="n">
        <x:v>45892</x:v>
      </x:c>
      <x:c r="D156" s="120" t="n">
        <x:v>45897</x:v>
      </x:c>
      <x:c r="E156" s="104" t="str">
        <x:v>West</x:v>
      </x:c>
      <x:c r="F156" s="104" t="str">
        <x:v>First Class</x:v>
      </x:c>
      <x:c r="G156" s="121" t="n">
        <x:v>0.2</x:v>
      </x:c>
      <x:c r="H156" s="104" t="str">
        <x:v>Failed</x:v>
      </x:c>
      <x:c r="I156" s="104" t="str">
        <x:v>Returned</x:v>
      </x:c>
      <x:c r="J156" s="104" t="n">
        <x:v>5</x:v>
      </x:c>
      <x:c r="K156" s="104" t="str">
        <x:v>Pass</x:v>
      </x:c>
      <x:c r="L156" s="104" t="str">
        <x:v>OK</x:v>
      </x:c>
      <x:c r="M156" s="104" t="str">
        <x:v>Failed payment – excluded from completed sales</x:v>
      </x:c>
      <x:c r="N156" s="104" t="str">
        <x:v>Valid</x:v>
      </x:c>
      <x:c r="O156" s="105" t="str">
        <x:v>Exclude from completed sales</x:v>
      </x:c>
    </x:row>
    <x:row r="157">
      <x:c r="A157" s="103" t="n">
        <x:v>415</x:v>
      </x:c>
      <x:c r="B157" s="104" t="str">
        <x:v>ORD-2025-10414</x:v>
      </x:c>
      <x:c r="C157" s="120" t="n">
        <x:v>45882</x:v>
      </x:c>
      <x:c r="D157" s="120" t="n">
        <x:v>45886</x:v>
      </x:c>
      <x:c r="E157" s="104" t="str">
        <x:v>West</x:v>
      </x:c>
      <x:c r="F157" s="104" t="str">
        <x:v>Second Class</x:v>
      </x:c>
      <x:c r="G157" s="121" t="n">
        <x:v>0</x:v>
      </x:c>
      <x:c r="H157" s="104" t="str">
        <x:v>Pending</x:v>
      </x:c>
      <x:c r="I157" s="104" t="str">
        <x:v>Cancelled</x:v>
      </x:c>
      <x:c r="J157" s="104" t="n">
        <x:v>4</x:v>
      </x:c>
      <x:c r="K157" s="104" t="str">
        <x:v>Pass</x:v>
      </x:c>
      <x:c r="L157" s="104" t="str">
        <x:v>OK</x:v>
      </x:c>
      <x:c r="M157" s="104" t="str">
        <x:v>Cancelled order – excluded from completed sales</x:v>
      </x:c>
      <x:c r="N157" s="104" t="str">
        <x:v>Valid</x:v>
      </x:c>
      <x:c r="O157" s="105" t="str">
        <x:v>Exclude from completed sales</x:v>
      </x:c>
    </x:row>
    <x:row r="158">
      <x:c r="A158" s="103" t="n">
        <x:v>420</x:v>
      </x:c>
      <x:c r="B158" s="104" t="str">
        <x:v>ORD-2024-10419</x:v>
      </x:c>
      <x:c r="C158" s="120" t="n">
        <x:v>45605</x:v>
      </x:c>
      <x:c r="D158" s="120" t="n">
        <x:v>45613</x:v>
      </x:c>
      <x:c r="E158" s="104" t="str">
        <x:v>East</x:v>
      </x:c>
      <x:c r="F158" s="104" t="str">
        <x:v>Standard Class</x:v>
      </x:c>
      <x:c r="G158" s="121" t="n">
        <x:v>0</x:v>
      </x:c>
      <x:c r="H158" s="104" t="str">
        <x:v>Failed</x:v>
      </x:c>
      <x:c r="I158" s="104" t="str">
        <x:v>Cancelled</x:v>
      </x:c>
      <x:c r="J158" s="104" t="n">
        <x:v>8</x:v>
      </x:c>
      <x:c r="K158" s="104" t="str">
        <x:v>Pass</x:v>
      </x:c>
      <x:c r="L158" s="104" t="str">
        <x:v>OK</x:v>
      </x:c>
      <x:c r="M158" s="104" t="str">
        <x:v>Cancelled order – excluded from completed sales; Failed payment – excluded from completed sales</x:v>
      </x:c>
      <x:c r="N158" s="104" t="str">
        <x:v>Valid</x:v>
      </x:c>
      <x:c r="O158" s="105" t="str">
        <x:v>Exclude from completed sales</x:v>
      </x:c>
    </x:row>
    <x:row r="159">
      <x:c r="A159" s="103" t="n">
        <x:v>422</x:v>
      </x:c>
      <x:c r="B159" s="104" t="str">
        <x:v>ORD-2025-10421</x:v>
      </x:c>
      <x:c r="C159" s="120" t="n">
        <x:v>45734</x:v>
      </x:c>
      <x:c r="D159" s="120" t="n">
        <x:v>45735</x:v>
      </x:c>
      <x:c r="E159" s="104" t="str">
        <x:v>South</x:v>
      </x:c>
      <x:c r="F159" s="104" t="str">
        <x:v>Standard Class</x:v>
      </x:c>
      <x:c r="G159" s="121" t="n">
        <x:v>0.25</x:v>
      </x:c>
      <x:c r="H159" s="104" t="str">
        <x:v>Pending</x:v>
      </x:c>
      <x:c r="I159" s="104" t="str">
        <x:v>Cancelled</x:v>
      </x:c>
      <x:c r="J159" s="104" t="n">
        <x:v>1</x:v>
      </x:c>
      <x:c r="K159" s="104" t="str">
        <x:v>Pass</x:v>
      </x:c>
      <x:c r="L159" s="104" t="str">
        <x:v>OK</x:v>
      </x:c>
      <x:c r="M159" s="104" t="str">
        <x:v>Cancelled order – excluded from completed sales</x:v>
      </x:c>
      <x:c r="N159" s="104" t="str">
        <x:v>Valid</x:v>
      </x:c>
      <x:c r="O159" s="105" t="str">
        <x:v>Exclude from completed sales</x:v>
      </x:c>
    </x:row>
    <x:row r="160">
      <x:c r="A160" s="103" t="n">
        <x:v>425</x:v>
      </x:c>
      <x:c r="B160" s="104" t="str">
        <x:v>ORD-2024-10424</x:v>
      </x:c>
      <x:c r="C160" s="120" t="n">
        <x:v>45342</x:v>
      </x:c>
      <x:c r="D160" s="120" t="n">
        <x:v>45349</x:v>
      </x:c>
      <x:c r="E160" s="104" t="str">
        <x:v>South</x:v>
      </x:c>
      <x:c r="F160" s="104" t="str">
        <x:v>First Class</x:v>
      </x:c>
      <x:c r="G160" s="121" t="n">
        <x:v>0.2</x:v>
      </x:c>
      <x:c r="H160" s="104" t="str">
        <x:v>Paid</x:v>
      </x:c>
      <x:c r="I160" s="104" t="str">
        <x:v>Completed</x:v>
      </x:c>
      <x:c r="J160" s="104" t="n">
        <x:v>7</x:v>
      </x:c>
      <x:c r="K160" s="104" t="str">
        <x:v>Review</x:v>
      </x:c>
      <x:c r="L160" s="104" t="str">
        <x:v>Conflicting duplicate order ID</x:v>
      </x:c>
      <x:c r="M160" s="104" t="str">
        <x:v>None</x:v>
      </x:c>
      <x:c r="N160" s="104" t="str">
        <x:v>Valid</x:v>
      </x:c>
      <x:c r="O160" s="105" t="str">
        <x:v>Resolve duplicate order-ID conflict</x:v>
      </x:c>
    </x:row>
    <x:row r="161">
      <x:c r="A161" s="103" t="n">
        <x:v>427</x:v>
      </x:c>
      <x:c r="B161" s="104" t="str">
        <x:v>ORD-2024-10426</x:v>
      </x:c>
      <x:c r="C161" s="120" t="n">
        <x:v>45561</x:v>
      </x:c>
      <x:c r="D161" s="120" t="n">
        <x:v>45562</x:v>
      </x:c>
      <x:c r="E161" s="104" t="str">
        <x:v>North</x:v>
      </x:c>
      <x:c r="F161" s="104" t="str">
        <x:v>First Class</x:v>
      </x:c>
      <x:c r="G161" s="121" t="n">
        <x:v>0.1</x:v>
      </x:c>
      <x:c r="H161" s="104" t="str">
        <x:v>Refunded</x:v>
      </x:c>
      <x:c r="I161" s="104" t="str">
        <x:v>Cancelled</x:v>
      </x:c>
      <x:c r="J161" s="104" t="n">
        <x:v>1</x:v>
      </x:c>
      <x:c r="K161" s="104" t="str">
        <x:v>Pass</x:v>
      </x:c>
      <x:c r="L161" s="104" t="str">
        <x:v>OK</x:v>
      </x:c>
      <x:c r="M161" s="104" t="str">
        <x:v>Cancelled order – excluded from completed sales; Refunded payment – separately summarized</x:v>
      </x:c>
      <x:c r="N161" s="104" t="str">
        <x:v>Valid</x:v>
      </x:c>
      <x:c r="O161" s="105" t="str">
        <x:v>Included in refund summary</x:v>
      </x:c>
    </x:row>
    <x:row r="162">
      <x:c r="A162" s="103" t="n">
        <x:v>429</x:v>
      </x:c>
      <x:c r="B162" s="104" t="str">
        <x:v>ORD-2025-10428</x:v>
      </x:c>
      <x:c r="C162" s="120" t="n">
        <x:v>45769</x:v>
      </x:c>
      <x:c r="D162" s="120" t="n">
        <x:v>45771</x:v>
      </x:c>
      <x:c r="E162" s="104" t="str">
        <x:v>Unknown</x:v>
      </x:c>
      <x:c r="F162" s="104" t="str">
        <x:v>Standard Class</x:v>
      </x:c>
      <x:c r="G162" s="121" t="n">
        <x:v>0</x:v>
      </x:c>
      <x:c r="H162" s="104" t="str">
        <x:v>Paid</x:v>
      </x:c>
      <x:c r="I162" s="104" t="str">
        <x:v>Completed</x:v>
      </x:c>
      <x:c r="J162" s="104" t="n">
        <x:v>2</x:v>
      </x:c>
      <x:c r="K162" s="104" t="str">
        <x:v>Cleaned</x:v>
      </x:c>
      <x:c r="L162" s="104" t="str">
        <x:v>OK</x:v>
      </x:c>
      <x:c r="M162" s="104" t="str">
        <x:v>Missing region filled as Unknown</x:v>
      </x:c>
      <x:c r="N162" s="104" t="str">
        <x:v>Valid</x:v>
      </x:c>
      <x:c r="O162" s="105" t="str">
        <x:v>No manual action; adjustment logged</x:v>
      </x:c>
    </x:row>
    <x:row r="163">
      <x:c r="A163" s="103" t="n">
        <x:v>430</x:v>
      </x:c>
      <x:c r="B163" s="104" t="str">
        <x:v>ORD-2025-10429</x:v>
      </x:c>
      <x:c r="C163" s="120" t="n">
        <x:v>45731</x:v>
      </x:c>
      <x:c r="D163" s="120" t="n">
        <x:v>45738</x:v>
      </x:c>
      <x:c r="E163" s="104" t="str">
        <x:v>East</x:v>
      </x:c>
      <x:c r="F163" s="104" t="str">
        <x:v>Same Day</x:v>
      </x:c>
      <x:c r="G163" s="121" t="n">
        <x:v>0.25</x:v>
      </x:c>
      <x:c r="H163" s="104" t="str">
        <x:v>Pending</x:v>
      </x:c>
      <x:c r="I163" s="104" t="str">
        <x:v>Cancelled</x:v>
      </x:c>
      <x:c r="J163" s="104" t="n">
        <x:v>7</x:v>
      </x:c>
      <x:c r="K163" s="104" t="str">
        <x:v>Pass</x:v>
      </x:c>
      <x:c r="L163" s="104" t="str">
        <x:v>OK</x:v>
      </x:c>
      <x:c r="M163" s="104" t="str">
        <x:v>Cancelled order – excluded from completed sales</x:v>
      </x:c>
      <x:c r="N163" s="104" t="str">
        <x:v>Valid</x:v>
      </x:c>
      <x:c r="O163" s="105" t="str">
        <x:v>Exclude from completed sales</x:v>
      </x:c>
    </x:row>
    <x:row r="164">
      <x:c r="A164" s="103" t="n">
        <x:v>432</x:v>
      </x:c>
      <x:c r="B164" s="104" t="str">
        <x:v>ORD-2024-10431</x:v>
      </x:c>
      <x:c r="C164" s="120" t="n">
        <x:v>45534</x:v>
      </x:c>
      <x:c r="D164" s="120" t="n">
        <x:v>45537</x:v>
      </x:c>
      <x:c r="E164" s="104" t="str">
        <x:v>North</x:v>
      </x:c>
      <x:c r="F164" s="104" t="str">
        <x:v>Second Class</x:v>
      </x:c>
      <x:c r="G164" s="121" t="n">
        <x:v>0.15</x:v>
      </x:c>
      <x:c r="H164" s="104" t="str">
        <x:v>Paid</x:v>
      </x:c>
      <x:c r="I164" s="104" t="str">
        <x:v>Completed</x:v>
      </x:c>
      <x:c r="J164" s="104" t="n">
        <x:v>3</x:v>
      </x:c>
      <x:c r="K164" s="104" t="str">
        <x:v>Review</x:v>
      </x:c>
      <x:c r="L164" s="104" t="str">
        <x:v>Profit calculation mismatch</x:v>
      </x:c>
      <x:c r="M164" s="104" t="str">
        <x:v>None</x:v>
      </x:c>
      <x:c r="N164" s="104" t="str">
        <x:v>Valid</x:v>
      </x:c>
      <x:c r="O164" s="105" t="str">
        <x:v>Reconcile sales/cost/profit fields</x:v>
      </x:c>
    </x:row>
    <x:row r="165">
      <x:c r="A165" s="103" t="n">
        <x:v>435</x:v>
      </x:c>
      <x:c r="B165" s="104" t="str">
        <x:v>ORD-2024-10434</x:v>
      </x:c>
      <x:c r="C165" s="120" t="n">
        <x:v>45401</x:v>
      </x:c>
      <x:c r="D165" s="120" t="n">
        <x:v>45402</x:v>
      </x:c>
      <x:c r="E165" s="104" t="str">
        <x:v>South</x:v>
      </x:c>
      <x:c r="F165" s="104" t="str">
        <x:v>Second Class</x:v>
      </x:c>
      <x:c r="G165" s="121" t="n">
        <x:v>0</x:v>
      </x:c>
      <x:c r="H165" s="104" t="str">
        <x:v>Refunded</x:v>
      </x:c>
      <x:c r="I165" s="104" t="str">
        <x:v>Returned</x:v>
      </x:c>
      <x:c r="J165" s="104" t="n">
        <x:v>1</x:v>
      </x:c>
      <x:c r="K165" s="104" t="str">
        <x:v>Pass</x:v>
      </x:c>
      <x:c r="L165" s="104" t="str">
        <x:v>OK</x:v>
      </x:c>
      <x:c r="M165" s="104" t="str">
        <x:v>Refunded payment – separately summarized</x:v>
      </x:c>
      <x:c r="N165" s="104" t="str">
        <x:v>Valid</x:v>
      </x:c>
      <x:c r="O165" s="105" t="str">
        <x:v>Included in refund summary</x:v>
      </x:c>
    </x:row>
    <x:row r="166">
      <x:c r="A166" s="103" t="n">
        <x:v>437</x:v>
      </x:c>
      <x:c r="B166" s="104" t="str">
        <x:v>ORD-2025-10436</x:v>
      </x:c>
      <x:c r="C166" s="120" t="n">
        <x:v>45759</x:v>
      </x:c>
      <x:c r="D166" s="120" t="n">
        <x:v>45767</x:v>
      </x:c>
      <x:c r="E166" s="104" t="str">
        <x:v>North</x:v>
      </x:c>
      <x:c r="F166" s="104" t="str">
        <x:v>Standard Class</x:v>
      </x:c>
      <x:c r="G166" s="121" t="n">
        <x:v>0.15</x:v>
      </x:c>
      <x:c r="H166" s="104" t="str">
        <x:v>Paid</x:v>
      </x:c>
      <x:c r="I166" s="104" t="str">
        <x:v>Cancelled</x:v>
      </x:c>
      <x:c r="J166" s="104" t="n">
        <x:v>8</x:v>
      </x:c>
      <x:c r="K166" s="104" t="str">
        <x:v>Pass</x:v>
      </x:c>
      <x:c r="L166" s="104" t="str">
        <x:v>OK</x:v>
      </x:c>
      <x:c r="M166" s="104" t="str">
        <x:v>Cancelled order – excluded from completed sales</x:v>
      </x:c>
      <x:c r="N166" s="104" t="str">
        <x:v>Valid</x:v>
      </x:c>
      <x:c r="O166" s="105" t="str">
        <x:v>Exclude from completed sales</x:v>
      </x:c>
    </x:row>
    <x:row r="167">
      <x:c r="A167" s="103" t="n">
        <x:v>439</x:v>
      </x:c>
      <x:c r="B167" s="104" t="str">
        <x:v>ORD-2024-10438</x:v>
      </x:c>
      <x:c r="C167" s="120" t="n">
        <x:v>45337</x:v>
      </x:c>
      <x:c r="D167" s="120" t="n">
        <x:v>45340</x:v>
      </x:c>
      <x:c r="E167" s="104" t="str">
        <x:v>South</x:v>
      </x:c>
      <x:c r="F167" s="104" t="str">
        <x:v>Same Day</x:v>
      </x:c>
      <x:c r="G167" s="121" t="n">
        <x:v>0.05</x:v>
      </x:c>
      <x:c r="H167" s="104" t="str">
        <x:v>Failed</x:v>
      </x:c>
      <x:c r="I167" s="104" t="str">
        <x:v>Returned</x:v>
      </x:c>
      <x:c r="J167" s="104" t="n">
        <x:v>3</x:v>
      </x:c>
      <x:c r="K167" s="104" t="str">
        <x:v>Cleaned</x:v>
      </x:c>
      <x:c r="L167" s="104" t="str">
        <x:v>OK</x:v>
      </x:c>
      <x:c r="M167" s="104" t="str">
        <x:v>Failed payment – excluded from completed sales</x:v>
      </x:c>
      <x:c r="N167" s="104" t="str">
        <x:v>Valid</x:v>
      </x:c>
      <x:c r="O167" s="105" t="str">
        <x:v>Exclude from completed sales</x:v>
      </x:c>
    </x:row>
    <x:row r="168">
      <x:c r="A168" s="103" t="n">
        <x:v>440</x:v>
      </x:c>
      <x:c r="B168" s="104" t="str">
        <x:v>ORD-2025-10439</x:v>
      </x:c>
      <x:c r="C168" s="120" t="n">
        <x:v>45784</x:v>
      </x:c>
      <x:c r="D168" s="120" t="n">
        <x:v>45782</x:v>
      </x:c>
      <x:c r="E168" s="104" t="str">
        <x:v>East</x:v>
      </x:c>
      <x:c r="F168" s="104" t="str">
        <x:v>Standard Class</x:v>
      </x:c>
      <x:c r="G168" s="121" t="n">
        <x:v>0.2</x:v>
      </x:c>
      <x:c r="H168" s="104" t="str">
        <x:v>Paid</x:v>
      </x:c>
      <x:c r="I168" s="104" t="str">
        <x:v>Completed</x:v>
      </x:c>
      <x:c r="J168" s="104" t="n">
        <x:v>-2</x:v>
      </x:c>
      <x:c r="K168" s="104" t="str">
        <x:v>Review</x:v>
      </x:c>
      <x:c r="L168" s="104" t="str">
        <x:v>Ship date earlier than order date</x:v>
      </x:c>
      <x:c r="M168" s="104" t="str">
        <x:v>None</x:v>
      </x:c>
      <x:c r="N168" s="104" t="str">
        <x:v>Valid</x:v>
      </x:c>
      <x:c r="O168" s="105" t="str">
        <x:v>Validate order and ship dates</x:v>
      </x:c>
    </x:row>
    <x:row r="169">
      <x:c r="A169" s="103" t="n">
        <x:v>441</x:v>
      </x:c>
      <x:c r="B169" s="104" t="str">
        <x:v>ORD-2025-10440</x:v>
      </x:c>
      <x:c r="C169" s="120" t="n">
        <x:v>45838</x:v>
      </x:c>
      <x:c r="D169" s="120" t="n">
        <x:v>45841</x:v>
      </x:c>
      <x:c r="E169" s="104" t="str">
        <x:v>West</x:v>
      </x:c>
      <x:c r="F169" s="104" t="str">
        <x:v>Same Day</x:v>
      </x:c>
      <x:c r="G169" s="121" t="n">
        <x:v>0</x:v>
      </x:c>
      <x:c r="H169" s="104" t="str">
        <x:v>Refunded</x:v>
      </x:c>
      <x:c r="I169" s="104" t="str">
        <x:v>Returned</x:v>
      </x:c>
      <x:c r="J169" s="104" t="n">
        <x:v>3</x:v>
      </x:c>
      <x:c r="K169" s="104" t="str">
        <x:v>Pass</x:v>
      </x:c>
      <x:c r="L169" s="104" t="str">
        <x:v>OK</x:v>
      </x:c>
      <x:c r="M169" s="104" t="str">
        <x:v>Refunded payment – separately summarized</x:v>
      </x:c>
      <x:c r="N169" s="104" t="str">
        <x:v>Valid</x:v>
      </x:c>
      <x:c r="O169" s="105" t="str">
        <x:v>Included in refund summary</x:v>
      </x:c>
    </x:row>
    <x:row r="170">
      <x:c r="A170" s="103" t="n">
        <x:v>443</x:v>
      </x:c>
      <x:c r="B170" s="104" t="str">
        <x:v>ORD-2024-10442</x:v>
      </x:c>
      <x:c r="C170" s="120" t="n">
        <x:v>45568</x:v>
      </x:c>
      <x:c r="D170" s="120" t="n">
        <x:v>45568</x:v>
      </x:c>
      <x:c r="E170" s="104" t="str">
        <x:v>East</x:v>
      </x:c>
      <x:c r="F170" s="104" t="str">
        <x:v>Standard Class</x:v>
      </x:c>
      <x:c r="G170" s="121" t="n">
        <x:v>0</x:v>
      </x:c>
      <x:c r="H170" s="104" t="str">
        <x:v>Paid</x:v>
      </x:c>
      <x:c r="I170" s="104" t="str">
        <x:v>Cancelled</x:v>
      </x:c>
      <x:c r="J170" s="104" t="n">
        <x:v>0</x:v>
      </x:c>
      <x:c r="K170" s="104" t="str">
        <x:v>Pass</x:v>
      </x:c>
      <x:c r="L170" s="104" t="str">
        <x:v>OK</x:v>
      </x:c>
      <x:c r="M170" s="104" t="str">
        <x:v>Cancelled order – excluded from completed sales</x:v>
      </x:c>
      <x:c r="N170" s="104" t="str">
        <x:v>Valid</x:v>
      </x:c>
      <x:c r="O170" s="105" t="str">
        <x:v>Exclude from completed sales</x:v>
      </x:c>
    </x:row>
    <x:row r="171">
      <x:c r="A171" s="103" t="n">
        <x:v>447</x:v>
      </x:c>
      <x:c r="B171" s="104" t="str">
        <x:v>ORD-2024-10446</x:v>
      </x:c>
      <x:c r="C171" s="120" t="n">
        <x:v>45421</x:v>
      </x:c>
      <x:c r="D171" s="120" t="n">
        <x:v>45417</x:v>
      </x:c>
      <x:c r="E171" s="104" t="str">
        <x:v>East</x:v>
      </x:c>
      <x:c r="F171" s="104" t="str">
        <x:v>Same Day</x:v>
      </x:c>
      <x:c r="G171" s="121" t="n">
        <x:v>0.2</x:v>
      </x:c>
      <x:c r="H171" s="104" t="str">
        <x:v>Paid</x:v>
      </x:c>
      <x:c r="I171" s="104" t="str">
        <x:v>Completed</x:v>
      </x:c>
      <x:c r="J171" s="104" t="n">
        <x:v>-4</x:v>
      </x:c>
      <x:c r="K171" s="104" t="str">
        <x:v>Review</x:v>
      </x:c>
      <x:c r="L171" s="104" t="str">
        <x:v>Ship date earlier than order date</x:v>
      </x:c>
      <x:c r="M171" s="104" t="str">
        <x:v>None</x:v>
      </x:c>
      <x:c r="N171" s="104" t="str">
        <x:v>Valid</x:v>
      </x:c>
      <x:c r="O171" s="105" t="str">
        <x:v>Validate order and ship dates</x:v>
      </x:c>
    </x:row>
    <x:row r="172">
      <x:c r="A172" s="103" t="n">
        <x:v>453</x:v>
      </x:c>
      <x:c r="B172" s="104" t="str">
        <x:v>ORD-2024-10452</x:v>
      </x:c>
      <x:c r="C172" s="120" t="n">
        <x:v>45375</x:v>
      </x:c>
      <x:c r="D172" s="120" t="n">
        <x:v>45377</x:v>
      </x:c>
      <x:c r="E172" s="104" t="str">
        <x:v>North</x:v>
      </x:c>
      <x:c r="F172" s="104" t="str">
        <x:v>Second Class</x:v>
      </x:c>
      <x:c r="G172" s="121" t="n">
        <x:v>0.15</x:v>
      </x:c>
      <x:c r="H172" s="104" t="str">
        <x:v>Paid</x:v>
      </x:c>
      <x:c r="I172" s="104" t="str">
        <x:v>Cancelled</x:v>
      </x:c>
      <x:c r="J172" s="104" t="n">
        <x:v>2</x:v>
      </x:c>
      <x:c r="K172" s="104" t="str">
        <x:v>Pass</x:v>
      </x:c>
      <x:c r="L172" s="104" t="str">
        <x:v>OK</x:v>
      </x:c>
      <x:c r="M172" s="104" t="str">
        <x:v>Cancelled order – excluded from completed sales</x:v>
      </x:c>
      <x:c r="N172" s="104" t="str">
        <x:v>Valid</x:v>
      </x:c>
      <x:c r="O172" s="105" t="str">
        <x:v>Exclude from completed sales</x:v>
      </x:c>
    </x:row>
    <x:row r="173">
      <x:c r="A173" s="103" t="n">
        <x:v>462</x:v>
      </x:c>
      <x:c r="B173" s="104" t="str">
        <x:v>ORD-2025-10461</x:v>
      </x:c>
      <x:c r="C173" s="120" t="n">
        <x:v>45930</x:v>
      </x:c>
      <x:c r="D173" s="120" t="n">
        <x:v>45936</x:v>
      </x:c>
      <x:c r="E173" s="104" t="str">
        <x:v>Unknown</x:v>
      </x:c>
      <x:c r="F173" s="104" t="str">
        <x:v>Second Class</x:v>
      </x:c>
      <x:c r="G173" s="121" t="n">
        <x:v>0.05</x:v>
      </x:c>
      <x:c r="H173" s="104" t="str">
        <x:v>Paid</x:v>
      </x:c>
      <x:c r="I173" s="104" t="str">
        <x:v>Completed</x:v>
      </x:c>
      <x:c r="J173" s="104" t="n">
        <x:v>6</x:v>
      </x:c>
      <x:c r="K173" s="104" t="str">
        <x:v>Cleaned</x:v>
      </x:c>
      <x:c r="L173" s="104" t="str">
        <x:v>OK</x:v>
      </x:c>
      <x:c r="M173" s="104" t="str">
        <x:v>Missing region filled as Unknown</x:v>
      </x:c>
      <x:c r="N173" s="104" t="str">
        <x:v>Valid</x:v>
      </x:c>
      <x:c r="O173" s="105" t="str">
        <x:v>No manual action; adjustment logged</x:v>
      </x:c>
    </x:row>
    <x:row r="174">
      <x:c r="A174" s="103" t="n">
        <x:v>466</x:v>
      </x:c>
      <x:c r="B174" s="104" t="str">
        <x:v>ORD-2025-10465</x:v>
      </x:c>
      <x:c r="C174" s="120" t="n">
        <x:v>45727</x:v>
      </x:c>
      <x:c r="D174" s="120" t="n">
        <x:v>45731</x:v>
      </x:c>
      <x:c r="E174" s="104" t="str">
        <x:v>East</x:v>
      </x:c>
      <x:c r="F174" s="104" t="str">
        <x:v>Same Day</x:v>
      </x:c>
      <x:c r="G174" s="121" t="n">
        <x:v>0.05</x:v>
      </x:c>
      <x:c r="H174" s="104" t="str">
        <x:v>Pending</x:v>
      </x:c>
      <x:c r="I174" s="104" t="str">
        <x:v>Cancelled</x:v>
      </x:c>
      <x:c r="J174" s="104" t="n">
        <x:v>4</x:v>
      </x:c>
      <x:c r="K174" s="104" t="str">
        <x:v>Pass</x:v>
      </x:c>
      <x:c r="L174" s="104" t="str">
        <x:v>OK</x:v>
      </x:c>
      <x:c r="M174" s="104" t="str">
        <x:v>Cancelled order – excluded from completed sales</x:v>
      </x:c>
      <x:c r="N174" s="104" t="str">
        <x:v>Valid</x:v>
      </x:c>
      <x:c r="O174" s="105" t="str">
        <x:v>Exclude from completed sales</x:v>
      </x:c>
    </x:row>
    <x:row r="175">
      <x:c r="A175" s="103" t="n">
        <x:v>469</x:v>
      </x:c>
      <x:c r="B175" s="104" t="str">
        <x:v>ORD-2024-10468</x:v>
      </x:c>
      <x:c r="C175" s="120" t="n">
        <x:v>45524</x:v>
      </x:c>
      <x:c r="D175" s="120" t="n">
        <x:v>45525</x:v>
      </x:c>
      <x:c r="E175" s="104" t="str">
        <x:v>East</x:v>
      </x:c>
      <x:c r="F175" s="104" t="str">
        <x:v>First Class</x:v>
      </x:c>
      <x:c r="G175" s="121" t="n">
        <x:v>0.1</x:v>
      </x:c>
      <x:c r="H175" s="104" t="str">
        <x:v>Refunded</x:v>
      </x:c>
      <x:c r="I175" s="104" t="str">
        <x:v>Cancelled</x:v>
      </x:c>
      <x:c r="J175" s="104" t="n">
        <x:v>1</x:v>
      </x:c>
      <x:c r="K175" s="104" t="str">
        <x:v>Pass</x:v>
      </x:c>
      <x:c r="L175" s="104" t="str">
        <x:v>OK</x:v>
      </x:c>
      <x:c r="M175" s="104" t="str">
        <x:v>Cancelled order – excluded from completed sales; Refunded payment – separately summarized</x:v>
      </x:c>
      <x:c r="N175" s="104" t="str">
        <x:v>Valid</x:v>
      </x:c>
      <x:c r="O175" s="105" t="str">
        <x:v>Included in refund summary</x:v>
      </x:c>
    </x:row>
    <x:row r="176">
      <x:c r="A176" s="103" t="n">
        <x:v>470</x:v>
      </x:c>
      <x:c r="B176" s="104" t="str">
        <x:v>ORD-2025-10469</x:v>
      </x:c>
      <x:c r="C176" s="120" t="n">
        <x:v>45666</x:v>
      </x:c>
      <x:c r="D176" s="120" t="n">
        <x:v>45664</x:v>
      </x:c>
      <x:c r="E176" s="104" t="str">
        <x:v>East</x:v>
      </x:c>
      <x:c r="F176" s="104" t="str">
        <x:v>Second Class</x:v>
      </x:c>
      <x:c r="G176" s="121" t="n">
        <x:v>0</x:v>
      </x:c>
      <x:c r="H176" s="104" t="str">
        <x:v>Paid</x:v>
      </x:c>
      <x:c r="I176" s="104" t="str">
        <x:v>Completed</x:v>
      </x:c>
      <x:c r="J176" s="104" t="n">
        <x:v>-2</x:v>
      </x:c>
      <x:c r="K176" s="104" t="str">
        <x:v>Review</x:v>
      </x:c>
      <x:c r="L176" s="104" t="str">
        <x:v>Ship date earlier than order date</x:v>
      </x:c>
      <x:c r="M176" s="104" t="str">
        <x:v>None</x:v>
      </x:c>
      <x:c r="N176" s="104" t="str">
        <x:v>Valid</x:v>
      </x:c>
      <x:c r="O176" s="105" t="str">
        <x:v>Validate order and ship dates</x:v>
      </x:c>
    </x:row>
    <x:row r="177">
      <x:c r="A177" s="103" t="n">
        <x:v>479</x:v>
      </x:c>
      <x:c r="B177" s="104" t="str">
        <x:v>ORD-2025-10478</x:v>
      </x:c>
      <x:c r="C177" s="120" t="n">
        <x:v>45892</x:v>
      </x:c>
      <x:c r="D177" s="120" t="n">
        <x:v>45897</x:v>
      </x:c>
      <x:c r="E177" s="104" t="str">
        <x:v>West</x:v>
      </x:c>
      <x:c r="F177" s="104" t="str">
        <x:v>Standard Class</x:v>
      </x:c>
      <x:c r="G177" s="121" t="n">
        <x:v>0.1</x:v>
      </x:c>
      <x:c r="H177" s="104" t="str">
        <x:v>Paid</x:v>
      </x:c>
      <x:c r="I177" s="104" t="str">
        <x:v>Cancelled</x:v>
      </x:c>
      <x:c r="J177" s="104" t="n">
        <x:v>5</x:v>
      </x:c>
      <x:c r="K177" s="104" t="str">
        <x:v>Pass</x:v>
      </x:c>
      <x:c r="L177" s="104" t="str">
        <x:v>OK</x:v>
      </x:c>
      <x:c r="M177" s="104" t="str">
        <x:v>Cancelled order – excluded from completed sales</x:v>
      </x:c>
      <x:c r="N177" s="104" t="str">
        <x:v>Valid</x:v>
      </x:c>
      <x:c r="O177" s="105" t="str">
        <x:v>Exclude from completed sales</x:v>
      </x:c>
    </x:row>
    <x:row r="178">
      <x:c r="A178" s="103" t="n">
        <x:v>480</x:v>
      </x:c>
      <x:c r="B178" s="104" t="str">
        <x:v>ORD-2024-10479</x:v>
      </x:c>
      <x:c r="C178" s="120" t="n">
        <x:v>45452</x:v>
      </x:c>
      <x:c r="D178" s="120" t="n">
        <x:v>45456</x:v>
      </x:c>
      <x:c r="E178" s="104" t="str">
        <x:v>Unknown</x:v>
      </x:c>
      <x:c r="F178" s="104" t="str">
        <x:v>Same Day</x:v>
      </x:c>
      <x:c r="G178" s="121" t="n">
        <x:v>0.1</x:v>
      </x:c>
      <x:c r="H178" s="104" t="str">
        <x:v>Refunded</x:v>
      </x:c>
      <x:c r="I178" s="104" t="str">
        <x:v>Returned</x:v>
      </x:c>
      <x:c r="J178" s="104" t="n">
        <x:v>4</x:v>
      </x:c>
      <x:c r="K178" s="104" t="str">
        <x:v>Cleaned</x:v>
      </x:c>
      <x:c r="L178" s="104" t="str">
        <x:v>OK</x:v>
      </x:c>
      <x:c r="M178" s="104" t="str">
        <x:v>Missing region filled as Unknown; Refunded payment – separately summarized</x:v>
      </x:c>
      <x:c r="N178" s="104" t="str">
        <x:v>Valid</x:v>
      </x:c>
      <x:c r="O178" s="105" t="str">
        <x:v>Included in refund summary</x:v>
      </x:c>
    </x:row>
    <x:row r="179">
      <x:c r="A179" s="103" t="n">
        <x:v>481</x:v>
      </x:c>
      <x:c r="B179" s="104" t="str">
        <x:v>ORD-2024-10480</x:v>
      </x:c>
      <x:c r="C179" s="120" t="n">
        <x:v>45345</x:v>
      </x:c>
      <x:c r="D179" s="120" t="n">
        <x:v>45342</x:v>
      </x:c>
      <x:c r="E179" s="104" t="str">
        <x:v>East</x:v>
      </x:c>
      <x:c r="F179" s="104" t="str">
        <x:v>Second Class</x:v>
      </x:c>
      <x:c r="G179" s="121" t="n">
        <x:v>0</x:v>
      </x:c>
      <x:c r="H179" s="104" t="str">
        <x:v>Paid</x:v>
      </x:c>
      <x:c r="I179" s="104" t="str">
        <x:v>Completed</x:v>
      </x:c>
      <x:c r="J179" s="104" t="n">
        <x:v>-3</x:v>
      </x:c>
      <x:c r="K179" s="104" t="str">
        <x:v>Review</x:v>
      </x:c>
      <x:c r="L179" s="104" t="str">
        <x:v>Sales calculation mismatch; Ship date earlier than order date</x:v>
      </x:c>
      <x:c r="M179" s="104" t="str">
        <x:v>Missing discount imputed as 0</x:v>
      </x:c>
      <x:c r="N179" s="104" t="str">
        <x:v>Missing discount imputed as 0</x:v>
      </x:c>
      <x:c r="O179" s="105" t="str">
        <x:v>Validate order and ship dates; Reconcile sales/cost/profit fields</x:v>
      </x:c>
    </x:row>
    <x:row r="180">
      <x:c r="A180" s="103" t="n">
        <x:v>482</x:v>
      </x:c>
      <x:c r="B180" s="104" t="str">
        <x:v>ORD-2025-10481</x:v>
      </x:c>
      <x:c r="C180" s="120" t="n">
        <x:v>45662</x:v>
      </x:c>
      <x:c r="D180" s="120" t="n">
        <x:v>45666</x:v>
      </x:c>
      <x:c r="E180" s="104" t="str">
        <x:v>South</x:v>
      </x:c>
      <x:c r="F180" s="104" t="str">
        <x:v>Unknown</x:v>
      </x:c>
      <x:c r="G180" s="121" t="n">
        <x:v>0</x:v>
      </x:c>
      <x:c r="H180" s="104" t="str">
        <x:v>Paid</x:v>
      </x:c>
      <x:c r="I180" s="104" t="str">
        <x:v>Completed</x:v>
      </x:c>
      <x:c r="J180" s="104" t="n">
        <x:v>4</x:v>
      </x:c>
      <x:c r="K180" s="104" t="str">
        <x:v>Cleaned</x:v>
      </x:c>
      <x:c r="L180" s="104" t="str">
        <x:v>OK</x:v>
      </x:c>
      <x:c r="M180" s="104" t="str">
        <x:v>Missing ship_mode filled as Unknown</x:v>
      </x:c>
      <x:c r="N180" s="104" t="str">
        <x:v>Valid</x:v>
      </x:c>
      <x:c r="O180" s="105" t="str">
        <x:v>No manual action; adjustment logged</x:v>
      </x:c>
    </x:row>
    <x:row r="181">
      <x:c r="A181" s="103" t="n">
        <x:v>483</x:v>
      </x:c>
      <x:c r="B181" s="104" t="str">
        <x:v>ORD-2025-10482</x:v>
      </x:c>
      <x:c r="C181" s="120" t="n">
        <x:v>45813</x:v>
      </x:c>
      <x:c r="D181" s="120" t="n">
        <x:v>45821</x:v>
      </x:c>
      <x:c r="E181" s="104" t="str">
        <x:v>North</x:v>
      </x:c>
      <x:c r="F181" s="104" t="str">
        <x:v>Same Day</x:v>
      </x:c>
      <x:c r="G181" s="121" t="n">
        <x:v>0.85</x:v>
      </x:c>
      <x:c r="H181" s="104" t="str">
        <x:v>Paid</x:v>
      </x:c>
      <x:c r="I181" s="104" t="str">
        <x:v>Completed</x:v>
      </x:c>
      <x:c r="J181" s="104" t="n">
        <x:v>8</x:v>
      </x:c>
      <x:c r="K181" s="104" t="str">
        <x:v>Review</x:v>
      </x:c>
      <x:c r="L181" s="104" t="str">
        <x:v>Discount above allowed range (&gt;50%)</x:v>
      </x:c>
      <x:c r="M181" s="104" t="str">
        <x:v>None</x:v>
      </x:c>
      <x:c r="N181" s="104" t="str">
        <x:v>Invalid discount – above 50% allowed range</x:v>
      </x:c>
      <x:c r="O181" s="105" t="str">
        <x:v>Confirm or correct source discount</x:v>
      </x:c>
    </x:row>
    <x:row r="182">
      <x:c r="A182" s="103" t="n">
        <x:v>489</x:v>
      </x:c>
      <x:c r="B182" s="104" t="str">
        <x:v>ORD-2025-10488</x:v>
      </x:c>
      <x:c r="C182" s="120" t="n">
        <x:v>45818</x:v>
      </x:c>
      <x:c r="D182" s="120" t="n">
        <x:v>45825</x:v>
      </x:c>
      <x:c r="E182" s="104" t="str">
        <x:v>South</x:v>
      </x:c>
      <x:c r="F182" s="104" t="str">
        <x:v>Standard Class</x:v>
      </x:c>
      <x:c r="G182" s="121" t="n">
        <x:v>0</x:v>
      </x:c>
      <x:c r="H182" s="104" t="str">
        <x:v>Refunded</x:v>
      </x:c>
      <x:c r="I182" s="104" t="str">
        <x:v>Returned</x:v>
      </x:c>
      <x:c r="J182" s="104" t="n">
        <x:v>7</x:v>
      </x:c>
      <x:c r="K182" s="104" t="str">
        <x:v>Pass</x:v>
      </x:c>
      <x:c r="L182" s="104" t="str">
        <x:v>OK</x:v>
      </x:c>
      <x:c r="M182" s="104" t="str">
        <x:v>Refunded payment – separately summarized</x:v>
      </x:c>
      <x:c r="N182" s="104" t="str">
        <x:v>Valid</x:v>
      </x:c>
      <x:c r="O182" s="105" t="str">
        <x:v>Included in refund summary</x:v>
      </x:c>
    </x:row>
    <x:row r="183">
      <x:c r="A183" s="103" t="n">
        <x:v>496</x:v>
      </x:c>
      <x:c r="B183" s="104" t="str">
        <x:v>ORD-2024-10495</x:v>
      </x:c>
      <x:c r="C183" s="120" t="n">
        <x:v>45610</x:v>
      </x:c>
      <x:c r="D183" s="120" t="n">
        <x:v>45618</x:v>
      </x:c>
      <x:c r="E183" s="104" t="str">
        <x:v>West</x:v>
      </x:c>
      <x:c r="F183" s="104" t="str">
        <x:v>Standard Class</x:v>
      </x:c>
      <x:c r="G183" s="121" t="n">
        <x:v>-0.13</x:v>
      </x:c>
      <x:c r="H183" s="104" t="str">
        <x:v>Failed</x:v>
      </x:c>
      <x:c r="I183" s="104" t="str">
        <x:v>Cancelled</x:v>
      </x:c>
      <x:c r="J183" s="104" t="n">
        <x:v>8</x:v>
      </x:c>
      <x:c r="K183" s="104" t="str">
        <x:v>Review</x:v>
      </x:c>
      <x:c r="L183" s="104" t="str">
        <x:v>Negative discount; Profit calculation mismatch</x:v>
      </x:c>
      <x:c r="M183" s="104" t="str">
        <x:v>Cancelled order – excluded from completed sales; Failed payment – excluded from completed sales</x:v>
      </x:c>
      <x:c r="N183" s="104" t="str">
        <x:v>Invalid discount – negative</x:v>
      </x:c>
      <x:c r="O183" s="105" t="str">
        <x:v>Confirm or correct source discount; Reconcile sales/cost/profit fields; Exclude from completed sales</x:v>
      </x:c>
    </x:row>
    <x:row r="184">
      <x:c r="A184" s="103" t="n">
        <x:v>497</x:v>
      </x:c>
      <x:c r="B184" s="104" t="str">
        <x:v>ORD-2024-10496</x:v>
      </x:c>
      <x:c r="C184" s="120" t="n">
        <x:v>45421</x:v>
      </x:c>
      <x:c r="D184" s="120" t="n">
        <x:v>45427</x:v>
      </x:c>
      <x:c r="E184" s="104" t="str">
        <x:v>East</x:v>
      </x:c>
      <x:c r="F184" s="104" t="str">
        <x:v>Second Class</x:v>
      </x:c>
      <x:c r="G184" s="121" t="n">
        <x:v>0.05</x:v>
      </x:c>
      <x:c r="H184" s="104" t="str">
        <x:v>Refunded</x:v>
      </x:c>
      <x:c r="I184" s="104" t="str">
        <x:v>Returned</x:v>
      </x:c>
      <x:c r="J184" s="104" t="n">
        <x:v>6</x:v>
      </x:c>
      <x:c r="K184" s="104" t="str">
        <x:v>Pass</x:v>
      </x:c>
      <x:c r="L184" s="104" t="str">
        <x:v>OK</x:v>
      </x:c>
      <x:c r="M184" s="104" t="str">
        <x:v>Refunded payment – separately summarized</x:v>
      </x:c>
      <x:c r="N184" s="104" t="str">
        <x:v>Valid</x:v>
      </x:c>
      <x:c r="O184" s="105" t="str">
        <x:v>Included in refund summary</x:v>
      </x:c>
    </x:row>
    <x:row r="185">
      <x:c r="A185" s="103" t="n">
        <x:v>499</x:v>
      </x:c>
      <x:c r="B185" s="104" t="str">
        <x:v>ORD-2024-10498</x:v>
      </x:c>
      <x:c r="C185" s="120" t="n">
        <x:v>45533</x:v>
      </x:c>
      <x:c r="D185" s="120" t="n">
        <x:v>45533</x:v>
      </x:c>
      <x:c r="E185" s="104" t="str">
        <x:v>North</x:v>
      </x:c>
      <x:c r="F185" s="104" t="str">
        <x:v>Second Class</x:v>
      </x:c>
      <x:c r="G185" s="121" t="n">
        <x:v>0.2</x:v>
      </x:c>
      <x:c r="H185" s="104" t="str">
        <x:v>Paid</x:v>
      </x:c>
      <x:c r="I185" s="104" t="str">
        <x:v>Cancelled</x:v>
      </x:c>
      <x:c r="J185" s="104" t="n">
        <x:v>0</x:v>
      </x:c>
      <x:c r="K185" s="104" t="str">
        <x:v>Cleaned</x:v>
      </x:c>
      <x:c r="L185" s="104" t="str">
        <x:v>OK</x:v>
      </x:c>
      <x:c r="M185" s="104" t="str">
        <x:v>Cancelled order – excluded from completed sales</x:v>
      </x:c>
      <x:c r="N185" s="104" t="str">
        <x:v>Valid</x:v>
      </x:c>
      <x:c r="O185" s="105" t="str">
        <x:v>Exclude from completed sales</x:v>
      </x:c>
    </x:row>
    <x:row r="186">
      <x:c r="A186" s="103" t="n">
        <x:v>500</x:v>
      </x:c>
      <x:c r="B186" s="104" t="str">
        <x:v>ORD-2025-10499</x:v>
      </x:c>
      <x:c r="C186" s="120" t="n">
        <x:v>45907</x:v>
      </x:c>
      <x:c r="D186" s="120" t="n">
        <x:v>45910</x:v>
      </x:c>
      <x:c r="E186" s="104" t="str">
        <x:v>North</x:v>
      </x:c>
      <x:c r="F186" s="104" t="str">
        <x:v>Same Day</x:v>
      </x:c>
      <x:c r="G186" s="121" t="n">
        <x:v>0.05</x:v>
      </x:c>
      <x:c r="H186" s="104" t="str">
        <x:v>Refunded</x:v>
      </x:c>
      <x:c r="I186" s="104" t="str">
        <x:v>Cancelled</x:v>
      </x:c>
      <x:c r="J186" s="104" t="n">
        <x:v>3</x:v>
      </x:c>
      <x:c r="K186" s="104" t="str">
        <x:v>Cleaned</x:v>
      </x:c>
      <x:c r="L186" s="104" t="str">
        <x:v>OK</x:v>
      </x:c>
      <x:c r="M186" s="104" t="str">
        <x:v>Cancelled order – excluded from completed sales; Refunded payment – separately summarized</x:v>
      </x:c>
      <x:c r="N186" s="104" t="str">
        <x:v>Valid</x:v>
      </x:c>
      <x:c r="O186" s="105" t="str">
        <x:v>Included in refund summary</x:v>
      </x:c>
    </x:row>
    <x:row r="187">
      <x:c r="A187" s="103" t="n">
        <x:v>501</x:v>
      </x:c>
      <x:c r="B187" s="104" t="str">
        <x:v>ORD-2024-10500</x:v>
      </x:c>
      <x:c r="C187" s="120" t="n">
        <x:v>45648</x:v>
      </x:c>
      <x:c r="D187" s="120" t="n">
        <x:v>45652</x:v>
      </x:c>
      <x:c r="E187" s="104" t="str">
        <x:v>North</x:v>
      </x:c>
      <x:c r="F187" s="104" t="str">
        <x:v>Standard Class</x:v>
      </x:c>
      <x:c r="G187" s="121" t="n">
        <x:v>0</x:v>
      </x:c>
      <x:c r="H187" s="104" t="str">
        <x:v>Paid</x:v>
      </x:c>
      <x:c r="I187" s="104" t="str">
        <x:v>Cancelled</x:v>
      </x:c>
      <x:c r="J187" s="104" t="n">
        <x:v>4</x:v>
      </x:c>
      <x:c r="K187" s="104" t="str">
        <x:v>Review</x:v>
      </x:c>
      <x:c r="L187" s="104" t="str">
        <x:v>Sales calculation mismatch</x:v>
      </x:c>
      <x:c r="M187" s="104" t="str">
        <x:v>Missing discount imputed as 0; Cancelled order – excluded from completed sales</x:v>
      </x:c>
      <x:c r="N187" s="104" t="str">
        <x:v>Missing discount imputed as 0</x:v>
      </x:c>
      <x:c r="O187" s="105" t="str">
        <x:v>Reconcile sales/cost/profit fields; Exclude from completed sales</x:v>
      </x:c>
    </x:row>
    <x:row r="188">
      <x:c r="A188" s="103" t="n">
        <x:v>502</x:v>
      </x:c>
      <x:c r="B188" s="104" t="str">
        <x:v>ORD-2024-10501</x:v>
      </x:c>
      <x:c r="C188" s="120" t="n">
        <x:v>45429</x:v>
      </x:c>
      <x:c r="D188" s="120" t="n">
        <x:v>45434</x:v>
      </x:c>
      <x:c r="E188" s="104" t="str">
        <x:v>South</x:v>
      </x:c>
      <x:c r="F188" s="104" t="str">
        <x:v>Same Day</x:v>
      </x:c>
      <x:c r="G188" s="121" t="n">
        <x:v>0.85</x:v>
      </x:c>
      <x:c r="H188" s="104" t="str">
        <x:v>Paid</x:v>
      </x:c>
      <x:c r="I188" s="104" t="str">
        <x:v>Completed</x:v>
      </x:c>
      <x:c r="J188" s="104" t="n">
        <x:v>5</x:v>
      </x:c>
      <x:c r="K188" s="104" t="str">
        <x:v>Review</x:v>
      </x:c>
      <x:c r="L188" s="104" t="str">
        <x:v>Discount above allowed range (&gt;50%)</x:v>
      </x:c>
      <x:c r="M188" s="104" t="str">
        <x:v>None</x:v>
      </x:c>
      <x:c r="N188" s="104" t="str">
        <x:v>Invalid discount – above 50% allowed range</x:v>
      </x:c>
      <x:c r="O188" s="105" t="str">
        <x:v>Confirm or correct source discount</x:v>
      </x:c>
    </x:row>
    <x:row r="189">
      <x:c r="A189" s="103" t="n">
        <x:v>507</x:v>
      </x:c>
      <x:c r="B189" s="104" t="str">
        <x:v>ORD-2024-10506</x:v>
      </x:c>
      <x:c r="C189" s="120" t="n">
        <x:v>45605</x:v>
      </x:c>
      <x:c r="D189" s="120" t="n">
        <x:v>45610</x:v>
      </x:c>
      <x:c r="E189" s="104" t="str">
        <x:v>West</x:v>
      </x:c>
      <x:c r="F189" s="104" t="str">
        <x:v>First Class</x:v>
      </x:c>
      <x:c r="G189" s="121" t="n">
        <x:v>0.2</x:v>
      </x:c>
      <x:c r="H189" s="104" t="str">
        <x:v>Paid</x:v>
      </x:c>
      <x:c r="I189" s="104" t="str">
        <x:v>Cancelled</x:v>
      </x:c>
      <x:c r="J189" s="104" t="n">
        <x:v>5</x:v>
      </x:c>
      <x:c r="K189" s="104" t="str">
        <x:v>Pass</x:v>
      </x:c>
      <x:c r="L189" s="104" t="str">
        <x:v>OK</x:v>
      </x:c>
      <x:c r="M189" s="104" t="str">
        <x:v>Cancelled order – excluded from completed sales</x:v>
      </x:c>
      <x:c r="N189" s="104" t="str">
        <x:v>Valid</x:v>
      </x:c>
      <x:c r="O189" s="105" t="str">
        <x:v>Exclude from completed sales</x:v>
      </x:c>
    </x:row>
    <x:row r="190">
      <x:c r="A190" s="103" t="n">
        <x:v>508</x:v>
      </x:c>
      <x:c r="B190" s="104" t="str">
        <x:v>ORD-2024-10507</x:v>
      </x:c>
      <x:c r="C190" s="120" t="n">
        <x:v>45641</x:v>
      </x:c>
      <x:c r="D190" s="120" t="n">
        <x:v>45641</x:v>
      </x:c>
      <x:c r="E190" s="104" t="str">
        <x:v>North</x:v>
      </x:c>
      <x:c r="F190" s="104" t="str">
        <x:v>First Class</x:v>
      </x:c>
      <x:c r="G190" s="121" t="n">
        <x:v>0.1</x:v>
      </x:c>
      <x:c r="H190" s="104" t="str">
        <x:v>Refunded</x:v>
      </x:c>
      <x:c r="I190" s="104" t="str">
        <x:v>Returned</x:v>
      </x:c>
      <x:c r="J190" s="104" t="n">
        <x:v>0</x:v>
      </x:c>
      <x:c r="K190" s="104" t="str">
        <x:v>Pass</x:v>
      </x:c>
      <x:c r="L190" s="104" t="str">
        <x:v>OK</x:v>
      </x:c>
      <x:c r="M190" s="104" t="str">
        <x:v>Refunded payment – separately summarized</x:v>
      </x:c>
      <x:c r="N190" s="104" t="str">
        <x:v>Valid</x:v>
      </x:c>
      <x:c r="O190" s="105" t="str">
        <x:v>Included in refund summary</x:v>
      </x:c>
    </x:row>
    <x:row r="191">
      <x:c r="A191" s="103" t="n">
        <x:v>515</x:v>
      </x:c>
      <x:c r="B191" s="104" t="str">
        <x:v>ORD-2025-10514</x:v>
      </x:c>
      <x:c r="C191" s="120" t="n">
        <x:v>45835</x:v>
      </x:c>
      <x:c r="D191" s="120" t="n">
        <x:v>45840</x:v>
      </x:c>
      <x:c r="E191" s="104" t="str">
        <x:v>South</x:v>
      </x:c>
      <x:c r="F191" s="104" t="str">
        <x:v>First Class</x:v>
      </x:c>
      <x:c r="G191" s="121" t="n">
        <x:v>0.1</x:v>
      </x:c>
      <x:c r="H191" s="104" t="str">
        <x:v>Paid</x:v>
      </x:c>
      <x:c r="I191" s="104" t="str">
        <x:v>Completed</x:v>
      </x:c>
      <x:c r="J191" s="104" t="n">
        <x:v>5</x:v>
      </x:c>
      <x:c r="K191" s="104" t="str">
        <x:v>Review</x:v>
      </x:c>
      <x:c r="L191" s="104" t="str">
        <x:v>Sales calculation mismatch; Profit calculation mismatch</x:v>
      </x:c>
      <x:c r="M191" s="104" t="str">
        <x:v>None</x:v>
      </x:c>
      <x:c r="N191" s="104" t="str">
        <x:v>Valid</x:v>
      </x:c>
      <x:c r="O191" s="105" t="str">
        <x:v>Reconcile sales/cost/profit fields</x:v>
      </x:c>
    </x:row>
    <x:row r="192">
      <x:c r="A192" s="103" t="n">
        <x:v>517</x:v>
      </x:c>
      <x:c r="B192" s="104" t="str">
        <x:v>ORD-2025-10516</x:v>
      </x:c>
      <x:c r="C192" s="120" t="n">
        <x:v>45758</x:v>
      </x:c>
      <x:c r="D192" s="120" t="n">
        <x:v>45758</x:v>
      </x:c>
      <x:c r="E192" s="104" t="str">
        <x:v>North</x:v>
      </x:c>
      <x:c r="F192" s="104" t="str">
        <x:v>Standard Class</x:v>
      </x:c>
      <x:c r="G192" s="121" t="n">
        <x:v>-0.07</x:v>
      </x:c>
      <x:c r="H192" s="104" t="str">
        <x:v>Paid</x:v>
      </x:c>
      <x:c r="I192" s="104" t="str">
        <x:v>Completed</x:v>
      </x:c>
      <x:c r="J192" s="104" t="n">
        <x:v>0</x:v>
      </x:c>
      <x:c r="K192" s="104" t="str">
        <x:v>Review</x:v>
      </x:c>
      <x:c r="L192" s="104" t="str">
        <x:v>Negative discount</x:v>
      </x:c>
      <x:c r="M192" s="104" t="str">
        <x:v>None</x:v>
      </x:c>
      <x:c r="N192" s="104" t="str">
        <x:v>Invalid discount – negative</x:v>
      </x:c>
      <x:c r="O192" s="105" t="str">
        <x:v>Confirm or correct source discount</x:v>
      </x:c>
    </x:row>
    <x:row r="193">
      <x:c r="A193" s="103" t="n">
        <x:v>518</x:v>
      </x:c>
      <x:c r="B193" s="104" t="str">
        <x:v>ORD-2024-10517</x:v>
      </x:c>
      <x:c r="C193" s="120" t="n">
        <x:v>45563</x:v>
      </x:c>
      <x:c r="D193" s="120" t="n">
        <x:v>45569</x:v>
      </x:c>
      <x:c r="E193" s="104" t="str">
        <x:v>North</x:v>
      </x:c>
      <x:c r="F193" s="104" t="str">
        <x:v>Standard Class</x:v>
      </x:c>
      <x:c r="G193" s="121" t="n">
        <x:v>0</x:v>
      </x:c>
      <x:c r="H193" s="104" t="str">
        <x:v>Failed</x:v>
      </x:c>
      <x:c r="I193" s="104" t="str">
        <x:v>Returned</x:v>
      </x:c>
      <x:c r="J193" s="104" t="n">
        <x:v>6</x:v>
      </x:c>
      <x:c r="K193" s="104" t="str">
        <x:v>Pass</x:v>
      </x:c>
      <x:c r="L193" s="104" t="str">
        <x:v>OK</x:v>
      </x:c>
      <x:c r="M193" s="104" t="str">
        <x:v>Failed payment – excluded from completed sales</x:v>
      </x:c>
      <x:c r="N193" s="104" t="str">
        <x:v>Valid</x:v>
      </x:c>
      <x:c r="O193" s="105" t="str">
        <x:v>Exclude from completed sales</x:v>
      </x:c>
    </x:row>
    <x:row r="194">
      <x:c r="A194" s="103" t="n">
        <x:v>519</x:v>
      </x:c>
      <x:c r="B194" s="104" t="str">
        <x:v>ORD-2025-10518</x:v>
      </x:c>
      <x:c r="C194" s="120" t="n">
        <x:v>45802</x:v>
      </x:c>
      <x:c r="D194" s="120" t="n">
        <x:v>45804</x:v>
      </x:c>
      <x:c r="E194" s="104" t="str">
        <x:v>East</x:v>
      </x:c>
      <x:c r="F194" s="104" t="str">
        <x:v>Second Class</x:v>
      </x:c>
      <x:c r="G194" s="121" t="n">
        <x:v>0.2</x:v>
      </x:c>
      <x:c r="H194" s="104" t="str">
        <x:v>Refunded</x:v>
      </x:c>
      <x:c r="I194" s="104" t="str">
        <x:v>Returned</x:v>
      </x:c>
      <x:c r="J194" s="104" t="n">
        <x:v>2</x:v>
      </x:c>
      <x:c r="K194" s="104" t="str">
        <x:v>Pass</x:v>
      </x:c>
      <x:c r="L194" s="104" t="str">
        <x:v>OK</x:v>
      </x:c>
      <x:c r="M194" s="104" t="str">
        <x:v>Refunded payment – separately summarized</x:v>
      </x:c>
      <x:c r="N194" s="104" t="str">
        <x:v>Valid</x:v>
      </x:c>
      <x:c r="O194" s="105" t="str">
        <x:v>Included in refund summary</x:v>
      </x:c>
    </x:row>
    <x:row r="195">
      <x:c r="A195" s="103" t="n">
        <x:v>520</x:v>
      </x:c>
      <x:c r="B195" s="104" t="str">
        <x:v>ORD-2025-10519</x:v>
      </x:c>
      <x:c r="C195" s="120" t="n">
        <x:v>45777</x:v>
      </x:c>
      <x:c r="D195" s="120" t="n">
        <x:v>45773</x:v>
      </x:c>
      <x:c r="E195" s="104" t="str">
        <x:v>East</x:v>
      </x:c>
      <x:c r="F195" s="104" t="str">
        <x:v>First Class</x:v>
      </x:c>
      <x:c r="G195" s="121" t="n">
        <x:v>0.25</x:v>
      </x:c>
      <x:c r="H195" s="104" t="str">
        <x:v>Paid</x:v>
      </x:c>
      <x:c r="I195" s="104" t="str">
        <x:v>Cancelled</x:v>
      </x:c>
      <x:c r="J195" s="104" t="n">
        <x:v>-4</x:v>
      </x:c>
      <x:c r="K195" s="104" t="str">
        <x:v>Review</x:v>
      </x:c>
      <x:c r="L195" s="104" t="str">
        <x:v>Ship date earlier than order date</x:v>
      </x:c>
      <x:c r="M195" s="104" t="str">
        <x:v>Cancelled order – excluded from completed sales</x:v>
      </x:c>
      <x:c r="N195" s="104" t="str">
        <x:v>Valid</x:v>
      </x:c>
      <x:c r="O195" s="105" t="str">
        <x:v>Validate order and ship dates; Exclude from completed sales</x:v>
      </x:c>
    </x:row>
    <x:row r="196">
      <x:c r="A196" s="103" t="n">
        <x:v>521</x:v>
      </x:c>
      <x:c r="B196" s="104" t="str">
        <x:v>ORD-2025-10520</x:v>
      </x:c>
      <x:c r="C196" s="120" t="n">
        <x:v>45841</x:v>
      </x:c>
      <x:c r="D196" s="120" t="n">
        <x:v>45845</x:v>
      </x:c>
      <x:c r="E196" s="104" t="str">
        <x:v>North</x:v>
      </x:c>
      <x:c r="F196" s="104" t="str">
        <x:v>Standard Class</x:v>
      </x:c>
      <x:c r="G196" s="121" t="n">
        <x:v>0.2</x:v>
      </x:c>
      <x:c r="H196" s="104" t="str">
        <x:v>Pending</x:v>
      </x:c>
      <x:c r="I196" s="104" t="str">
        <x:v>Cancelled</x:v>
      </x:c>
      <x:c r="J196" s="104" t="n">
        <x:v>4</x:v>
      </x:c>
      <x:c r="K196" s="104" t="str">
        <x:v>Pass</x:v>
      </x:c>
      <x:c r="L196" s="104" t="str">
        <x:v>OK</x:v>
      </x:c>
      <x:c r="M196" s="104" t="str">
        <x:v>Cancelled order – excluded from completed sales</x:v>
      </x:c>
      <x:c r="N196" s="104" t="str">
        <x:v>Valid</x:v>
      </x:c>
      <x:c r="O196" s="105" t="str">
        <x:v>Exclude from completed sales</x:v>
      </x:c>
    </x:row>
    <x:row r="197">
      <x:c r="A197" s="103" t="n">
        <x:v>528</x:v>
      </x:c>
      <x:c r="B197" s="104" t="str">
        <x:v>ORD-2025-10527</x:v>
      </x:c>
      <x:c r="C197" s="120" t="n">
        <x:v>45856</x:v>
      </x:c>
      <x:c r="D197" s="120" t="n">
        <x:v>45859</x:v>
      </x:c>
      <x:c r="E197" s="104" t="str">
        <x:v>East</x:v>
      </x:c>
      <x:c r="F197" s="104" t="str">
        <x:v>Second Class</x:v>
      </x:c>
      <x:c r="G197" s="121" t="n">
        <x:v>0</x:v>
      </x:c>
      <x:c r="H197" s="104" t="str">
        <x:v>Paid</x:v>
      </x:c>
      <x:c r="I197" s="104" t="str">
        <x:v>Completed</x:v>
      </x:c>
      <x:c r="J197" s="104" t="n">
        <x:v>3</x:v>
      </x:c>
      <x:c r="K197" s="104" t="str">
        <x:v>Review</x:v>
      </x:c>
      <x:c r="L197" s="104" t="str">
        <x:v>Sales calculation mismatch</x:v>
      </x:c>
      <x:c r="M197" s="104" t="str">
        <x:v>Missing discount imputed as 0</x:v>
      </x:c>
      <x:c r="N197" s="104" t="str">
        <x:v>Missing discount imputed as 0</x:v>
      </x:c>
      <x:c r="O197" s="105" t="str">
        <x:v>Reconcile sales/cost/profit fields</x:v>
      </x:c>
    </x:row>
    <x:row r="198">
      <x:c r="A198" s="103" t="n">
        <x:v>533</x:v>
      </x:c>
      <x:c r="B198" s="104" t="str">
        <x:v>ORD-2024-10532</x:v>
      </x:c>
      <x:c r="C198" s="120" t="n">
        <x:v>45505</x:v>
      </x:c>
      <x:c r="D198" s="120" t="n">
        <x:v>45512</x:v>
      </x:c>
      <x:c r="E198" s="104" t="str">
        <x:v>West</x:v>
      </x:c>
      <x:c r="F198" s="104" t="str">
        <x:v>Unknown</x:v>
      </x:c>
      <x:c r="G198" s="121" t="n">
        <x:v>0.1</x:v>
      </x:c>
      <x:c r="H198" s="104" t="str">
        <x:v>Paid</x:v>
      </x:c>
      <x:c r="I198" s="104" t="str">
        <x:v>Completed</x:v>
      </x:c>
      <x:c r="J198" s="104" t="n">
        <x:v>7</x:v>
      </x:c>
      <x:c r="K198" s="104" t="str">
        <x:v>Cleaned</x:v>
      </x:c>
      <x:c r="L198" s="104" t="str">
        <x:v>OK</x:v>
      </x:c>
      <x:c r="M198" s="104" t="str">
        <x:v>Missing ship_mode filled as Unknown</x:v>
      </x:c>
      <x:c r="N198" s="104" t="str">
        <x:v>Valid</x:v>
      </x:c>
      <x:c r="O198" s="105" t="str">
        <x:v>No manual action; adjustment logged</x:v>
      </x:c>
    </x:row>
    <x:row r="199">
      <x:c r="A199" s="103" t="n">
        <x:v>534</x:v>
      </x:c>
      <x:c r="B199" s="104" t="str">
        <x:v>ORD-2025-10533</x:v>
      </x:c>
      <x:c r="C199" s="120" t="n">
        <x:v>45935</x:v>
      </x:c>
      <x:c r="D199" s="120" t="n">
        <x:v>45940</x:v>
      </x:c>
      <x:c r="E199" s="104" t="str">
        <x:v>East</x:v>
      </x:c>
      <x:c r="F199" s="104" t="str">
        <x:v>Second Class</x:v>
      </x:c>
      <x:c r="G199" s="121" t="n">
        <x:v>0.05</x:v>
      </x:c>
      <x:c r="H199" s="104" t="str">
        <x:v>Failed</x:v>
      </x:c>
      <x:c r="I199" s="104" t="str">
        <x:v>Cancelled</x:v>
      </x:c>
      <x:c r="J199" s="104" t="n">
        <x:v>5</x:v>
      </x:c>
      <x:c r="K199" s="104" t="str">
        <x:v>Pass</x:v>
      </x:c>
      <x:c r="L199" s="104" t="str">
        <x:v>OK</x:v>
      </x:c>
      <x:c r="M199" s="104" t="str">
        <x:v>Cancelled order – excluded from completed sales; Failed payment – excluded from completed sales</x:v>
      </x:c>
      <x:c r="N199" s="104" t="str">
        <x:v>Valid</x:v>
      </x:c>
      <x:c r="O199" s="105" t="str">
        <x:v>Exclude from completed sales</x:v>
      </x:c>
    </x:row>
    <x:row r="200">
      <x:c r="A200" s="103" t="n">
        <x:v>535</x:v>
      </x:c>
      <x:c r="B200" s="104" t="str">
        <x:v>ORD-2024-10534</x:v>
      </x:c>
      <x:c r="C200" s="120" t="n">
        <x:v>45529</x:v>
      </x:c>
      <x:c r="D200" s="120" t="n">
        <x:v>45536</x:v>
      </x:c>
      <x:c r="E200" s="104" t="str">
        <x:v>North</x:v>
      </x:c>
      <x:c r="F200" s="104" t="str">
        <x:v>Same Day</x:v>
      </x:c>
      <x:c r="G200" s="121" t="n">
        <x:v>0.25</x:v>
      </x:c>
      <x:c r="H200" s="104" t="str">
        <x:v>Paid</x:v>
      </x:c>
      <x:c r="I200" s="104" t="str">
        <x:v>Completed</x:v>
      </x:c>
      <x:c r="J200" s="104" t="n">
        <x:v>7</x:v>
      </x:c>
      <x:c r="K200" s="104" t="str">
        <x:v>Review</x:v>
      </x:c>
      <x:c r="L200" s="104" t="str">
        <x:v>Profit calculation mismatch</x:v>
      </x:c>
      <x:c r="M200" s="104" t="str">
        <x:v>None</x:v>
      </x:c>
      <x:c r="N200" s="104" t="str">
        <x:v>Valid</x:v>
      </x:c>
      <x:c r="O200" s="105" t="str">
        <x:v>Reconcile sales/cost/profit fields</x:v>
      </x:c>
    </x:row>
    <x:row r="201">
      <x:c r="A201" s="103" t="n">
        <x:v>538</x:v>
      </x:c>
      <x:c r="B201" s="104" t="str">
        <x:v>ORD-2025-10537</x:v>
      </x:c>
      <x:c r="C201" s="120" t="n">
        <x:v>45757</x:v>
      </x:c>
      <x:c r="D201" s="120" t="n">
        <x:v>45764</x:v>
      </x:c>
      <x:c r="E201" s="104" t="str">
        <x:v>West</x:v>
      </x:c>
      <x:c r="F201" s="104" t="str">
        <x:v>First Class</x:v>
      </x:c>
      <x:c r="G201" s="121" t="n">
        <x:v>0.25</x:v>
      </x:c>
      <x:c r="H201" s="104" t="str">
        <x:v>Failed</x:v>
      </x:c>
      <x:c r="I201" s="104" t="str">
        <x:v>Cancelled</x:v>
      </x:c>
      <x:c r="J201" s="104" t="n">
        <x:v>7</x:v>
      </x:c>
      <x:c r="K201" s="104" t="str">
        <x:v>Pass</x:v>
      </x:c>
      <x:c r="L201" s="104" t="str">
        <x:v>OK</x:v>
      </x:c>
      <x:c r="M201" s="104" t="str">
        <x:v>Cancelled order – excluded from completed sales; Failed payment – excluded from completed sales</x:v>
      </x:c>
      <x:c r="N201" s="104" t="str">
        <x:v>Valid</x:v>
      </x:c>
      <x:c r="O201" s="105" t="str">
        <x:v>Exclude from completed sales</x:v>
      </x:c>
    </x:row>
    <x:row r="202">
      <x:c r="A202" s="103" t="n">
        <x:v>539</x:v>
      </x:c>
      <x:c r="B202" s="104" t="str">
        <x:v>ORD-2024-10538</x:v>
      </x:c>
      <x:c r="C202" s="120" t="n">
        <x:v>45313</x:v>
      </x:c>
      <x:c r="D202" s="120" t="n">
        <x:v>45321</x:v>
      </x:c>
      <x:c r="E202" s="104" t="str">
        <x:v>North</x:v>
      </x:c>
      <x:c r="F202" s="104" t="str">
        <x:v>Same Day</x:v>
      </x:c>
      <x:c r="G202" s="121" t="n">
        <x:v>0.05</x:v>
      </x:c>
      <x:c r="H202" s="104" t="str">
        <x:v>Failed</x:v>
      </x:c>
      <x:c r="I202" s="104" t="str">
        <x:v>Cancelled</x:v>
      </x:c>
      <x:c r="J202" s="104" t="n">
        <x:v>8</x:v>
      </x:c>
      <x:c r="K202" s="104" t="str">
        <x:v>Pass</x:v>
      </x:c>
      <x:c r="L202" s="104" t="str">
        <x:v>OK</x:v>
      </x:c>
      <x:c r="M202" s="104" t="str">
        <x:v>Cancelled order – excluded from completed sales; Failed payment – excluded from completed sales</x:v>
      </x:c>
      <x:c r="N202" s="104" t="str">
        <x:v>Valid</x:v>
      </x:c>
      <x:c r="O202" s="105" t="str">
        <x:v>Exclude from completed sales</x:v>
      </x:c>
    </x:row>
    <x:row r="203">
      <x:c r="A203" s="103" t="n">
        <x:v>541</x:v>
      </x:c>
      <x:c r="B203" s="104" t="str">
        <x:v>ORD-2025-10540</x:v>
      </x:c>
      <x:c r="C203" s="120" t="n">
        <x:v>45842</x:v>
      </x:c>
      <x:c r="D203" s="120" t="n">
        <x:v>45842</x:v>
      </x:c>
      <x:c r="E203" s="104" t="str">
        <x:v>South</x:v>
      </x:c>
      <x:c r="F203" s="104" t="str">
        <x:v>Standard Class</x:v>
      </x:c>
      <x:c r="G203" s="121" t="n">
        <x:v>0.1</x:v>
      </x:c>
      <x:c r="H203" s="104" t="str">
        <x:v>Paid</x:v>
      </x:c>
      <x:c r="I203" s="104" t="str">
        <x:v>Cancelled</x:v>
      </x:c>
      <x:c r="J203" s="104" t="n">
        <x:v>0</x:v>
      </x:c>
      <x:c r="K203" s="104" t="str">
        <x:v>Cleaned</x:v>
      </x:c>
      <x:c r="L203" s="104" t="str">
        <x:v>OK</x:v>
      </x:c>
      <x:c r="M203" s="104" t="str">
        <x:v>Cancelled order – excluded from completed sales</x:v>
      </x:c>
      <x:c r="N203" s="104" t="str">
        <x:v>Valid</x:v>
      </x:c>
      <x:c r="O203" s="105" t="str">
        <x:v>Exclude from completed sales</x:v>
      </x:c>
    </x:row>
    <x:row r="204">
      <x:c r="A204" s="103" t="n">
        <x:v>542</x:v>
      </x:c>
      <x:c r="B204" s="104" t="str">
        <x:v>ORD-2024-10541</x:v>
      </x:c>
      <x:c r="C204" s="120" t="n">
        <x:v>45348</x:v>
      </x:c>
      <x:c r="D204" s="120" t="n">
        <x:v>45345</x:v>
      </x:c>
      <x:c r="E204" s="104" t="str">
        <x:v>West</x:v>
      </x:c>
      <x:c r="F204" s="104" t="str">
        <x:v>Standard Class</x:v>
      </x:c>
      <x:c r="G204" s="121" t="n">
        <x:v>0.2</x:v>
      </x:c>
      <x:c r="H204" s="104" t="str">
        <x:v>Paid</x:v>
      </x:c>
      <x:c r="I204" s="104" t="str">
        <x:v>Completed</x:v>
      </x:c>
      <x:c r="J204" s="104" t="n">
        <x:v>-3</x:v>
      </x:c>
      <x:c r="K204" s="104" t="str">
        <x:v>Review</x:v>
      </x:c>
      <x:c r="L204" s="104" t="str">
        <x:v>Ship date earlier than order date</x:v>
      </x:c>
      <x:c r="M204" s="104" t="str">
        <x:v>None</x:v>
      </x:c>
      <x:c r="N204" s="104" t="str">
        <x:v>Valid</x:v>
      </x:c>
      <x:c r="O204" s="105" t="str">
        <x:v>Validate order and ship dates</x:v>
      </x:c>
    </x:row>
    <x:row r="205">
      <x:c r="A205" s="103" t="n">
        <x:v>544</x:v>
      </x:c>
      <x:c r="B205" s="104" t="str">
        <x:v>ORD-2024-10543</x:v>
      </x:c>
      <x:c r="C205" s="120" t="n">
        <x:v>45552</x:v>
      </x:c>
      <x:c r="D205" s="120" t="n">
        <x:v>45558</x:v>
      </x:c>
      <x:c r="E205" s="104" t="str">
        <x:v>South</x:v>
      </x:c>
      <x:c r="F205" s="104" t="str">
        <x:v>Second Class</x:v>
      </x:c>
      <x:c r="G205" s="121" t="n">
        <x:v>0.2</x:v>
      </x:c>
      <x:c r="H205" s="104" t="str">
        <x:v>Paid</x:v>
      </x:c>
      <x:c r="I205" s="104" t="str">
        <x:v>Cancelled</x:v>
      </x:c>
      <x:c r="J205" s="104" t="n">
        <x:v>6</x:v>
      </x:c>
      <x:c r="K205" s="104" t="str">
        <x:v>Review</x:v>
      </x:c>
      <x:c r="L205" s="104" t="str">
        <x:v>Sales calculation mismatch; Profit calculation mismatch</x:v>
      </x:c>
      <x:c r="M205" s="104" t="str">
        <x:v>Cancelled order – excluded from completed sales</x:v>
      </x:c>
      <x:c r="N205" s="104" t="str">
        <x:v>Valid</x:v>
      </x:c>
      <x:c r="O205" s="105" t="str">
        <x:v>Reconcile sales/cost/profit fields; Exclude from completed sales</x:v>
      </x:c>
    </x:row>
    <x:row r="206">
      <x:c r="A206" s="103" t="n">
        <x:v>546</x:v>
      </x:c>
      <x:c r="B206" s="104" t="str">
        <x:v>ORD-2025-10545</x:v>
      </x:c>
      <x:c r="C206" s="120" t="n">
        <x:v>45686</x:v>
      </x:c>
      <x:c r="D206" s="120" t="n">
        <x:v>45693</x:v>
      </x:c>
      <x:c r="E206" s="104" t="str">
        <x:v>South</x:v>
      </x:c>
      <x:c r="F206" s="104" t="str">
        <x:v>Same Day</x:v>
      </x:c>
      <x:c r="G206" s="121" t="n">
        <x:v>0.25</x:v>
      </x:c>
      <x:c r="H206" s="104" t="str">
        <x:v>Paid</x:v>
      </x:c>
      <x:c r="I206" s="104" t="str">
        <x:v>Cancelled</x:v>
      </x:c>
      <x:c r="J206" s="104" t="n">
        <x:v>7</x:v>
      </x:c>
      <x:c r="K206" s="104" t="str">
        <x:v>Pass</x:v>
      </x:c>
      <x:c r="L206" s="104" t="str">
        <x:v>OK</x:v>
      </x:c>
      <x:c r="M206" s="104" t="str">
        <x:v>Cancelled order – excluded from completed sales</x:v>
      </x:c>
      <x:c r="N206" s="104" t="str">
        <x:v>Valid</x:v>
      </x:c>
      <x:c r="O206" s="105" t="str">
        <x:v>Exclude from completed sales</x:v>
      </x:c>
    </x:row>
    <x:row r="207">
      <x:c r="A207" s="103" t="n">
        <x:v>548</x:v>
      </x:c>
      <x:c r="B207" s="104" t="str">
        <x:v>ORD-2025-10547</x:v>
      </x:c>
      <x:c r="C207" s="120" t="n">
        <x:v>45883</x:v>
      </x:c>
      <x:c r="D207" s="120" t="n">
        <x:v>45891</x:v>
      </x:c>
      <x:c r="E207" s="104" t="str">
        <x:v>West</x:v>
      </x:c>
      <x:c r="F207" s="104" t="str">
        <x:v>First Class</x:v>
      </x:c>
      <x:c r="G207" s="121" t="n">
        <x:v>0.15</x:v>
      </x:c>
      <x:c r="H207" s="104" t="str">
        <x:v>Paid</x:v>
      </x:c>
      <x:c r="I207" s="104" t="str">
        <x:v>Completed</x:v>
      </x:c>
      <x:c r="J207" s="104" t="n">
        <x:v>8</x:v>
      </x:c>
      <x:c r="K207" s="104" t="str">
        <x:v>Review</x:v>
      </x:c>
      <x:c r="L207" s="104" t="str">
        <x:v>Profit calculation mismatch</x:v>
      </x:c>
      <x:c r="M207" s="104" t="str">
        <x:v>None</x:v>
      </x:c>
      <x:c r="N207" s="104" t="str">
        <x:v>Valid</x:v>
      </x:c>
      <x:c r="O207" s="105" t="str">
        <x:v>Reconcile sales/cost/profit fields</x:v>
      </x:c>
    </x:row>
    <x:row r="208">
      <x:c r="A208" s="103" t="n">
        <x:v>550</x:v>
      </x:c>
      <x:c r="B208" s="104" t="str">
        <x:v>ORD-2024-10549</x:v>
      </x:c>
      <x:c r="C208" s="120" t="n">
        <x:v>45441</x:v>
      </x:c>
      <x:c r="D208" s="120" t="n">
        <x:v>45441</x:v>
      </x:c>
      <x:c r="E208" s="104" t="str">
        <x:v>East</x:v>
      </x:c>
      <x:c r="F208" s="104" t="str">
        <x:v>Same Day</x:v>
      </x:c>
      <x:c r="G208" s="121" t="n">
        <x:v>0</x:v>
      </x:c>
      <x:c r="H208" s="104" t="str">
        <x:v>Pending</x:v>
      </x:c>
      <x:c r="I208" s="104" t="str">
        <x:v>Cancelled</x:v>
      </x:c>
      <x:c r="J208" s="104" t="n">
        <x:v>0</x:v>
      </x:c>
      <x:c r="K208" s="104" t="str">
        <x:v>Pass</x:v>
      </x:c>
      <x:c r="L208" s="104" t="str">
        <x:v>OK</x:v>
      </x:c>
      <x:c r="M208" s="104" t="str">
        <x:v>Cancelled order – excluded from completed sales</x:v>
      </x:c>
      <x:c r="N208" s="104" t="str">
        <x:v>Valid</x:v>
      </x:c>
      <x:c r="O208" s="105" t="str">
        <x:v>Exclude from completed sales</x:v>
      </x:c>
    </x:row>
    <x:row r="209">
      <x:c r="A209" s="103" t="n">
        <x:v>554</x:v>
      </x:c>
      <x:c r="B209" s="104" t="str">
        <x:v>ORD-2025-10553</x:v>
      </x:c>
      <x:c r="C209" s="120" t="n">
        <x:v>45681</x:v>
      </x:c>
      <x:c r="D209" s="120" t="n">
        <x:v>45687</x:v>
      </x:c>
      <x:c r="E209" s="104" t="str">
        <x:v>East</x:v>
      </x:c>
      <x:c r="F209" s="104" t="str">
        <x:v>Standard Class</x:v>
      </x:c>
      <x:c r="G209" s="121" t="n">
        <x:v>0.7</x:v>
      </x:c>
      <x:c r="H209" s="104" t="str">
        <x:v>Paid</x:v>
      </x:c>
      <x:c r="I209" s="104" t="str">
        <x:v>Completed</x:v>
      </x:c>
      <x:c r="J209" s="104" t="n">
        <x:v>6</x:v>
      </x:c>
      <x:c r="K209" s="104" t="str">
        <x:v>Review</x:v>
      </x:c>
      <x:c r="L209" s="104" t="str">
        <x:v>Discount above allowed range (&gt;50%)</x:v>
      </x:c>
      <x:c r="M209" s="104" t="str">
        <x:v>None</x:v>
      </x:c>
      <x:c r="N209" s="104" t="str">
        <x:v>Invalid discount – above 50% allowed range</x:v>
      </x:c>
      <x:c r="O209" s="105" t="str">
        <x:v>Confirm or correct source discount</x:v>
      </x:c>
    </x:row>
    <x:row r="210">
      <x:c r="A210" s="103" t="n">
        <x:v>556</x:v>
      </x:c>
      <x:c r="B210" s="104" t="str">
        <x:v>ORD-2024-10555</x:v>
      </x:c>
      <x:c r="C210" s="120" t="n">
        <x:v>45577</x:v>
      </x:c>
      <x:c r="D210" s="120" t="n">
        <x:v>45582</x:v>
      </x:c>
      <x:c r="E210" s="104" t="str">
        <x:v>Unknown</x:v>
      </x:c>
      <x:c r="F210" s="104" t="str">
        <x:v>Standard Class</x:v>
      </x:c>
      <x:c r="G210" s="121" t="n">
        <x:v>0.05</x:v>
      </x:c>
      <x:c r="H210" s="104" t="str">
        <x:v>Paid</x:v>
      </x:c>
      <x:c r="I210" s="104" t="str">
        <x:v>Completed</x:v>
      </x:c>
      <x:c r="J210" s="104" t="n">
        <x:v>5</x:v>
      </x:c>
      <x:c r="K210" s="104" t="str">
        <x:v>Cleaned</x:v>
      </x:c>
      <x:c r="L210" s="104" t="str">
        <x:v>OK</x:v>
      </x:c>
      <x:c r="M210" s="104" t="str">
        <x:v>Missing region filled as Unknown</x:v>
      </x:c>
      <x:c r="N210" s="104" t="str">
        <x:v>Valid</x:v>
      </x:c>
      <x:c r="O210" s="105" t="str">
        <x:v>No manual action; adjustment logged</x:v>
      </x:c>
    </x:row>
    <x:row r="211">
      <x:c r="A211" s="103" t="n">
        <x:v>558</x:v>
      </x:c>
      <x:c r="B211" s="104" t="str">
        <x:v>ORD-2024-10557</x:v>
      </x:c>
      <x:c r="C211" s="120" t="n">
        <x:v>45466</x:v>
      </x:c>
      <x:c r="D211" s="120" t="n">
        <x:v>45472</x:v>
      </x:c>
      <x:c r="E211" s="104" t="str">
        <x:v>North</x:v>
      </x:c>
      <x:c r="F211" s="104" t="str">
        <x:v>First Class</x:v>
      </x:c>
      <x:c r="G211" s="121" t="n">
        <x:v>0</x:v>
      </x:c>
      <x:c r="H211" s="104" t="str">
        <x:v>Paid</x:v>
      </x:c>
      <x:c r="I211" s="104" t="str">
        <x:v>Returned</x:v>
      </x:c>
      <x:c r="J211" s="104" t="n">
        <x:v>6</x:v>
      </x:c>
      <x:c r="K211" s="104" t="str">
        <x:v>Review</x:v>
      </x:c>
      <x:c r="L211" s="104" t="str">
        <x:v>Profit calculation mismatch</x:v>
      </x:c>
      <x:c r="M211" s="104" t="str">
        <x:v>None</x:v>
      </x:c>
      <x:c r="N211" s="104" t="str">
        <x:v>Valid</x:v>
      </x:c>
      <x:c r="O211" s="105" t="str">
        <x:v>Reconcile sales/cost/profit fields</x:v>
      </x:c>
    </x:row>
    <x:row r="212">
      <x:c r="A212" s="103" t="n">
        <x:v>559</x:v>
      </x:c>
      <x:c r="B212" s="104" t="str">
        <x:v>ORD-2024-10558</x:v>
      </x:c>
      <x:c r="C212" s="120" t="n">
        <x:v>45420</x:v>
      </x:c>
      <x:c r="D212" s="120" t="n">
        <x:v>45426</x:v>
      </x:c>
      <x:c r="E212" s="104" t="str">
        <x:v>North</x:v>
      </x:c>
      <x:c r="F212" s="104" t="str">
        <x:v>First Class</x:v>
      </x:c>
      <x:c r="G212" s="121" t="n">
        <x:v>0.05</x:v>
      </x:c>
      <x:c r="H212" s="104" t="str">
        <x:v>Paid</x:v>
      </x:c>
      <x:c r="I212" s="104" t="str">
        <x:v>Cancelled</x:v>
      </x:c>
      <x:c r="J212" s="104" t="n">
        <x:v>6</x:v>
      </x:c>
      <x:c r="K212" s="104" t="str">
        <x:v>Pass</x:v>
      </x:c>
      <x:c r="L212" s="104" t="str">
        <x:v>OK</x:v>
      </x:c>
      <x:c r="M212" s="104" t="str">
        <x:v>Cancelled order – excluded from completed sales</x:v>
      </x:c>
      <x:c r="N212" s="104" t="str">
        <x:v>Valid</x:v>
      </x:c>
      <x:c r="O212" s="105" t="str">
        <x:v>Exclude from completed sales</x:v>
      </x:c>
    </x:row>
    <x:row r="213">
      <x:c r="A213" s="103" t="n">
        <x:v>562</x:v>
      </x:c>
      <x:c r="B213" s="104" t="str">
        <x:v>ORD-2024-10561</x:v>
      </x:c>
      <x:c r="C213" s="120" t="n">
        <x:v>45307</x:v>
      </x:c>
      <x:c r="D213" s="120" t="n">
        <x:v>45313</x:v>
      </x:c>
      <x:c r="E213" s="104" t="str">
        <x:v>West</x:v>
      </x:c>
      <x:c r="F213" s="104" t="str">
        <x:v>Standard Class</x:v>
      </x:c>
      <x:c r="G213" s="121" t="n">
        <x:v>0</x:v>
      </x:c>
      <x:c r="H213" s="104" t="str">
        <x:v>Paid</x:v>
      </x:c>
      <x:c r="I213" s="104" t="str">
        <x:v>Cancelled</x:v>
      </x:c>
      <x:c r="J213" s="104" t="n">
        <x:v>6</x:v>
      </x:c>
      <x:c r="K213" s="104" t="str">
        <x:v>Pass</x:v>
      </x:c>
      <x:c r="L213" s="104" t="str">
        <x:v>OK</x:v>
      </x:c>
      <x:c r="M213" s="104" t="str">
        <x:v>Cancelled order – excluded from completed sales</x:v>
      </x:c>
      <x:c r="N213" s="104" t="str">
        <x:v>Valid</x:v>
      </x:c>
      <x:c r="O213" s="105" t="str">
        <x:v>Exclude from completed sales</x:v>
      </x:c>
    </x:row>
    <x:row r="214">
      <x:c r="A214" s="103" t="n">
        <x:v>564</x:v>
      </x:c>
      <x:c r="B214" s="104" t="str">
        <x:v>ORD-2024-10563</x:v>
      </x:c>
      <x:c r="C214" s="120" t="n">
        <x:v>45422</x:v>
      </x:c>
      <x:c r="D214" s="120" t="n">
        <x:v>45428</x:v>
      </x:c>
      <x:c r="E214" s="104" t="str">
        <x:v>North</x:v>
      </x:c>
      <x:c r="F214" s="104" t="str">
        <x:v>Same Day</x:v>
      </x:c>
      <x:c r="G214" s="121" t="n">
        <x:v>0.2</x:v>
      </x:c>
      <x:c r="H214" s="104" t="str">
        <x:v>Failed</x:v>
      </x:c>
      <x:c r="I214" s="104" t="str">
        <x:v>Returned</x:v>
      </x:c>
      <x:c r="J214" s="104" t="n">
        <x:v>6</x:v>
      </x:c>
      <x:c r="K214" s="104" t="str">
        <x:v>Pass</x:v>
      </x:c>
      <x:c r="L214" s="104" t="str">
        <x:v>OK</x:v>
      </x:c>
      <x:c r="M214" s="104" t="str">
        <x:v>Failed payment – excluded from completed sales</x:v>
      </x:c>
      <x:c r="N214" s="104" t="str">
        <x:v>Valid</x:v>
      </x:c>
      <x:c r="O214" s="105" t="str">
        <x:v>Exclude from completed sales</x:v>
      </x:c>
    </x:row>
    <x:row r="215">
      <x:c r="A215" s="103" t="n">
        <x:v>565</x:v>
      </x:c>
      <x:c r="B215" s="104" t="str">
        <x:v>ORD-2024-10564</x:v>
      </x:c>
      <x:c r="C215" s="120" t="n">
        <x:v>45418</x:v>
      </x:c>
      <x:c r="D215" s="120" t="n">
        <x:v>45424</x:v>
      </x:c>
      <x:c r="E215" s="104" t="str">
        <x:v>West</x:v>
      </x:c>
      <x:c r="F215" s="104" t="str">
        <x:v>Standard Class</x:v>
      </x:c>
      <x:c r="G215" s="121" t="n">
        <x:v>0.2</x:v>
      </x:c>
      <x:c r="H215" s="104" t="str">
        <x:v>Pending</x:v>
      </x:c>
      <x:c r="I215" s="104" t="str">
        <x:v>Cancelled</x:v>
      </x:c>
      <x:c r="J215" s="104" t="n">
        <x:v>6</x:v>
      </x:c>
      <x:c r="K215" s="104" t="str">
        <x:v>Pass</x:v>
      </x:c>
      <x:c r="L215" s="104" t="str">
        <x:v>OK</x:v>
      </x:c>
      <x:c r="M215" s="104" t="str">
        <x:v>Cancelled order – excluded from completed sales</x:v>
      </x:c>
      <x:c r="N215" s="104" t="str">
        <x:v>Valid</x:v>
      </x:c>
      <x:c r="O215" s="105" t="str">
        <x:v>Exclude from completed sales</x:v>
      </x:c>
    </x:row>
    <x:row r="216">
      <x:c r="A216" s="103" t="n">
        <x:v>567</x:v>
      </x:c>
      <x:c r="B216" s="104" t="str">
        <x:v>ORD-2025-10566</x:v>
      </x:c>
      <x:c r="C216" s="120" t="n">
        <x:v>45876</x:v>
      </x:c>
      <x:c r="D216" s="120" t="n">
        <x:v>45882</x:v>
      </x:c>
      <x:c r="E216" s="104" t="str">
        <x:v>North</x:v>
      </x:c>
      <x:c r="F216" s="104" t="str">
        <x:v>Standard Class</x:v>
      </x:c>
      <x:c r="G216" s="121" t="n">
        <x:v>0.2</x:v>
      </x:c>
      <x:c r="H216" s="104" t="str">
        <x:v>Refunded</x:v>
      </x:c>
      <x:c r="I216" s="104" t="str">
        <x:v>Cancelled</x:v>
      </x:c>
      <x:c r="J216" s="104" t="n">
        <x:v>6</x:v>
      </x:c>
      <x:c r="K216" s="104" t="str">
        <x:v>Pass</x:v>
      </x:c>
      <x:c r="L216" s="104" t="str">
        <x:v>OK</x:v>
      </x:c>
      <x:c r="M216" s="104" t="str">
        <x:v>Cancelled order – excluded from completed sales; Refunded payment – separately summarized</x:v>
      </x:c>
      <x:c r="N216" s="104" t="str">
        <x:v>Valid</x:v>
      </x:c>
      <x:c r="O216" s="105" t="str">
        <x:v>Included in refund summary</x:v>
      </x:c>
    </x:row>
    <x:row r="217">
      <x:c r="A217" s="103" t="n">
        <x:v>568</x:v>
      </x:c>
      <x:c r="B217" s="104" t="str">
        <x:v>ORD-2024-10567</x:v>
      </x:c>
      <x:c r="C217" s="120" t="n">
        <x:v>45515</x:v>
      </x:c>
      <x:c r="D217" s="120" t="n">
        <x:v>45523</x:v>
      </x:c>
      <x:c r="E217" s="104" t="str">
        <x:v>West</x:v>
      </x:c>
      <x:c r="F217" s="104" t="str">
        <x:v>Same Day</x:v>
      </x:c>
      <x:c r="G217" s="121" t="n">
        <x:v>0.1</x:v>
      </x:c>
      <x:c r="H217" s="104" t="str">
        <x:v>Failed</x:v>
      </x:c>
      <x:c r="I217" s="104" t="str">
        <x:v>Returned</x:v>
      </x:c>
      <x:c r="J217" s="104" t="n">
        <x:v>8</x:v>
      </x:c>
      <x:c r="K217" s="104" t="str">
        <x:v>Pass</x:v>
      </x:c>
      <x:c r="L217" s="104" t="str">
        <x:v>OK</x:v>
      </x:c>
      <x:c r="M217" s="104" t="str">
        <x:v>Failed payment – excluded from completed sales</x:v>
      </x:c>
      <x:c r="N217" s="104" t="str">
        <x:v>Valid</x:v>
      </x:c>
      <x:c r="O217" s="105" t="str">
        <x:v>Exclude from completed sales</x:v>
      </x:c>
    </x:row>
    <x:row r="218">
      <x:c r="A218" s="103" t="n">
        <x:v>571</x:v>
      </x:c>
      <x:c r="B218" s="104" t="str">
        <x:v>ORD-2025-10570</x:v>
      </x:c>
      <x:c r="C218" s="120" t="n">
        <x:v>45908</x:v>
      </x:c>
      <x:c r="D218" s="120" t="n">
        <x:v>45910</x:v>
      </x:c>
      <x:c r="E218" s="104" t="str">
        <x:v>West</x:v>
      </x:c>
      <x:c r="F218" s="104" t="str">
        <x:v>Standard Class</x:v>
      </x:c>
      <x:c r="G218" s="121" t="n">
        <x:v>0.25</x:v>
      </x:c>
      <x:c r="H218" s="104" t="str">
        <x:v>Refunded</x:v>
      </x:c>
      <x:c r="I218" s="104" t="str">
        <x:v>Returned</x:v>
      </x:c>
      <x:c r="J218" s="104" t="n">
        <x:v>2</x:v>
      </x:c>
      <x:c r="K218" s="104" t="str">
        <x:v>Pass</x:v>
      </x:c>
      <x:c r="L218" s="104" t="str">
        <x:v>OK</x:v>
      </x:c>
      <x:c r="M218" s="104" t="str">
        <x:v>Refunded payment – separately summarized</x:v>
      </x:c>
      <x:c r="N218" s="104" t="str">
        <x:v>Valid</x:v>
      </x:c>
      <x:c r="O218" s="105" t="str">
        <x:v>Included in refund summary</x:v>
      </x:c>
    </x:row>
    <x:row r="219">
      <x:c r="A219" s="103" t="n">
        <x:v>572</x:v>
      </x:c>
      <x:c r="B219" s="104" t="str">
        <x:v>ORD-2025-10571</x:v>
      </x:c>
      <x:c r="C219" s="120" t="n">
        <x:v>45887</x:v>
      </x:c>
      <x:c r="D219" s="120" t="n">
        <x:v>45891</x:v>
      </x:c>
      <x:c r="E219" s="104" t="str">
        <x:v>East</x:v>
      </x:c>
      <x:c r="F219" s="104" t="str">
        <x:v>Second Class</x:v>
      </x:c>
      <x:c r="G219" s="121" t="n">
        <x:v>0.25</x:v>
      </x:c>
      <x:c r="H219" s="104" t="str">
        <x:v>Failed</x:v>
      </x:c>
      <x:c r="I219" s="104" t="str">
        <x:v>Returned</x:v>
      </x:c>
      <x:c r="J219" s="104" t="n">
        <x:v>4</x:v>
      </x:c>
      <x:c r="K219" s="104" t="str">
        <x:v>Pass</x:v>
      </x:c>
      <x:c r="L219" s="104" t="str">
        <x:v>OK</x:v>
      </x:c>
      <x:c r="M219" s="104" t="str">
        <x:v>Failed payment – excluded from completed sales</x:v>
      </x:c>
      <x:c r="N219" s="104" t="str">
        <x:v>Valid</x:v>
      </x:c>
      <x:c r="O219" s="105" t="str">
        <x:v>Exclude from completed sales</x:v>
      </x:c>
    </x:row>
    <x:row r="220">
      <x:c r="A220" s="103" t="n">
        <x:v>573</x:v>
      </x:c>
      <x:c r="B220" s="104" t="str">
        <x:v>ORD-2025-10572</x:v>
      </x:c>
      <x:c r="C220" s="120" t="n">
        <x:v>45698</x:v>
      </x:c>
      <x:c r="D220" s="120" t="n">
        <x:v>45702</x:v>
      </x:c>
      <x:c r="E220" s="104" t="str">
        <x:v>North</x:v>
      </x:c>
      <x:c r="F220" s="104" t="str">
        <x:v>Unknown</x:v>
      </x:c>
      <x:c r="G220" s="121" t="n">
        <x:v>0</x:v>
      </x:c>
      <x:c r="H220" s="104" t="str">
        <x:v>Failed</x:v>
      </x:c>
      <x:c r="I220" s="104" t="str">
        <x:v>Returned</x:v>
      </x:c>
      <x:c r="J220" s="104" t="n">
        <x:v>4</x:v>
      </x:c>
      <x:c r="K220" s="104" t="str">
        <x:v>Review</x:v>
      </x:c>
      <x:c r="L220" s="104" t="str">
        <x:v>Conflicting duplicate order ID</x:v>
      </x:c>
      <x:c r="M220" s="104" t="str">
        <x:v>Missing ship_mode filled as Unknown; Failed payment – excluded from completed sales</x:v>
      </x:c>
      <x:c r="N220" s="104" t="str">
        <x:v>Valid</x:v>
      </x:c>
      <x:c r="O220" s="105" t="str">
        <x:v>Resolve duplicate order-ID conflict; Exclude from completed sales</x:v>
      </x:c>
    </x:row>
    <x:row r="221">
      <x:c r="A221" s="103" t="n">
        <x:v>577</x:v>
      </x:c>
      <x:c r="B221" s="104" t="str">
        <x:v>ORD-2025-10576</x:v>
      </x:c>
      <x:c r="C221" s="120" t="n">
        <x:v>45727</x:v>
      </x:c>
      <x:c r="D221" s="120" t="n">
        <x:v>45730</x:v>
      </x:c>
      <x:c r="E221" s="104" t="str">
        <x:v>South</x:v>
      </x:c>
      <x:c r="F221" s="104" t="str">
        <x:v>Same Day</x:v>
      </x:c>
      <x:c r="G221" s="121" t="n">
        <x:v>0.2</x:v>
      </x:c>
      <x:c r="H221" s="104" t="str">
        <x:v>Failed</x:v>
      </x:c>
      <x:c r="I221" s="104" t="str">
        <x:v>Returned</x:v>
      </x:c>
      <x:c r="J221" s="104" t="n">
        <x:v>3</x:v>
      </x:c>
      <x:c r="K221" s="104" t="str">
        <x:v>Pass</x:v>
      </x:c>
      <x:c r="L221" s="104" t="str">
        <x:v>OK</x:v>
      </x:c>
      <x:c r="M221" s="104" t="str">
        <x:v>Failed payment – excluded from completed sales</x:v>
      </x:c>
      <x:c r="N221" s="104" t="str">
        <x:v>Valid</x:v>
      </x:c>
      <x:c r="O221" s="105" t="str">
        <x:v>Exclude from completed sales</x:v>
      </x:c>
    </x:row>
    <x:row r="222">
      <x:c r="A222" s="103" t="n">
        <x:v>578</x:v>
      </x:c>
      <x:c r="B222" s="104" t="str">
        <x:v>ORD-2024-10577</x:v>
      </x:c>
      <x:c r="C222" s="120" t="n">
        <x:v>45339</x:v>
      </x:c>
      <x:c r="D222" s="120" t="n">
        <x:v>45345</x:v>
      </x:c>
      <x:c r="E222" s="104" t="str">
        <x:v>Unknown</x:v>
      </x:c>
      <x:c r="F222" s="104" t="str">
        <x:v>Standard Class</x:v>
      </x:c>
      <x:c r="G222" s="121" t="n">
        <x:v>0</x:v>
      </x:c>
      <x:c r="H222" s="104" t="str">
        <x:v>Refunded</x:v>
      </x:c>
      <x:c r="I222" s="104" t="str">
        <x:v>Returned</x:v>
      </x:c>
      <x:c r="J222" s="104" t="n">
        <x:v>6</x:v>
      </x:c>
      <x:c r="K222" s="104" t="str">
        <x:v>Cleaned</x:v>
      </x:c>
      <x:c r="L222" s="104" t="str">
        <x:v>OK</x:v>
      </x:c>
      <x:c r="M222" s="104" t="str">
        <x:v>Missing region filled as Unknown; Refunded payment – separately summarized</x:v>
      </x:c>
      <x:c r="N222" s="104" t="str">
        <x:v>Valid</x:v>
      </x:c>
      <x:c r="O222" s="105" t="str">
        <x:v>Included in refund summary</x:v>
      </x:c>
    </x:row>
    <x:row r="223">
      <x:c r="A223" s="103" t="n">
        <x:v>582</x:v>
      </x:c>
      <x:c r="B223" s="104" t="str">
        <x:v>ORD-2025-10581</x:v>
      </x:c>
      <x:c r="C223" s="120" t="n">
        <x:v>45722</x:v>
      </x:c>
      <x:c r="D223" s="120" t="n">
        <x:v>45729</x:v>
      </x:c>
      <x:c r="E223" s="104" t="str">
        <x:v>South</x:v>
      </x:c>
      <x:c r="F223" s="104" t="str">
        <x:v>Standard Class</x:v>
      </x:c>
      <x:c r="G223" s="121" t="n">
        <x:v>0.15</x:v>
      </x:c>
      <x:c r="H223" s="104" t="str">
        <x:v>Failed</x:v>
      </x:c>
      <x:c r="I223" s="104" t="str">
        <x:v>Returned</x:v>
      </x:c>
      <x:c r="J223" s="104" t="n">
        <x:v>7</x:v>
      </x:c>
      <x:c r="K223" s="104" t="str">
        <x:v>Pass</x:v>
      </x:c>
      <x:c r="L223" s="104" t="str">
        <x:v>OK</x:v>
      </x:c>
      <x:c r="M223" s="104" t="str">
        <x:v>Failed payment – excluded from completed sales</x:v>
      </x:c>
      <x:c r="N223" s="104" t="str">
        <x:v>Valid</x:v>
      </x:c>
      <x:c r="O223" s="105" t="str">
        <x:v>Exclude from completed sales</x:v>
      </x:c>
    </x:row>
    <x:row r="224">
      <x:c r="A224" s="103" t="n">
        <x:v>583</x:v>
      </x:c>
      <x:c r="B224" s="104" t="str">
        <x:v>ORD-2025-10582</x:v>
      </x:c>
      <x:c r="C224" s="120" t="n">
        <x:v>45878</x:v>
      </x:c>
      <x:c r="D224" s="120" t="n">
        <x:v>45879</x:v>
      </x:c>
      <x:c r="E224" s="104" t="str">
        <x:v>North</x:v>
      </x:c>
      <x:c r="F224" s="104" t="str">
        <x:v>Second Class</x:v>
      </x:c>
      <x:c r="G224" s="121" t="n">
        <x:v>0</x:v>
      </x:c>
      <x:c r="H224" s="104" t="str">
        <x:v>Refunded</x:v>
      </x:c>
      <x:c r="I224" s="104" t="str">
        <x:v>Returned</x:v>
      </x:c>
      <x:c r="J224" s="104" t="n">
        <x:v>1</x:v>
      </x:c>
      <x:c r="K224" s="104" t="str">
        <x:v>Pass</x:v>
      </x:c>
      <x:c r="L224" s="104" t="str">
        <x:v>OK</x:v>
      </x:c>
      <x:c r="M224" s="104" t="str">
        <x:v>Refunded payment – separately summarized</x:v>
      </x:c>
      <x:c r="N224" s="104" t="str">
        <x:v>Valid</x:v>
      </x:c>
      <x:c r="O224" s="105" t="str">
        <x:v>Included in refund summary</x:v>
      </x:c>
    </x:row>
    <x:row r="225">
      <x:c r="A225" s="103" t="n">
        <x:v>585</x:v>
      </x:c>
      <x:c r="B225" s="104" t="str">
        <x:v>ORD-2024-10584</x:v>
      </x:c>
      <x:c r="C225" s="120" t="n">
        <x:v>45350</x:v>
      </x:c>
      <x:c r="D225" s="120" t="n">
        <x:v>45350</x:v>
      </x:c>
      <x:c r="E225" s="104" t="str">
        <x:v>East</x:v>
      </x:c>
      <x:c r="F225" s="104" t="str">
        <x:v>First Class</x:v>
      </x:c>
      <x:c r="G225" s="121" t="n">
        <x:v>0.2</x:v>
      </x:c>
      <x:c r="H225" s="104" t="str">
        <x:v>Failed</x:v>
      </x:c>
      <x:c r="I225" s="104" t="str">
        <x:v>Returned</x:v>
      </x:c>
      <x:c r="J225" s="104" t="n">
        <x:v>0</x:v>
      </x:c>
      <x:c r="K225" s="104" t="str">
        <x:v>Pass</x:v>
      </x:c>
      <x:c r="L225" s="104" t="str">
        <x:v>OK</x:v>
      </x:c>
      <x:c r="M225" s="104" t="str">
        <x:v>Failed payment – excluded from completed sales</x:v>
      </x:c>
      <x:c r="N225" s="104" t="str">
        <x:v>Valid</x:v>
      </x:c>
      <x:c r="O225" s="105" t="str">
        <x:v>Exclude from completed sales</x:v>
      </x:c>
    </x:row>
    <x:row r="226">
      <x:c r="A226" s="103" t="n">
        <x:v>589</x:v>
      </x:c>
      <x:c r="B226" s="104" t="str">
        <x:v>ORD-2025-10588</x:v>
      </x:c>
      <x:c r="C226" s="120" t="n">
        <x:v>45861</x:v>
      </x:c>
      <x:c r="D226" s="120" t="n">
        <x:v>45869</x:v>
      </x:c>
      <x:c r="E226" s="104" t="str">
        <x:v>West</x:v>
      </x:c>
      <x:c r="F226" s="104" t="str">
        <x:v>First Class</x:v>
      </x:c>
      <x:c r="G226" s="121" t="n">
        <x:v>0.15</x:v>
      </x:c>
      <x:c r="H226" s="104" t="str">
        <x:v>Refunded</x:v>
      </x:c>
      <x:c r="I226" s="104" t="str">
        <x:v>Cancelled</x:v>
      </x:c>
      <x:c r="J226" s="104" t="n">
        <x:v>8</x:v>
      </x:c>
      <x:c r="K226" s="104" t="str">
        <x:v>Pass</x:v>
      </x:c>
      <x:c r="L226" s="104" t="str">
        <x:v>OK</x:v>
      </x:c>
      <x:c r="M226" s="104" t="str">
        <x:v>Cancelled order – excluded from completed sales; Refunded payment – separately summarized</x:v>
      </x:c>
      <x:c r="N226" s="104" t="str">
        <x:v>Valid</x:v>
      </x:c>
      <x:c r="O226" s="105" t="str">
        <x:v>Included in refund summary</x:v>
      </x:c>
    </x:row>
    <x:row r="227">
      <x:c r="A227" s="103" t="n">
        <x:v>590</x:v>
      </x:c>
      <x:c r="B227" s="104" t="str">
        <x:v>ORD-2025-10589</x:v>
      </x:c>
      <x:c r="C227" s="120" t="n">
        <x:v>45727</x:v>
      </x:c>
      <x:c r="D227" s="120" t="n">
        <x:v>45731</x:v>
      </x:c>
      <x:c r="E227" s="104" t="str">
        <x:v>South</x:v>
      </x:c>
      <x:c r="F227" s="104" t="str">
        <x:v>Second Class</x:v>
      </x:c>
      <x:c r="G227" s="121" t="n">
        <x:v>0.1</x:v>
      </x:c>
      <x:c r="H227" s="104" t="str">
        <x:v>Refunded</x:v>
      </x:c>
      <x:c r="I227" s="104" t="str">
        <x:v>Cancelled</x:v>
      </x:c>
      <x:c r="J227" s="104" t="n">
        <x:v>4</x:v>
      </x:c>
      <x:c r="K227" s="104" t="str">
        <x:v>Pass</x:v>
      </x:c>
      <x:c r="L227" s="104" t="str">
        <x:v>OK</x:v>
      </x:c>
      <x:c r="M227" s="104" t="str">
        <x:v>Cancelled order – excluded from completed sales; Refunded payment – separately summarized</x:v>
      </x:c>
      <x:c r="N227" s="104" t="str">
        <x:v>Valid</x:v>
      </x:c>
      <x:c r="O227" s="105" t="str">
        <x:v>Included in refund summary</x:v>
      </x:c>
    </x:row>
    <x:row r="228">
      <x:c r="A228" s="103" t="n">
        <x:v>592</x:v>
      </x:c>
      <x:c r="B228" s="104" t="str">
        <x:v>ORD-2024-10591</x:v>
      </x:c>
      <x:c r="C228" s="120" t="n">
        <x:v>45441</x:v>
      </x:c>
      <x:c r="D228" s="120" t="n">
        <x:v>45441</x:v>
      </x:c>
      <x:c r="E228" s="104" t="str">
        <x:v>North</x:v>
      </x:c>
      <x:c r="F228" s="104" t="str">
        <x:v>Same Day</x:v>
      </x:c>
      <x:c r="G228" s="121" t="n">
        <x:v>0</x:v>
      </x:c>
      <x:c r="H228" s="104" t="str">
        <x:v>Pending</x:v>
      </x:c>
      <x:c r="I228" s="104" t="str">
        <x:v>Cancelled</x:v>
      </x:c>
      <x:c r="J228" s="104" t="n">
        <x:v>0</x:v>
      </x:c>
      <x:c r="K228" s="104" t="str">
        <x:v>Cleaned</x:v>
      </x:c>
      <x:c r="L228" s="104" t="str">
        <x:v>OK</x:v>
      </x:c>
      <x:c r="M228" s="104" t="str">
        <x:v>Cancelled order – excluded from completed sales</x:v>
      </x:c>
      <x:c r="N228" s="104" t="str">
        <x:v>Valid</x:v>
      </x:c>
      <x:c r="O228" s="105" t="str">
        <x:v>Exclude from completed sales</x:v>
      </x:c>
    </x:row>
    <x:row r="229">
      <x:c r="A229" s="103" t="n">
        <x:v>593</x:v>
      </x:c>
      <x:c r="B229" s="104" t="str">
        <x:v>ORD-2024-10592</x:v>
      </x:c>
      <x:c r="C229" s="120" t="n">
        <x:v>45344</x:v>
      </x:c>
      <x:c r="D229" s="120" t="n">
        <x:v>45346</x:v>
      </x:c>
      <x:c r="E229" s="104" t="str">
        <x:v>South</x:v>
      </x:c>
      <x:c r="F229" s="104" t="str">
        <x:v>First Class</x:v>
      </x:c>
      <x:c r="G229" s="121" t="n">
        <x:v>0</x:v>
      </x:c>
      <x:c r="H229" s="104" t="str">
        <x:v>Failed</x:v>
      </x:c>
      <x:c r="I229" s="104" t="str">
        <x:v>Returned</x:v>
      </x:c>
      <x:c r="J229" s="104" t="n">
        <x:v>2</x:v>
      </x:c>
      <x:c r="K229" s="104" t="str">
        <x:v>Pass</x:v>
      </x:c>
      <x:c r="L229" s="104" t="str">
        <x:v>OK</x:v>
      </x:c>
      <x:c r="M229" s="104" t="str">
        <x:v>Failed payment – excluded from completed sales</x:v>
      </x:c>
      <x:c r="N229" s="104" t="str">
        <x:v>Valid</x:v>
      </x:c>
      <x:c r="O229" s="105" t="str">
        <x:v>Exclude from completed sales</x:v>
      </x:c>
    </x:row>
    <x:row r="230">
      <x:c r="A230" s="103" t="n">
        <x:v>602</x:v>
      </x:c>
      <x:c r="B230" s="104" t="str">
        <x:v>ORD-2025-10601</x:v>
      </x:c>
      <x:c r="C230" s="120" t="n">
        <x:v>45721</x:v>
      </x:c>
      <x:c r="D230" s="120" t="n">
        <x:v>45728</x:v>
      </x:c>
      <x:c r="E230" s="104" t="str">
        <x:v>West</x:v>
      </x:c>
      <x:c r="F230" s="104" t="str">
        <x:v>Same Day</x:v>
      </x:c>
      <x:c r="G230" s="121" t="n">
        <x:v>0</x:v>
      </x:c>
      <x:c r="H230" s="104" t="str">
        <x:v>Paid</x:v>
      </x:c>
      <x:c r="I230" s="104" t="str">
        <x:v>Completed</x:v>
      </x:c>
      <x:c r="J230" s="104" t="n">
        <x:v>7</x:v>
      </x:c>
      <x:c r="K230" s="104" t="str">
        <x:v>Cleaned</x:v>
      </x:c>
      <x:c r="L230" s="104" t="str">
        <x:v>OK</x:v>
      </x:c>
      <x:c r="M230" s="104" t="str">
        <x:v>Missing discount imputed as 0</x:v>
      </x:c>
      <x:c r="N230" s="104" t="str">
        <x:v>Missing discount imputed as 0</x:v>
      </x:c>
      <x:c r="O230" s="105" t="str">
        <x:v>No manual action; adjustment logged</x:v>
      </x:c>
    </x:row>
    <x:row r="231">
      <x:c r="A231" s="103" t="n">
        <x:v>605</x:v>
      </x:c>
      <x:c r="B231" s="104" t="str">
        <x:v>ORD-2025-10604</x:v>
      </x:c>
      <x:c r="C231" s="120" t="n">
        <x:v>45660</x:v>
      </x:c>
      <x:c r="D231" s="120" t="n">
        <x:v>45668</x:v>
      </x:c>
      <x:c r="E231" s="104" t="str">
        <x:v>East</x:v>
      </x:c>
      <x:c r="F231" s="104" t="str">
        <x:v>First Class</x:v>
      </x:c>
      <x:c r="G231" s="121" t="n">
        <x:v>0.05</x:v>
      </x:c>
      <x:c r="H231" s="104" t="str">
        <x:v>Pending</x:v>
      </x:c>
      <x:c r="I231" s="104" t="str">
        <x:v>Cancelled</x:v>
      </x:c>
      <x:c r="J231" s="104" t="n">
        <x:v>8</x:v>
      </x:c>
      <x:c r="K231" s="104" t="str">
        <x:v>Cleaned</x:v>
      </x:c>
      <x:c r="L231" s="104" t="str">
        <x:v>OK</x:v>
      </x:c>
      <x:c r="M231" s="104" t="str">
        <x:v>Cancelled order – excluded from completed sales</x:v>
      </x:c>
      <x:c r="N231" s="104" t="str">
        <x:v>Valid</x:v>
      </x:c>
      <x:c r="O231" s="105" t="str">
        <x:v>Exclude from completed sales</x:v>
      </x:c>
    </x:row>
    <x:row r="232">
      <x:c r="A232" s="103" t="n">
        <x:v>607</x:v>
      </x:c>
      <x:c r="B232" s="104" t="str">
        <x:v>ORD-2025-10606</x:v>
      </x:c>
      <x:c r="C232" s="120" t="n">
        <x:v>45847</x:v>
      </x:c>
      <x:c r="D232" s="120" t="n">
        <x:v>45851</x:v>
      </x:c>
      <x:c r="E232" s="104" t="str">
        <x:v>West</x:v>
      </x:c>
      <x:c r="F232" s="104" t="str">
        <x:v>Second Class</x:v>
      </x:c>
      <x:c r="G232" s="121" t="n">
        <x:v>0.85</x:v>
      </x:c>
      <x:c r="H232" s="104" t="str">
        <x:v>Paid</x:v>
      </x:c>
      <x:c r="I232" s="104" t="str">
        <x:v>Cancelled</x:v>
      </x:c>
      <x:c r="J232" s="104" t="n">
        <x:v>4</x:v>
      </x:c>
      <x:c r="K232" s="104" t="str">
        <x:v>Review</x:v>
      </x:c>
      <x:c r="L232" s="104" t="str">
        <x:v>Discount above allowed range (&gt;50%)</x:v>
      </x:c>
      <x:c r="M232" s="104" t="str">
        <x:v>Cancelled order – excluded from completed sales</x:v>
      </x:c>
      <x:c r="N232" s="104" t="str">
        <x:v>Invalid discount – above 50% allowed range</x:v>
      </x:c>
      <x:c r="O232" s="105" t="str">
        <x:v>Confirm or correct source discount; Exclude from completed sales</x:v>
      </x:c>
    </x:row>
    <x:row r="233">
      <x:c r="A233" s="103" t="n">
        <x:v>614</x:v>
      </x:c>
      <x:c r="B233" s="104" t="str">
        <x:v>ORD-2025-10613</x:v>
      </x:c>
      <x:c r="C233" s="120" t="n">
        <x:v>45753</x:v>
      </x:c>
      <x:c r="D233" s="120" t="n">
        <x:v>45760</x:v>
      </x:c>
      <x:c r="E233" s="104" t="str">
        <x:v>Unknown</x:v>
      </x:c>
      <x:c r="F233" s="104" t="str">
        <x:v>Standard Class</x:v>
      </x:c>
      <x:c r="G233" s="121" t="n">
        <x:v>0</x:v>
      </x:c>
      <x:c r="H233" s="104" t="str">
        <x:v>Paid</x:v>
      </x:c>
      <x:c r="I233" s="104" t="str">
        <x:v>Completed</x:v>
      </x:c>
      <x:c r="J233" s="104" t="n">
        <x:v>7</x:v>
      </x:c>
      <x:c r="K233" s="104" t="str">
        <x:v>Cleaned</x:v>
      </x:c>
      <x:c r="L233" s="104" t="str">
        <x:v>OK</x:v>
      </x:c>
      <x:c r="M233" s="104" t="str">
        <x:v>Missing region filled as Unknown</x:v>
      </x:c>
      <x:c r="N233" s="104" t="str">
        <x:v>Valid</x:v>
      </x:c>
      <x:c r="O233" s="105" t="str">
        <x:v>No manual action; adjustment logged</x:v>
      </x:c>
    </x:row>
    <x:row r="234">
      <x:c r="A234" s="103" t="n">
        <x:v>616</x:v>
      </x:c>
      <x:c r="B234" s="104" t="str">
        <x:v>ORD-2024-10615</x:v>
      </x:c>
      <x:c r="C234" s="120" t="n">
        <x:v>45333</x:v>
      </x:c>
      <x:c r="D234" s="120" t="n">
        <x:v>45341</x:v>
      </x:c>
      <x:c r="E234" s="104" t="str">
        <x:v>South</x:v>
      </x:c>
      <x:c r="F234" s="104" t="str">
        <x:v>Standard Class</x:v>
      </x:c>
      <x:c r="G234" s="121" t="n">
        <x:v>0.25</x:v>
      </x:c>
      <x:c r="H234" s="104" t="str">
        <x:v>Refunded</x:v>
      </x:c>
      <x:c r="I234" s="104" t="str">
        <x:v>Cancelled</x:v>
      </x:c>
      <x:c r="J234" s="104" t="n">
        <x:v>8</x:v>
      </x:c>
      <x:c r="K234" s="104" t="str">
        <x:v>Pass</x:v>
      </x:c>
      <x:c r="L234" s="104" t="str">
        <x:v>OK</x:v>
      </x:c>
      <x:c r="M234" s="104" t="str">
        <x:v>Cancelled order – excluded from completed sales; Refunded payment – separately summarized</x:v>
      </x:c>
      <x:c r="N234" s="104" t="str">
        <x:v>Valid</x:v>
      </x:c>
      <x:c r="O234" s="105" t="str">
        <x:v>Included in refund summary</x:v>
      </x:c>
    </x:row>
    <x:row r="235">
      <x:c r="A235" s="103" t="n">
        <x:v>617</x:v>
      </x:c>
      <x:c r="B235" s="104" t="str">
        <x:v>ORD-2024-10616</x:v>
      </x:c>
      <x:c r="C235" s="120" t="n">
        <x:v>45569</x:v>
      </x:c>
      <x:c r="D235" s="120" t="n">
        <x:v>45572</x:v>
      </x:c>
      <x:c r="E235" s="104" t="str">
        <x:v>South</x:v>
      </x:c>
      <x:c r="F235" s="104" t="str">
        <x:v>Second Class</x:v>
      </x:c>
      <x:c r="G235" s="121" t="n">
        <x:v>0.1</x:v>
      </x:c>
      <x:c r="H235" s="104" t="str">
        <x:v>Paid</x:v>
      </x:c>
      <x:c r="I235" s="104" t="str">
        <x:v>Completed</x:v>
      </x:c>
      <x:c r="J235" s="104" t="n">
        <x:v>3</x:v>
      </x:c>
      <x:c r="K235" s="104" t="str">
        <x:v>Review</x:v>
      </x:c>
      <x:c r="L235" s="104" t="str">
        <x:v>Sales calculation mismatch; Profit calculation mismatch</x:v>
      </x:c>
      <x:c r="M235" s="104" t="str">
        <x:v>None</x:v>
      </x:c>
      <x:c r="N235" s="104" t="str">
        <x:v>Valid</x:v>
      </x:c>
      <x:c r="O235" s="105" t="str">
        <x:v>Reconcile sales/cost/profit fields</x:v>
      </x:c>
    </x:row>
    <x:row r="236">
      <x:c r="A236" s="103" t="n">
        <x:v>620</x:v>
      </x:c>
      <x:c r="B236" s="104" t="str">
        <x:v>ORD-2024-10619</x:v>
      </x:c>
      <x:c r="C236" s="120" t="n">
        <x:v>45496</x:v>
      </x:c>
      <x:c r="D236" s="120" t="n">
        <x:v>45503</x:v>
      </x:c>
      <x:c r="E236" s="104" t="str">
        <x:v>North</x:v>
      </x:c>
      <x:c r="F236" s="104" t="str">
        <x:v>Same Day</x:v>
      </x:c>
      <x:c r="G236" s="121" t="n">
        <x:v>0.25</x:v>
      </x:c>
      <x:c r="H236" s="104" t="str">
        <x:v>Failed</x:v>
      </x:c>
      <x:c r="I236" s="104" t="str">
        <x:v>Cancelled</x:v>
      </x:c>
      <x:c r="J236" s="104" t="n">
        <x:v>7</x:v>
      </x:c>
      <x:c r="K236" s="104" t="str">
        <x:v>Pass</x:v>
      </x:c>
      <x:c r="L236" s="104" t="str">
        <x:v>OK</x:v>
      </x:c>
      <x:c r="M236" s="104" t="str">
        <x:v>Cancelled order – excluded from completed sales; Failed payment – excluded from completed sales</x:v>
      </x:c>
      <x:c r="N236" s="104" t="str">
        <x:v>Valid</x:v>
      </x:c>
      <x:c r="O236" s="105" t="str">
        <x:v>Exclude from completed sales</x:v>
      </x:c>
    </x:row>
    <x:row r="237">
      <x:c r="A237" s="103" t="n">
        <x:v>621</x:v>
      </x:c>
      <x:c r="B237" s="104" t="str">
        <x:v>ORD-2024-10620</x:v>
      </x:c>
      <x:c r="C237" s="120" t="n">
        <x:v>45618</x:v>
      </x:c>
      <x:c r="D237" s="120" t="n">
        <x:v>45623</x:v>
      </x:c>
      <x:c r="E237" s="104" t="str">
        <x:v>South</x:v>
      </x:c>
      <x:c r="F237" s="104" t="str">
        <x:v>First Class</x:v>
      </x:c>
      <x:c r="G237" s="121" t="n">
        <x:v>0.2</x:v>
      </x:c>
      <x:c r="H237" s="104" t="str">
        <x:v>Refunded</x:v>
      </x:c>
      <x:c r="I237" s="104" t="str">
        <x:v>Returned</x:v>
      </x:c>
      <x:c r="J237" s="104" t="n">
        <x:v>5</x:v>
      </x:c>
      <x:c r="K237" s="104" t="str">
        <x:v>Pass</x:v>
      </x:c>
      <x:c r="L237" s="104" t="str">
        <x:v>OK</x:v>
      </x:c>
      <x:c r="M237" s="104" t="str">
        <x:v>Refunded payment – separately summarized</x:v>
      </x:c>
      <x:c r="N237" s="104" t="str">
        <x:v>Valid</x:v>
      </x:c>
      <x:c r="O237" s="105" t="str">
        <x:v>Included in refund summary</x:v>
      </x:c>
    </x:row>
    <x:row r="238">
      <x:c r="A238" s="103" t="n">
        <x:v>623</x:v>
      </x:c>
      <x:c r="B238" s="104" t="str">
        <x:v>ORD-2024-10622</x:v>
      </x:c>
      <x:c r="C238" s="120" t="n">
        <x:v>45624</x:v>
      </x:c>
      <x:c r="D238" s="120" t="n">
        <x:v>45632</x:v>
      </x:c>
      <x:c r="E238" s="104" t="str">
        <x:v>West</x:v>
      </x:c>
      <x:c r="F238" s="104" t="str">
        <x:v>Same Day</x:v>
      </x:c>
      <x:c r="G238" s="121" t="n">
        <x:v>0</x:v>
      </x:c>
      <x:c r="H238" s="104" t="str">
        <x:v>Paid</x:v>
      </x:c>
      <x:c r="I238" s="104" t="str">
        <x:v>Completed</x:v>
      </x:c>
      <x:c r="J238" s="104" t="n">
        <x:v>8</x:v>
      </x:c>
      <x:c r="K238" s="104" t="str">
        <x:v>Cleaned</x:v>
      </x:c>
      <x:c r="L238" s="104" t="str">
        <x:v>OK</x:v>
      </x:c>
      <x:c r="M238" s="104" t="str">
        <x:v>Missing discount imputed as 0</x:v>
      </x:c>
      <x:c r="N238" s="104" t="str">
        <x:v>Missing discount imputed as 0</x:v>
      </x:c>
      <x:c r="O238" s="105" t="str">
        <x:v>No manual action; adjustment logged</x:v>
      </x:c>
    </x:row>
    <x:row r="239">
      <x:c r="A239" s="103" t="n">
        <x:v>629</x:v>
      </x:c>
      <x:c r="B239" s="104" t="str">
        <x:v>ORD-2025-10628</x:v>
      </x:c>
      <x:c r="C239" s="120" t="n">
        <x:v>45701</x:v>
      </x:c>
      <x:c r="D239" s="120" t="n">
        <x:v>45709</x:v>
      </x:c>
      <x:c r="E239" s="104" t="str">
        <x:v>South</x:v>
      </x:c>
      <x:c r="F239" s="104" t="str">
        <x:v>Second Class</x:v>
      </x:c>
      <x:c r="G239" s="121" t="n">
        <x:v>0.15</x:v>
      </x:c>
      <x:c r="H239" s="104" t="str">
        <x:v>Pending</x:v>
      </x:c>
      <x:c r="I239" s="104" t="str">
        <x:v>Cancelled</x:v>
      </x:c>
      <x:c r="J239" s="104" t="n">
        <x:v>8</x:v>
      </x:c>
      <x:c r="K239" s="104" t="str">
        <x:v>Pass</x:v>
      </x:c>
      <x:c r="L239" s="104" t="str">
        <x:v>OK</x:v>
      </x:c>
      <x:c r="M239" s="104" t="str">
        <x:v>Cancelled order – excluded from completed sales</x:v>
      </x:c>
      <x:c r="N239" s="104" t="str">
        <x:v>Valid</x:v>
      </x:c>
      <x:c r="O239" s="105" t="str">
        <x:v>Exclude from completed sales</x:v>
      </x:c>
    </x:row>
    <x:row r="240">
      <x:c r="A240" s="103" t="n">
        <x:v>640</x:v>
      </x:c>
      <x:c r="B240" s="104" t="str">
        <x:v>ORD-2024-10639</x:v>
      </x:c>
      <x:c r="C240" s="120" t="n">
        <x:v>45317</x:v>
      </x:c>
      <x:c r="D240" s="120" t="n">
        <x:v>45322</x:v>
      </x:c>
      <x:c r="E240" s="104" t="str">
        <x:v>South</x:v>
      </x:c>
      <x:c r="F240" s="104" t="str">
        <x:v>Second Class</x:v>
      </x:c>
      <x:c r="G240" s="121" t="n">
        <x:v>0.2</x:v>
      </x:c>
      <x:c r="H240" s="104" t="str">
        <x:v>Failed</x:v>
      </x:c>
      <x:c r="I240" s="104" t="str">
        <x:v>Returned</x:v>
      </x:c>
      <x:c r="J240" s="104" t="n">
        <x:v>5</x:v>
      </x:c>
      <x:c r="K240" s="104" t="str">
        <x:v>Pass</x:v>
      </x:c>
      <x:c r="L240" s="104" t="str">
        <x:v>OK</x:v>
      </x:c>
      <x:c r="M240" s="104" t="str">
        <x:v>Failed payment – excluded from completed sales</x:v>
      </x:c>
      <x:c r="N240" s="104" t="str">
        <x:v>Valid</x:v>
      </x:c>
      <x:c r="O240" s="105" t="str">
        <x:v>Exclude from completed sales</x:v>
      </x:c>
    </x:row>
    <x:row r="241">
      <x:c r="A241" s="103" t="n">
        <x:v>644</x:v>
      </x:c>
      <x:c r="B241" s="104" t="str">
        <x:v>ORD-2024-10643</x:v>
      </x:c>
      <x:c r="C241" s="120" t="n">
        <x:v>45533</x:v>
      </x:c>
      <x:c r="D241" s="120" t="n">
        <x:v>45535</x:v>
      </x:c>
      <x:c r="E241" s="104" t="str">
        <x:v>East</x:v>
      </x:c>
      <x:c r="F241" s="104" t="str">
        <x:v>Second Class</x:v>
      </x:c>
      <x:c r="G241" s="121" t="n">
        <x:v>0.25</x:v>
      </x:c>
      <x:c r="H241" s="104" t="str">
        <x:v>Failed</x:v>
      </x:c>
      <x:c r="I241" s="104" t="str">
        <x:v>Returned</x:v>
      </x:c>
      <x:c r="J241" s="104" t="n">
        <x:v>2</x:v>
      </x:c>
      <x:c r="K241" s="104" t="str">
        <x:v>Cleaned</x:v>
      </x:c>
      <x:c r="L241" s="104" t="str">
        <x:v>OK</x:v>
      </x:c>
      <x:c r="M241" s="104" t="str">
        <x:v>Failed payment – excluded from completed sales</x:v>
      </x:c>
      <x:c r="N241" s="104" t="str">
        <x:v>Valid</x:v>
      </x:c>
      <x:c r="O241" s="105" t="str">
        <x:v>Exclude from completed sales</x:v>
      </x:c>
    </x:row>
    <x:row r="242">
      <x:c r="A242" s="103" t="n">
        <x:v>645</x:v>
      </x:c>
      <x:c r="B242" s="104" t="str">
        <x:v>ORD-2024-10644</x:v>
      </x:c>
      <x:c r="C242" s="120" t="n">
        <x:v>45327</x:v>
      </x:c>
      <x:c r="D242" s="120" t="n">
        <x:v>45335</x:v>
      </x:c>
      <x:c r="E242" s="104" t="str">
        <x:v>North</x:v>
      </x:c>
      <x:c r="F242" s="104" t="str">
        <x:v>Standard Class</x:v>
      </x:c>
      <x:c r="G242" s="121" t="n">
        <x:v>0.15</x:v>
      </x:c>
      <x:c r="H242" s="104" t="str">
        <x:v>Failed</x:v>
      </x:c>
      <x:c r="I242" s="104" t="str">
        <x:v>Returned</x:v>
      </x:c>
      <x:c r="J242" s="104" t="n">
        <x:v>8</x:v>
      </x:c>
      <x:c r="K242" s="104" t="str">
        <x:v>Pass</x:v>
      </x:c>
      <x:c r="L242" s="104" t="str">
        <x:v>OK</x:v>
      </x:c>
      <x:c r="M242" s="104" t="str">
        <x:v>Failed payment – excluded from completed sales</x:v>
      </x:c>
      <x:c r="N242" s="104" t="str">
        <x:v>Valid</x:v>
      </x:c>
      <x:c r="O242" s="105" t="str">
        <x:v>Exclude from completed sales</x:v>
      </x:c>
    </x:row>
    <x:row r="243">
      <x:c r="A243" s="103" t="n">
        <x:v>647</x:v>
      </x:c>
      <x:c r="B243" s="104" t="str">
        <x:v>ORD-2024-10646</x:v>
      </x:c>
      <x:c r="C243" s="120" t="n">
        <x:v>45295</x:v>
      </x:c>
      <x:c r="D243" s="120" t="n">
        <x:v>45300</x:v>
      </x:c>
      <x:c r="E243" s="104" t="str">
        <x:v>East</x:v>
      </x:c>
      <x:c r="F243" s="104" t="str">
        <x:v>Second Class</x:v>
      </x:c>
      <x:c r="G243" s="121" t="n">
        <x:v>0.1</x:v>
      </x:c>
      <x:c r="H243" s="104" t="str">
        <x:v>Paid</x:v>
      </x:c>
      <x:c r="I243" s="104" t="str">
        <x:v>Completed</x:v>
      </x:c>
      <x:c r="J243" s="104" t="n">
        <x:v>5</x:v>
      </x:c>
      <x:c r="K243" s="104" t="str">
        <x:v>Review</x:v>
      </x:c>
      <x:c r="L243" s="104" t="str">
        <x:v>Profit calculation mismatch</x:v>
      </x:c>
      <x:c r="M243" s="104" t="str">
        <x:v>None</x:v>
      </x:c>
      <x:c r="N243" s="104" t="str">
        <x:v>Valid</x:v>
      </x:c>
      <x:c r="O243" s="105" t="str">
        <x:v>Reconcile sales/cost/profit fields</x:v>
      </x:c>
    </x:row>
    <x:row r="244">
      <x:c r="A244" s="103" t="n">
        <x:v>650</x:v>
      </x:c>
      <x:c r="B244" s="104" t="str">
        <x:v>ORD-2024-10649</x:v>
      </x:c>
      <x:c r="C244" s="120" t="n">
        <x:v>45403</x:v>
      </x:c>
      <x:c r="D244" s="120" t="n">
        <x:v>45406</x:v>
      </x:c>
      <x:c r="E244" s="104" t="str">
        <x:v>South</x:v>
      </x:c>
      <x:c r="F244" s="104" t="str">
        <x:v>Same Day</x:v>
      </x:c>
      <x:c r="G244" s="121" t="n">
        <x:v>0.2</x:v>
      </x:c>
      <x:c r="H244" s="104" t="str">
        <x:v>Failed</x:v>
      </x:c>
      <x:c r="I244" s="104" t="str">
        <x:v>Returned</x:v>
      </x:c>
      <x:c r="J244" s="104" t="n">
        <x:v>3</x:v>
      </x:c>
      <x:c r="K244" s="104" t="str">
        <x:v>Pass</x:v>
      </x:c>
      <x:c r="L244" s="104" t="str">
        <x:v>OK</x:v>
      </x:c>
      <x:c r="M244" s="104" t="str">
        <x:v>Failed payment – excluded from completed sales</x:v>
      </x:c>
      <x:c r="N244" s="104" t="str">
        <x:v>Valid</x:v>
      </x:c>
      <x:c r="O244" s="105" t="str">
        <x:v>Exclude from completed sales</x:v>
      </x:c>
    </x:row>
    <x:row r="245">
      <x:c r="A245" s="103" t="n">
        <x:v>652</x:v>
      </x:c>
      <x:c r="B245" s="104" t="str">
        <x:v>ORD-2024-10651</x:v>
      </x:c>
      <x:c r="C245" s="120" t="n">
        <x:v>45395</x:v>
      </x:c>
      <x:c r="D245" s="120" t="n">
        <x:v>45403</x:v>
      </x:c>
      <x:c r="E245" s="104" t="str">
        <x:v>East</x:v>
      </x:c>
      <x:c r="F245" s="104" t="str">
        <x:v>Same Day</x:v>
      </x:c>
      <x:c r="G245" s="121" t="n">
        <x:v>0.15</x:v>
      </x:c>
      <x:c r="H245" s="104" t="str">
        <x:v>Failed</x:v>
      </x:c>
      <x:c r="I245" s="104" t="str">
        <x:v>Returned</x:v>
      </x:c>
      <x:c r="J245" s="104" t="n">
        <x:v>8</x:v>
      </x:c>
      <x:c r="K245" s="104" t="str">
        <x:v>Pass</x:v>
      </x:c>
      <x:c r="L245" s="104" t="str">
        <x:v>OK</x:v>
      </x:c>
      <x:c r="M245" s="104" t="str">
        <x:v>Failed payment – excluded from completed sales</x:v>
      </x:c>
      <x:c r="N245" s="104" t="str">
        <x:v>Valid</x:v>
      </x:c>
      <x:c r="O245" s="105" t="str">
        <x:v>Exclude from completed sales</x:v>
      </x:c>
    </x:row>
    <x:row r="246">
      <x:c r="A246" s="103" t="n">
        <x:v>658</x:v>
      </x:c>
      <x:c r="B246" s="104" t="str">
        <x:v>ORD-2024-10657</x:v>
      </x:c>
      <x:c r="C246" s="120" t="n">
        <x:v>45419</x:v>
      </x:c>
      <x:c r="D246" s="120" t="n">
        <x:v>45426</x:v>
      </x:c>
      <x:c r="E246" s="104" t="str">
        <x:v>North</x:v>
      </x:c>
      <x:c r="F246" s="104" t="str">
        <x:v>Same Day</x:v>
      </x:c>
      <x:c r="G246" s="121" t="n">
        <x:v>-0.05</x:v>
      </x:c>
      <x:c r="H246" s="104" t="str">
        <x:v>Paid</x:v>
      </x:c>
      <x:c r="I246" s="104" t="str">
        <x:v>Completed</x:v>
      </x:c>
      <x:c r="J246" s="104" t="n">
        <x:v>7</x:v>
      </x:c>
      <x:c r="K246" s="104" t="str">
        <x:v>Review</x:v>
      </x:c>
      <x:c r="L246" s="104" t="str">
        <x:v>Negative discount</x:v>
      </x:c>
      <x:c r="M246" s="104" t="str">
        <x:v>None</x:v>
      </x:c>
      <x:c r="N246" s="104" t="str">
        <x:v>Invalid discount – negative</x:v>
      </x:c>
      <x:c r="O246" s="105" t="str">
        <x:v>Confirm or correct source discount</x:v>
      </x:c>
    </x:row>
    <x:row r="247">
      <x:c r="A247" s="103" t="n">
        <x:v>660</x:v>
      </x:c>
      <x:c r="B247" s="104" t="str">
        <x:v>ORD-2025-10659</x:v>
      </x:c>
      <x:c r="C247" s="120" t="n">
        <x:v>45817</x:v>
      </x:c>
      <x:c r="D247" s="120" t="n">
        <x:v>45820</x:v>
      </x:c>
      <x:c r="E247" s="104" t="str">
        <x:v>Unknown</x:v>
      </x:c>
      <x:c r="F247" s="104" t="str">
        <x:v>First Class</x:v>
      </x:c>
      <x:c r="G247" s="121" t="n">
        <x:v>0</x:v>
      </x:c>
      <x:c r="H247" s="104" t="str">
        <x:v>Refunded</x:v>
      </x:c>
      <x:c r="I247" s="104" t="str">
        <x:v>Cancelled</x:v>
      </x:c>
      <x:c r="J247" s="104" t="n">
        <x:v>3</x:v>
      </x:c>
      <x:c r="K247" s="104" t="str">
        <x:v>Cleaned</x:v>
      </x:c>
      <x:c r="L247" s="104" t="str">
        <x:v>OK</x:v>
      </x:c>
      <x:c r="M247" s="104" t="str">
        <x:v>Missing region filled as Unknown; Cancelled order – excluded from completed sales; Refunded payment – separately summarized</x:v>
      </x:c>
      <x:c r="N247" s="104" t="str">
        <x:v>Valid</x:v>
      </x:c>
      <x:c r="O247" s="105" t="str">
        <x:v>Included in refund summary</x:v>
      </x:c>
    </x:row>
    <x:row r="248">
      <x:c r="A248" s="103" t="n">
        <x:v>661</x:v>
      </x:c>
      <x:c r="B248" s="104" t="str">
        <x:v>ORD-2025-10660</x:v>
      </x:c>
      <x:c r="C248" s="120" t="n">
        <x:v>45678</x:v>
      </x:c>
      <x:c r="D248" s="120" t="n">
        <x:v>45679</x:v>
      </x:c>
      <x:c r="E248" s="104" t="str">
        <x:v>South</x:v>
      </x:c>
      <x:c r="F248" s="104" t="str">
        <x:v>Second Class</x:v>
      </x:c>
      <x:c r="G248" s="121" t="n">
        <x:v>0.2</x:v>
      </x:c>
      <x:c r="H248" s="104" t="str">
        <x:v>Refunded</x:v>
      </x:c>
      <x:c r="I248" s="104" t="str">
        <x:v>Cancelled</x:v>
      </x:c>
      <x:c r="J248" s="104" t="n">
        <x:v>1</x:v>
      </x:c>
      <x:c r="K248" s="104" t="str">
        <x:v>Pass</x:v>
      </x:c>
      <x:c r="L248" s="104" t="str">
        <x:v>OK</x:v>
      </x:c>
      <x:c r="M248" s="104" t="str">
        <x:v>Cancelled order – excluded from completed sales; Refunded payment – separately summarized</x:v>
      </x:c>
      <x:c r="N248" s="104" t="str">
        <x:v>Valid</x:v>
      </x:c>
      <x:c r="O248" s="105" t="str">
        <x:v>Included in refund summary</x:v>
      </x:c>
    </x:row>
    <x:row r="249">
      <x:c r="A249" s="103" t="n">
        <x:v>665</x:v>
      </x:c>
      <x:c r="B249" s="104" t="str">
        <x:v>ORD-2024-10664</x:v>
      </x:c>
      <x:c r="C249" s="120" t="n">
        <x:v>45414</x:v>
      </x:c>
      <x:c r="D249" s="120" t="n">
        <x:v>45420</x:v>
      </x:c>
      <x:c r="E249" s="104" t="str">
        <x:v>East</x:v>
      </x:c>
      <x:c r="F249" s="104" t="str">
        <x:v>Second Class</x:v>
      </x:c>
      <x:c r="G249" s="121" t="n">
        <x:v>-0.24</x:v>
      </x:c>
      <x:c r="H249" s="104" t="str">
        <x:v>Paid</x:v>
      </x:c>
      <x:c r="I249" s="104" t="str">
        <x:v>Completed</x:v>
      </x:c>
      <x:c r="J249" s="104" t="n">
        <x:v>6</x:v>
      </x:c>
      <x:c r="K249" s="104" t="str">
        <x:v>Review</x:v>
      </x:c>
      <x:c r="L249" s="104" t="str">
        <x:v>Negative discount</x:v>
      </x:c>
      <x:c r="M249" s="104" t="str">
        <x:v>None</x:v>
      </x:c>
      <x:c r="N249" s="104" t="str">
        <x:v>Invalid discount – negative</x:v>
      </x:c>
      <x:c r="O249" s="105" t="str">
        <x:v>Confirm or correct source discount</x:v>
      </x:c>
    </x:row>
    <x:row r="250">
      <x:c r="A250" s="103" t="n">
        <x:v>667</x:v>
      </x:c>
      <x:c r="B250" s="104" t="str">
        <x:v>ORD-2025-10666</x:v>
      </x:c>
      <x:c r="C250" s="120" t="n">
        <x:v>45670</x:v>
      </x:c>
      <x:c r="D250" s="120" t="n">
        <x:v>45670</x:v>
      </x:c>
      <x:c r="E250" s="104" t="str">
        <x:v>West</x:v>
      </x:c>
      <x:c r="F250" s="104" t="str">
        <x:v>Standard Class</x:v>
      </x:c>
      <x:c r="G250" s="121" t="n">
        <x:v>0.1</x:v>
      </x:c>
      <x:c r="H250" s="104" t="str">
        <x:v>Failed</x:v>
      </x:c>
      <x:c r="I250" s="104" t="str">
        <x:v>Cancelled</x:v>
      </x:c>
      <x:c r="J250" s="104" t="n">
        <x:v>0</x:v>
      </x:c>
      <x:c r="K250" s="104" t="str">
        <x:v>Cleaned</x:v>
      </x:c>
      <x:c r="L250" s="104" t="str">
        <x:v>OK</x:v>
      </x:c>
      <x:c r="M250" s="104" t="str">
        <x:v>Cancelled order – excluded from completed sales; Failed payment – excluded from completed sales</x:v>
      </x:c>
      <x:c r="N250" s="104" t="str">
        <x:v>Valid</x:v>
      </x:c>
      <x:c r="O250" s="105" t="str">
        <x:v>Exclude from completed sales</x:v>
      </x:c>
    </x:row>
    <x:row r="251">
      <x:c r="A251" s="103" t="n">
        <x:v>681</x:v>
      </x:c>
      <x:c r="B251" s="104" t="str">
        <x:v>ORD-2025-10680</x:v>
      </x:c>
      <x:c r="C251" s="120" t="n">
        <x:v>45885</x:v>
      </x:c>
      <x:c r="D251" s="120" t="n">
        <x:v>45892</x:v>
      </x:c>
      <x:c r="E251" s="104" t="str">
        <x:v>North</x:v>
      </x:c>
      <x:c r="F251" s="104" t="str">
        <x:v>Same Day</x:v>
      </x:c>
      <x:c r="G251" s="121" t="n">
        <x:v>0.7</x:v>
      </x:c>
      <x:c r="H251" s="104" t="str">
        <x:v>Refunded</x:v>
      </x:c>
      <x:c r="I251" s="104" t="str">
        <x:v>Cancelled</x:v>
      </x:c>
      <x:c r="J251" s="104" t="n">
        <x:v>7</x:v>
      </x:c>
      <x:c r="K251" s="104" t="str">
        <x:v>Review</x:v>
      </x:c>
      <x:c r="L251" s="104" t="str">
        <x:v>Discount above allowed range (&gt;50%)</x:v>
      </x:c>
      <x:c r="M251" s="104" t="str">
        <x:v>Cancelled order – excluded from completed sales; Refunded payment – separately summarized</x:v>
      </x:c>
      <x:c r="N251" s="104" t="str">
        <x:v>Invalid discount – above 50% allowed range</x:v>
      </x:c>
      <x:c r="O251" s="105" t="str">
        <x:v>Confirm or correct source discount; Included in refund summary</x:v>
      </x:c>
    </x:row>
    <x:row r="252">
      <x:c r="A252" s="103" t="n">
        <x:v>683</x:v>
      </x:c>
      <x:c r="B252" s="104" t="str">
        <x:v>ORD-2024-10682</x:v>
      </x:c>
      <x:c r="C252" s="120" t="n">
        <x:v>45477</x:v>
      </x:c>
      <x:c r="D252" s="120" t="n">
        <x:v>45483</x:v>
      </x:c>
      <x:c r="E252" s="104" t="str">
        <x:v>North</x:v>
      </x:c>
      <x:c r="F252" s="104" t="str">
        <x:v>Second Class</x:v>
      </x:c>
      <x:c r="G252" s="121" t="n">
        <x:v>0</x:v>
      </x:c>
      <x:c r="H252" s="104" t="str">
        <x:v>Paid</x:v>
      </x:c>
      <x:c r="I252" s="104" t="str">
        <x:v>Cancelled</x:v>
      </x:c>
      <x:c r="J252" s="104" t="n">
        <x:v>6</x:v>
      </x:c>
      <x:c r="K252" s="104" t="str">
        <x:v>Pass</x:v>
      </x:c>
      <x:c r="L252" s="104" t="str">
        <x:v>OK</x:v>
      </x:c>
      <x:c r="M252" s="104" t="str">
        <x:v>Cancelled order – excluded from completed sales</x:v>
      </x:c>
      <x:c r="N252" s="104" t="str">
        <x:v>Valid</x:v>
      </x:c>
      <x:c r="O252" s="105" t="str">
        <x:v>Exclude from completed sales</x:v>
      </x:c>
    </x:row>
    <x:row r="253">
      <x:c r="A253" s="103" t="n">
        <x:v>684</x:v>
      </x:c>
      <x:c r="B253" s="104" t="str">
        <x:v>ORD-2025-10683</x:v>
      </x:c>
      <x:c r="C253" s="120" t="n">
        <x:v>45693</x:v>
      </x:c>
      <x:c r="D253" s="120" t="n">
        <x:v>45693</x:v>
      </x:c>
      <x:c r="E253" s="104" t="str">
        <x:v>North</x:v>
      </x:c>
      <x:c r="F253" s="104" t="str">
        <x:v>Same Day</x:v>
      </x:c>
      <x:c r="G253" s="121" t="n">
        <x:v>0</x:v>
      </x:c>
      <x:c r="H253" s="104" t="str">
        <x:v>Paid</x:v>
      </x:c>
      <x:c r="I253" s="104" t="str">
        <x:v>Completed</x:v>
      </x:c>
      <x:c r="J253" s="104" t="n">
        <x:v>0</x:v>
      </x:c>
      <x:c r="K253" s="104" t="str">
        <x:v>Review</x:v>
      </x:c>
      <x:c r="L253" s="104" t="str">
        <x:v>Sales calculation mismatch</x:v>
      </x:c>
      <x:c r="M253" s="104" t="str">
        <x:v>Missing discount imputed as 0</x:v>
      </x:c>
      <x:c r="N253" s="104" t="str">
        <x:v>Missing discount imputed as 0</x:v>
      </x:c>
      <x:c r="O253" s="105" t="str">
        <x:v>Reconcile sales/cost/profit fields</x:v>
      </x:c>
    </x:row>
    <x:row r="254">
      <x:c r="A254" s="103" t="n">
        <x:v>685</x:v>
      </x:c>
      <x:c r="B254" s="104" t="str">
        <x:v>ORD-2025-10684</x:v>
      </x:c>
      <x:c r="C254" s="120" t="n">
        <x:v>45858</x:v>
      </x:c>
      <x:c r="D254" s="120" t="n">
        <x:v>45862</x:v>
      </x:c>
      <x:c r="E254" s="104" t="str">
        <x:v>South</x:v>
      </x:c>
      <x:c r="F254" s="104" t="str">
        <x:v>Second Class</x:v>
      </x:c>
      <x:c r="G254" s="121" t="n">
        <x:v>0.2</x:v>
      </x:c>
      <x:c r="H254" s="104" t="str">
        <x:v>Refunded</x:v>
      </x:c>
      <x:c r="I254" s="104" t="str">
        <x:v>Cancelled</x:v>
      </x:c>
      <x:c r="J254" s="104" t="n">
        <x:v>4</x:v>
      </x:c>
      <x:c r="K254" s="104" t="str">
        <x:v>Pass</x:v>
      </x:c>
      <x:c r="L254" s="104" t="str">
        <x:v>OK</x:v>
      </x:c>
      <x:c r="M254" s="104" t="str">
        <x:v>Cancelled order – excluded from completed sales; Refunded payment – separately summarized</x:v>
      </x:c>
      <x:c r="N254" s="104" t="str">
        <x:v>Valid</x:v>
      </x:c>
      <x:c r="O254" s="105" t="str">
        <x:v>Included in refund summary</x:v>
      </x:c>
    </x:row>
    <x:row r="255">
      <x:c r="A255" s="103" t="n">
        <x:v>686</x:v>
      </x:c>
      <x:c r="B255" s="104" t="str">
        <x:v>ORD-2025-10685</x:v>
      </x:c>
      <x:c r="C255" s="120" t="n">
        <x:v>45859</x:v>
      </x:c>
      <x:c r="D255" s="120" t="n">
        <x:v>45859</x:v>
      </x:c>
      <x:c r="E255" s="104" t="str">
        <x:v>South</x:v>
      </x:c>
      <x:c r="F255" s="104" t="str">
        <x:v>First Class</x:v>
      </x:c>
      <x:c r="G255" s="121" t="n">
        <x:v>0.2</x:v>
      </x:c>
      <x:c r="H255" s="104" t="str">
        <x:v>Refunded</x:v>
      </x:c>
      <x:c r="I255" s="104" t="str">
        <x:v>Cancelled</x:v>
      </x:c>
      <x:c r="J255" s="104" t="n">
        <x:v>0</x:v>
      </x:c>
      <x:c r="K255" s="104" t="str">
        <x:v>Pass</x:v>
      </x:c>
      <x:c r="L255" s="104" t="str">
        <x:v>OK</x:v>
      </x:c>
      <x:c r="M255" s="104" t="str">
        <x:v>Cancelled order – excluded from completed sales; Refunded payment – separately summarized</x:v>
      </x:c>
      <x:c r="N255" s="104" t="str">
        <x:v>Valid</x:v>
      </x:c>
      <x:c r="O255" s="105" t="str">
        <x:v>Included in refund summary</x:v>
      </x:c>
    </x:row>
    <x:row r="256">
      <x:c r="A256" s="103" t="n">
        <x:v>687</x:v>
      </x:c>
      <x:c r="B256" s="104" t="str">
        <x:v>ORD-2025-10686</x:v>
      </x:c>
      <x:c r="C256" s="120" t="n">
        <x:v>45931</x:v>
      </x:c>
      <x:c r="D256" s="120" t="n">
        <x:v>45933</x:v>
      </x:c>
      <x:c r="E256" s="104" t="str">
        <x:v>West</x:v>
      </x:c>
      <x:c r="F256" s="104" t="str">
        <x:v>Standard Class</x:v>
      </x:c>
      <x:c r="G256" s="121" t="n">
        <x:v>0.55</x:v>
      </x:c>
      <x:c r="H256" s="104" t="str">
        <x:v>Failed</x:v>
      </x:c>
      <x:c r="I256" s="104" t="str">
        <x:v>Cancelled</x:v>
      </x:c>
      <x:c r="J256" s="104" t="n">
        <x:v>2</x:v>
      </x:c>
      <x:c r="K256" s="104" t="str">
        <x:v>Review</x:v>
      </x:c>
      <x:c r="L256" s="104" t="str">
        <x:v>Discount above allowed range (&gt;50%)</x:v>
      </x:c>
      <x:c r="M256" s="104" t="str">
        <x:v>Cancelled order – excluded from completed sales; Failed payment – excluded from completed sales</x:v>
      </x:c>
      <x:c r="N256" s="104" t="str">
        <x:v>Invalid discount – above 50% allowed range</x:v>
      </x:c>
      <x:c r="O256" s="105" t="str">
        <x:v>Confirm or correct source discount; Exclude from completed sales</x:v>
      </x:c>
    </x:row>
    <x:row r="257">
      <x:c r="A257" s="103" t="n">
        <x:v>689</x:v>
      </x:c>
      <x:c r="B257" s="104" t="str">
        <x:v>ORD-2025-10688</x:v>
      </x:c>
      <x:c r="C257" s="120" t="n">
        <x:v>45938</x:v>
      </x:c>
      <x:c r="D257" s="120" t="n">
        <x:v>45943</x:v>
      </x:c>
      <x:c r="E257" s="104" t="str">
        <x:v>North</x:v>
      </x:c>
      <x:c r="F257" s="104" t="str">
        <x:v>First Class</x:v>
      </x:c>
      <x:c r="G257" s="121" t="n">
        <x:v>0</x:v>
      </x:c>
      <x:c r="H257" s="104" t="str">
        <x:v>Failed</x:v>
      </x:c>
      <x:c r="I257" s="104" t="str">
        <x:v>Cancelled</x:v>
      </x:c>
      <x:c r="J257" s="104" t="n">
        <x:v>5</x:v>
      </x:c>
      <x:c r="K257" s="104" t="str">
        <x:v>Pass</x:v>
      </x:c>
      <x:c r="L257" s="104" t="str">
        <x:v>OK</x:v>
      </x:c>
      <x:c r="M257" s="104" t="str">
        <x:v>Cancelled order – excluded from completed sales; Failed payment – excluded from completed sales</x:v>
      </x:c>
      <x:c r="N257" s="104" t="str">
        <x:v>Valid</x:v>
      </x:c>
      <x:c r="O257" s="105" t="str">
        <x:v>Exclude from completed sales</x:v>
      </x:c>
    </x:row>
    <x:row r="258">
      <x:c r="A258" s="103" t="n">
        <x:v>691</x:v>
      </x:c>
      <x:c r="B258" s="104" t="str">
        <x:v>ORD-2024-10690</x:v>
      </x:c>
      <x:c r="C258" s="120" t="n">
        <x:v>45570</x:v>
      </x:c>
      <x:c r="D258" s="120" t="n">
        <x:v>45571</x:v>
      </x:c>
      <x:c r="E258" s="104" t="str">
        <x:v>North</x:v>
      </x:c>
      <x:c r="F258" s="104" t="str">
        <x:v>Standard Class</x:v>
      </x:c>
      <x:c r="G258" s="121" t="n">
        <x:v>0.15</x:v>
      </x:c>
      <x:c r="H258" s="104" t="str">
        <x:v>Failed</x:v>
      </x:c>
      <x:c r="I258" s="104" t="str">
        <x:v>Cancelled</x:v>
      </x:c>
      <x:c r="J258" s="104" t="n">
        <x:v>1</x:v>
      </x:c>
      <x:c r="K258" s="104" t="str">
        <x:v>Pass</x:v>
      </x:c>
      <x:c r="L258" s="104" t="str">
        <x:v>OK</x:v>
      </x:c>
      <x:c r="M258" s="104" t="str">
        <x:v>Cancelled order – excluded from completed sales; Failed payment – excluded from completed sales</x:v>
      </x:c>
      <x:c r="N258" s="104" t="str">
        <x:v>Valid</x:v>
      </x:c>
      <x:c r="O258" s="105" t="str">
        <x:v>Exclude from completed sales</x:v>
      </x:c>
    </x:row>
    <x:row r="259">
      <x:c r="A259" s="103" t="n">
        <x:v>692</x:v>
      </x:c>
      <x:c r="B259" s="104" t="str">
        <x:v>ORD-2024-10691</x:v>
      </x:c>
      <x:c r="C259" s="120" t="n">
        <x:v>45546</x:v>
      </x:c>
      <x:c r="D259" s="120" t="n">
        <x:v>45550</x:v>
      </x:c>
      <x:c r="E259" s="104" t="str">
        <x:v>South</x:v>
      </x:c>
      <x:c r="F259" s="104" t="str">
        <x:v>Standard Class</x:v>
      </x:c>
      <x:c r="G259" s="121" t="n">
        <x:v>0</x:v>
      </x:c>
      <x:c r="H259" s="104" t="str">
        <x:v>Failed</x:v>
      </x:c>
      <x:c r="I259" s="104" t="str">
        <x:v>Returned</x:v>
      </x:c>
      <x:c r="J259" s="104" t="n">
        <x:v>4</x:v>
      </x:c>
      <x:c r="K259" s="104" t="str">
        <x:v>Pass</x:v>
      </x:c>
      <x:c r="L259" s="104" t="str">
        <x:v>OK</x:v>
      </x:c>
      <x:c r="M259" s="104" t="str">
        <x:v>Failed payment – excluded from completed sales</x:v>
      </x:c>
      <x:c r="N259" s="104" t="str">
        <x:v>Valid</x:v>
      </x:c>
      <x:c r="O259" s="105" t="str">
        <x:v>Exclude from completed sales</x:v>
      </x:c>
    </x:row>
    <x:row r="260">
      <x:c r="A260" s="103" t="n">
        <x:v>698</x:v>
      </x:c>
      <x:c r="B260" s="104" t="str">
        <x:v>ORD-2025-10697</x:v>
      </x:c>
      <x:c r="C260" s="120" t="n">
        <x:v>45922</x:v>
      </x:c>
      <x:c r="D260" s="120" t="n">
        <x:v>45925</x:v>
      </x:c>
      <x:c r="E260" s="104" t="str">
        <x:v>South</x:v>
      </x:c>
      <x:c r="F260" s="104" t="str">
        <x:v>Unknown</x:v>
      </x:c>
      <x:c r="G260" s="121" t="n">
        <x:v>0.25</x:v>
      </x:c>
      <x:c r="H260" s="104" t="str">
        <x:v>Paid</x:v>
      </x:c>
      <x:c r="I260" s="104" t="str">
        <x:v>Completed</x:v>
      </x:c>
      <x:c r="J260" s="104" t="n">
        <x:v>3</x:v>
      </x:c>
      <x:c r="K260" s="104" t="str">
        <x:v>Review</x:v>
      </x:c>
      <x:c r="L260" s="104" t="str">
        <x:v>Profit calculation mismatch</x:v>
      </x:c>
      <x:c r="M260" s="104" t="str">
        <x:v>Missing ship_mode filled as Unknown</x:v>
      </x:c>
      <x:c r="N260" s="104" t="str">
        <x:v>Valid</x:v>
      </x:c>
      <x:c r="O260" s="105" t="str">
        <x:v>Reconcile sales/cost/profit fields</x:v>
      </x:c>
    </x:row>
    <x:row r="261">
      <x:c r="A261" s="103" t="n">
        <x:v>699</x:v>
      </x:c>
      <x:c r="B261" s="104" t="str">
        <x:v>ORD-2025-10698</x:v>
      </x:c>
      <x:c r="C261" s="120" t="n">
        <x:v>45717</x:v>
      </x:c>
      <x:c r="D261" s="120" t="n">
        <x:v>45723</x:v>
      </x:c>
      <x:c r="E261" s="104" t="str">
        <x:v>South</x:v>
      </x:c>
      <x:c r="F261" s="104" t="str">
        <x:v>First Class</x:v>
      </x:c>
      <x:c r="G261" s="121" t="n">
        <x:v>0</x:v>
      </x:c>
      <x:c r="H261" s="104" t="str">
        <x:v>Refunded</x:v>
      </x:c>
      <x:c r="I261" s="104" t="str">
        <x:v>Returned</x:v>
      </x:c>
      <x:c r="J261" s="104" t="n">
        <x:v>6</x:v>
      </x:c>
      <x:c r="K261" s="104" t="str">
        <x:v>Review</x:v>
      </x:c>
      <x:c r="L261" s="104" t="str">
        <x:v>Sales calculation mismatch</x:v>
      </x:c>
      <x:c r="M261" s="104" t="str">
        <x:v>Missing discount imputed as 0; Refunded payment – separately summarized</x:v>
      </x:c>
      <x:c r="N261" s="104" t="str">
        <x:v>Missing discount imputed as 0</x:v>
      </x:c>
      <x:c r="O261" s="105" t="str">
        <x:v>Reconcile sales/cost/profit fields; Included in refund summary</x:v>
      </x:c>
    </x:row>
    <x:row r="262">
      <x:c r="A262" s="103" t="n">
        <x:v>700</x:v>
      </x:c>
      <x:c r="B262" s="104" t="str">
        <x:v>ORD-2024-10699</x:v>
      </x:c>
      <x:c r="C262" s="120" t="n">
        <x:v>45549</x:v>
      </x:c>
      <x:c r="D262" s="120" t="n">
        <x:v>45549</x:v>
      </x:c>
      <x:c r="E262" s="104" t="str">
        <x:v>North</x:v>
      </x:c>
      <x:c r="F262" s="104" t="str">
        <x:v>Standard Class</x:v>
      </x:c>
      <x:c r="G262" s="121" t="n">
        <x:v>0.15</x:v>
      </x:c>
      <x:c r="H262" s="104" t="str">
        <x:v>Paid</x:v>
      </x:c>
      <x:c r="I262" s="104" t="str">
        <x:v>Returned</x:v>
      </x:c>
      <x:c r="J262" s="104" t="n">
        <x:v>0</x:v>
      </x:c>
      <x:c r="K262" s="104" t="str">
        <x:v>Review</x:v>
      </x:c>
      <x:c r="L262" s="104" t="str">
        <x:v>Sales calculation mismatch; Profit calculation mismatch</x:v>
      </x:c>
      <x:c r="M262" s="104" t="str">
        <x:v>None</x:v>
      </x:c>
      <x:c r="N262" s="104" t="str">
        <x:v>Valid</x:v>
      </x:c>
      <x:c r="O262" s="105" t="str">
        <x:v>Reconcile sales/cost/profit fields</x:v>
      </x:c>
    </x:row>
    <x:row r="263">
      <x:c r="A263" s="103" t="n">
        <x:v>706</x:v>
      </x:c>
      <x:c r="B263" s="104" t="str">
        <x:v>ORD-2024-10705</x:v>
      </x:c>
      <x:c r="C263" s="120" t="n">
        <x:v>45364</x:v>
      </x:c>
      <x:c r="D263" s="120" t="n">
        <x:v>45371</x:v>
      </x:c>
      <x:c r="E263" s="104" t="str">
        <x:v>South</x:v>
      </x:c>
      <x:c r="F263" s="104" t="str">
        <x:v>Unknown</x:v>
      </x:c>
      <x:c r="G263" s="121" t="n">
        <x:v>0.15</x:v>
      </x:c>
      <x:c r="H263" s="104" t="str">
        <x:v>Paid</x:v>
      </x:c>
      <x:c r="I263" s="104" t="str">
        <x:v>Completed</x:v>
      </x:c>
      <x:c r="J263" s="104" t="n">
        <x:v>7</x:v>
      </x:c>
      <x:c r="K263" s="104" t="str">
        <x:v>Cleaned</x:v>
      </x:c>
      <x:c r="L263" s="104" t="str">
        <x:v>OK</x:v>
      </x:c>
      <x:c r="M263" s="104" t="str">
        <x:v>Missing ship_mode filled as Unknown</x:v>
      </x:c>
      <x:c r="N263" s="104" t="str">
        <x:v>Valid</x:v>
      </x:c>
      <x:c r="O263" s="105" t="str">
        <x:v>No manual action; adjustment logged</x:v>
      </x:c>
    </x:row>
    <x:row r="264">
      <x:c r="A264" s="103" t="n">
        <x:v>709</x:v>
      </x:c>
      <x:c r="B264" s="104" t="str">
        <x:v>ORD-2025-10708</x:v>
      </x:c>
      <x:c r="C264" s="120" t="n">
        <x:v>45832</x:v>
      </x:c>
      <x:c r="D264" s="120" t="n">
        <x:v>45834</x:v>
      </x:c>
      <x:c r="E264" s="104" t="str">
        <x:v>North</x:v>
      </x:c>
      <x:c r="F264" s="104" t="str">
        <x:v>Same Day</x:v>
      </x:c>
      <x:c r="G264" s="121" t="n">
        <x:v>0.55</x:v>
      </x:c>
      <x:c r="H264" s="104" t="str">
        <x:v>Paid</x:v>
      </x:c>
      <x:c r="I264" s="104" t="str">
        <x:v>Completed</x:v>
      </x:c>
      <x:c r="J264" s="104" t="n">
        <x:v>2</x:v>
      </x:c>
      <x:c r="K264" s="104" t="str">
        <x:v>Review</x:v>
      </x:c>
      <x:c r="L264" s="104" t="str">
        <x:v>Discount above allowed range (&gt;50%)</x:v>
      </x:c>
      <x:c r="M264" s="104" t="str">
        <x:v>None</x:v>
      </x:c>
      <x:c r="N264" s="104" t="str">
        <x:v>Invalid discount – above 50% allowed range</x:v>
      </x:c>
      <x:c r="O264" s="105" t="str">
        <x:v>Confirm or correct source discount</x:v>
      </x:c>
    </x:row>
    <x:row r="265">
      <x:c r="A265" s="103" t="n">
        <x:v>711</x:v>
      </x:c>
      <x:c r="B265" s="104" t="str">
        <x:v>ORD-2025-10710</x:v>
      </x:c>
      <x:c r="C265" s="120" t="n">
        <x:v>45676</x:v>
      </x:c>
      <x:c r="D265" s="120" t="n">
        <x:v>45680</x:v>
      </x:c>
      <x:c r="E265" s="104" t="str">
        <x:v>North</x:v>
      </x:c>
      <x:c r="F265" s="104" t="str">
        <x:v>Same Day</x:v>
      </x:c>
      <x:c r="G265" s="121" t="n">
        <x:v>0.15</x:v>
      </x:c>
      <x:c r="H265" s="104" t="str">
        <x:v>Paid</x:v>
      </x:c>
      <x:c r="I265" s="104" t="str">
        <x:v>Cancelled</x:v>
      </x:c>
      <x:c r="J265" s="104" t="n">
        <x:v>4</x:v>
      </x:c>
      <x:c r="K265" s="104" t="str">
        <x:v>Pass</x:v>
      </x:c>
      <x:c r="L265" s="104" t="str">
        <x:v>OK</x:v>
      </x:c>
      <x:c r="M265" s="104" t="str">
        <x:v>Cancelled order – excluded from completed sales</x:v>
      </x:c>
      <x:c r="N265" s="104" t="str">
        <x:v>Valid</x:v>
      </x:c>
      <x:c r="O265" s="105" t="str">
        <x:v>Exclude from completed sales</x:v>
      </x:c>
    </x:row>
    <x:row r="266">
      <x:c r="A266" s="103" t="n">
        <x:v>717</x:v>
      </x:c>
      <x:c r="B266" s="104" t="str">
        <x:v>ORD-2025-10716</x:v>
      </x:c>
      <x:c r="C266" s="120" t="n">
        <x:v>45891</x:v>
      </x:c>
      <x:c r="D266" s="120" t="n">
        <x:v>45896</x:v>
      </x:c>
      <x:c r="E266" s="104" t="str">
        <x:v>North</x:v>
      </x:c>
      <x:c r="F266" s="104" t="str">
        <x:v>Second Class</x:v>
      </x:c>
      <x:c r="G266" s="121" t="n">
        <x:v>0</x:v>
      </x:c>
      <x:c r="H266" s="104" t="str">
        <x:v>Refunded</x:v>
      </x:c>
      <x:c r="I266" s="104" t="str">
        <x:v>Cancelled</x:v>
      </x:c>
      <x:c r="J266" s="104" t="n">
        <x:v>5</x:v>
      </x:c>
      <x:c r="K266" s="104" t="str">
        <x:v>Pass</x:v>
      </x:c>
      <x:c r="L266" s="104" t="str">
        <x:v>OK</x:v>
      </x:c>
      <x:c r="M266" s="104" t="str">
        <x:v>Cancelled order – excluded from completed sales; Refunded payment – separately summarized</x:v>
      </x:c>
      <x:c r="N266" s="104" t="str">
        <x:v>Valid</x:v>
      </x:c>
      <x:c r="O266" s="105" t="str">
        <x:v>Included in refund summary</x:v>
      </x:c>
    </x:row>
    <x:row r="267">
      <x:c r="A267" s="103" t="n">
        <x:v>719</x:v>
      </x:c>
      <x:c r="B267" s="104" t="str">
        <x:v>ORD-2025-10718</x:v>
      </x:c>
      <x:c r="C267" s="120" t="n">
        <x:v>45942</x:v>
      </x:c>
      <x:c r="D267" s="120" t="n">
        <x:v>45945</x:v>
      </x:c>
      <x:c r="E267" s="104" t="str">
        <x:v>North</x:v>
      </x:c>
      <x:c r="F267" s="104" t="str">
        <x:v>Standard Class</x:v>
      </x:c>
      <x:c r="G267" s="121" t="n">
        <x:v>0.2</x:v>
      </x:c>
      <x:c r="H267" s="104" t="str">
        <x:v>Pending</x:v>
      </x:c>
      <x:c r="I267" s="104" t="str">
        <x:v>Cancelled</x:v>
      </x:c>
      <x:c r="J267" s="104" t="n">
        <x:v>3</x:v>
      </x:c>
      <x:c r="K267" s="104" t="str">
        <x:v>Pass</x:v>
      </x:c>
      <x:c r="L267" s="104" t="str">
        <x:v>OK</x:v>
      </x:c>
      <x:c r="M267" s="104" t="str">
        <x:v>Cancelled order – excluded from completed sales</x:v>
      </x:c>
      <x:c r="N267" s="104" t="str">
        <x:v>Valid</x:v>
      </x:c>
      <x:c r="O267" s="105" t="str">
        <x:v>Exclude from completed sales</x:v>
      </x:c>
    </x:row>
    <x:row r="268">
      <x:c r="A268" s="103" t="n">
        <x:v>724</x:v>
      </x:c>
      <x:c r="B268" s="104" t="str">
        <x:v>ORD-2024-10723</x:v>
      </x:c>
      <x:c r="C268" s="120" t="n">
        <x:v>45572</x:v>
      </x:c>
      <x:c r="D268" s="120" t="n">
        <x:v>45575</x:v>
      </x:c>
      <x:c r="E268" s="104" t="str">
        <x:v>East</x:v>
      </x:c>
      <x:c r="F268" s="104" t="str">
        <x:v>Second Class</x:v>
      </x:c>
      <x:c r="G268" s="121" t="n">
        <x:v>0</x:v>
      </x:c>
      <x:c r="H268" s="104" t="str">
        <x:v>Refunded</x:v>
      </x:c>
      <x:c r="I268" s="104" t="str">
        <x:v>Cancelled</x:v>
      </x:c>
      <x:c r="J268" s="104" t="n">
        <x:v>3</x:v>
      </x:c>
      <x:c r="K268" s="104" t="str">
        <x:v>Cleaned</x:v>
      </x:c>
      <x:c r="L268" s="104" t="str">
        <x:v>OK</x:v>
      </x:c>
      <x:c r="M268" s="104" t="str">
        <x:v>Missing discount imputed as 0; Cancelled order – excluded from completed sales; Refunded payment – separately summarized</x:v>
      </x:c>
      <x:c r="N268" s="104" t="str">
        <x:v>Missing discount imputed as 0</x:v>
      </x:c>
      <x:c r="O268" s="105" t="str">
        <x:v>Included in refund summary</x:v>
      </x:c>
    </x:row>
    <x:row r="269">
      <x:c r="A269" s="103" t="n">
        <x:v>725</x:v>
      </x:c>
      <x:c r="B269" s="104" t="str">
        <x:v>ORD-2025-10724</x:v>
      </x:c>
      <x:c r="C269" s="120" t="n">
        <x:v>45936</x:v>
      </x:c>
      <x:c r="D269" s="120" t="n">
        <x:v>45943</x:v>
      </x:c>
      <x:c r="E269" s="104" t="str">
        <x:v>East</x:v>
      </x:c>
      <x:c r="F269" s="104" t="str">
        <x:v>Standard Class</x:v>
      </x:c>
      <x:c r="G269" s="121" t="n">
        <x:v>0.05</x:v>
      </x:c>
      <x:c r="H269" s="104" t="str">
        <x:v>Failed</x:v>
      </x:c>
      <x:c r="I269" s="104" t="str">
        <x:v>Returned</x:v>
      </x:c>
      <x:c r="J269" s="104" t="n">
        <x:v>7</x:v>
      </x:c>
      <x:c r="K269" s="104" t="str">
        <x:v>Pass</x:v>
      </x:c>
      <x:c r="L269" s="104" t="str">
        <x:v>OK</x:v>
      </x:c>
      <x:c r="M269" s="104" t="str">
        <x:v>Failed payment – excluded from completed sales</x:v>
      </x:c>
      <x:c r="N269" s="104" t="str">
        <x:v>Valid</x:v>
      </x:c>
      <x:c r="O269" s="105" t="str">
        <x:v>Exclude from completed sales</x:v>
      </x:c>
    </x:row>
    <x:row r="270">
      <x:c r="A270" s="103" t="n">
        <x:v>732</x:v>
      </x:c>
      <x:c r="B270" s="104" t="str">
        <x:v>ORD-2025-10731</x:v>
      </x:c>
      <x:c r="C270" s="120" t="n">
        <x:v>45827</x:v>
      </x:c>
      <x:c r="D270" s="120" t="n">
        <x:v>45832</x:v>
      </x:c>
      <x:c r="E270" s="104" t="str">
        <x:v>East</x:v>
      </x:c>
      <x:c r="F270" s="104" t="str">
        <x:v>Second Class</x:v>
      </x:c>
      <x:c r="G270" s="121" t="n">
        <x:v>0.15</x:v>
      </x:c>
      <x:c r="H270" s="104" t="str">
        <x:v>Refunded</x:v>
      </x:c>
      <x:c r="I270" s="104" t="str">
        <x:v>Returned</x:v>
      </x:c>
      <x:c r="J270" s="104" t="n">
        <x:v>5</x:v>
      </x:c>
      <x:c r="K270" s="104" t="str">
        <x:v>Pass</x:v>
      </x:c>
      <x:c r="L270" s="104" t="str">
        <x:v>OK</x:v>
      </x:c>
      <x:c r="M270" s="104" t="str">
        <x:v>Refunded payment – separately summarized</x:v>
      </x:c>
      <x:c r="N270" s="104" t="str">
        <x:v>Valid</x:v>
      </x:c>
      <x:c r="O270" s="105" t="str">
        <x:v>Included in refund summary</x:v>
      </x:c>
    </x:row>
    <x:row r="271">
      <x:c r="A271" s="103" t="n">
        <x:v>743</x:v>
      </x:c>
      <x:c r="B271" s="104" t="str">
        <x:v>ORD-2025-10742</x:v>
      </x:c>
      <x:c r="C271" s="120" t="n">
        <x:v>45770</x:v>
      </x:c>
      <x:c r="D271" s="120" t="n">
        <x:v>45772</x:v>
      </x:c>
      <x:c r="E271" s="104" t="str">
        <x:v>South</x:v>
      </x:c>
      <x:c r="F271" s="104" t="str">
        <x:v>Second Class</x:v>
      </x:c>
      <x:c r="G271" s="121" t="n">
        <x:v>0</x:v>
      </x:c>
      <x:c r="H271" s="104" t="str">
        <x:v>Paid</x:v>
      </x:c>
      <x:c r="I271" s="104" t="str">
        <x:v>Cancelled</x:v>
      </x:c>
      <x:c r="J271" s="104" t="n">
        <x:v>2</x:v>
      </x:c>
      <x:c r="K271" s="104" t="str">
        <x:v>Review</x:v>
      </x:c>
      <x:c r="L271" s="104" t="str">
        <x:v>Sales calculation mismatch</x:v>
      </x:c>
      <x:c r="M271" s="104" t="str">
        <x:v>Missing discount imputed as 0; Cancelled order – excluded from completed sales</x:v>
      </x:c>
      <x:c r="N271" s="104" t="str">
        <x:v>Missing discount imputed as 0</x:v>
      </x:c>
      <x:c r="O271" s="105" t="str">
        <x:v>Reconcile sales/cost/profit fields; Exclude from completed sales</x:v>
      </x:c>
    </x:row>
    <x:row r="272">
      <x:c r="A272" s="103" t="n">
        <x:v>746</x:v>
      </x:c>
      <x:c r="B272" s="104" t="str">
        <x:v>ORD-2025-10745</x:v>
      </x:c>
      <x:c r="C272" s="120" t="n">
        <x:v>45886</x:v>
      </x:c>
      <x:c r="D272" s="120" t="n">
        <x:v>45889</x:v>
      </x:c>
      <x:c r="E272" s="104" t="str">
        <x:v>North</x:v>
      </x:c>
      <x:c r="F272" s="104" t="str">
        <x:v>First Class</x:v>
      </x:c>
      <x:c r="G272" s="121" t="n">
        <x:v>0.1</x:v>
      </x:c>
      <x:c r="H272" s="104" t="str">
        <x:v>Paid</x:v>
      </x:c>
      <x:c r="I272" s="104" t="str">
        <x:v>Cancelled</x:v>
      </x:c>
      <x:c r="J272" s="104" t="n">
        <x:v>3</x:v>
      </x:c>
      <x:c r="K272" s="104" t="str">
        <x:v>Pass</x:v>
      </x:c>
      <x:c r="L272" s="104" t="str">
        <x:v>OK</x:v>
      </x:c>
      <x:c r="M272" s="104" t="str">
        <x:v>Cancelled order – excluded from completed sales</x:v>
      </x:c>
      <x:c r="N272" s="104" t="str">
        <x:v>Valid</x:v>
      </x:c>
      <x:c r="O272" s="105" t="str">
        <x:v>Exclude from completed sales</x:v>
      </x:c>
    </x:row>
    <x:row r="273">
      <x:c r="A273" s="103" t="n">
        <x:v>753</x:v>
      </x:c>
      <x:c r="B273" s="104" t="str">
        <x:v>ORD-2025-10752</x:v>
      </x:c>
      <x:c r="C273" s="120" t="n">
        <x:v>45856</x:v>
      </x:c>
      <x:c r="D273" s="120" t="n">
        <x:v>45857</x:v>
      </x:c>
      <x:c r="E273" s="104" t="str">
        <x:v>Unknown</x:v>
      </x:c>
      <x:c r="F273" s="104" t="str">
        <x:v>Unknown</x:v>
      </x:c>
      <x:c r="G273" s="121" t="n">
        <x:v>0.05</x:v>
      </x:c>
      <x:c r="H273" s="104" t="str">
        <x:v>Paid</x:v>
      </x:c>
      <x:c r="I273" s="104" t="str">
        <x:v>Completed</x:v>
      </x:c>
      <x:c r="J273" s="104" t="n">
        <x:v>1</x:v>
      </x:c>
      <x:c r="K273" s="104" t="str">
        <x:v>Cleaned</x:v>
      </x:c>
      <x:c r="L273" s="104" t="str">
        <x:v>OK</x:v>
      </x:c>
      <x:c r="M273" s="104" t="str">
        <x:v>Missing region filled as Unknown; Missing ship_mode filled as Unknown</x:v>
      </x:c>
      <x:c r="N273" s="104" t="str">
        <x:v>Valid</x:v>
      </x:c>
      <x:c r="O273" s="105" t="str">
        <x:v>No manual action; adjustment logged</x:v>
      </x:c>
    </x:row>
    <x:row r="274">
      <x:c r="A274" s="103" t="n">
        <x:v>755</x:v>
      </x:c>
      <x:c r="B274" s="104" t="str">
        <x:v>ORD-2024-10754</x:v>
      </x:c>
      <x:c r="C274" s="120" t="n">
        <x:v>45515</x:v>
      </x:c>
      <x:c r="D274" s="120" t="n">
        <x:v>45514</x:v>
      </x:c>
      <x:c r="E274" s="104" t="str">
        <x:v>North</x:v>
      </x:c>
      <x:c r="F274" s="104" t="str">
        <x:v>Second Class</x:v>
      </x:c>
      <x:c r="G274" s="121" t="n">
        <x:v>0.15</x:v>
      </x:c>
      <x:c r="H274" s="104" t="str">
        <x:v>Failed</x:v>
      </x:c>
      <x:c r="I274" s="104" t="str">
        <x:v>Returned</x:v>
      </x:c>
      <x:c r="J274" s="104" t="n">
        <x:v>-1</x:v>
      </x:c>
      <x:c r="K274" s="104" t="str">
        <x:v>Review</x:v>
      </x:c>
      <x:c r="L274" s="104" t="str">
        <x:v>Ship date earlier than order date</x:v>
      </x:c>
      <x:c r="M274" s="104" t="str">
        <x:v>Failed payment – excluded from completed sales</x:v>
      </x:c>
      <x:c r="N274" s="104" t="str">
        <x:v>Valid</x:v>
      </x:c>
      <x:c r="O274" s="105" t="str">
        <x:v>Validate order and ship dates; Exclude from completed sales</x:v>
      </x:c>
    </x:row>
    <x:row r="275">
      <x:c r="A275" s="103" t="n">
        <x:v>759</x:v>
      </x:c>
      <x:c r="B275" s="104" t="str">
        <x:v>ORD-2025-10758</x:v>
      </x:c>
      <x:c r="C275" s="120" t="n">
        <x:v>45870</x:v>
      </x:c>
      <x:c r="D275" s="120" t="n">
        <x:v>45872</x:v>
      </x:c>
      <x:c r="E275" s="104" t="str">
        <x:v>South</x:v>
      </x:c>
      <x:c r="F275" s="104" t="str">
        <x:v>Standard Class</x:v>
      </x:c>
      <x:c r="G275" s="121" t="n">
        <x:v>0.25</x:v>
      </x:c>
      <x:c r="H275" s="104" t="str">
        <x:v>Failed</x:v>
      </x:c>
      <x:c r="I275" s="104" t="str">
        <x:v>Cancelled</x:v>
      </x:c>
      <x:c r="J275" s="104" t="n">
        <x:v>2</x:v>
      </x:c>
      <x:c r="K275" s="104" t="str">
        <x:v>Pass</x:v>
      </x:c>
      <x:c r="L275" s="104" t="str">
        <x:v>OK</x:v>
      </x:c>
      <x:c r="M275" s="104" t="str">
        <x:v>Cancelled order – excluded from completed sales; Failed payment – excluded from completed sales</x:v>
      </x:c>
      <x:c r="N275" s="104" t="str">
        <x:v>Valid</x:v>
      </x:c>
      <x:c r="O275" s="105" t="str">
        <x:v>Exclude from completed sales</x:v>
      </x:c>
    </x:row>
    <x:row r="276">
      <x:c r="A276" s="103" t="n">
        <x:v>764</x:v>
      </x:c>
      <x:c r="B276" s="104" t="str">
        <x:v>ORD-2024-10763</x:v>
      </x:c>
      <x:c r="C276" s="120" t="n">
        <x:v>45292</x:v>
      </x:c>
      <x:c r="D276" s="120" t="n">
        <x:v>45296</x:v>
      </x:c>
      <x:c r="E276" s="104" t="str">
        <x:v>West</x:v>
      </x:c>
      <x:c r="F276" s="104" t="str">
        <x:v>Second Class</x:v>
      </x:c>
      <x:c r="G276" s="121" t="n">
        <x:v>0.2</x:v>
      </x:c>
      <x:c r="H276" s="104" t="str">
        <x:v>Refunded</x:v>
      </x:c>
      <x:c r="I276" s="104" t="str">
        <x:v>Returned</x:v>
      </x:c>
      <x:c r="J276" s="104" t="n">
        <x:v>4</x:v>
      </x:c>
      <x:c r="K276" s="104" t="str">
        <x:v>Pass</x:v>
      </x:c>
      <x:c r="L276" s="104" t="str">
        <x:v>OK</x:v>
      </x:c>
      <x:c r="M276" s="104" t="str">
        <x:v>Refunded payment – separately summarized</x:v>
      </x:c>
      <x:c r="N276" s="104" t="str">
        <x:v>Valid</x:v>
      </x:c>
      <x:c r="O276" s="105" t="str">
        <x:v>Included in refund summary</x:v>
      </x:c>
    </x:row>
    <x:row r="277">
      <x:c r="A277" s="103" t="n">
        <x:v>768</x:v>
      </x:c>
      <x:c r="B277" s="104" t="str">
        <x:v>ORD-2024-10767</x:v>
      </x:c>
      <x:c r="C277" s="120" t="n">
        <x:v>45552</x:v>
      </x:c>
      <x:c r="D277" s="120" t="n">
        <x:v>45559</x:v>
      </x:c>
      <x:c r="E277" s="104" t="str">
        <x:v>West</x:v>
      </x:c>
      <x:c r="F277" s="104" t="str">
        <x:v>Second Class</x:v>
      </x:c>
      <x:c r="G277" s="121" t="n">
        <x:v>0.2</x:v>
      </x:c>
      <x:c r="H277" s="104" t="str">
        <x:v>Paid</x:v>
      </x:c>
      <x:c r="I277" s="104" t="str">
        <x:v>Cancelled</x:v>
      </x:c>
      <x:c r="J277" s="104" t="n">
        <x:v>7</x:v>
      </x:c>
      <x:c r="K277" s="104" t="str">
        <x:v>Pass</x:v>
      </x:c>
      <x:c r="L277" s="104" t="str">
        <x:v>OK</x:v>
      </x:c>
      <x:c r="M277" s="104" t="str">
        <x:v>Cancelled order – excluded from completed sales</x:v>
      </x:c>
      <x:c r="N277" s="104" t="str">
        <x:v>Valid</x:v>
      </x:c>
      <x:c r="O277" s="105" t="str">
        <x:v>Exclude from completed sales</x:v>
      </x:c>
    </x:row>
    <x:row r="278">
      <x:c r="A278" s="103" t="n">
        <x:v>772</x:v>
      </x:c>
      <x:c r="B278" s="104" t="str">
        <x:v>ORD-2024-10771</x:v>
      </x:c>
      <x:c r="C278" s="120" t="n">
        <x:v>45337</x:v>
      </x:c>
      <x:c r="D278" s="120" t="n">
        <x:v>45339</x:v>
      </x:c>
      <x:c r="E278" s="104" t="str">
        <x:v>North</x:v>
      </x:c>
      <x:c r="F278" s="104" t="str">
        <x:v>First Class</x:v>
      </x:c>
      <x:c r="G278" s="121" t="n">
        <x:v>0</x:v>
      </x:c>
      <x:c r="H278" s="104" t="str">
        <x:v>Paid</x:v>
      </x:c>
      <x:c r="I278" s="104" t="str">
        <x:v>Completed</x:v>
      </x:c>
      <x:c r="J278" s="104" t="n">
        <x:v>2</x:v>
      </x:c>
      <x:c r="K278" s="104" t="str">
        <x:v>Review</x:v>
      </x:c>
      <x:c r="L278" s="104" t="str">
        <x:v>Sales calculation mismatch</x:v>
      </x:c>
      <x:c r="M278" s="104" t="str">
        <x:v>Missing discount imputed as 0</x:v>
      </x:c>
      <x:c r="N278" s="104" t="str">
        <x:v>Missing discount imputed as 0</x:v>
      </x:c>
      <x:c r="O278" s="105" t="str">
        <x:v>Reconcile sales/cost/profit fields</x:v>
      </x:c>
    </x:row>
    <x:row r="279">
      <x:c r="A279" s="103" t="n">
        <x:v>773</x:v>
      </x:c>
      <x:c r="B279" s="104" t="str">
        <x:v>ORD-2024-10772</x:v>
      </x:c>
      <x:c r="C279" s="120" t="n">
        <x:v>45485</x:v>
      </x:c>
      <x:c r="D279" s="120" t="n">
        <x:v>45487</x:v>
      </x:c>
      <x:c r="E279" s="104" t="str">
        <x:v>North</x:v>
      </x:c>
      <x:c r="F279" s="104" t="str">
        <x:v>Second Class</x:v>
      </x:c>
      <x:c r="G279" s="121" t="n">
        <x:v>0</x:v>
      </x:c>
      <x:c r="H279" s="104" t="str">
        <x:v>Paid</x:v>
      </x:c>
      <x:c r="I279" s="104" t="str">
        <x:v>Completed</x:v>
      </x:c>
      <x:c r="J279" s="104" t="n">
        <x:v>2</x:v>
      </x:c>
      <x:c r="K279" s="104" t="str">
        <x:v>Review</x:v>
      </x:c>
      <x:c r="L279" s="104" t="str">
        <x:v>Sales calculation mismatch</x:v>
      </x:c>
      <x:c r="M279" s="104" t="str">
        <x:v>Missing discount imputed as 0</x:v>
      </x:c>
      <x:c r="N279" s="104" t="str">
        <x:v>Missing discount imputed as 0</x:v>
      </x:c>
      <x:c r="O279" s="105" t="str">
        <x:v>Reconcile sales/cost/profit fields</x:v>
      </x:c>
    </x:row>
    <x:row r="280">
      <x:c r="A280" s="103" t="n">
        <x:v>774</x:v>
      </x:c>
      <x:c r="B280" s="104" t="str">
        <x:v>ORD-2025-10773</x:v>
      </x:c>
      <x:c r="C280" s="120" t="n">
        <x:v>45853</x:v>
      </x:c>
      <x:c r="D280" s="120" t="n">
        <x:v>45857</x:v>
      </x:c>
      <x:c r="E280" s="104" t="str">
        <x:v>South</x:v>
      </x:c>
      <x:c r="F280" s="104" t="str">
        <x:v>Same Day</x:v>
      </x:c>
      <x:c r="G280" s="121" t="n">
        <x:v>0.05</x:v>
      </x:c>
      <x:c r="H280" s="104" t="str">
        <x:v>Pending</x:v>
      </x:c>
      <x:c r="I280" s="104" t="str">
        <x:v>Cancelled</x:v>
      </x:c>
      <x:c r="J280" s="104" t="n">
        <x:v>4</x:v>
      </x:c>
      <x:c r="K280" s="104" t="str">
        <x:v>Pass</x:v>
      </x:c>
      <x:c r="L280" s="104" t="str">
        <x:v>OK</x:v>
      </x:c>
      <x:c r="M280" s="104" t="str">
        <x:v>Cancelled order – excluded from completed sales</x:v>
      </x:c>
      <x:c r="N280" s="104" t="str">
        <x:v>Valid</x:v>
      </x:c>
      <x:c r="O280" s="105" t="str">
        <x:v>Exclude from completed sales</x:v>
      </x:c>
    </x:row>
    <x:row r="281">
      <x:c r="A281" s="103" t="n">
        <x:v>775</x:v>
      </x:c>
      <x:c r="B281" s="104" t="str">
        <x:v>ORD-2025-10774</x:v>
      </x:c>
      <x:c r="C281" s="120" t="n">
        <x:v>45709</x:v>
      </x:c>
      <x:c r="D281" s="120" t="n">
        <x:v>45709</x:v>
      </x:c>
      <x:c r="E281" s="104" t="str">
        <x:v>West</x:v>
      </x:c>
      <x:c r="F281" s="104" t="str">
        <x:v>Unknown</x:v>
      </x:c>
      <x:c r="G281" s="121" t="n">
        <x:v>0.2</x:v>
      </x:c>
      <x:c r="H281" s="104" t="str">
        <x:v>Paid</x:v>
      </x:c>
      <x:c r="I281" s="104" t="str">
        <x:v>Completed</x:v>
      </x:c>
      <x:c r="J281" s="104" t="n">
        <x:v>0</x:v>
      </x:c>
      <x:c r="K281" s="104" t="str">
        <x:v>Cleaned</x:v>
      </x:c>
      <x:c r="L281" s="104" t="str">
        <x:v>OK</x:v>
      </x:c>
      <x:c r="M281" s="104" t="str">
        <x:v>Missing ship_mode filled as Unknown</x:v>
      </x:c>
      <x:c r="N281" s="104" t="str">
        <x:v>Valid</x:v>
      </x:c>
      <x:c r="O281" s="105" t="str">
        <x:v>No manual action; adjustment logged</x:v>
      </x:c>
    </x:row>
    <x:row r="282">
      <x:c r="A282" s="103" t="n">
        <x:v>776</x:v>
      </x:c>
      <x:c r="B282" s="104" t="str">
        <x:v>ORD-2025-10775</x:v>
      </x:c>
      <x:c r="C282" s="120" t="n">
        <x:v>45876</x:v>
      </x:c>
      <x:c r="D282" s="120" t="n">
        <x:v>45876</x:v>
      </x:c>
      <x:c r="E282" s="104" t="str">
        <x:v>West</x:v>
      </x:c>
      <x:c r="F282" s="104" t="str">
        <x:v>Unknown</x:v>
      </x:c>
      <x:c r="G282" s="121" t="n">
        <x:v>0.2</x:v>
      </x:c>
      <x:c r="H282" s="104" t="str">
        <x:v>Paid</x:v>
      </x:c>
      <x:c r="I282" s="104" t="str">
        <x:v>Completed</x:v>
      </x:c>
      <x:c r="J282" s="104" t="n">
        <x:v>0</x:v>
      </x:c>
      <x:c r="K282" s="104" t="str">
        <x:v>Cleaned</x:v>
      </x:c>
      <x:c r="L282" s="104" t="str">
        <x:v>OK</x:v>
      </x:c>
      <x:c r="M282" s="104" t="str">
        <x:v>Missing ship_mode filled as Unknown</x:v>
      </x:c>
      <x:c r="N282" s="104" t="str">
        <x:v>Valid</x:v>
      </x:c>
      <x:c r="O282" s="105" t="str">
        <x:v>No manual action; adjustment logged</x:v>
      </x:c>
    </x:row>
    <x:row r="283">
      <x:c r="A283" s="103" t="n">
        <x:v>779</x:v>
      </x:c>
      <x:c r="B283" s="104" t="str">
        <x:v>ORD-2024-10778</x:v>
      </x:c>
      <x:c r="C283" s="120" t="n">
        <x:v>45326</x:v>
      </x:c>
      <x:c r="D283" s="120" t="n">
        <x:v>45328</x:v>
      </x:c>
      <x:c r="E283" s="104" t="str">
        <x:v>West</x:v>
      </x:c>
      <x:c r="F283" s="104" t="str">
        <x:v>Second Class</x:v>
      </x:c>
      <x:c r="G283" s="121" t="n">
        <x:v>0.15</x:v>
      </x:c>
      <x:c r="H283" s="104" t="str">
        <x:v>Failed</x:v>
      </x:c>
      <x:c r="I283" s="104" t="str">
        <x:v>Cancelled</x:v>
      </x:c>
      <x:c r="J283" s="104" t="n">
        <x:v>2</x:v>
      </x:c>
      <x:c r="K283" s="104" t="str">
        <x:v>Pass</x:v>
      </x:c>
      <x:c r="L283" s="104" t="str">
        <x:v>OK</x:v>
      </x:c>
      <x:c r="M283" s="104" t="str">
        <x:v>Cancelled order – excluded from completed sales; Failed payment – excluded from completed sales</x:v>
      </x:c>
      <x:c r="N283" s="104" t="str">
        <x:v>Valid</x:v>
      </x:c>
      <x:c r="O283" s="105" t="str">
        <x:v>Exclude from completed sales</x:v>
      </x:c>
    </x:row>
    <x:row r="284">
      <x:c r="A284" s="103" t="n">
        <x:v>787</x:v>
      </x:c>
      <x:c r="B284" s="104" t="str">
        <x:v>ORD-2024-10786</x:v>
      </x:c>
      <x:c r="C284" s="120" t="n">
        <x:v>45435</x:v>
      </x:c>
      <x:c r="D284" s="120" t="n">
        <x:v>45441</x:v>
      </x:c>
      <x:c r="E284" s="104" t="str">
        <x:v>North</x:v>
      </x:c>
      <x:c r="F284" s="104" t="str">
        <x:v>Same Day</x:v>
      </x:c>
      <x:c r="G284" s="121" t="n">
        <x:v>0.25</x:v>
      </x:c>
      <x:c r="H284" s="104" t="str">
        <x:v>Failed</x:v>
      </x:c>
      <x:c r="I284" s="104" t="str">
        <x:v>Cancelled</x:v>
      </x:c>
      <x:c r="J284" s="104" t="n">
        <x:v>6</x:v>
      </x:c>
      <x:c r="K284" s="104" t="str">
        <x:v>Review</x:v>
      </x:c>
      <x:c r="L284" s="104" t="str">
        <x:v>Profit calculation mismatch</x:v>
      </x:c>
      <x:c r="M284" s="104" t="str">
        <x:v>Cancelled order – excluded from completed sales; Failed payment – excluded from completed sales</x:v>
      </x:c>
      <x:c r="N284" s="104" t="str">
        <x:v>Valid</x:v>
      </x:c>
      <x:c r="O284" s="105" t="str">
        <x:v>Reconcile sales/cost/profit fields; Exclude from completed sales</x:v>
      </x:c>
    </x:row>
    <x:row r="285">
      <x:c r="A285" s="103" t="n">
        <x:v>788</x:v>
      </x:c>
      <x:c r="B285" s="104" t="str">
        <x:v>ORD-2025-10787</x:v>
      </x:c>
      <x:c r="C285" s="120" t="n">
        <x:v>45844</x:v>
      </x:c>
      <x:c r="D285" s="120" t="n">
        <x:v>45846</x:v>
      </x:c>
      <x:c r="E285" s="104" t="str">
        <x:v>North</x:v>
      </x:c>
      <x:c r="F285" s="104" t="str">
        <x:v>Unknown</x:v>
      </x:c>
      <x:c r="G285" s="121" t="n">
        <x:v>0.05</x:v>
      </x:c>
      <x:c r="H285" s="104" t="str">
        <x:v>Refunded</x:v>
      </x:c>
      <x:c r="I285" s="104" t="str">
        <x:v>Returned</x:v>
      </x:c>
      <x:c r="J285" s="104" t="n">
        <x:v>2</x:v>
      </x:c>
      <x:c r="K285" s="104" t="str">
        <x:v>Cleaned</x:v>
      </x:c>
      <x:c r="L285" s="104" t="str">
        <x:v>OK</x:v>
      </x:c>
      <x:c r="M285" s="104" t="str">
        <x:v>Missing ship_mode filled as Unknown; Refunded payment – separately summarized</x:v>
      </x:c>
      <x:c r="N285" s="104" t="str">
        <x:v>Valid</x:v>
      </x:c>
      <x:c r="O285" s="105" t="str">
        <x:v>Included in refund summary</x:v>
      </x:c>
    </x:row>
    <x:row r="286">
      <x:c r="A286" s="103" t="n">
        <x:v>790</x:v>
      </x:c>
      <x:c r="B286" s="104" t="str">
        <x:v>ORD-2024-10789</x:v>
      </x:c>
      <x:c r="C286" s="120" t="n">
        <x:v>45505</x:v>
      </x:c>
      <x:c r="D286" s="120" t="n">
        <x:v>45506</x:v>
      </x:c>
      <x:c r="E286" s="104" t="str">
        <x:v>North</x:v>
      </x:c>
      <x:c r="F286" s="104" t="str">
        <x:v>Standard Class</x:v>
      </x:c>
      <x:c r="G286" s="121" t="n">
        <x:v>0.1</x:v>
      </x:c>
      <x:c r="H286" s="104" t="str">
        <x:v>Failed</x:v>
      </x:c>
      <x:c r="I286" s="104" t="str">
        <x:v>Returned</x:v>
      </x:c>
      <x:c r="J286" s="104" t="n">
        <x:v>1</x:v>
      </x:c>
      <x:c r="K286" s="104" t="str">
        <x:v>Pass</x:v>
      </x:c>
      <x:c r="L286" s="104" t="str">
        <x:v>OK</x:v>
      </x:c>
      <x:c r="M286" s="104" t="str">
        <x:v>Failed payment – excluded from completed sales</x:v>
      </x:c>
      <x:c r="N286" s="104" t="str">
        <x:v>Valid</x:v>
      </x:c>
      <x:c r="O286" s="105" t="str">
        <x:v>Exclude from completed sales</x:v>
      </x:c>
    </x:row>
    <x:row r="287">
      <x:c r="A287" s="103" t="n">
        <x:v>791</x:v>
      </x:c>
      <x:c r="B287" s="104" t="str">
        <x:v>ORD-2025-10790</x:v>
      </x:c>
      <x:c r="C287" s="120" t="n">
        <x:v>45723</x:v>
      </x:c>
      <x:c r="D287" s="120" t="n">
        <x:v>45724</x:v>
      </x:c>
      <x:c r="E287" s="104" t="str">
        <x:v>Unknown</x:v>
      </x:c>
      <x:c r="F287" s="104" t="str">
        <x:v>Same Day</x:v>
      </x:c>
      <x:c r="G287" s="121" t="n">
        <x:v>0</x:v>
      </x:c>
      <x:c r="H287" s="104" t="str">
        <x:v>Paid</x:v>
      </x:c>
      <x:c r="I287" s="104" t="str">
        <x:v>Completed</x:v>
      </x:c>
      <x:c r="J287" s="104" t="n">
        <x:v>1</x:v>
      </x:c>
      <x:c r="K287" s="104" t="str">
        <x:v>Cleaned</x:v>
      </x:c>
      <x:c r="L287" s="104" t="str">
        <x:v>OK</x:v>
      </x:c>
      <x:c r="M287" s="104" t="str">
        <x:v>Missing region filled as Unknown</x:v>
      </x:c>
      <x:c r="N287" s="104" t="str">
        <x:v>Valid</x:v>
      </x:c>
      <x:c r="O287" s="105" t="str">
        <x:v>No manual action; adjustment logged</x:v>
      </x:c>
    </x:row>
    <x:row r="288">
      <x:c r="A288" s="103" t="n">
        <x:v>797</x:v>
      </x:c>
      <x:c r="B288" s="104" t="str">
        <x:v>ORD-2024-10796</x:v>
      </x:c>
      <x:c r="C288" s="120" t="n">
        <x:v>45503</x:v>
      </x:c>
      <x:c r="D288" s="120" t="n">
        <x:v>45503</x:v>
      </x:c>
      <x:c r="E288" s="104" t="str">
        <x:v>East</x:v>
      </x:c>
      <x:c r="F288" s="104" t="str">
        <x:v>Same Day</x:v>
      </x:c>
      <x:c r="G288" s="121" t="n">
        <x:v>0</x:v>
      </x:c>
      <x:c r="H288" s="104" t="str">
        <x:v>Refunded</x:v>
      </x:c>
      <x:c r="I288" s="104" t="str">
        <x:v>Cancelled</x:v>
      </x:c>
      <x:c r="J288" s="104" t="n">
        <x:v>0</x:v>
      </x:c>
      <x:c r="K288" s="104" t="str">
        <x:v>Pass</x:v>
      </x:c>
      <x:c r="L288" s="104" t="str">
        <x:v>OK</x:v>
      </x:c>
      <x:c r="M288" s="104" t="str">
        <x:v>Cancelled order – excluded from completed sales; Refunded payment – separately summarized</x:v>
      </x:c>
      <x:c r="N288" s="104" t="str">
        <x:v>Valid</x:v>
      </x:c>
      <x:c r="O288" s="105" t="str">
        <x:v>Included in refund summary</x:v>
      </x:c>
    </x:row>
    <x:row r="289">
      <x:c r="A289" s="103" t="n">
        <x:v>799</x:v>
      </x:c>
      <x:c r="B289" s="104" t="str">
        <x:v>ORD-2024-10798</x:v>
      </x:c>
      <x:c r="C289" s="120" t="n">
        <x:v>45400</x:v>
      </x:c>
      <x:c r="D289" s="120" t="n">
        <x:v>45404</x:v>
      </x:c>
      <x:c r="E289" s="104" t="str">
        <x:v>East</x:v>
      </x:c>
      <x:c r="F289" s="104" t="str">
        <x:v>First Class</x:v>
      </x:c>
      <x:c r="G289" s="121" t="n">
        <x:v>0</x:v>
      </x:c>
      <x:c r="H289" s="104" t="str">
        <x:v>Failed</x:v>
      </x:c>
      <x:c r="I289" s="104" t="str">
        <x:v>Cancelled</x:v>
      </x:c>
      <x:c r="J289" s="104" t="n">
        <x:v>4</x:v>
      </x:c>
      <x:c r="K289" s="104" t="str">
        <x:v>Pass</x:v>
      </x:c>
      <x:c r="L289" s="104" t="str">
        <x:v>OK</x:v>
      </x:c>
      <x:c r="M289" s="104" t="str">
        <x:v>Cancelled order – excluded from completed sales; Failed payment – excluded from completed sales</x:v>
      </x:c>
      <x:c r="N289" s="104" t="str">
        <x:v>Valid</x:v>
      </x:c>
      <x:c r="O289" s="105" t="str">
        <x:v>Exclude from completed sales</x:v>
      </x:c>
    </x:row>
    <x:row r="290">
      <x:c r="A290" s="103" t="n">
        <x:v>800</x:v>
      </x:c>
      <x:c r="B290" s="104" t="str">
        <x:v>ORD-2025-10799</x:v>
      </x:c>
      <x:c r="C290" s="120" t="n">
        <x:v>45849</x:v>
      </x:c>
      <x:c r="D290" s="120" t="n">
        <x:v>45847</x:v>
      </x:c>
      <x:c r="E290" s="104" t="str">
        <x:v>North</x:v>
      </x:c>
      <x:c r="F290" s="104" t="str">
        <x:v>Standard Class</x:v>
      </x:c>
      <x:c r="G290" s="121" t="n">
        <x:v>0</x:v>
      </x:c>
      <x:c r="H290" s="104" t="str">
        <x:v>Paid</x:v>
      </x:c>
      <x:c r="I290" s="104" t="str">
        <x:v>Completed</x:v>
      </x:c>
      <x:c r="J290" s="104" t="n">
        <x:v>-2</x:v>
      </x:c>
      <x:c r="K290" s="104" t="str">
        <x:v>Review</x:v>
      </x:c>
      <x:c r="L290" s="104" t="str">
        <x:v>Ship date earlier than order date</x:v>
      </x:c>
      <x:c r="M290" s="104" t="str">
        <x:v>None</x:v>
      </x:c>
      <x:c r="N290" s="104" t="str">
        <x:v>Valid</x:v>
      </x:c>
      <x:c r="O290" s="105" t="str">
        <x:v>Validate order and ship dates</x:v>
      </x:c>
    </x:row>
    <x:row r="291">
      <x:c r="A291" s="103" t="n">
        <x:v>801</x:v>
      </x:c>
      <x:c r="B291" s="104" t="str">
        <x:v>ORD-2024-10800</x:v>
      </x:c>
      <x:c r="C291" s="120" t="n">
        <x:v>45575</x:v>
      </x:c>
      <x:c r="D291" s="120" t="n">
        <x:v>45582</x:v>
      </x:c>
      <x:c r="E291" s="104" t="str">
        <x:v>North</x:v>
      </x:c>
      <x:c r="F291" s="104" t="str">
        <x:v>Unknown</x:v>
      </x:c>
      <x:c r="G291" s="121" t="n">
        <x:v>0.05</x:v>
      </x:c>
      <x:c r="H291" s="104" t="str">
        <x:v>Paid</x:v>
      </x:c>
      <x:c r="I291" s="104" t="str">
        <x:v>Returned</x:v>
      </x:c>
      <x:c r="J291" s="104" t="n">
        <x:v>7</x:v>
      </x:c>
      <x:c r="K291" s="104" t="str">
        <x:v>Cleaned</x:v>
      </x:c>
      <x:c r="L291" s="104" t="str">
        <x:v>OK</x:v>
      </x:c>
      <x:c r="M291" s="104" t="str">
        <x:v>Missing ship_mode filled as Unknown</x:v>
      </x:c>
      <x:c r="N291" s="104" t="str">
        <x:v>Valid</x:v>
      </x:c>
      <x:c r="O291" s="105" t="str">
        <x:v>No manual action; adjustment logged</x:v>
      </x:c>
    </x:row>
    <x:row r="292">
      <x:c r="A292" s="103" t="n">
        <x:v>803</x:v>
      </x:c>
      <x:c r="B292" s="104" t="str">
        <x:v>ORD-2025-10802</x:v>
      </x:c>
      <x:c r="C292" s="120" t="n">
        <x:v>45938</x:v>
      </x:c>
      <x:c r="D292" s="120" t="n">
        <x:v>45945</x:v>
      </x:c>
      <x:c r="E292" s="104" t="str">
        <x:v>East</x:v>
      </x:c>
      <x:c r="F292" s="104" t="str">
        <x:v>Second Class</x:v>
      </x:c>
      <x:c r="G292" s="121" t="n">
        <x:v>0.2</x:v>
      </x:c>
      <x:c r="H292" s="104" t="str">
        <x:v>Pending</x:v>
      </x:c>
      <x:c r="I292" s="104" t="str">
        <x:v>Cancelled</x:v>
      </x:c>
      <x:c r="J292" s="104" t="n">
        <x:v>7</x:v>
      </x:c>
      <x:c r="K292" s="104" t="str">
        <x:v>Pass</x:v>
      </x:c>
      <x:c r="L292" s="104" t="str">
        <x:v>OK</x:v>
      </x:c>
      <x:c r="M292" s="104" t="str">
        <x:v>Cancelled order – excluded from completed sales</x:v>
      </x:c>
      <x:c r="N292" s="104" t="str">
        <x:v>Valid</x:v>
      </x:c>
      <x:c r="O292" s="105" t="str">
        <x:v>Exclude from completed sales</x:v>
      </x:c>
    </x:row>
    <x:row r="293">
      <x:c r="A293" s="103" t="n">
        <x:v>804</x:v>
      </x:c>
      <x:c r="B293" s="104" t="str">
        <x:v>ORD-2025-10803</x:v>
      </x:c>
      <x:c r="C293" s="120" t="n">
        <x:v>45704</x:v>
      </x:c>
      <x:c r="D293" s="120" t="n">
        <x:v>45704</x:v>
      </x:c>
      <x:c r="E293" s="104" t="str">
        <x:v>East</x:v>
      </x:c>
      <x:c r="F293" s="104" t="str">
        <x:v>Second Class</x:v>
      </x:c>
      <x:c r="G293" s="121" t="n">
        <x:v>0</x:v>
      </x:c>
      <x:c r="H293" s="104" t="str">
        <x:v>Failed</x:v>
      </x:c>
      <x:c r="I293" s="104" t="str">
        <x:v>Returned</x:v>
      </x:c>
      <x:c r="J293" s="104" t="n">
        <x:v>0</x:v>
      </x:c>
      <x:c r="K293" s="104" t="str">
        <x:v>Cleaned</x:v>
      </x:c>
      <x:c r="L293" s="104" t="str">
        <x:v>OK</x:v>
      </x:c>
      <x:c r="M293" s="104" t="str">
        <x:v>Failed payment – excluded from completed sales</x:v>
      </x:c>
      <x:c r="N293" s="104" t="str">
        <x:v>Valid</x:v>
      </x:c>
      <x:c r="O293" s="105" t="str">
        <x:v>Exclude from completed sales</x:v>
      </x:c>
    </x:row>
    <x:row r="294">
      <x:c r="A294" s="103" t="n">
        <x:v>805</x:v>
      </x:c>
      <x:c r="B294" s="104" t="str">
        <x:v>ORD-2024-10804</x:v>
      </x:c>
      <x:c r="C294" s="120" t="n">
        <x:v>45635</x:v>
      </x:c>
      <x:c r="D294" s="120" t="n">
        <x:v>45639</x:v>
      </x:c>
      <x:c r="E294" s="104" t="str">
        <x:v>Unknown</x:v>
      </x:c>
      <x:c r="F294" s="104" t="str">
        <x:v>First Class</x:v>
      </x:c>
      <x:c r="G294" s="121" t="n">
        <x:v>0</x:v>
      </x:c>
      <x:c r="H294" s="104" t="str">
        <x:v>Paid</x:v>
      </x:c>
      <x:c r="I294" s="104" t="str">
        <x:v>Completed</x:v>
      </x:c>
      <x:c r="J294" s="104" t="n">
        <x:v>4</x:v>
      </x:c>
      <x:c r="K294" s="104" t="str">
        <x:v>Cleaned</x:v>
      </x:c>
      <x:c r="L294" s="104" t="str">
        <x:v>OK</x:v>
      </x:c>
      <x:c r="M294" s="104" t="str">
        <x:v>Missing region filled as Unknown</x:v>
      </x:c>
      <x:c r="N294" s="104" t="str">
        <x:v>Valid</x:v>
      </x:c>
      <x:c r="O294" s="105" t="str">
        <x:v>No manual action; adjustment logged</x:v>
      </x:c>
    </x:row>
    <x:row r="295">
      <x:c r="A295" s="103" t="n">
        <x:v>808</x:v>
      </x:c>
      <x:c r="B295" s="104" t="str">
        <x:v>ORD-2024-10807</x:v>
      </x:c>
      <x:c r="C295" s="120" t="n">
        <x:v>45605</x:v>
      </x:c>
      <x:c r="D295" s="120" t="n">
        <x:v>45611</x:v>
      </x:c>
      <x:c r="E295" s="104" t="str">
        <x:v>North</x:v>
      </x:c>
      <x:c r="F295" s="104" t="str">
        <x:v>Standard Class</x:v>
      </x:c>
      <x:c r="G295" s="121" t="n">
        <x:v>0.2</x:v>
      </x:c>
      <x:c r="H295" s="104" t="str">
        <x:v>Failed</x:v>
      </x:c>
      <x:c r="I295" s="104" t="str">
        <x:v>Cancelled</x:v>
      </x:c>
      <x:c r="J295" s="104" t="n">
        <x:v>6</x:v>
      </x:c>
      <x:c r="K295" s="104" t="str">
        <x:v>Pass</x:v>
      </x:c>
      <x:c r="L295" s="104" t="str">
        <x:v>OK</x:v>
      </x:c>
      <x:c r="M295" s="104" t="str">
        <x:v>Cancelled order – excluded from completed sales; Failed payment – excluded from completed sales</x:v>
      </x:c>
      <x:c r="N295" s="104" t="str">
        <x:v>Valid</x:v>
      </x:c>
      <x:c r="O295" s="105" t="str">
        <x:v>Exclude from completed sales</x:v>
      </x:c>
    </x:row>
    <x:row r="296">
      <x:c r="A296" s="103" t="n">
        <x:v>810</x:v>
      </x:c>
      <x:c r="B296" s="104" t="str">
        <x:v>ORD-2025-10809</x:v>
      </x:c>
      <x:c r="C296" s="120" t="n">
        <x:v>45900</x:v>
      </x:c>
      <x:c r="D296" s="120" t="n">
        <x:v>45897</x:v>
      </x:c>
      <x:c r="E296" s="104" t="str">
        <x:v>South</x:v>
      </x:c>
      <x:c r="F296" s="104" t="str">
        <x:v>First Class</x:v>
      </x:c>
      <x:c r="G296" s="121" t="n">
        <x:v>0.2</x:v>
      </x:c>
      <x:c r="H296" s="104" t="str">
        <x:v>Paid</x:v>
      </x:c>
      <x:c r="I296" s="104" t="str">
        <x:v>Completed</x:v>
      </x:c>
      <x:c r="J296" s="104" t="n">
        <x:v>-3</x:v>
      </x:c>
      <x:c r="K296" s="104" t="str">
        <x:v>Review</x:v>
      </x:c>
      <x:c r="L296" s="104" t="str">
        <x:v>Ship date earlier than order date</x:v>
      </x:c>
      <x:c r="M296" s="104" t="str">
        <x:v>None</x:v>
      </x:c>
      <x:c r="N296" s="104" t="str">
        <x:v>Valid</x:v>
      </x:c>
      <x:c r="O296" s="105" t="str">
        <x:v>Validate order and ship dates</x:v>
      </x:c>
    </x:row>
    <x:row r="297">
      <x:c r="A297" s="103" t="n">
        <x:v>811</x:v>
      </x:c>
      <x:c r="B297" s="104" t="str">
        <x:v>ORD-2025-10810</x:v>
      </x:c>
      <x:c r="C297" s="120" t="n">
        <x:v>45833</x:v>
      </x:c>
      <x:c r="D297" s="120" t="n">
        <x:v>45833</x:v>
      </x:c>
      <x:c r="E297" s="104" t="str">
        <x:v>Unknown</x:v>
      </x:c>
      <x:c r="F297" s="104" t="str">
        <x:v>Second Class</x:v>
      </x:c>
      <x:c r="G297" s="121" t="n">
        <x:v>0.1</x:v>
      </x:c>
      <x:c r="H297" s="104" t="str">
        <x:v>Paid</x:v>
      </x:c>
      <x:c r="I297" s="104" t="str">
        <x:v>Completed</x:v>
      </x:c>
      <x:c r="J297" s="104" t="n">
        <x:v>0</x:v>
      </x:c>
      <x:c r="K297" s="104" t="str">
        <x:v>Cleaned</x:v>
      </x:c>
      <x:c r="L297" s="104" t="str">
        <x:v>OK</x:v>
      </x:c>
      <x:c r="M297" s="104" t="str">
        <x:v>Missing region filled as Unknown</x:v>
      </x:c>
      <x:c r="N297" s="104" t="str">
        <x:v>Valid</x:v>
      </x:c>
      <x:c r="O297" s="105" t="str">
        <x:v>No manual action; adjustment logged</x:v>
      </x:c>
    </x:row>
    <x:row r="298">
      <x:c r="A298" s="103" t="n">
        <x:v>817</x:v>
      </x:c>
      <x:c r="B298" s="104" t="str">
        <x:v>ORD-2024-10816</x:v>
      </x:c>
      <x:c r="C298" s="120" t="n">
        <x:v>45383</x:v>
      </x:c>
      <x:c r="D298" s="120" t="n">
        <x:v>45390</x:v>
      </x:c>
      <x:c r="E298" s="104" t="str">
        <x:v>East</x:v>
      </x:c>
      <x:c r="F298" s="104" t="str">
        <x:v>Standard Class</x:v>
      </x:c>
      <x:c r="G298" s="121" t="n">
        <x:v>0.15</x:v>
      </x:c>
      <x:c r="H298" s="104" t="str">
        <x:v>Pending</x:v>
      </x:c>
      <x:c r="I298" s="104" t="str">
        <x:v>Cancelled</x:v>
      </x:c>
      <x:c r="J298" s="104" t="n">
        <x:v>7</x:v>
      </x:c>
      <x:c r="K298" s="104" t="str">
        <x:v>Pass</x:v>
      </x:c>
      <x:c r="L298" s="104" t="str">
        <x:v>OK</x:v>
      </x:c>
      <x:c r="M298" s="104" t="str">
        <x:v>Cancelled order – excluded from completed sales</x:v>
      </x:c>
      <x:c r="N298" s="104" t="str">
        <x:v>Valid</x:v>
      </x:c>
      <x:c r="O298" s="105" t="str">
        <x:v>Exclude from completed sales</x:v>
      </x:c>
    </x:row>
    <x:row r="299">
      <x:c r="A299" s="103" t="n">
        <x:v>820</x:v>
      </x:c>
      <x:c r="B299" s="104" t="str">
        <x:v>ORD-2024-10819</x:v>
      </x:c>
      <x:c r="C299" s="120" t="n">
        <x:v>45564</x:v>
      </x:c>
      <x:c r="D299" s="120" t="n">
        <x:v>45570</x:v>
      </x:c>
      <x:c r="E299" s="104" t="str">
        <x:v>West</x:v>
      </x:c>
      <x:c r="F299" s="104" t="str">
        <x:v>First Class</x:v>
      </x:c>
      <x:c r="G299" s="121" t="n">
        <x:v>-0.14</x:v>
      </x:c>
      <x:c r="H299" s="104" t="str">
        <x:v>Paid</x:v>
      </x:c>
      <x:c r="I299" s="104" t="str">
        <x:v>Completed</x:v>
      </x:c>
      <x:c r="J299" s="104" t="n">
        <x:v>6</x:v>
      </x:c>
      <x:c r="K299" s="104" t="str">
        <x:v>Review</x:v>
      </x:c>
      <x:c r="L299" s="104" t="str">
        <x:v>Negative discount</x:v>
      </x:c>
      <x:c r="M299" s="104" t="str">
        <x:v>None</x:v>
      </x:c>
      <x:c r="N299" s="104" t="str">
        <x:v>Invalid discount – negative</x:v>
      </x:c>
      <x:c r="O299" s="105" t="str">
        <x:v>Confirm or correct source discount</x:v>
      </x:c>
    </x:row>
    <x:row r="300">
      <x:c r="A300" s="103" t="n">
        <x:v>821</x:v>
      </x:c>
      <x:c r="B300" s="104" t="str">
        <x:v>ORD-2024-10820</x:v>
      </x:c>
      <x:c r="C300" s="120" t="n">
        <x:v>45504</x:v>
      </x:c>
      <x:c r="D300" s="120" t="n">
        <x:v>45504</x:v>
      </x:c>
      <x:c r="E300" s="104" t="str">
        <x:v>South</x:v>
      </x:c>
      <x:c r="F300" s="104" t="str">
        <x:v>Standard Class</x:v>
      </x:c>
      <x:c r="G300" s="121" t="n">
        <x:v>0</x:v>
      </x:c>
      <x:c r="H300" s="104" t="str">
        <x:v>Failed</x:v>
      </x:c>
      <x:c r="I300" s="104" t="str">
        <x:v>Cancelled</x:v>
      </x:c>
      <x:c r="J300" s="104" t="n">
        <x:v>0</x:v>
      </x:c>
      <x:c r="K300" s="104" t="str">
        <x:v>Cleaned</x:v>
      </x:c>
      <x:c r="L300" s="104" t="str">
        <x:v>OK</x:v>
      </x:c>
      <x:c r="M300" s="104" t="str">
        <x:v>Cancelled order – excluded from completed sales; Failed payment – excluded from completed sales</x:v>
      </x:c>
      <x:c r="N300" s="104" t="str">
        <x:v>Valid</x:v>
      </x:c>
      <x:c r="O300" s="105" t="str">
        <x:v>Exclude from completed sales</x:v>
      </x:c>
    </x:row>
    <x:row r="301">
      <x:c r="A301" s="103" t="n">
        <x:v>824</x:v>
      </x:c>
      <x:c r="B301" s="104" t="str">
        <x:v>ORD-2024-10823</x:v>
      </x:c>
      <x:c r="C301" s="120" t="n">
        <x:v>45577</x:v>
      </x:c>
      <x:c r="D301" s="120" t="n">
        <x:v>45573</x:v>
      </x:c>
      <x:c r="E301" s="104" t="str">
        <x:v>East</x:v>
      </x:c>
      <x:c r="F301" s="104" t="str">
        <x:v>Second Class</x:v>
      </x:c>
      <x:c r="G301" s="121" t="n">
        <x:v>0.2</x:v>
      </x:c>
      <x:c r="H301" s="104" t="str">
        <x:v>Pending</x:v>
      </x:c>
      <x:c r="I301" s="104" t="str">
        <x:v>Returned</x:v>
      </x:c>
      <x:c r="J301" s="104" t="n">
        <x:v>-4</x:v>
      </x:c>
      <x:c r="K301" s="104" t="str">
        <x:v>Review</x:v>
      </x:c>
      <x:c r="L301" s="104" t="str">
        <x:v>Ship date earlier than order date</x:v>
      </x:c>
      <x:c r="M301" s="104" t="str">
        <x:v>None</x:v>
      </x:c>
      <x:c r="N301" s="104" t="str">
        <x:v>Valid</x:v>
      </x:c>
      <x:c r="O301" s="105" t="str">
        <x:v>Validate order and ship dates</x:v>
      </x:c>
    </x:row>
    <x:row r="302">
      <x:c r="A302" s="103" t="n">
        <x:v>829</x:v>
      </x:c>
      <x:c r="B302" s="104" t="str">
        <x:v>ORD-2024-10828</x:v>
      </x:c>
      <x:c r="C302" s="120" t="n">
        <x:v>45620</x:v>
      </x:c>
      <x:c r="D302" s="120" t="n">
        <x:v>45627</x:v>
      </x:c>
      <x:c r="E302" s="104" t="str">
        <x:v>South</x:v>
      </x:c>
      <x:c r="F302" s="104" t="str">
        <x:v>Same Day</x:v>
      </x:c>
      <x:c r="G302" s="121" t="n">
        <x:v>0.25</x:v>
      </x:c>
      <x:c r="H302" s="104" t="str">
        <x:v>Paid</x:v>
      </x:c>
      <x:c r="I302" s="104" t="str">
        <x:v>Cancelled</x:v>
      </x:c>
      <x:c r="J302" s="104" t="n">
        <x:v>7</x:v>
      </x:c>
      <x:c r="K302" s="104" t="str">
        <x:v>Pass</x:v>
      </x:c>
      <x:c r="L302" s="104" t="str">
        <x:v>OK</x:v>
      </x:c>
      <x:c r="M302" s="104" t="str">
        <x:v>Cancelled order – excluded from completed sales</x:v>
      </x:c>
      <x:c r="N302" s="104" t="str">
        <x:v>Valid</x:v>
      </x:c>
      <x:c r="O302" s="105" t="str">
        <x:v>Exclude from completed sales</x:v>
      </x:c>
    </x:row>
    <x:row r="303">
      <x:c r="A303" s="103" t="n">
        <x:v>830</x:v>
      </x:c>
      <x:c r="B303" s="104" t="str">
        <x:v>ORD-2025-10829</x:v>
      </x:c>
      <x:c r="C303" s="120" t="n">
        <x:v>45940</x:v>
      </x:c>
      <x:c r="D303" s="120" t="n">
        <x:v>45941</x:v>
      </x:c>
      <x:c r="E303" s="104" t="str">
        <x:v>East</x:v>
      </x:c>
      <x:c r="F303" s="104" t="str">
        <x:v>Second Class</x:v>
      </x:c>
      <x:c r="G303" s="121" t="n">
        <x:v>0.05</x:v>
      </x:c>
      <x:c r="H303" s="104" t="str">
        <x:v>Failed</x:v>
      </x:c>
      <x:c r="I303" s="104" t="str">
        <x:v>Cancelled</x:v>
      </x:c>
      <x:c r="J303" s="104" t="n">
        <x:v>1</x:v>
      </x:c>
      <x:c r="K303" s="104" t="str">
        <x:v>Cleaned</x:v>
      </x:c>
      <x:c r="L303" s="104" t="str">
        <x:v>OK</x:v>
      </x:c>
      <x:c r="M303" s="104" t="str">
        <x:v>Cancelled order – excluded from completed sales; Failed payment – excluded from completed sales</x:v>
      </x:c>
      <x:c r="N303" s="104" t="str">
        <x:v>Valid</x:v>
      </x:c>
      <x:c r="O303" s="105" t="str">
        <x:v>Exclude from completed sales</x:v>
      </x:c>
    </x:row>
    <x:row r="304">
      <x:c r="A304" s="103" t="n">
        <x:v>832</x:v>
      </x:c>
      <x:c r="B304" s="104" t="str">
        <x:v>ORD-2025-10831</x:v>
      </x:c>
      <x:c r="C304" s="120" t="n">
        <x:v>45853</x:v>
      </x:c>
      <x:c r="D304" s="120" t="n">
        <x:v>45856</x:v>
      </x:c>
      <x:c r="E304" s="104" t="str">
        <x:v>Unknown</x:v>
      </x:c>
      <x:c r="F304" s="104" t="str">
        <x:v>First Class</x:v>
      </x:c>
      <x:c r="G304" s="121" t="n">
        <x:v>0.1</x:v>
      </x:c>
      <x:c r="H304" s="104" t="str">
        <x:v>Paid</x:v>
      </x:c>
      <x:c r="I304" s="104" t="str">
        <x:v>Completed</x:v>
      </x:c>
      <x:c r="J304" s="104" t="n">
        <x:v>3</x:v>
      </x:c>
      <x:c r="K304" s="104" t="str">
        <x:v>Cleaned</x:v>
      </x:c>
      <x:c r="L304" s="104" t="str">
        <x:v>OK</x:v>
      </x:c>
      <x:c r="M304" s="104" t="str">
        <x:v>Missing region filled as Unknown</x:v>
      </x:c>
      <x:c r="N304" s="104" t="str">
        <x:v>Valid</x:v>
      </x:c>
      <x:c r="O304" s="105" t="str">
        <x:v>No manual action; adjustment logged</x:v>
      </x:c>
    </x:row>
    <x:row r="305">
      <x:c r="A305" s="103" t="n">
        <x:v>833</x:v>
      </x:c>
      <x:c r="B305" s="104" t="str">
        <x:v>ORD-2025-10832</x:v>
      </x:c>
      <x:c r="C305" s="120" t="n">
        <x:v>45750</x:v>
      </x:c>
      <x:c r="D305" s="120" t="n">
        <x:v>45750</x:v>
      </x:c>
      <x:c r="E305" s="104" t="str">
        <x:v>Unknown</x:v>
      </x:c>
      <x:c r="F305" s="104" t="str">
        <x:v>First Class</x:v>
      </x:c>
      <x:c r="G305" s="121" t="n">
        <x:v>0.15</x:v>
      </x:c>
      <x:c r="H305" s="104" t="str">
        <x:v>Failed</x:v>
      </x:c>
      <x:c r="I305" s="104" t="str">
        <x:v>Returned</x:v>
      </x:c>
      <x:c r="J305" s="104" t="n">
        <x:v>0</x:v>
      </x:c>
      <x:c r="K305" s="104" t="str">
        <x:v>Cleaned</x:v>
      </x:c>
      <x:c r="L305" s="104" t="str">
        <x:v>OK</x:v>
      </x:c>
      <x:c r="M305" s="104" t="str">
        <x:v>Missing region filled as Unknown; Failed payment – excluded from completed sales</x:v>
      </x:c>
      <x:c r="N305" s="104" t="str">
        <x:v>Valid</x:v>
      </x:c>
      <x:c r="O305" s="105" t="str">
        <x:v>Exclude from completed sales</x:v>
      </x:c>
    </x:row>
    <x:row r="306">
      <x:c r="A306" s="103" t="n">
        <x:v>836</x:v>
      </x:c>
      <x:c r="B306" s="104" t="str">
        <x:v>ORD-2024-10835</x:v>
      </x:c>
      <x:c r="C306" s="120" t="n">
        <x:v>45583</x:v>
      </x:c>
      <x:c r="D306" s="120" t="n">
        <x:v>45587</x:v>
      </x:c>
      <x:c r="E306" s="104" t="str">
        <x:v>South</x:v>
      </x:c>
      <x:c r="F306" s="104" t="str">
        <x:v>First Class</x:v>
      </x:c>
      <x:c r="G306" s="121" t="n">
        <x:v>0</x:v>
      </x:c>
      <x:c r="H306" s="104" t="str">
        <x:v>Paid</x:v>
      </x:c>
      <x:c r="I306" s="104" t="str">
        <x:v>Completed</x:v>
      </x:c>
      <x:c r="J306" s="104" t="n">
        <x:v>4</x:v>
      </x:c>
      <x:c r="K306" s="104" t="str">
        <x:v>Review</x:v>
      </x:c>
      <x:c r="L306" s="104" t="str">
        <x:v>Profit calculation mismatch</x:v>
      </x:c>
      <x:c r="M306" s="104" t="str">
        <x:v>None</x:v>
      </x:c>
      <x:c r="N306" s="104" t="str">
        <x:v>Valid</x:v>
      </x:c>
      <x:c r="O306" s="105" t="str">
        <x:v>Reconcile sales/cost/profit fields</x:v>
      </x:c>
    </x:row>
    <x:row r="307">
      <x:c r="A307" s="103" t="n">
        <x:v>844</x:v>
      </x:c>
      <x:c r="B307" s="104" t="str">
        <x:v>ORD-2024-10843</x:v>
      </x:c>
      <x:c r="C307" s="120" t="n">
        <x:v>45382</x:v>
      </x:c>
      <x:c r="D307" s="120" t="n">
        <x:v>45381</x:v>
      </x:c>
      <x:c r="E307" s="104" t="str">
        <x:v>North</x:v>
      </x:c>
      <x:c r="F307" s="104" t="str">
        <x:v>First Class</x:v>
      </x:c>
      <x:c r="G307" s="121" t="n">
        <x:v>0.15</x:v>
      </x:c>
      <x:c r="H307" s="104" t="str">
        <x:v>Paid</x:v>
      </x:c>
      <x:c r="I307" s="104" t="str">
        <x:v>Returned</x:v>
      </x:c>
      <x:c r="J307" s="104" t="n">
        <x:v>-1</x:v>
      </x:c>
      <x:c r="K307" s="104" t="str">
        <x:v>Review</x:v>
      </x:c>
      <x:c r="L307" s="104" t="str">
        <x:v>Ship date earlier than order date</x:v>
      </x:c>
      <x:c r="M307" s="104" t="str">
        <x:v>None</x:v>
      </x:c>
      <x:c r="N307" s="104" t="str">
        <x:v>Valid</x:v>
      </x:c>
      <x:c r="O307" s="105" t="str">
        <x:v>Validate order and ship dates</x:v>
      </x:c>
    </x:row>
    <x:row r="308">
      <x:c r="A308" s="103" t="n">
        <x:v>845</x:v>
      </x:c>
      <x:c r="B308" s="104" t="str">
        <x:v>ORD-2025-10844</x:v>
      </x:c>
      <x:c r="C308" s="120" t="n">
        <x:v>45856</x:v>
      </x:c>
      <x:c r="D308" s="120" t="n">
        <x:v>45863</x:v>
      </x:c>
      <x:c r="E308" s="104" t="str">
        <x:v>North</x:v>
      </x:c>
      <x:c r="F308" s="104" t="str">
        <x:v>First Class</x:v>
      </x:c>
      <x:c r="G308" s="121" t="n">
        <x:v>-0.02</x:v>
      </x:c>
      <x:c r="H308" s="104" t="str">
        <x:v>Paid</x:v>
      </x:c>
      <x:c r="I308" s="104" t="str">
        <x:v>Completed</x:v>
      </x:c>
      <x:c r="J308" s="104" t="n">
        <x:v>7</x:v>
      </x:c>
      <x:c r="K308" s="104" t="str">
        <x:v>Review</x:v>
      </x:c>
      <x:c r="L308" s="104" t="str">
        <x:v>Negative discount</x:v>
      </x:c>
      <x:c r="M308" s="104" t="str">
        <x:v>None</x:v>
      </x:c>
      <x:c r="N308" s="104" t="str">
        <x:v>Invalid discount – negative</x:v>
      </x:c>
      <x:c r="O308" s="105" t="str">
        <x:v>Confirm or correct source discount</x:v>
      </x:c>
    </x:row>
    <x:row r="309">
      <x:c r="A309" s="103" t="n">
        <x:v>851</x:v>
      </x:c>
      <x:c r="B309" s="104" t="str">
        <x:v>ORD-2024-10850</x:v>
      </x:c>
      <x:c r="C309" s="120" t="n">
        <x:v>45357</x:v>
      </x:c>
      <x:c r="D309" s="120" t="n">
        <x:v>45363</x:v>
      </x:c>
      <x:c r="E309" s="104" t="str">
        <x:v>West</x:v>
      </x:c>
      <x:c r="F309" s="104" t="str">
        <x:v>Standard Class</x:v>
      </x:c>
      <x:c r="G309" s="121" t="n">
        <x:v>0.2</x:v>
      </x:c>
      <x:c r="H309" s="104" t="str">
        <x:v>Paid</x:v>
      </x:c>
      <x:c r="I309" s="104" t="str">
        <x:v>Completed</x:v>
      </x:c>
      <x:c r="J309" s="104" t="n">
        <x:v>6</x:v>
      </x:c>
      <x:c r="K309" s="104" t="str">
        <x:v>Review</x:v>
      </x:c>
      <x:c r="L309" s="104" t="str">
        <x:v>Profit calculation mismatch</x:v>
      </x:c>
      <x:c r="M309" s="104" t="str">
        <x:v>None</x:v>
      </x:c>
      <x:c r="N309" s="104" t="str">
        <x:v>Valid</x:v>
      </x:c>
      <x:c r="O309" s="105" t="str">
        <x:v>Reconcile sales/cost/profit fields</x:v>
      </x:c>
    </x:row>
    <x:row r="310">
      <x:c r="A310" s="103" t="n">
        <x:v>854</x:v>
      </x:c>
      <x:c r="B310" s="104" t="str">
        <x:v>ORD-2024-10853</x:v>
      </x:c>
      <x:c r="C310" s="120" t="n">
        <x:v>45383</x:v>
      </x:c>
      <x:c r="D310" s="120" t="n">
        <x:v>45390</x:v>
      </x:c>
      <x:c r="E310" s="104" t="str">
        <x:v>East</x:v>
      </x:c>
      <x:c r="F310" s="104" t="str">
        <x:v>Second Class</x:v>
      </x:c>
      <x:c r="G310" s="121" t="n">
        <x:v>0.15</x:v>
      </x:c>
      <x:c r="H310" s="104" t="str">
        <x:v>Pending</x:v>
      </x:c>
      <x:c r="I310" s="104" t="str">
        <x:v>Cancelled</x:v>
      </x:c>
      <x:c r="J310" s="104" t="n">
        <x:v>7</x:v>
      </x:c>
      <x:c r="K310" s="104" t="str">
        <x:v>Pass</x:v>
      </x:c>
      <x:c r="L310" s="104" t="str">
        <x:v>OK</x:v>
      </x:c>
      <x:c r="M310" s="104" t="str">
        <x:v>Cancelled order – excluded from completed sales</x:v>
      </x:c>
      <x:c r="N310" s="104" t="str">
        <x:v>Valid</x:v>
      </x:c>
      <x:c r="O310" s="105" t="str">
        <x:v>Exclude from completed sales</x:v>
      </x:c>
    </x:row>
    <x:row r="311">
      <x:c r="A311" s="103" t="n">
        <x:v>858</x:v>
      </x:c>
      <x:c r="B311" s="104" t="str">
        <x:v>ORD-2024-10857</x:v>
      </x:c>
      <x:c r="C311" s="120" t="n">
        <x:v>45455</x:v>
      </x:c>
      <x:c r="D311" s="120" t="n">
        <x:v>45462</x:v>
      </x:c>
      <x:c r="E311" s="104" t="str">
        <x:v>South</x:v>
      </x:c>
      <x:c r="F311" s="104" t="str">
        <x:v>Standard Class</x:v>
      </x:c>
      <x:c r="G311" s="121" t="n">
        <x:v>-0.16</x:v>
      </x:c>
      <x:c r="H311" s="104" t="str">
        <x:v>Failed</x:v>
      </x:c>
      <x:c r="I311" s="104" t="str">
        <x:v>Cancelled</x:v>
      </x:c>
      <x:c r="J311" s="104" t="n">
        <x:v>7</x:v>
      </x:c>
      <x:c r="K311" s="104" t="str">
        <x:v>Review</x:v>
      </x:c>
      <x:c r="L311" s="104" t="str">
        <x:v>Negative discount</x:v>
      </x:c>
      <x:c r="M311" s="104" t="str">
        <x:v>Cancelled order – excluded from completed sales; Failed payment – excluded from completed sales</x:v>
      </x:c>
      <x:c r="N311" s="104" t="str">
        <x:v>Invalid discount – negative</x:v>
      </x:c>
      <x:c r="O311" s="105" t="str">
        <x:v>Confirm or correct source discount; Exclude from completed sales</x:v>
      </x:c>
    </x:row>
    <x:row r="312">
      <x:c r="A312" s="103" t="n">
        <x:v>860</x:v>
      </x:c>
      <x:c r="B312" s="104" t="str">
        <x:v>ORD-2024-10859</x:v>
      </x:c>
      <x:c r="C312" s="120" t="n">
        <x:v>45414</x:v>
      </x:c>
      <x:c r="D312" s="120" t="n">
        <x:v>45421</x:v>
      </x:c>
      <x:c r="E312" s="104" t="str">
        <x:v>East</x:v>
      </x:c>
      <x:c r="F312" s="104" t="str">
        <x:v>Second Class</x:v>
      </x:c>
      <x:c r="G312" s="121" t="n">
        <x:v>0</x:v>
      </x:c>
      <x:c r="H312" s="104" t="str">
        <x:v>Paid</x:v>
      </x:c>
      <x:c r="I312" s="104" t="str">
        <x:v>Completed</x:v>
      </x:c>
      <x:c r="J312" s="104" t="n">
        <x:v>7</x:v>
      </x:c>
      <x:c r="K312" s="104" t="str">
        <x:v>Review</x:v>
      </x:c>
      <x:c r="L312" s="104" t="str">
        <x:v>Profit calculation mismatch</x:v>
      </x:c>
      <x:c r="M312" s="104" t="str">
        <x:v>None</x:v>
      </x:c>
      <x:c r="N312" s="104" t="str">
        <x:v>Valid</x:v>
      </x:c>
      <x:c r="O312" s="105" t="str">
        <x:v>Reconcile sales/cost/profit fields</x:v>
      </x:c>
    </x:row>
    <x:row r="313">
      <x:c r="A313" s="103" t="n">
        <x:v>864</x:v>
      </x:c>
      <x:c r="B313" s="104" t="str">
        <x:v>ORD-2025-10863</x:v>
      </x:c>
      <x:c r="C313" s="120" t="n">
        <x:v>45742</x:v>
      </x:c>
      <x:c r="D313" s="120" t="n">
        <x:v>45747</x:v>
      </x:c>
      <x:c r="E313" s="104" t="str">
        <x:v>East</x:v>
      </x:c>
      <x:c r="F313" s="104" t="str">
        <x:v>First Class</x:v>
      </x:c>
      <x:c r="G313" s="121" t="n">
        <x:v>0</x:v>
      </x:c>
      <x:c r="H313" s="104" t="str">
        <x:v>Paid</x:v>
      </x:c>
      <x:c r="I313" s="104" t="str">
        <x:v>Cancelled</x:v>
      </x:c>
      <x:c r="J313" s="104" t="n">
        <x:v>5</x:v>
      </x:c>
      <x:c r="K313" s="104" t="str">
        <x:v>Pass</x:v>
      </x:c>
      <x:c r="L313" s="104" t="str">
        <x:v>OK</x:v>
      </x:c>
      <x:c r="M313" s="104" t="str">
        <x:v>Cancelled order – excluded from completed sales</x:v>
      </x:c>
      <x:c r="N313" s="104" t="str">
        <x:v>Valid</x:v>
      </x:c>
      <x:c r="O313" s="105" t="str">
        <x:v>Exclude from completed sales</x:v>
      </x:c>
    </x:row>
    <x:row r="314">
      <x:c r="A314" s="103" t="n">
        <x:v>868</x:v>
      </x:c>
      <x:c r="B314" s="104" t="str">
        <x:v>ORD-2025-10867</x:v>
      </x:c>
      <x:c r="C314" s="120" t="n">
        <x:v>45714</x:v>
      </x:c>
      <x:c r="D314" s="120" t="n">
        <x:v>45722</x:v>
      </x:c>
      <x:c r="E314" s="104" t="str">
        <x:v>East</x:v>
      </x:c>
      <x:c r="F314" s="104" t="str">
        <x:v>First Class</x:v>
      </x:c>
      <x:c r="G314" s="121" t="n">
        <x:v>0.2</x:v>
      </x:c>
      <x:c r="H314" s="104" t="str">
        <x:v>Pending</x:v>
      </x:c>
      <x:c r="I314" s="104" t="str">
        <x:v>Cancelled</x:v>
      </x:c>
      <x:c r="J314" s="104" t="n">
        <x:v>8</x:v>
      </x:c>
      <x:c r="K314" s="104" t="str">
        <x:v>Pass</x:v>
      </x:c>
      <x:c r="L314" s="104" t="str">
        <x:v>OK</x:v>
      </x:c>
      <x:c r="M314" s="104" t="str">
        <x:v>Cancelled order – excluded from completed sales</x:v>
      </x:c>
      <x:c r="N314" s="104" t="str">
        <x:v>Valid</x:v>
      </x:c>
      <x:c r="O314" s="105" t="str">
        <x:v>Exclude from completed sales</x:v>
      </x:c>
    </x:row>
    <x:row r="315">
      <x:c r="A315" s="103" t="n">
        <x:v>869</x:v>
      </x:c>
      <x:c r="B315" s="104" t="str">
        <x:v>ORD-2024-10868</x:v>
      </x:c>
      <x:c r="C315" s="120" t="n">
        <x:v>45617</x:v>
      </x:c>
      <x:c r="D315" s="120" t="n">
        <x:v>45618</x:v>
      </x:c>
      <x:c r="E315" s="104" t="str">
        <x:v>South</x:v>
      </x:c>
      <x:c r="F315" s="104" t="str">
        <x:v>Same Day</x:v>
      </x:c>
      <x:c r="G315" s="121" t="n">
        <x:v>0.25</x:v>
      </x:c>
      <x:c r="H315" s="104" t="str">
        <x:v>Failed</x:v>
      </x:c>
      <x:c r="I315" s="104" t="str">
        <x:v>Cancelled</x:v>
      </x:c>
      <x:c r="J315" s="104" t="n">
        <x:v>1</x:v>
      </x:c>
      <x:c r="K315" s="104" t="str">
        <x:v>Pass</x:v>
      </x:c>
      <x:c r="L315" s="104" t="str">
        <x:v>OK</x:v>
      </x:c>
      <x:c r="M315" s="104" t="str">
        <x:v>Cancelled order – excluded from completed sales; Failed payment – excluded from completed sales</x:v>
      </x:c>
      <x:c r="N315" s="104" t="str">
        <x:v>Valid</x:v>
      </x:c>
      <x:c r="O315" s="105" t="str">
        <x:v>Exclude from completed sales</x:v>
      </x:c>
    </x:row>
    <x:row r="316">
      <x:c r="A316" s="103" t="n">
        <x:v>871</x:v>
      </x:c>
      <x:c r="B316" s="104" t="str">
        <x:v>ORD-2025-10870</x:v>
      </x:c>
      <x:c r="C316" s="120" t="n">
        <x:v>45722</x:v>
      </x:c>
      <x:c r="D316" s="120" t="n">
        <x:v>45723</x:v>
      </x:c>
      <x:c r="E316" s="104" t="str">
        <x:v>Unknown</x:v>
      </x:c>
      <x:c r="F316" s="104" t="str">
        <x:v>Same Day</x:v>
      </x:c>
      <x:c r="G316" s="121" t="n">
        <x:v>0.1</x:v>
      </x:c>
      <x:c r="H316" s="104" t="str">
        <x:v>Paid</x:v>
      </x:c>
      <x:c r="I316" s="104" t="str">
        <x:v>Completed</x:v>
      </x:c>
      <x:c r="J316" s="104" t="n">
        <x:v>1</x:v>
      </x:c>
      <x:c r="K316" s="104" t="str">
        <x:v>Cleaned</x:v>
      </x:c>
      <x:c r="L316" s="104" t="str">
        <x:v>OK</x:v>
      </x:c>
      <x:c r="M316" s="104" t="str">
        <x:v>Missing region filled as Unknown</x:v>
      </x:c>
      <x:c r="N316" s="104" t="str">
        <x:v>Valid</x:v>
      </x:c>
      <x:c r="O316" s="105" t="str">
        <x:v>No manual action; adjustment logged</x:v>
      </x:c>
    </x:row>
    <x:row r="317">
      <x:c r="A317" s="103" t="n">
        <x:v>872</x:v>
      </x:c>
      <x:c r="B317" s="104" t="str">
        <x:v>ORD-2025-10871</x:v>
      </x:c>
      <x:c r="C317" s="120" t="n">
        <x:v>45814</x:v>
      </x:c>
      <x:c r="D317" s="120" t="n">
        <x:v>45815</x:v>
      </x:c>
      <x:c r="E317" s="104" t="str">
        <x:v>West</x:v>
      </x:c>
      <x:c r="F317" s="104" t="str">
        <x:v>Standard Class</x:v>
      </x:c>
      <x:c r="G317" s="121" t="n">
        <x:v>0.15</x:v>
      </x:c>
      <x:c r="H317" s="104" t="str">
        <x:v>Paid</x:v>
      </x:c>
      <x:c r="I317" s="104" t="str">
        <x:v>Cancelled</x:v>
      </x:c>
      <x:c r="J317" s="104" t="n">
        <x:v>1</x:v>
      </x:c>
      <x:c r="K317" s="104" t="str">
        <x:v>Pass</x:v>
      </x:c>
      <x:c r="L317" s="104" t="str">
        <x:v>OK</x:v>
      </x:c>
      <x:c r="M317" s="104" t="str">
        <x:v>Cancelled order – excluded from completed sales</x:v>
      </x:c>
      <x:c r="N317" s="104" t="str">
        <x:v>Valid</x:v>
      </x:c>
      <x:c r="O317" s="105" t="str">
        <x:v>Exclude from completed sales</x:v>
      </x:c>
    </x:row>
    <x:row r="318">
      <x:c r="A318" s="103" t="n">
        <x:v>873</x:v>
      </x:c>
      <x:c r="B318" s="104" t="str">
        <x:v>ORD-2024-10872</x:v>
      </x:c>
      <x:c r="C318" s="120" t="n">
        <x:v>45342</x:v>
      </x:c>
      <x:c r="D318" s="120" t="n">
        <x:v>45344</x:v>
      </x:c>
      <x:c r="E318" s="104" t="str">
        <x:v>South</x:v>
      </x:c>
      <x:c r="F318" s="104" t="str">
        <x:v>First Class</x:v>
      </x:c>
      <x:c r="G318" s="121" t="n">
        <x:v>0</x:v>
      </x:c>
      <x:c r="H318" s="104" t="str">
        <x:v>Refunded</x:v>
      </x:c>
      <x:c r="I318" s="104" t="str">
        <x:v>Cancelled</x:v>
      </x:c>
      <x:c r="J318" s="104" t="n">
        <x:v>2</x:v>
      </x:c>
      <x:c r="K318" s="104" t="str">
        <x:v>Pass</x:v>
      </x:c>
      <x:c r="L318" s="104" t="str">
        <x:v>OK</x:v>
      </x:c>
      <x:c r="M318" s="104" t="str">
        <x:v>Cancelled order – excluded from completed sales; Refunded payment – separately summarized</x:v>
      </x:c>
      <x:c r="N318" s="104" t="str">
        <x:v>Valid</x:v>
      </x:c>
      <x:c r="O318" s="105" t="str">
        <x:v>Included in refund summary</x:v>
      </x:c>
    </x:row>
    <x:row r="319">
      <x:c r="A319" s="103" t="n">
        <x:v>882</x:v>
      </x:c>
      <x:c r="B319" s="104" t="str">
        <x:v>ORD-2024-10881</x:v>
      </x:c>
      <x:c r="C319" s="120" t="n">
        <x:v>45359</x:v>
      </x:c>
      <x:c r="D319" s="120" t="n">
        <x:v>45366</x:v>
      </x:c>
      <x:c r="E319" s="104" t="str">
        <x:v>Unknown</x:v>
      </x:c>
      <x:c r="F319" s="104" t="str">
        <x:v>First Class</x:v>
      </x:c>
      <x:c r="G319" s="121" t="n">
        <x:v>0</x:v>
      </x:c>
      <x:c r="H319" s="104" t="str">
        <x:v>Paid</x:v>
      </x:c>
      <x:c r="I319" s="104" t="str">
        <x:v>Completed</x:v>
      </x:c>
      <x:c r="J319" s="104" t="n">
        <x:v>7</x:v>
      </x:c>
      <x:c r="K319" s="104" t="str">
        <x:v>Cleaned</x:v>
      </x:c>
      <x:c r="L319" s="104" t="str">
        <x:v>OK</x:v>
      </x:c>
      <x:c r="M319" s="104" t="str">
        <x:v>Missing region filled as Unknown</x:v>
      </x:c>
      <x:c r="N319" s="104" t="str">
        <x:v>Valid</x:v>
      </x:c>
      <x:c r="O319" s="105" t="str">
        <x:v>No manual action; adjustment logged</x:v>
      </x:c>
    </x:row>
    <x:row r="320">
      <x:c r="A320" s="103" t="n">
        <x:v>888</x:v>
      </x:c>
      <x:c r="B320" s="104" t="str">
        <x:v>ORD-2025-10887</x:v>
      </x:c>
      <x:c r="C320" s="120" t="n">
        <x:v>45773</x:v>
      </x:c>
      <x:c r="D320" s="120" t="n">
        <x:v>45780</x:v>
      </x:c>
      <x:c r="E320" s="104" t="str">
        <x:v>South</x:v>
      </x:c>
      <x:c r="F320" s="104" t="str">
        <x:v>First Class</x:v>
      </x:c>
      <x:c r="G320" s="121" t="n">
        <x:v>0.15</x:v>
      </x:c>
      <x:c r="H320" s="104" t="str">
        <x:v>Paid</x:v>
      </x:c>
      <x:c r="I320" s="104" t="str">
        <x:v>Cancelled</x:v>
      </x:c>
      <x:c r="J320" s="104" t="n">
        <x:v>7</x:v>
      </x:c>
      <x:c r="K320" s="104" t="str">
        <x:v>Pass</x:v>
      </x:c>
      <x:c r="L320" s="104" t="str">
        <x:v>OK</x:v>
      </x:c>
      <x:c r="M320" s="104" t="str">
        <x:v>Cancelled order – excluded from completed sales</x:v>
      </x:c>
      <x:c r="N320" s="104" t="str">
        <x:v>Valid</x:v>
      </x:c>
      <x:c r="O320" s="105" t="str">
        <x:v>Exclude from completed sales</x:v>
      </x:c>
    </x:row>
    <x:row r="321">
      <x:c r="A321" s="103" t="n">
        <x:v>890</x:v>
      </x:c>
      <x:c r="B321" s="104" t="str">
        <x:v>ORD-2025-10889</x:v>
      </x:c>
      <x:c r="C321" s="120" t="n">
        <x:v>45875</x:v>
      </x:c>
      <x:c r="D321" s="120" t="n">
        <x:v>45876</x:v>
      </x:c>
      <x:c r="E321" s="104" t="str">
        <x:v>West</x:v>
      </x:c>
      <x:c r="F321" s="104" t="str">
        <x:v>Standard Class</x:v>
      </x:c>
      <x:c r="G321" s="121" t="n">
        <x:v>0.1</x:v>
      </x:c>
      <x:c r="H321" s="104" t="str">
        <x:v>Refunded</x:v>
      </x:c>
      <x:c r="I321" s="104" t="str">
        <x:v>Cancelled</x:v>
      </x:c>
      <x:c r="J321" s="104" t="n">
        <x:v>1</x:v>
      </x:c>
      <x:c r="K321" s="104" t="str">
        <x:v>Pass</x:v>
      </x:c>
      <x:c r="L321" s="104" t="str">
        <x:v>OK</x:v>
      </x:c>
      <x:c r="M321" s="104" t="str">
        <x:v>Cancelled order – excluded from completed sales; Refunded payment – separately summarized</x:v>
      </x:c>
      <x:c r="N321" s="104" t="str">
        <x:v>Valid</x:v>
      </x:c>
      <x:c r="O321" s="105" t="str">
        <x:v>Included in refund summary</x:v>
      </x:c>
    </x:row>
    <x:row r="322">
      <x:c r="A322" s="103" t="n">
        <x:v>893</x:v>
      </x:c>
      <x:c r="B322" s="104" t="str">
        <x:v>ORD-2024-10892</x:v>
      </x:c>
      <x:c r="C322" s="120" t="n">
        <x:v>45573</x:v>
      </x:c>
      <x:c r="D322" s="120" t="n">
        <x:v>45574</x:v>
      </x:c>
      <x:c r="E322" s="104" t="str">
        <x:v>South</x:v>
      </x:c>
      <x:c r="F322" s="104" t="str">
        <x:v>Same Day</x:v>
      </x:c>
      <x:c r="G322" s="121" t="n">
        <x:v>0.1</x:v>
      </x:c>
      <x:c r="H322" s="104" t="str">
        <x:v>Failed</x:v>
      </x:c>
      <x:c r="I322" s="104" t="str">
        <x:v>Cancelled</x:v>
      </x:c>
      <x:c r="J322" s="104" t="n">
        <x:v>1</x:v>
      </x:c>
      <x:c r="K322" s="104" t="str">
        <x:v>Pass</x:v>
      </x:c>
      <x:c r="L322" s="104" t="str">
        <x:v>OK</x:v>
      </x:c>
      <x:c r="M322" s="104" t="str">
        <x:v>Cancelled order – excluded from completed sales; Failed payment – excluded from completed sales</x:v>
      </x:c>
      <x:c r="N322" s="104" t="str">
        <x:v>Valid</x:v>
      </x:c>
      <x:c r="O322" s="105" t="str">
        <x:v>Exclude from completed sales</x:v>
      </x:c>
    </x:row>
    <x:row r="323">
      <x:c r="A323" s="103" t="n">
        <x:v>898</x:v>
      </x:c>
      <x:c r="B323" s="104" t="str">
        <x:v>ORD-2024-10897</x:v>
      </x:c>
      <x:c r="C323" s="120" t="n">
        <x:v>45650</x:v>
      </x:c>
      <x:c r="D323" s="120" t="n">
        <x:v>45651</x:v>
      </x:c>
      <x:c r="E323" s="104" t="str">
        <x:v>South</x:v>
      </x:c>
      <x:c r="F323" s="104" t="str">
        <x:v>Second Class</x:v>
      </x:c>
      <x:c r="G323" s="121" t="n">
        <x:v>0.05</x:v>
      </x:c>
      <x:c r="H323" s="104" t="str">
        <x:v>Failed</x:v>
      </x:c>
      <x:c r="I323" s="104" t="str">
        <x:v>Returned</x:v>
      </x:c>
      <x:c r="J323" s="104" t="n">
        <x:v>1</x:v>
      </x:c>
      <x:c r="K323" s="104" t="str">
        <x:v>Pass</x:v>
      </x:c>
      <x:c r="L323" s="104" t="str">
        <x:v>OK</x:v>
      </x:c>
      <x:c r="M323" s="104" t="str">
        <x:v>Failed payment – excluded from completed sales</x:v>
      </x:c>
      <x:c r="N323" s="104" t="str">
        <x:v>Valid</x:v>
      </x:c>
      <x:c r="O323" s="105" t="str">
        <x:v>Exclude from completed sales</x:v>
      </x:c>
    </x:row>
    <x:row r="324">
      <x:c r="A324" s="103" t="n">
        <x:v>901</x:v>
      </x:c>
      <x:c r="B324" s="104" t="str">
        <x:v>ORD-2025-10900</x:v>
      </x:c>
      <x:c r="C324" s="120" t="n">
        <x:v>45804</x:v>
      </x:c>
      <x:c r="D324" s="120" t="n">
        <x:v>45811</x:v>
      </x:c>
      <x:c r="E324" s="104" t="str">
        <x:v>North</x:v>
      </x:c>
      <x:c r="F324" s="104" t="str">
        <x:v>First Class</x:v>
      </x:c>
      <x:c r="G324" s="121" t="n">
        <x:v>0.25</x:v>
      </x:c>
      <x:c r="H324" s="104" t="str">
        <x:v>Failed</x:v>
      </x:c>
      <x:c r="I324" s="104" t="str">
        <x:v>Cancelled</x:v>
      </x:c>
      <x:c r="J324" s="104" t="n">
        <x:v>7</x:v>
      </x:c>
      <x:c r="K324" s="104" t="str">
        <x:v>Pass</x:v>
      </x:c>
      <x:c r="L324" s="104" t="str">
        <x:v>OK</x:v>
      </x:c>
      <x:c r="M324" s="104" t="str">
        <x:v>Cancelled order – excluded from completed sales; Failed payment – excluded from completed sales</x:v>
      </x:c>
      <x:c r="N324" s="104" t="str">
        <x:v>Valid</x:v>
      </x:c>
      <x:c r="O324" s="105" t="str">
        <x:v>Exclude from completed sales</x:v>
      </x:c>
    </x:row>
    <x:row r="325">
      <x:c r="A325" s="103" t="n">
        <x:v>922</x:v>
      </x:c>
      <x:c r="B325" s="104" t="str">
        <x:v>ORD-2024-10332</x:v>
      </x:c>
      <x:c r="C325" s="120" t="n">
        <x:v>45630</x:v>
      </x:c>
      <x:c r="D325" s="120" t="n">
        <x:v>45632</x:v>
      </x:c>
      <x:c r="E325" s="104" t="str">
        <x:v>East</x:v>
      </x:c>
      <x:c r="F325" s="104" t="str">
        <x:v>Second Class</x:v>
      </x:c>
      <x:c r="G325" s="121" t="n">
        <x:v>0</x:v>
      </x:c>
      <x:c r="H325" s="104" t="str">
        <x:v>Paid</x:v>
      </x:c>
      <x:c r="I325" s="104" t="str">
        <x:v>Completed</x:v>
      </x:c>
      <x:c r="J325" s="104" t="n">
        <x:v>2</x:v>
      </x:c>
      <x:c r="K325" s="104" t="str">
        <x:v>Review</x:v>
      </x:c>
      <x:c r="L325" s="104" t="str">
        <x:v>Sales calculation mismatch; Profit calculation mismatch; Conflicting duplicate order ID</x:v>
      </x:c>
      <x:c r="M325" s="104" t="str">
        <x:v>None</x:v>
      </x:c>
      <x:c r="N325" s="104" t="str">
        <x:v>Valid</x:v>
      </x:c>
      <x:c r="O325" s="105" t="str">
        <x:v>Reconcile sales/cost/profit fields; Resolve duplicate order-ID conflict</x:v>
      </x:c>
    </x:row>
    <x:row r="326">
      <x:c r="A326" s="103" t="n">
        <x:v>923</x:v>
      </x:c>
      <x:c r="B326" s="104" t="str">
        <x:v>ORD-2025-10091</x:v>
      </x:c>
      <x:c r="C326" s="120" t="n">
        <x:v>45893</x:v>
      </x:c>
      <x:c r="D326" s="120" t="n">
        <x:v>45898</x:v>
      </x:c>
      <x:c r="E326" s="104" t="str">
        <x:v>East</x:v>
      </x:c>
      <x:c r="F326" s="104" t="str">
        <x:v>First Class</x:v>
      </x:c>
      <x:c r="G326" s="121" t="n">
        <x:v>0.15</x:v>
      </x:c>
      <x:c r="H326" s="104" t="str">
        <x:v>Paid</x:v>
      </x:c>
      <x:c r="I326" s="104" t="str">
        <x:v>Returned</x:v>
      </x:c>
      <x:c r="J326" s="104" t="n">
        <x:v>5</x:v>
      </x:c>
      <x:c r="K326" s="104" t="str">
        <x:v>Review</x:v>
      </x:c>
      <x:c r="L326" s="104" t="str">
        <x:v>Sales calculation mismatch; Profit calculation mismatch; Conflicting duplicate order ID</x:v>
      </x:c>
      <x:c r="M326" s="104" t="str">
        <x:v>None</x:v>
      </x:c>
      <x:c r="N326" s="104" t="str">
        <x:v>Valid</x:v>
      </x:c>
      <x:c r="O326" s="105" t="str">
        <x:v>Reconcile sales/cost/profit fields; Resolve duplicate order-ID conflict</x:v>
      </x:c>
    </x:row>
    <x:row r="327">
      <x:c r="A327" s="103" t="n">
        <x:v>924</x:v>
      </x:c>
      <x:c r="B327" s="104" t="str">
        <x:v>ORD-2025-10374</x:v>
      </x:c>
      <x:c r="C327" s="120" t="n">
        <x:v>45760</x:v>
      </x:c>
      <x:c r="D327" s="120" t="n">
        <x:v>45760</x:v>
      </x:c>
      <x:c r="E327" s="104" t="str">
        <x:v>North</x:v>
      </x:c>
      <x:c r="F327" s="104" t="str">
        <x:v>Second Class</x:v>
      </x:c>
      <x:c r="G327" s="121" t="n">
        <x:v>0</x:v>
      </x:c>
      <x:c r="H327" s="104" t="str">
        <x:v>Paid</x:v>
      </x:c>
      <x:c r="I327" s="104" t="str">
        <x:v>Returned</x:v>
      </x:c>
      <x:c r="J327" s="104" t="n">
        <x:v>0</x:v>
      </x:c>
      <x:c r="K327" s="104" t="str">
        <x:v>Review</x:v>
      </x:c>
      <x:c r="L327" s="104" t="str">
        <x:v>Sales calculation mismatch; Profit calculation mismatch; Conflicting duplicate order ID</x:v>
      </x:c>
      <x:c r="M327" s="104" t="str">
        <x:v>None</x:v>
      </x:c>
      <x:c r="N327" s="104" t="str">
        <x:v>Valid</x:v>
      </x:c>
      <x:c r="O327" s="105" t="str">
        <x:v>Reconcile sales/cost/profit fields; Resolve duplicate order-ID conflict</x:v>
      </x:c>
    </x:row>
    <x:row r="328">
      <x:c r="A328" s="103" t="n">
        <x:v>925</x:v>
      </x:c>
      <x:c r="B328" s="104" t="str">
        <x:v>ORD-2025-10225</x:v>
      </x:c>
      <x:c r="C328" s="120" t="n">
        <x:v>45932</x:v>
      </x:c>
      <x:c r="D328" s="120" t="n">
        <x:v>45938</x:v>
      </x:c>
      <x:c r="E328" s="104" t="str">
        <x:v>North</x:v>
      </x:c>
      <x:c r="F328" s="104" t="str">
        <x:v>Standard Class</x:v>
      </x:c>
      <x:c r="G328" s="121" t="n">
        <x:v>0.25</x:v>
      </x:c>
      <x:c r="H328" s="104" t="str">
        <x:v>Paid</x:v>
      </x:c>
      <x:c r="I328" s="104" t="str">
        <x:v>Returned</x:v>
      </x:c>
      <x:c r="J328" s="104" t="n">
        <x:v>6</x:v>
      </x:c>
      <x:c r="K328" s="104" t="str">
        <x:v>Review</x:v>
      </x:c>
      <x:c r="L328" s="104" t="str">
        <x:v>Sales calculation mismatch; Profit calculation mismatch; Conflicting duplicate order ID</x:v>
      </x:c>
      <x:c r="M328" s="104" t="str">
        <x:v>None</x:v>
      </x:c>
      <x:c r="N328" s="104" t="str">
        <x:v>Valid</x:v>
      </x:c>
      <x:c r="O328" s="105" t="str">
        <x:v>Reconcile sales/cost/profit fields; Resolve duplicate order-ID conflict</x:v>
      </x:c>
    </x:row>
    <x:row r="329">
      <x:c r="A329" s="103" t="n">
        <x:v>926</x:v>
      </x:c>
      <x:c r="B329" s="104" t="str">
        <x:v>ORD-2025-10315</x:v>
      </x:c>
      <x:c r="C329" s="120" t="n">
        <x:v>45795</x:v>
      </x:c>
      <x:c r="D329" s="120" t="n">
        <x:v>45797</x:v>
      </x:c>
      <x:c r="E329" s="104" t="str">
        <x:v>West</x:v>
      </x:c>
      <x:c r="F329" s="104" t="str">
        <x:v>Standard Class</x:v>
      </x:c>
      <x:c r="G329" s="121" t="n">
        <x:v>0.15</x:v>
      </x:c>
      <x:c r="H329" s="104" t="str">
        <x:v>Failed</x:v>
      </x:c>
      <x:c r="I329" s="104" t="str">
        <x:v>Completed</x:v>
      </x:c>
      <x:c r="J329" s="104" t="n">
        <x:v>2</x:v>
      </x:c>
      <x:c r="K329" s="104" t="str">
        <x:v>Review</x:v>
      </x:c>
      <x:c r="L329" s="104" t="str">
        <x:v>Sales calculation mismatch; Profit calculation mismatch; Completed order not paid; Conflicting duplicate order ID</x:v>
      </x:c>
      <x:c r="M329" s="104" t="str">
        <x:v>Failed payment – excluded from completed sales</x:v>
      </x:c>
      <x:c r="N329" s="104" t="str">
        <x:v>Valid</x:v>
      </x:c>
      <x:c r="O329" s="105" t="str">
        <x:v>Reconcile sales/cost/profit fields; Resolve duplicate order-ID conflict; Resolve order/payment status; Exclude from completed sales</x:v>
      </x:c>
    </x:row>
    <x:row r="330">
      <x:c r="A330" s="103" t="n">
        <x:v>927</x:v>
      </x:c>
      <x:c r="B330" s="104" t="str">
        <x:v>ORD-2025-10171</x:v>
      </x:c>
      <x:c r="C330" s="120" t="n">
        <x:v>45907</x:v>
      </x:c>
      <x:c r="D330" s="120" t="n">
        <x:v>45915</x:v>
      </x:c>
      <x:c r="E330" s="104" t="str">
        <x:v>East</x:v>
      </x:c>
      <x:c r="F330" s="104" t="str">
        <x:v>Standard Class</x:v>
      </x:c>
      <x:c r="G330" s="121" t="n">
        <x:v>0</x:v>
      </x:c>
      <x:c r="H330" s="104" t="str">
        <x:v>Paid</x:v>
      </x:c>
      <x:c r="I330" s="104" t="str">
        <x:v>Returned</x:v>
      </x:c>
      <x:c r="J330" s="104" t="n">
        <x:v>8</x:v>
      </x:c>
      <x:c r="K330" s="104" t="str">
        <x:v>Review</x:v>
      </x:c>
      <x:c r="L330" s="104" t="str">
        <x:v>Sales calculation mismatch; Profit calculation mismatch; Conflicting duplicate order ID</x:v>
      </x:c>
      <x:c r="M330" s="104" t="str">
        <x:v>None</x:v>
      </x:c>
      <x:c r="N330" s="104" t="str">
        <x:v>Valid</x:v>
      </x:c>
      <x:c r="O330" s="105" t="str">
        <x:v>Reconcile sales/cost/profit fields; Resolve duplicate order-ID conflict</x:v>
      </x:c>
    </x:row>
    <x:row r="331">
      <x:c r="A331" s="103" t="n">
        <x:v>928</x:v>
      </x:c>
      <x:c r="B331" s="104" t="str">
        <x:v>ORD-2024-10424</x:v>
      </x:c>
      <x:c r="C331" s="120" t="n">
        <x:v>45342</x:v>
      </x:c>
      <x:c r="D331" s="120" t="n">
        <x:v>45349</x:v>
      </x:c>
      <x:c r="E331" s="104" t="str">
        <x:v>South</x:v>
      </x:c>
      <x:c r="F331" s="104" t="str">
        <x:v>First Class</x:v>
      </x:c>
      <x:c r="G331" s="121" t="n">
        <x:v>0.2</x:v>
      </x:c>
      <x:c r="H331" s="104" t="str">
        <x:v>Paid</x:v>
      </x:c>
      <x:c r="I331" s="104" t="str">
        <x:v>Returned</x:v>
      </x:c>
      <x:c r="J331" s="104" t="n">
        <x:v>7</x:v>
      </x:c>
      <x:c r="K331" s="104" t="str">
        <x:v>Review</x:v>
      </x:c>
      <x:c r="L331" s="104" t="str">
        <x:v>Sales calculation mismatch; Profit calculation mismatch; Conflicting duplicate order ID</x:v>
      </x:c>
      <x:c r="M331" s="104" t="str">
        <x:v>None</x:v>
      </x:c>
      <x:c r="N331" s="104" t="str">
        <x:v>Valid</x:v>
      </x:c>
      <x:c r="O331" s="105" t="str">
        <x:v>Reconcile sales/cost/profit fields; Resolve duplicate order-ID conflict</x:v>
      </x:c>
    </x:row>
    <x:row r="332">
      <x:c r="A332" s="103" t="n">
        <x:v>929</x:v>
      </x:c>
      <x:c r="B332" s="104" t="str">
        <x:v>ORD-2025-10572</x:v>
      </x:c>
      <x:c r="C332" s="120" t="n">
        <x:v>45698</x:v>
      </x:c>
      <x:c r="D332" s="120" t="n">
        <x:v>45702</x:v>
      </x:c>
      <x:c r="E332" s="104" t="str">
        <x:v>North</x:v>
      </x:c>
      <x:c r="F332" s="104" t="str">
        <x:v>Unknown</x:v>
      </x:c>
      <x:c r="G332" s="121" t="n">
        <x:v>0</x:v>
      </x:c>
      <x:c r="H332" s="104" t="str">
        <x:v>Failed</x:v>
      </x:c>
      <x:c r="I332" s="104" t="str">
        <x:v>Completed</x:v>
      </x:c>
      <x:c r="J332" s="104" t="n">
        <x:v>4</x:v>
      </x:c>
      <x:c r="K332" s="104" t="str">
        <x:v>Review</x:v>
      </x:c>
      <x:c r="L332" s="104" t="str">
        <x:v>Sales calculation mismatch; Profit calculation mismatch; Completed order not paid; Conflicting duplicate order ID</x:v>
      </x:c>
      <x:c r="M332" s="104" t="str">
        <x:v>Missing ship_mode filled as Unknown; Failed payment – excluded from completed sales</x:v>
      </x:c>
      <x:c r="N332" s="104" t="str">
        <x:v>Valid</x:v>
      </x:c>
      <x:c r="O332" s="105" t="str">
        <x:v>Reconcile sales/cost/profit fields; Resolve duplicate order-ID conflict; Resolve order/payment status; Exclude from completed sales</x:v>
      </x:c>
    </x:row>
    <x:row r="333">
      <x:c r="A333" s="103" t="n">
        <x:v>930</x:v>
      </x:c>
      <x:c r="B333" s="104" t="str">
        <x:v>ORD-2024-10143</x:v>
      </x:c>
      <x:c r="C333" s="120" t="n">
        <x:v>45381</x:v>
      </x:c>
      <x:c r="D333" s="120" t="n">
        <x:v>45377</x:v>
      </x:c>
      <x:c r="E333" s="104" t="str">
        <x:v>North</x:v>
      </x:c>
      <x:c r="F333" s="104" t="str">
        <x:v>Second Class</x:v>
      </x:c>
      <x:c r="G333" s="121" t="n">
        <x:v>0.15</x:v>
      </x:c>
      <x:c r="H333" s="104" t="str">
        <x:v>Paid</x:v>
      </x:c>
      <x:c r="I333" s="104" t="str">
        <x:v>Returned</x:v>
      </x:c>
      <x:c r="J333" s="104" t="n">
        <x:v>-4</x:v>
      </x:c>
      <x:c r="K333" s="104" t="str">
        <x:v>Review</x:v>
      </x:c>
      <x:c r="L333" s="104" t="str">
        <x:v>Sales calculation mismatch; Profit calculation mismatch; Ship date earlier than order date; Conflicting duplicate order ID</x:v>
      </x:c>
      <x:c r="M333" s="104" t="str">
        <x:v>None</x:v>
      </x:c>
      <x:c r="N333" s="104" t="str">
        <x:v>Valid</x:v>
      </x:c>
      <x:c r="O333" s="105" t="str">
        <x:v>Validate order and ship dates; Reconcile sales/cost/profit fields; Resolve duplicate order-ID conflict</x:v>
      </x:c>
    </x:row>
    <x:row r="334">
      <x:c r="A334" s="103" t="n">
        <x:v>931</x:v>
      </x:c>
      <x:c r="B334" s="104" t="str">
        <x:v>ORD-2024-10273</x:v>
      </x:c>
      <x:c r="C334" s="120" t="n">
        <x:v>45522</x:v>
      </x:c>
      <x:c r="D334" s="120" t="n">
        <x:v>45528</x:v>
      </x:c>
      <x:c r="E334" s="104" t="str">
        <x:v>South</x:v>
      </x:c>
      <x:c r="F334" s="104" t="str">
        <x:v>First Class</x:v>
      </x:c>
      <x:c r="G334" s="121" t="n">
        <x:v>0.1</x:v>
      </x:c>
      <x:c r="H334" s="104" t="str">
        <x:v>Paid</x:v>
      </x:c>
      <x:c r="I334" s="104" t="str">
        <x:v>Returned</x:v>
      </x:c>
      <x:c r="J334" s="104" t="n">
        <x:v>6</x:v>
      </x:c>
      <x:c r="K334" s="104" t="str">
        <x:v>Review</x:v>
      </x:c>
      <x:c r="L334" s="104" t="str">
        <x:v>Sales calculation mismatch; Profit calculation mismatch; Conflicting duplicate order ID</x:v>
      </x:c>
      <x:c r="M334" s="104" t="str">
        <x:v>None</x:v>
      </x:c>
      <x:c r="N334" s="104" t="str">
        <x:v>Valid</x:v>
      </x:c>
      <x:c r="O334" s="105" t="str">
        <x:v>Reconcile sales/cost/profit fields; Resolve duplicate order-ID conflict</x:v>
      </x:c>
    </x:row>
    <x:row r="335">
      <x:c r="A335" s="103" t="n">
        <x:v>932</x:v>
      </x:c>
      <x:c r="B335" s="104" t="str">
        <x:v>ORD-2024-10124</x:v>
      </x:c>
      <x:c r="C335" s="120" t="n">
        <x:v>45436</x:v>
      </x:c>
      <x:c r="D335" s="120" t="n">
        <x:v>45437</x:v>
      </x:c>
      <x:c r="E335" s="104" t="str">
        <x:v>North</x:v>
      </x:c>
      <x:c r="F335" s="104" t="str">
        <x:v>Same Day</x:v>
      </x:c>
      <x:c r="G335" s="121" t="n">
        <x:v>0</x:v>
      </x:c>
      <x:c r="H335" s="104" t="str">
        <x:v>Refunded</x:v>
      </x:c>
      <x:c r="I335" s="104" t="str">
        <x:v>Returned</x:v>
      </x:c>
      <x:c r="J335" s="104" t="n">
        <x:v>1</x:v>
      </x:c>
      <x:c r="K335" s="104" t="str">
        <x:v>Review</x:v>
      </x:c>
      <x:c r="L335" s="104" t="str">
        <x:v>Sales calculation mismatch; Profit calculation mismatch; Conflicting duplicate order ID</x:v>
      </x:c>
      <x:c r="M335" s="104" t="str">
        <x:v>Refunded payment – separately summarized</x:v>
      </x:c>
      <x:c r="N335" s="104" t="str">
        <x:v>Valid</x:v>
      </x:c>
      <x:c r="O335" s="105" t="str">
        <x:v>Reconcile sales/cost/profit fields; Resolve duplicate order-ID conflict; Included in refund summary</x:v>
      </x:c>
    </x:row>
    <x:row r="336">
      <x:c r="A336" s="106" t="n">
        <x:v>933</x:v>
      </x:c>
      <x:c r="B336" s="107" t="str">
        <x:v>ORD-2025-10336</x:v>
      </x:c>
      <x:c r="C336" s="122" t="n">
        <x:v>45824</x:v>
      </x:c>
      <x:c r="D336" s="122" t="n">
        <x:v>45826</x:v>
      </x:c>
      <x:c r="E336" s="107" t="str">
        <x:v>West</x:v>
      </x:c>
      <x:c r="F336" s="107" t="str">
        <x:v>First Class</x:v>
      </x:c>
      <x:c r="G336" s="123" t="n">
        <x:v>0.1</x:v>
      </x:c>
      <x:c r="H336" s="107" t="str">
        <x:v>Paid</x:v>
      </x:c>
      <x:c r="I336" s="107" t="str">
        <x:v>Returned</x:v>
      </x:c>
      <x:c r="J336" s="107" t="n">
        <x:v>2</x:v>
      </x:c>
      <x:c r="K336" s="107" t="str">
        <x:v>Review</x:v>
      </x:c>
      <x:c r="L336" s="107" t="str">
        <x:v>Sales calculation mismatch; Profit calculation mismatch; Conflicting duplicate order ID</x:v>
      </x:c>
      <x:c r="M336" s="107" t="str">
        <x:v>None</x:v>
      </x:c>
      <x:c r="N336" s="107" t="str">
        <x:v>Valid</x:v>
      </x:c>
      <x:c r="O336" s="108" t="str">
        <x:v>Reconcile sales/cost/profit fields; Resolve duplicate order-ID conflict</x:v>
      </x:c>
    </x:row>
  </x:sheetData>
  <x:mergeCells>
    <x:mergeCell ref="A1:O1"/>
  </x:mergeCells>
  <x:conditionalFormatting sqref="K4:K336">
    <x:cfRule type="expression" dxfId="4" priority="1">
      <x:formula>K4="Review"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12" hidden="0" customWidth="1"/>
    <x:col min="4" max="4" width="12" hidden="0" customWidth="1"/>
    <x:col min="5" max="5" width="22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6" hidden="0" customWidth="1"/>
    <x:col min="12" max="12" width="16" hidden="0" customWidth="1"/>
    <x:col min="13" max="13" width="30" hidden="0" customWidth="1"/>
  </x:cols>
  <x:sheetData>
    <x:row r="1" ht="26" customHeight="1">
      <x:c r="A1" s="76" t="str">
        <x:v>Refunded Orders – Audit Detail</x:v>
      </x:c>
      <x:c r="B1" s="76"/>
      <x:c r="C1" s="76"/>
      <x:c r="D1" s="76"/>
      <x:c r="E1" s="76"/>
      <x:c r="F1" s="76"/>
      <x:c r="G1" s="76"/>
      <x:c r="H1" s="76"/>
      <x:c r="I1" s="76"/>
      <x:c r="J1" s="76"/>
      <x:c r="K1" s="76"/>
      <x:c r="L1" s="76"/>
      <x:c r="M1" s="76"/>
    </x:row>
    <x:row r="3">
      <x:c r="A3" s="100" t="str">
        <x:v>source_row</x:v>
      </x:c>
      <x:c r="B3" s="101" t="str">
        <x:v>order_id</x:v>
      </x:c>
      <x:c r="C3" s="101" t="str">
        <x:v>order_date</x:v>
      </x:c>
      <x:c r="D3" s="101" t="str">
        <x:v>ship_date</x:v>
      </x:c>
      <x:c r="E3" s="101" t="str">
        <x:v>customer_name</x:v>
      </x:c>
      <x:c r="F3" s="101" t="str">
        <x:v>category</x:v>
      </x:c>
      <x:c r="G3" s="101" t="str">
        <x:v>region</x:v>
      </x:c>
      <x:c r="H3" s="101" t="str">
        <x:v>sales_raw</x:v>
      </x:c>
      <x:c r="I3" s="101" t="str">
        <x:v>cost_raw</x:v>
      </x:c>
      <x:c r="J3" s="101" t="str">
        <x:v>profit_raw</x:v>
      </x:c>
      <x:c r="K3" s="101" t="str">
        <x:v>payment_status</x:v>
      </x:c>
      <x:c r="L3" s="101" t="str">
        <x:v>order_status</x:v>
      </x:c>
      <x:c r="M3" s="102" t="str">
        <x:v>refund_summary_status</x:v>
      </x:c>
    </x:row>
    <x:row r="4">
      <x:c r="A4" s="103" t="n">
        <x:v>12</x:v>
      </x:c>
      <x:c r="B4" s="104" t="str">
        <x:v>ORD-2025-10011</x:v>
      </x:c>
      <x:c r="C4" s="120" t="n">
        <x:v>45797</x:v>
      </x:c>
      <x:c r="D4" s="120" t="n">
        <x:v>45797</x:v>
      </x:c>
      <x:c r="E4" s="104" t="str">
        <x:v>Ananya Rao</x:v>
      </x:c>
      <x:c r="F4" s="104" t="str">
        <x:v>Office Supplies</x:v>
      </x:c>
      <x:c r="G4" s="104" t="str">
        <x:v>East</x:v>
      </x:c>
      <x:c r="H4" s="129" t="n">
        <x:v>10074.27</x:v>
      </x:c>
      <x:c r="I4" s="129" t="n">
        <x:v>6048.27</x:v>
      </x:c>
      <x:c r="J4" s="129" t="n">
        <x:v>4026</x:v>
      </x:c>
      <x:c r="K4" s="104" t="str">
        <x:v>Refunded</x:v>
      </x:c>
      <x:c r="L4" s="104" t="str">
        <x:v>Returned</x:v>
      </x:c>
      <x:c r="M4" s="105" t="str">
        <x:v>Include in refunded summary</x:v>
      </x:c>
    </x:row>
    <x:row r="5">
      <x:c r="A5" s="103" t="n">
        <x:v>20</x:v>
      </x:c>
      <x:c r="B5" s="104" t="str">
        <x:v>ORD-2025-10019</x:v>
      </x:c>
      <x:c r="C5" s="120" t="n">
        <x:v>45853</x:v>
      </x:c>
      <x:c r="D5" s="120" t="n">
        <x:v>45855</x:v>
      </x:c>
      <x:c r="E5" s="104" t="str">
        <x:v>Aarav Sharma</x:v>
      </x:c>
      <x:c r="F5" s="104" t="str">
        <x:v>Technology</x:v>
      </x:c>
      <x:c r="G5" s="104" t="str">
        <x:v>North</x:v>
      </x:c>
      <x:c r="H5" s="129" t="n">
        <x:v>3995.98</x:v>
      </x:c>
      <x:c r="I5" s="129" t="n">
        <x:v>2633.2</x:v>
      </x:c>
      <x:c r="J5" s="129" t="n">
        <x:v>1362.78</x:v>
      </x:c>
      <x:c r="K5" s="104" t="str">
        <x:v>Refunded</x:v>
      </x:c>
      <x:c r="L5" s="104" t="str">
        <x:v>Cancelled</x:v>
      </x:c>
      <x:c r="M5" s="105" t="str">
        <x:v>Include in refunded summary</x:v>
      </x:c>
    </x:row>
    <x:row r="6">
      <x:c r="A6" s="103" t="n">
        <x:v>30</x:v>
      </x:c>
      <x:c r="B6" s="104" t="str">
        <x:v>ORD-2024-10029</x:v>
      </x:c>
      <x:c r="C6" s="120" t="n">
        <x:v>45576</x:v>
      </x:c>
      <x:c r="D6" s="120" t="n">
        <x:v>45583</x:v>
      </x:c>
      <x:c r="E6" s="104" t="str">
        <x:v>Ananya Rao</x:v>
      </x:c>
      <x:c r="F6" s="104" t="str">
        <x:v>Technology</x:v>
      </x:c>
      <x:c r="G6" s="104" t="str">
        <x:v>West</x:v>
      </x:c>
      <x:c r="H6" s="129" t="n">
        <x:v>2913.33</x:v>
      </x:c>
      <x:c r="I6" s="129" t="n">
        <x:v>2122.33</x:v>
      </x:c>
      <x:c r="J6" s="129" t="n">
        <x:v>791</x:v>
      </x:c>
      <x:c r="K6" s="104" t="str">
        <x:v>Refunded</x:v>
      </x:c>
      <x:c r="L6" s="104" t="str">
        <x:v>Cancelled</x:v>
      </x:c>
      <x:c r="M6" s="105" t="str">
        <x:v>Include in refunded summary</x:v>
      </x:c>
    </x:row>
    <x:row r="7">
      <x:c r="A7" s="103" t="n">
        <x:v>48</x:v>
      </x:c>
      <x:c r="B7" s="104" t="str">
        <x:v>ORD-2024-10047</x:v>
      </x:c>
      <x:c r="C7" s="120" t="n">
        <x:v>45492</x:v>
      </x:c>
      <x:c r="D7" s="120" t="n">
        <x:v>45492</x:v>
      </x:c>
      <x:c r="E7" s="104" t="str">
        <x:v>Ananya Rao</x:v>
      </x:c>
      <x:c r="F7" s="104" t="str">
        <x:v>Furniture</x:v>
      </x:c>
      <x:c r="G7" s="104" t="str">
        <x:v>South</x:v>
      </x:c>
      <x:c r="H7" s="129" t="n">
        <x:v>16110.83</x:v>
      </x:c>
      <x:c r="I7" s="129" t="n">
        <x:v>10680.03</x:v>
      </x:c>
      <x:c r="J7" s="129" t="n">
        <x:v>5430.8</x:v>
      </x:c>
      <x:c r="K7" s="104" t="str">
        <x:v>Refunded</x:v>
      </x:c>
      <x:c r="L7" s="104" t="str">
        <x:v>Returned</x:v>
      </x:c>
      <x:c r="M7" s="105" t="str">
        <x:v>Include in refunded summary</x:v>
      </x:c>
    </x:row>
    <x:row r="8">
      <x:c r="A8" s="103" t="n">
        <x:v>58</x:v>
      </x:c>
      <x:c r="B8" s="104" t="str">
        <x:v>ORD-2025-10057</x:v>
      </x:c>
      <x:c r="C8" s="120" t="n">
        <x:v>45662</x:v>
      </x:c>
      <x:c r="D8" s="120" t="n">
        <x:v>45663</x:v>
      </x:c>
      <x:c r="E8" s="104" t="str">
        <x:v>Karan Malhotra</x:v>
      </x:c>
      <x:c r="F8" s="104" t="str">
        <x:v>Office Supplies</x:v>
      </x:c>
      <x:c r="G8" s="104" t="str">
        <x:v>South</x:v>
      </x:c>
      <x:c r="H8" s="129" t="n">
        <x:v>9466.83</x:v>
      </x:c>
      <x:c r="I8" s="129" t="n">
        <x:v>6557.83</x:v>
      </x:c>
      <x:c r="J8" s="129" t="n">
        <x:v>2909</x:v>
      </x:c>
      <x:c r="K8" s="104" t="str">
        <x:v>Refunded</x:v>
      </x:c>
      <x:c r="L8" s="104" t="str">
        <x:v>Cancelled</x:v>
      </x:c>
      <x:c r="M8" s="105" t="str">
        <x:v>Include in refunded summary</x:v>
      </x:c>
    </x:row>
    <x:row r="9">
      <x:c r="A9" s="103" t="n">
        <x:v>62</x:v>
      </x:c>
      <x:c r="B9" s="104" t="str">
        <x:v>ORD-2024-10061</x:v>
      </x:c>
      <x:c r="C9" s="120" t="n">
        <x:v>45486</x:v>
      </x:c>
      <x:c r="D9" s="120" t="n">
        <x:v>45492</x:v>
      </x:c>
      <x:c r="E9" s="104" t="str">
        <x:v>Ananya Rao</x:v>
      </x:c>
      <x:c r="F9" s="104" t="str">
        <x:v>Office Supplies</x:v>
      </x:c>
      <x:c r="G9" s="104" t="str">
        <x:v>East</x:v>
      </x:c>
      <x:c r="H9" s="129" t="n">
        <x:v>661.82</x:v>
      </x:c>
      <x:c r="I9" s="129" t="n">
        <x:v>481.47</x:v>
      </x:c>
      <x:c r="J9" s="129" t="n">
        <x:v>180.35</x:v>
      </x:c>
      <x:c r="K9" s="104" t="str">
        <x:v>Refunded</x:v>
      </x:c>
      <x:c r="L9" s="104" t="str">
        <x:v>Cancelled</x:v>
      </x:c>
      <x:c r="M9" s="105" t="str">
        <x:v>Include in refunded summary</x:v>
      </x:c>
    </x:row>
    <x:row r="10">
      <x:c r="A10" s="103" t="n">
        <x:v>66</x:v>
      </x:c>
      <x:c r="B10" s="104" t="str">
        <x:v>ORD-2024-10065</x:v>
      </x:c>
      <x:c r="C10" s="120" t="n">
        <x:v>45649</x:v>
      </x:c>
      <x:c r="D10" s="120" t="n">
        <x:v>45655</x:v>
      </x:c>
      <x:c r="E10" s="104" t="str">
        <x:v>Aarav Sharma</x:v>
      </x:c>
      <x:c r="F10" s="104" t="str">
        <x:v>Office Supplies</x:v>
      </x:c>
      <x:c r="G10" s="104" t="str">
        <x:v>East</x:v>
      </x:c>
      <x:c r="H10" s="129" t="n">
        <x:v>3134.88</x:v>
      </x:c>
      <x:c r="I10" s="129" t="n">
        <x:v>2367.63</x:v>
      </x:c>
      <x:c r="J10" s="129" t="n">
        <x:v>767.25</x:v>
      </x:c>
      <x:c r="K10" s="104" t="str">
        <x:v>Refunded</x:v>
      </x:c>
      <x:c r="L10" s="104" t="str">
        <x:v>Returned</x:v>
      </x:c>
      <x:c r="M10" s="105" t="str">
        <x:v>Include in refunded summary</x:v>
      </x:c>
    </x:row>
    <x:row r="11">
      <x:c r="A11" s="103" t="n">
        <x:v>71</x:v>
      </x:c>
      <x:c r="B11" s="104" t="str">
        <x:v>ORD-2024-10070</x:v>
      </x:c>
      <x:c r="C11" s="120" t="n">
        <x:v>45391</x:v>
      </x:c>
      <x:c r="D11" s="120" t="n">
        <x:v>45396</x:v>
      </x:c>
      <x:c r="E11" s="104" t="str">
        <x:v>Neha Gupta</x:v>
      </x:c>
      <x:c r="F11" s="104" t="str">
        <x:v>Technology</x:v>
      </x:c>
      <x:c r="G11" s="104" t="str">
        <x:v>West</x:v>
      </x:c>
      <x:c r="H11" s="129" t="n">
        <x:v>21527.67</x:v>
      </x:c>
      <x:c r="I11" s="129" t="n">
        <x:v>18287.58</x:v>
      </x:c>
      <x:c r="J11" s="129" t="n">
        <x:v>3240.09</x:v>
      </x:c>
      <x:c r="K11" s="104" t="str">
        <x:v>Refunded</x:v>
      </x:c>
      <x:c r="L11" s="104" t="str">
        <x:v>Returned</x:v>
      </x:c>
      <x:c r="M11" s="105" t="str">
        <x:v>Include in refunded summary</x:v>
      </x:c>
    </x:row>
    <x:row r="12">
      <x:c r="A12" s="103" t="n">
        <x:v>79</x:v>
      </x:c>
      <x:c r="B12" s="104" t="str">
        <x:v>ORD-2025-10078</x:v>
      </x:c>
      <x:c r="C12" s="120" t="n">
        <x:v>45846</x:v>
      </x:c>
      <x:c r="D12" s="120" t="n">
        <x:v>45850</x:v>
      </x:c>
      <x:c r="E12" s="104" t="str">
        <x:v>Rohan Mehta</x:v>
      </x:c>
      <x:c r="F12" s="104" t="str">
        <x:v>Furniture</x:v>
      </x:c>
      <x:c r="G12" s="104" t="str">
        <x:v>North</x:v>
      </x:c>
      <x:c r="H12" s="129" t="n">
        <x:v>2194.87</x:v>
      </x:c>
      <x:c r="I12" s="129" t="n">
        <x:v>1223.17</x:v>
      </x:c>
      <x:c r="J12" s="129" t="n">
        <x:v>971.7</x:v>
      </x:c>
      <x:c r="K12" s="104" t="str">
        <x:v>Refunded</x:v>
      </x:c>
      <x:c r="L12" s="104" t="str">
        <x:v>Cancelled</x:v>
      </x:c>
      <x:c r="M12" s="105" t="str">
        <x:v>Include in refunded summary</x:v>
      </x:c>
    </x:row>
    <x:row r="13">
      <x:c r="A13" s="103" t="n">
        <x:v>88</x:v>
      </x:c>
      <x:c r="B13" s="104" t="str">
        <x:v>ORD-2024-10087</x:v>
      </x:c>
      <x:c r="C13" s="120" t="n">
        <x:v>45474</x:v>
      </x:c>
      <x:c r="D13" s="120" t="n">
        <x:v>45474</x:v>
      </x:c>
      <x:c r="E13" s="104" t="str">
        <x:v>Ananya Rao</x:v>
      </x:c>
      <x:c r="F13" s="104" t="str">
        <x:v>Technology</x:v>
      </x:c>
      <x:c r="G13" s="104" t="str">
        <x:v>North</x:v>
      </x:c>
      <x:c r="H13" s="129" t="n">
        <x:v>2390.26</x:v>
      </x:c>
      <x:c r="I13" s="129" t="n">
        <x:v>1495.94</x:v>
      </x:c>
      <x:c r="J13" s="129" t="n">
        <x:v>894.32</x:v>
      </x:c>
      <x:c r="K13" s="104" t="str">
        <x:v>Refunded</x:v>
      </x:c>
      <x:c r="L13" s="104" t="str">
        <x:v>Cancelled</x:v>
      </x:c>
      <x:c r="M13" s="105" t="str">
        <x:v>Include in refunded summary</x:v>
      </x:c>
    </x:row>
    <x:row r="14">
      <x:c r="A14" s="103" t="n">
        <x:v>104</x:v>
      </x:c>
      <x:c r="B14" s="104" t="str">
        <x:v>ORD-2025-10103</x:v>
      </x:c>
      <x:c r="C14" s="120" t="n">
        <x:v>45850</x:v>
      </x:c>
      <x:c r="D14" s="120" t="n">
        <x:v>45854</x:v>
      </x:c>
      <x:c r="E14" s="104" t="str">
        <x:v>Vikram Iyer</x:v>
      </x:c>
      <x:c r="F14" s="104" t="str">
        <x:v>Furniture</x:v>
      </x:c>
      <x:c r="G14" s="104" t="str">
        <x:v>South</x:v>
      </x:c>
      <x:c r="H14" s="129" t="n">
        <x:v>11462.84</x:v>
      </x:c>
      <x:c r="I14" s="129" t="n">
        <x:v>8979.78</x:v>
      </x:c>
      <x:c r="J14" s="129" t="n">
        <x:v>2483.06</x:v>
      </x:c>
      <x:c r="K14" s="104" t="str">
        <x:v>Refunded</x:v>
      </x:c>
      <x:c r="L14" s="104" t="str">
        <x:v>Cancelled</x:v>
      </x:c>
      <x:c r="M14" s="105" t="str">
        <x:v>Include in refunded summary</x:v>
      </x:c>
    </x:row>
    <x:row r="15">
      <x:c r="A15" s="103" t="n">
        <x:v>112</x:v>
      </x:c>
      <x:c r="B15" s="104" t="str">
        <x:v>ORD-2024-10111</x:v>
      </x:c>
      <x:c r="C15" s="120" t="n">
        <x:v>45583</x:v>
      </x:c>
      <x:c r="D15" s="120" t="n">
        <x:v>45589</x:v>
      </x:c>
      <x:c r="E15" s="104" t="str">
        <x:v>Vikram Iyer</x:v>
      </x:c>
      <x:c r="F15" s="104" t="str">
        <x:v>Office Supplies</x:v>
      </x:c>
      <x:c r="G15" s="104" t="str">
        <x:v>South</x:v>
      </x:c>
      <x:c r="H15" s="129" t="n">
        <x:v>4500.94</x:v>
      </x:c>
      <x:c r="I15" s="129" t="n">
        <x:v>2607.73</x:v>
      </x:c>
      <x:c r="J15" s="129" t="n">
        <x:v>1893.21</x:v>
      </x:c>
      <x:c r="K15" s="104" t="str">
        <x:v>Refunded</x:v>
      </x:c>
      <x:c r="L15" s="104" t="str">
        <x:v>Cancelled</x:v>
      </x:c>
      <x:c r="M15" s="105" t="str">
        <x:v>Include in refunded summary</x:v>
      </x:c>
    </x:row>
    <x:row r="16">
      <x:c r="A16" s="103" t="n">
        <x:v>121</x:v>
      </x:c>
      <x:c r="B16" s="104" t="str">
        <x:v>ORD-2024-10120</x:v>
      </x:c>
      <x:c r="C16" s="120" t="n">
        <x:v>45455</x:v>
      </x:c>
      <x:c r="D16" s="120" t="n">
        <x:v>45462</x:v>
      </x:c>
      <x:c r="E16" s="104" t="str">
        <x:v>Aditi Sen</x:v>
      </x:c>
      <x:c r="F16" s="104" t="str">
        <x:v>Furniture</x:v>
      </x:c>
      <x:c r="G16" s="104" t="str">
        <x:v>South</x:v>
      </x:c>
      <x:c r="H16" s="129" t="n">
        <x:v>1884.3</x:v>
      </x:c>
      <x:c r="I16" s="129" t="n">
        <x:v>1517.69</x:v>
      </x:c>
      <x:c r="J16" s="129" t="n">
        <x:v>366.61</x:v>
      </x:c>
      <x:c r="K16" s="104" t="str">
        <x:v>Refunded</x:v>
      </x:c>
      <x:c r="L16" s="104" t="str">
        <x:v>Returned</x:v>
      </x:c>
      <x:c r="M16" s="105" t="str">
        <x:v>Include in refunded summary</x:v>
      </x:c>
    </x:row>
    <x:row r="17">
      <x:c r="A17" s="103" t="n">
        <x:v>123</x:v>
      </x:c>
      <x:c r="B17" s="104" t="str">
        <x:v>ORD-2025-10122</x:v>
      </x:c>
      <x:c r="C17" s="120" t="n">
        <x:v>45891</x:v>
      </x:c>
      <x:c r="D17" s="120" t="n">
        <x:v>45895</x:v>
      </x:c>
      <x:c r="E17" s="104" t="str">
        <x:v>Kabir Singh</x:v>
      </x:c>
      <x:c r="F17" s="104" t="str">
        <x:v>Technology</x:v>
      </x:c>
      <x:c r="G17" s="104" t="str">
        <x:v>South</x:v>
      </x:c>
      <x:c r="H17" s="129" t="n">
        <x:v>17414.6</x:v>
      </x:c>
      <x:c r="I17" s="129" t="n">
        <x:v>11760.91</x:v>
      </x:c>
      <x:c r="J17" s="129" t="n">
        <x:v>5653.69</x:v>
      </x:c>
      <x:c r="K17" s="104" t="str">
        <x:v>Refunded</x:v>
      </x:c>
      <x:c r="L17" s="104" t="str">
        <x:v>Cancelled</x:v>
      </x:c>
      <x:c r="M17" s="105" t="str">
        <x:v>Include in refunded summary</x:v>
      </x:c>
    </x:row>
    <x:row r="18">
      <x:c r="A18" s="103" t="n">
        <x:v>125</x:v>
      </x:c>
      <x:c r="B18" s="104" t="str">
        <x:v>ORD-2024-10124</x:v>
      </x:c>
      <x:c r="C18" s="120" t="n">
        <x:v>45436</x:v>
      </x:c>
      <x:c r="D18" s="120" t="n">
        <x:v>45437</x:v>
      </x:c>
      <x:c r="E18" s="104" t="str">
        <x:v>Sneha Kapoor</x:v>
      </x:c>
      <x:c r="F18" s="104" t="str">
        <x:v>Technology</x:v>
      </x:c>
      <x:c r="G18" s="104" t="str">
        <x:v>North</x:v>
      </x:c>
      <x:c r="H18" s="129" t="n">
        <x:v>634.13</x:v>
      </x:c>
      <x:c r="I18" s="129" t="n">
        <x:v>453.35</x:v>
      </x:c>
      <x:c r="J18" s="129" t="n">
        <x:v>180.78</x:v>
      </x:c>
      <x:c r="K18" s="104" t="str">
        <x:v>Refunded</x:v>
      </x:c>
      <x:c r="L18" s="104" t="str">
        <x:v>Cancelled</x:v>
      </x:c>
      <x:c r="M18" s="105" t="str">
        <x:v>Include in refunded summary</x:v>
      </x:c>
    </x:row>
    <x:row r="19">
      <x:c r="A19" s="103" t="n">
        <x:v>127</x:v>
      </x:c>
      <x:c r="B19" s="104" t="str">
        <x:v>ORD-2025-10126</x:v>
      </x:c>
      <x:c r="C19" s="120" t="n">
        <x:v>45855</x:v>
      </x:c>
      <x:c r="D19" s="120" t="n">
        <x:v>45856</x:v>
      </x:c>
      <x:c r="E19" s="104" t="str">
        <x:v>Neha Gupta</x:v>
      </x:c>
      <x:c r="F19" s="104" t="str">
        <x:v>Furniture</x:v>
      </x:c>
      <x:c r="G19" s="104" t="str">
        <x:v>West</x:v>
      </x:c>
      <x:c r="H19" s="129" t="n">
        <x:v>14558.72</x:v>
      </x:c>
      <x:c r="I19" s="129" t="n">
        <x:v>9591.48</x:v>
      </x:c>
      <x:c r="J19" s="129" t="n">
        <x:v>4967.24</x:v>
      </x:c>
      <x:c r="K19" s="104" t="str">
        <x:v>Refunded</x:v>
      </x:c>
      <x:c r="L19" s="104" t="str">
        <x:v>Returned</x:v>
      </x:c>
      <x:c r="M19" s="105" t="str">
        <x:v>Include in refunded summary</x:v>
      </x:c>
    </x:row>
    <x:row r="20">
      <x:c r="A20" s="103" t="n">
        <x:v>146</x:v>
      </x:c>
      <x:c r="B20" s="104" t="str">
        <x:v>ORD-2024-10145</x:v>
      </x:c>
      <x:c r="C20" s="120" t="n">
        <x:v>45450</x:v>
      </x:c>
      <x:c r="D20" s="120" t="n">
        <x:v>45458</x:v>
      </x:c>
      <x:c r="E20" s="104" t="str">
        <x:v>Kabir Singh</x:v>
      </x:c>
      <x:c r="F20" s="104" t="str">
        <x:v>Technology</x:v>
      </x:c>
      <x:c r="G20" s="104" t="str">
        <x:v>South</x:v>
      </x:c>
      <x:c r="H20" s="129" t="n">
        <x:v>11276.95</x:v>
      </x:c>
      <x:c r="I20" s="129" t="n">
        <x:v>6908.76</x:v>
      </x:c>
      <x:c r="J20" s="129" t="n">
        <x:v>4368.19</x:v>
      </x:c>
      <x:c r="K20" s="104" t="str">
        <x:v>Refunded</x:v>
      </x:c>
      <x:c r="L20" s="104" t="str">
        <x:v>Returned</x:v>
      </x:c>
      <x:c r="M20" s="105" t="str">
        <x:v>Include in refunded summary</x:v>
      </x:c>
    </x:row>
    <x:row r="21">
      <x:c r="A21" s="103" t="n">
        <x:v>155</x:v>
      </x:c>
      <x:c r="B21" s="104" t="str">
        <x:v>ORD-2025-10154</x:v>
      </x:c>
      <x:c r="C21" s="120" t="n">
        <x:v>45923</x:v>
      </x:c>
      <x:c r="D21" s="120" t="n">
        <x:v>45925</x:v>
      </x:c>
      <x:c r="E21" s="104" t="str">
        <x:v>Aditi Sen</x:v>
      </x:c>
      <x:c r="F21" s="104" t="str">
        <x:v>Office Supplies</x:v>
      </x:c>
      <x:c r="G21" s="104" t="str">
        <x:v>East</x:v>
      </x:c>
      <x:c r="H21" s="129" t="n">
        <x:v>22962.17</x:v>
      </x:c>
      <x:c r="I21" s="129" t="n">
        <x:v>15716.5</x:v>
      </x:c>
      <x:c r="J21" s="129" t="n">
        <x:v>7245.67</x:v>
      </x:c>
      <x:c r="K21" s="104" t="str">
        <x:v>Refunded</x:v>
      </x:c>
      <x:c r="L21" s="104" t="str">
        <x:v>Returned</x:v>
      </x:c>
      <x:c r="M21" s="105" t="str">
        <x:v>Include in refunded summary</x:v>
      </x:c>
    </x:row>
    <x:row r="22">
      <x:c r="A22" s="103" t="n">
        <x:v>157</x:v>
      </x:c>
      <x:c r="B22" s="104" t="str">
        <x:v>ORD-2025-10156</x:v>
      </x:c>
      <x:c r="C22" s="120" t="n">
        <x:v>45683</x:v>
      </x:c>
      <x:c r="D22" s="120" t="n">
        <x:v>45691</x:v>
      </x:c>
      <x:c r="E22" s="104" t="str">
        <x:v>Karan Malhotra</x:v>
      </x:c>
      <x:c r="F22" s="104" t="str">
        <x:v>Furniture</x:v>
      </x:c>
      <x:c r="G22" s="104" t="str">
        <x:v>West</x:v>
      </x:c>
      <x:c r="H22" s="129" t="n">
        <x:v>7720.16</x:v>
      </x:c>
      <x:c r="I22" s="129" t="n">
        <x:v>5881</x:v>
      </x:c>
      <x:c r="J22" s="129" t="n">
        <x:v>1839.16</x:v>
      </x:c>
      <x:c r="K22" s="104" t="str">
        <x:v>Refunded</x:v>
      </x:c>
      <x:c r="L22" s="104" t="str">
        <x:v>Returned</x:v>
      </x:c>
      <x:c r="M22" s="105" t="str">
        <x:v>Include in refunded summary</x:v>
      </x:c>
    </x:row>
    <x:row r="23">
      <x:c r="A23" s="103" t="n">
        <x:v>174</x:v>
      </x:c>
      <x:c r="B23" s="104" t="str">
        <x:v>ORD-2025-10173</x:v>
      </x:c>
      <x:c r="C23" s="120" t="n">
        <x:v>45871</x:v>
      </x:c>
      <x:c r="D23" s="120" t="n">
        <x:v>45879</x:v>
      </x:c>
      <x:c r="E23" s="104" t="str">
        <x:v>Karan Malhotra</x:v>
      </x:c>
      <x:c r="F23" s="104" t="str">
        <x:v>Furniture</x:v>
      </x:c>
      <x:c r="G23" s="104" t="str">
        <x:v>North</x:v>
      </x:c>
      <x:c r="H23" s="129" t="n">
        <x:v>23997.22</x:v>
      </x:c>
      <x:c r="I23" s="129" t="n">
        <x:v>16134.63</x:v>
      </x:c>
      <x:c r="J23" s="129" t="n">
        <x:v>7862.59</x:v>
      </x:c>
      <x:c r="K23" s="104" t="str">
        <x:v>Refunded</x:v>
      </x:c>
      <x:c r="L23" s="104" t="str">
        <x:v>Returned</x:v>
      </x:c>
      <x:c r="M23" s="105" t="str">
        <x:v>Include in refunded summary</x:v>
      </x:c>
    </x:row>
    <x:row r="24">
      <x:c r="A24" s="103" t="n">
        <x:v>181</x:v>
      </x:c>
      <x:c r="B24" s="104" t="str">
        <x:v>ORD-2024-10180</x:v>
      </x:c>
      <x:c r="C24" s="120" t="n">
        <x:v>45366</x:v>
      </x:c>
      <x:c r="D24" s="120" t="n">
        <x:v>45370</x:v>
      </x:c>
      <x:c r="E24" s="104" t="str">
        <x:v>Ananya Rao</x:v>
      </x:c>
      <x:c r="F24" s="104" t="str">
        <x:v>Furniture</x:v>
      </x:c>
      <x:c r="G24" s="104" t="str">
        <x:v>South</x:v>
      </x:c>
      <x:c r="H24" s="129" t="n">
        <x:v>9558.9</x:v>
      </x:c>
      <x:c r="I24" s="129" t="n">
        <x:v>5516.76</x:v>
      </x:c>
      <x:c r="J24" s="129" t="n">
        <x:v>4042.14</x:v>
      </x:c>
      <x:c r="K24" s="104" t="str">
        <x:v>Refunded</x:v>
      </x:c>
      <x:c r="L24" s="104" t="str">
        <x:v>Returned</x:v>
      </x:c>
      <x:c r="M24" s="105" t="str">
        <x:v>Include in refunded summary</x:v>
      </x:c>
    </x:row>
    <x:row r="25">
      <x:c r="A25" s="103" t="n">
        <x:v>186</x:v>
      </x:c>
      <x:c r="B25" s="104" t="str">
        <x:v>ORD-2024-10185</x:v>
      </x:c>
      <x:c r="C25" s="120" t="n">
        <x:v>45384</x:v>
      </x:c>
      <x:c r="D25" s="120" t="n">
        <x:v>45388</x:v>
      </x:c>
      <x:c r="E25" s="104" t="str">
        <x:v>Vikram Iyer</x:v>
      </x:c>
      <x:c r="F25" s="104" t="str">
        <x:v>Furniture</x:v>
      </x:c>
      <x:c r="G25" s="104" t="str">
        <x:v>West</x:v>
      </x:c>
      <x:c r="H25" s="129" t="n">
        <x:v>1777.96</x:v>
      </x:c>
      <x:c r="I25" s="129" t="n">
        <x:v>1021.16</x:v>
      </x:c>
      <x:c r="J25" s="129" t="n">
        <x:v>756.8</x:v>
      </x:c>
      <x:c r="K25" s="104" t="str">
        <x:v>Refunded</x:v>
      </x:c>
      <x:c r="L25" s="104" t="str">
        <x:v>Returned</x:v>
      </x:c>
      <x:c r="M25" s="105" t="str">
        <x:v>Include in refunded summary</x:v>
      </x:c>
    </x:row>
    <x:row r="26">
      <x:c r="A26" s="103" t="n">
        <x:v>195</x:v>
      </x:c>
      <x:c r="B26" s="104" t="str">
        <x:v>ORD-2024-10194</x:v>
      </x:c>
      <x:c r="C26" s="120" t="n">
        <x:v>45466</x:v>
      </x:c>
      <x:c r="D26" s="120" t="n">
        <x:v>45471</x:v>
      </x:c>
      <x:c r="E26" s="104" t="str">
        <x:v>Priya Menon</x:v>
      </x:c>
      <x:c r="F26" s="104" t="str">
        <x:v>Technology</x:v>
      </x:c>
      <x:c r="G26" s="104" t="str">
        <x:v>North</x:v>
      </x:c>
      <x:c r="H26" s="129" t="n">
        <x:v>9391.82</x:v>
      </x:c>
      <x:c r="I26" s="129" t="n">
        <x:v>6013.22</x:v>
      </x:c>
      <x:c r="J26" s="129" t="n">
        <x:v>3378.6</x:v>
      </x:c>
      <x:c r="K26" s="104" t="str">
        <x:v>Refunded</x:v>
      </x:c>
      <x:c r="L26" s="104" t="str">
        <x:v>Returned</x:v>
      </x:c>
      <x:c r="M26" s="105" t="str">
        <x:v>Include in refunded summary</x:v>
      </x:c>
    </x:row>
    <x:row r="27">
      <x:c r="A27" s="103" t="n">
        <x:v>203</x:v>
      </x:c>
      <x:c r="B27" s="104" t="str">
        <x:v>ORD-2025-10202</x:v>
      </x:c>
      <x:c r="C27" s="120" t="n">
        <x:v>45864</x:v>
      </x:c>
      <x:c r="D27" s="120" t="n">
        <x:v>45872</x:v>
      </x:c>
      <x:c r="E27" s="104" t="str">
        <x:v>Vikram Iyer</x:v>
      </x:c>
      <x:c r="F27" s="104" t="str">
        <x:v>Office Supplies</x:v>
      </x:c>
      <x:c r="G27" s="104" t="str">
        <x:v>West</x:v>
      </x:c>
      <x:c r="H27" s="129" t="n">
        <x:v>4756.71</x:v>
      </x:c>
      <x:c r="I27" s="129" t="n">
        <x:v>2954.86</x:v>
      </x:c>
      <x:c r="J27" s="129" t="n">
        <x:v>1801.85</x:v>
      </x:c>
      <x:c r="K27" s="104" t="str">
        <x:v>Refunded</x:v>
      </x:c>
      <x:c r="L27" s="104" t="str">
        <x:v>Cancelled</x:v>
      </x:c>
      <x:c r="M27" s="105" t="str">
        <x:v>Include in refunded summary</x:v>
      </x:c>
    </x:row>
    <x:row r="28">
      <x:c r="A28" s="103" t="n">
        <x:v>219</x:v>
      </x:c>
      <x:c r="B28" s="104" t="str">
        <x:v>ORD-2025-10218</x:v>
      </x:c>
      <x:c r="C28" s="120" t="n">
        <x:v>45748</x:v>
      </x:c>
      <x:c r="D28" s="120" t="n">
        <x:v>45755</x:v>
      </x:c>
      <x:c r="E28" s="104" t="str">
        <x:v>Aditi Sen</x:v>
      </x:c>
      <x:c r="F28" s="104" t="str">
        <x:v>Furniture</x:v>
      </x:c>
      <x:c r="G28" s="104" t="str">
        <x:v>East</x:v>
      </x:c>
      <x:c r="H28" s="129" t="n">
        <x:v>4595.76</x:v>
      </x:c>
      <x:c r="I28" s="129" t="n">
        <x:v>3396.8</x:v>
      </x:c>
      <x:c r="J28" s="129" t="n">
        <x:v>1198.96</x:v>
      </x:c>
      <x:c r="K28" s="104" t="str">
        <x:v>Refunded</x:v>
      </x:c>
      <x:c r="L28" s="104" t="str">
        <x:v>Cancelled</x:v>
      </x:c>
      <x:c r="M28" s="105" t="str">
        <x:v>Include in refunded summary</x:v>
      </x:c>
    </x:row>
    <x:row r="29">
      <x:c r="A29" s="103" t="n">
        <x:v>222</x:v>
      </x:c>
      <x:c r="B29" s="104" t="str">
        <x:v>ORD-2024-10221</x:v>
      </x:c>
      <x:c r="C29" s="120" t="n">
        <x:v>45538</x:v>
      </x:c>
      <x:c r="D29" s="120" t="n">
        <x:v>45538</x:v>
      </x:c>
      <x:c r="E29" s="104" t="str">
        <x:v>Sneha Kapoor</x:v>
      </x:c>
      <x:c r="F29" s="104" t="str">
        <x:v>Office Supplies</x:v>
      </x:c>
      <x:c r="G29" s="104" t="str">
        <x:v>South</x:v>
      </x:c>
      <x:c r="H29" s="129" t="n">
        <x:v>9554.58</x:v>
      </x:c>
      <x:c r="I29" s="129" t="n">
        <x:v>6068.47</x:v>
      </x:c>
      <x:c r="J29" s="129" t="n">
        <x:v>3486.11</x:v>
      </x:c>
      <x:c r="K29" s="104" t="str">
        <x:v>Refunded</x:v>
      </x:c>
      <x:c r="L29" s="104" t="str">
        <x:v>Cancelled</x:v>
      </x:c>
      <x:c r="M29" s="105" t="str">
        <x:v>Include in refunded summary</x:v>
      </x:c>
    </x:row>
    <x:row r="30">
      <x:c r="A30" s="103" t="n">
        <x:v>231</x:v>
      </x:c>
      <x:c r="B30" s="104" t="str">
        <x:v>ORD-2025-10230</x:v>
      </x:c>
      <x:c r="C30" s="120" t="n">
        <x:v>45836</x:v>
      </x:c>
      <x:c r="D30" s="120" t="n">
        <x:v>45842</x:v>
      </x:c>
      <x:c r="E30" s="104" t="str">
        <x:v>Rohan Mehta</x:v>
      </x:c>
      <x:c r="F30" s="104" t="str">
        <x:v>Furniture</x:v>
      </x:c>
      <x:c r="G30" s="104" t="str">
        <x:v>South</x:v>
      </x:c>
      <x:c r="H30" s="129" t="n">
        <x:v>8658.69</x:v>
      </x:c>
      <x:c r="I30" s="129" t="n">
        <x:v>5535.94</x:v>
      </x:c>
      <x:c r="J30" s="129" t="n">
        <x:v>3122.75</x:v>
      </x:c>
      <x:c r="K30" s="104" t="str">
        <x:v>Refunded</x:v>
      </x:c>
      <x:c r="L30" s="104" t="str">
        <x:v>Returned</x:v>
      </x:c>
      <x:c r="M30" s="105" t="str">
        <x:v>Include in refunded summary</x:v>
      </x:c>
    </x:row>
    <x:row r="31">
      <x:c r="A31" s="103" t="n">
        <x:v>233</x:v>
      </x:c>
      <x:c r="B31" s="104" t="str">
        <x:v>ORD-2024-10232</x:v>
      </x:c>
      <x:c r="C31" s="120" t="n">
        <x:v>45414</x:v>
      </x:c>
      <x:c r="D31" s="120" t="n">
        <x:v>45414</x:v>
      </x:c>
      <x:c r="E31" s="104" t="str">
        <x:v>Ananya Rao</x:v>
      </x:c>
      <x:c r="F31" s="104" t="str">
        <x:v>Office Supplies</x:v>
      </x:c>
      <x:c r="G31" s="104" t="str">
        <x:v>North</x:v>
      </x:c>
      <x:c r="H31" s="129" t="n">
        <x:v>11462.74</x:v>
      </x:c>
      <x:c r="I31" s="129" t="n">
        <x:v>7163.54</x:v>
      </x:c>
      <x:c r="J31" s="129" t="n">
        <x:v>4299.2</x:v>
      </x:c>
      <x:c r="K31" s="104" t="str">
        <x:v>Refunded</x:v>
      </x:c>
      <x:c r="L31" s="104" t="str">
        <x:v>Cancelled</x:v>
      </x:c>
      <x:c r="M31" s="105" t="str">
        <x:v>Include in refunded summary</x:v>
      </x:c>
    </x:row>
    <x:row r="32">
      <x:c r="A32" s="103" t="n">
        <x:v>248</x:v>
      </x:c>
      <x:c r="B32" s="104" t="str">
        <x:v>ORD-2024-10247</x:v>
      </x:c>
      <x:c r="C32" s="120" t="n">
        <x:v>45416</x:v>
      </x:c>
      <x:c r="D32" s="120" t="n">
        <x:v>45421</x:v>
      </x:c>
      <x:c r="E32" s="104" t="str">
        <x:v>Ananya Rao</x:v>
      </x:c>
      <x:c r="F32" s="104" t="str">
        <x:v>Technology</x:v>
      </x:c>
      <x:c r="G32" s="104" t="str">
        <x:v>North</x:v>
      </x:c>
      <x:c r="H32" s="129" t="n">
        <x:v>521.89</x:v>
      </x:c>
      <x:c r="I32" s="129" t="n">
        <x:v>444.52</x:v>
      </x:c>
      <x:c r="J32" s="129" t="n">
        <x:v>77.37</x:v>
      </x:c>
      <x:c r="K32" s="104" t="str">
        <x:v>Refunded</x:v>
      </x:c>
      <x:c r="L32" s="104" t="str">
        <x:v>Cancelled</x:v>
      </x:c>
      <x:c r="M32" s="105" t="str">
        <x:v>Include in refunded summary</x:v>
      </x:c>
    </x:row>
    <x:row r="33">
      <x:c r="A33" s="103" t="n">
        <x:v>255</x:v>
      </x:c>
      <x:c r="B33" s="104" t="str">
        <x:v>ORD-2024-10254</x:v>
      </x:c>
      <x:c r="C33" s="120" t="n">
        <x:v>45547</x:v>
      </x:c>
      <x:c r="D33" s="120" t="n">
        <x:v>45548</x:v>
      </x:c>
      <x:c r="E33" s="104" t="str">
        <x:v>Priya Menon</x:v>
      </x:c>
      <x:c r="F33" s="104" t="str">
        <x:v>Technology</x:v>
      </x:c>
      <x:c r="G33" s="104" t="str">
        <x:v>North</x:v>
      </x:c>
      <x:c r="H33" s="129" t="n">
        <x:v>4746.9</x:v>
      </x:c>
      <x:c r="I33" s="129" t="n">
        <x:v>2825.38</x:v>
      </x:c>
      <x:c r="J33" s="129" t="n">
        <x:v>1472.89</x:v>
      </x:c>
      <x:c r="K33" s="104" t="str">
        <x:v>Refunded</x:v>
      </x:c>
      <x:c r="L33" s="104" t="str">
        <x:v>Cancelled</x:v>
      </x:c>
      <x:c r="M33" s="105" t="str">
        <x:v>Include in refunded summary</x:v>
      </x:c>
    </x:row>
    <x:row r="34">
      <x:c r="A34" s="103" t="n">
        <x:v>267</x:v>
      </x:c>
      <x:c r="B34" s="104" t="str">
        <x:v>ORD-2024-10266</x:v>
      </x:c>
      <x:c r="C34" s="120" t="n">
        <x:v>45610</x:v>
      </x:c>
      <x:c r="D34" s="120" t="n">
        <x:v>45618</x:v>
      </x:c>
      <x:c r="E34" s="104" t="str">
        <x:v>Priya Menon</x:v>
      </x:c>
      <x:c r="F34" s="104" t="str">
        <x:v>Furniture</x:v>
      </x:c>
      <x:c r="G34" s="104" t="str">
        <x:v>East</x:v>
      </x:c>
      <x:c r="H34" s="129" t="n">
        <x:v>495.01</x:v>
      </x:c>
      <x:c r="I34" s="129" t="n">
        <x:v>285.13</x:v>
      </x:c>
      <x:c r="J34" s="129" t="n">
        <x:v>209.88</x:v>
      </x:c>
      <x:c r="K34" s="104" t="str">
        <x:v>Refunded</x:v>
      </x:c>
      <x:c r="L34" s="104" t="str">
        <x:v>Cancelled</x:v>
      </x:c>
      <x:c r="M34" s="105" t="str">
        <x:v>Include in refunded summary</x:v>
      </x:c>
    </x:row>
    <x:row r="35">
      <x:c r="A35" s="103" t="n">
        <x:v>315</x:v>
      </x:c>
      <x:c r="B35" s="104" t="str">
        <x:v>ORD-2025-10314</x:v>
      </x:c>
      <x:c r="C35" s="120" t="n">
        <x:v>45807</x:v>
      </x:c>
      <x:c r="D35" s="120" t="n">
        <x:v>45808</x:v>
      </x:c>
      <x:c r="E35" s="104" t="str">
        <x:v>Rahul Verma</x:v>
      </x:c>
      <x:c r="F35" s="104" t="str">
        <x:v>Technology</x:v>
      </x:c>
      <x:c r="G35" s="104" t="str">
        <x:v>North</x:v>
      </x:c>
      <x:c r="H35" s="129" t="n">
        <x:v>12488.58</x:v>
      </x:c>
      <x:c r="I35" s="129" t="n">
        <x:v>10717.4</x:v>
      </x:c>
      <x:c r="J35" s="129" t="n">
        <x:v>1771.18</x:v>
      </x:c>
      <x:c r="K35" s="104" t="str">
        <x:v>Refunded</x:v>
      </x:c>
      <x:c r="L35" s="104" t="str">
        <x:v>Cancelled</x:v>
      </x:c>
      <x:c r="M35" s="105" t="str">
        <x:v>Include in refunded summary</x:v>
      </x:c>
    </x:row>
    <x:row r="36">
      <x:c r="A36" s="103" t="n">
        <x:v>349</x:v>
      </x:c>
      <x:c r="B36" s="104" t="str">
        <x:v>ORD-2024-10348</x:v>
      </x:c>
      <x:c r="C36" s="120" t="n">
        <x:v>45627</x:v>
      </x:c>
      <x:c r="D36" s="120" t="n">
        <x:v>45634</x:v>
      </x:c>
      <x:c r="E36" s="104" t="str">
        <x:v>Aarav Sharma</x:v>
      </x:c>
      <x:c r="F36" s="104" t="str">
        <x:v>Furniture</x:v>
      </x:c>
      <x:c r="G36" s="104" t="str">
        <x:v>West</x:v>
      </x:c>
      <x:c r="H36" s="129" t="n">
        <x:v>11925.96</x:v>
      </x:c>
      <x:c r="I36" s="129" t="n">
        <x:v>10103.51</x:v>
      </x:c>
      <x:c r="J36" s="129" t="n">
        <x:v>1822.45</x:v>
      </x:c>
      <x:c r="K36" s="104" t="str">
        <x:v>Refunded</x:v>
      </x:c>
      <x:c r="L36" s="104" t="str">
        <x:v>Returned</x:v>
      </x:c>
      <x:c r="M36" s="105" t="str">
        <x:v>Include in refunded summary</x:v>
      </x:c>
    </x:row>
    <x:row r="37">
      <x:c r="A37" s="103" t="n">
        <x:v>352</x:v>
      </x:c>
      <x:c r="B37" s="104" t="str">
        <x:v>ORD-2024-10351</x:v>
      </x:c>
      <x:c r="C37" s="120" t="n">
        <x:v>45298</x:v>
      </x:c>
      <x:c r="D37" s="120" t="n">
        <x:v>45305</x:v>
      </x:c>
      <x:c r="E37" s="104" t="str">
        <x:v>Sneha Kapoor</x:v>
      </x:c>
      <x:c r="F37" s="104" t="str">
        <x:v>Furniture</x:v>
      </x:c>
      <x:c r="G37" s="104" t="str">
        <x:v>East</x:v>
      </x:c>
      <x:c r="H37" s="129" t="n">
        <x:v>11914.34</x:v>
      </x:c>
      <x:c r="I37" s="129" t="n">
        <x:v>9771.24</x:v>
      </x:c>
      <x:c r="J37" s="129" t="n">
        <x:v>2143.1</x:v>
      </x:c>
      <x:c r="K37" s="104" t="str">
        <x:v>Refunded</x:v>
      </x:c>
      <x:c r="L37" s="104" t="str">
        <x:v>Returned</x:v>
      </x:c>
      <x:c r="M37" s="105" t="str">
        <x:v>Include in refunded summary</x:v>
      </x:c>
    </x:row>
    <x:row r="38">
      <x:c r="A38" s="103" t="n">
        <x:v>362</x:v>
      </x:c>
      <x:c r="B38" s="104" t="str">
        <x:v>ORD-2024-10361</x:v>
      </x:c>
      <x:c r="C38" s="120" t="n">
        <x:v>45460</x:v>
      </x:c>
      <x:c r="D38" s="120" t="n">
        <x:v>45463</x:v>
      </x:c>
      <x:c r="E38" s="104" t="str">
        <x:v>Sneha Kapoor</x:v>
      </x:c>
      <x:c r="F38" s="104" t="str">
        <x:v>Furniture</x:v>
      </x:c>
      <x:c r="G38" s="104" t="str">
        <x:v>West</x:v>
      </x:c>
      <x:c r="H38" s="129" t="n">
        <x:v>17669.4</x:v>
      </x:c>
      <x:c r="I38" s="129" t="n">
        <x:v>13718.77</x:v>
      </x:c>
      <x:c r="J38" s="129" t="n">
        <x:v>3950.63</x:v>
      </x:c>
      <x:c r="K38" s="104" t="str">
        <x:v>Refunded</x:v>
      </x:c>
      <x:c r="L38" s="104" t="str">
        <x:v>Cancelled</x:v>
      </x:c>
      <x:c r="M38" s="105" t="str">
        <x:v>Include in refunded summary</x:v>
      </x:c>
    </x:row>
    <x:row r="39">
      <x:c r="A39" s="103" t="n">
        <x:v>370</x:v>
      </x:c>
      <x:c r="B39" s="104" t="str">
        <x:v>ORD-2025-10369</x:v>
      </x:c>
      <x:c r="C39" s="120" t="n">
        <x:v>45844</x:v>
      </x:c>
      <x:c r="D39" s="120" t="n">
        <x:v>45844</x:v>
      </x:c>
      <x:c r="E39" s="104" t="str">
        <x:v>Aarav Sharma</x:v>
      </x:c>
      <x:c r="F39" s="104" t="str">
        <x:v>Technology</x:v>
      </x:c>
      <x:c r="G39" s="104" t="str">
        <x:v>North</x:v>
      </x:c>
      <x:c r="H39" s="129" t="n">
        <x:v>2079.27</x:v>
      </x:c>
      <x:c r="I39" s="129" t="n">
        <x:v>1512.17</x:v>
      </x:c>
      <x:c r="J39" s="129" t="n">
        <x:v>567.1</x:v>
      </x:c>
      <x:c r="K39" s="104" t="str">
        <x:v>Refunded</x:v>
      </x:c>
      <x:c r="L39" s="104" t="str">
        <x:v>Returned</x:v>
      </x:c>
      <x:c r="M39" s="105" t="str">
        <x:v>Include in refunded summary</x:v>
      </x:c>
    </x:row>
    <x:row r="40">
      <x:c r="A40" s="103" t="n">
        <x:v>373</x:v>
      </x:c>
      <x:c r="B40" s="104" t="str">
        <x:v>ORD-2024-10372</x:v>
      </x:c>
      <x:c r="C40" s="120" t="n">
        <x:v>45313</x:v>
      </x:c>
      <x:c r="D40" s="120" t="n">
        <x:v>45315</x:v>
      </x:c>
      <x:c r="E40" s="104" t="str">
        <x:v>Diya Patel</x:v>
      </x:c>
      <x:c r="F40" s="104" t="str">
        <x:v>Office Supplies</x:v>
      </x:c>
      <x:c r="G40" s="104" t="str">
        <x:v>West</x:v>
      </x:c>
      <x:c r="H40" s="129" t="n">
        <x:v>4617.27</x:v>
      </x:c>
      <x:c r="I40" s="129" t="n">
        <x:v>2981.94</x:v>
      </x:c>
      <x:c r="J40" s="129" t="n">
        <x:v>1635.33</x:v>
      </x:c>
      <x:c r="K40" s="104" t="str">
        <x:v>Refunded</x:v>
      </x:c>
      <x:c r="L40" s="104" t="str">
        <x:v>Cancelled</x:v>
      </x:c>
      <x:c r="M40" s="105" t="str">
        <x:v>Include in refunded summary</x:v>
      </x:c>
    </x:row>
    <x:row r="41">
      <x:c r="A41" s="103" t="n">
        <x:v>411</x:v>
      </x:c>
      <x:c r="B41" s="104" t="str">
        <x:v>ORD-2025-10410</x:v>
      </x:c>
      <x:c r="C41" s="120" t="n">
        <x:v>45701</x:v>
      </x:c>
      <x:c r="D41" s="120" t="n">
        <x:v>45703</x:v>
      </x:c>
      <x:c r="E41" s="104" t="str">
        <x:v>Karan Malhotra</x:v>
      </x:c>
      <x:c r="F41" s="104" t="str">
        <x:v>Technology</x:v>
      </x:c>
      <x:c r="G41" s="104" t="str">
        <x:v>East</x:v>
      </x:c>
      <x:c r="H41" s="129" t="n">
        <x:v>2269.1</x:v>
      </x:c>
      <x:c r="I41" s="129" t="n">
        <x:v>1593.59</x:v>
      </x:c>
      <x:c r="J41" s="129" t="n">
        <x:v>675.51</x:v>
      </x:c>
      <x:c r="K41" s="104" t="str">
        <x:v>Refunded</x:v>
      </x:c>
      <x:c r="L41" s="104" t="str">
        <x:v>Returned</x:v>
      </x:c>
      <x:c r="M41" s="105" t="str">
        <x:v>Include in refunded summary</x:v>
      </x:c>
    </x:row>
    <x:row r="42">
      <x:c r="A42" s="103" t="n">
        <x:v>427</x:v>
      </x:c>
      <x:c r="B42" s="104" t="str">
        <x:v>ORD-2024-10426</x:v>
      </x:c>
      <x:c r="C42" s="120" t="n">
        <x:v>45561</x:v>
      </x:c>
      <x:c r="D42" s="120" t="n">
        <x:v>45562</x:v>
      </x:c>
      <x:c r="E42" s="104" t="str">
        <x:v>Isha Nair</x:v>
      </x:c>
      <x:c r="F42" s="104" t="str">
        <x:v>Office Supplies</x:v>
      </x:c>
      <x:c r="G42" s="104" t="str">
        <x:v>North</x:v>
      </x:c>
      <x:c r="H42" s="129" t="n">
        <x:v>1918.24</x:v>
      </x:c>
      <x:c r="I42" s="129" t="n">
        <x:v>1373.52</x:v>
      </x:c>
      <x:c r="J42" s="129" t="n">
        <x:v>544.72</x:v>
      </x:c>
      <x:c r="K42" s="104" t="str">
        <x:v>Refunded</x:v>
      </x:c>
      <x:c r="L42" s="104" t="str">
        <x:v>Cancelled</x:v>
      </x:c>
      <x:c r="M42" s="105" t="str">
        <x:v>Include in refunded summary</x:v>
      </x:c>
    </x:row>
    <x:row r="43">
      <x:c r="A43" s="103" t="n">
        <x:v>435</x:v>
      </x:c>
      <x:c r="B43" s="104" t="str">
        <x:v>ORD-2024-10434</x:v>
      </x:c>
      <x:c r="C43" s="120" t="n">
        <x:v>45401</x:v>
      </x:c>
      <x:c r="D43" s="120" t="n">
        <x:v>45402</x:v>
      </x:c>
      <x:c r="E43" s="104" t="str">
        <x:v>Priya Menon</x:v>
      </x:c>
      <x:c r="F43" s="104" t="str">
        <x:v>Office Supplies</x:v>
      </x:c>
      <x:c r="G43" s="104" t="str">
        <x:v>South</x:v>
      </x:c>
      <x:c r="H43" s="129" t="n">
        <x:v>6160.88</x:v>
      </x:c>
      <x:c r="I43" s="129" t="n">
        <x:v>4938.7</x:v>
      </x:c>
      <x:c r="J43" s="129" t="n">
        <x:v>1222.18</x:v>
      </x:c>
      <x:c r="K43" s="104" t="str">
        <x:v>Refunded</x:v>
      </x:c>
      <x:c r="L43" s="104" t="str">
        <x:v>Returned</x:v>
      </x:c>
      <x:c r="M43" s="105" t="str">
        <x:v>Include in refunded summary</x:v>
      </x:c>
    </x:row>
    <x:row r="44">
      <x:c r="A44" s="103" t="n">
        <x:v>441</x:v>
      </x:c>
      <x:c r="B44" s="104" t="str">
        <x:v>ORD-2025-10440</x:v>
      </x:c>
      <x:c r="C44" s="120" t="n">
        <x:v>45838</x:v>
      </x:c>
      <x:c r="D44" s="120" t="n">
        <x:v>45841</x:v>
      </x:c>
      <x:c r="E44" s="104" t="str">
        <x:v>Aarav Sharma</x:v>
      </x:c>
      <x:c r="F44" s="104" t="str">
        <x:v>Office Supplies</x:v>
      </x:c>
      <x:c r="G44" s="104" t="str">
        <x:v>West</x:v>
      </x:c>
      <x:c r="H44" s="129" t="n">
        <x:v>3326.25</x:v>
      </x:c>
      <x:c r="I44" s="129" t="n">
        <x:v>2689.36</x:v>
      </x:c>
      <x:c r="J44" s="129" t="n">
        <x:v>636.89</x:v>
      </x:c>
      <x:c r="K44" s="104" t="str">
        <x:v>Refunded</x:v>
      </x:c>
      <x:c r="L44" s="104" t="str">
        <x:v>Returned</x:v>
      </x:c>
      <x:c r="M44" s="105" t="str">
        <x:v>Include in refunded summary</x:v>
      </x:c>
    </x:row>
    <x:row r="45">
      <x:c r="A45" s="103" t="n">
        <x:v>469</x:v>
      </x:c>
      <x:c r="B45" s="104" t="str">
        <x:v>ORD-2024-10468</x:v>
      </x:c>
      <x:c r="C45" s="120" t="n">
        <x:v>45524</x:v>
      </x:c>
      <x:c r="D45" s="120" t="n">
        <x:v>45525</x:v>
      </x:c>
      <x:c r="E45" s="104" t="str">
        <x:v>Aditi Sen</x:v>
      </x:c>
      <x:c r="F45" s="104" t="str">
        <x:v>Technology</x:v>
      </x:c>
      <x:c r="G45" s="104" t="str">
        <x:v>East</x:v>
      </x:c>
      <x:c r="H45" s="129" t="n">
        <x:v>19297.49</x:v>
      </x:c>
      <x:c r="I45" s="129" t="n">
        <x:v>15451.66</x:v>
      </x:c>
      <x:c r="J45" s="129" t="n">
        <x:v>3845.83</x:v>
      </x:c>
      <x:c r="K45" s="104" t="str">
        <x:v>Refunded</x:v>
      </x:c>
      <x:c r="L45" s="104" t="str">
        <x:v>Cancelled</x:v>
      </x:c>
      <x:c r="M45" s="105" t="str">
        <x:v>Include in refunded summary</x:v>
      </x:c>
    </x:row>
    <x:row r="46">
      <x:c r="A46" s="103" t="n">
        <x:v>480</x:v>
      </x:c>
      <x:c r="B46" s="104" t="str">
        <x:v>ORD-2024-10479</x:v>
      </x:c>
      <x:c r="C46" s="120" t="n">
        <x:v>45452</x:v>
      </x:c>
      <x:c r="D46" s="120" t="n">
        <x:v>45456</x:v>
      </x:c>
      <x:c r="E46" s="104" t="str">
        <x:v>Mira Das</x:v>
      </x:c>
      <x:c r="F46" s="104" t="str">
        <x:v>Technology</x:v>
      </x:c>
      <x:c r="G46" s="104" t="str">
        <x:v>Unknown</x:v>
      </x:c>
      <x:c r="H46" s="129" t="n">
        <x:v>25702.17</x:v>
      </x:c>
      <x:c r="I46" s="129" t="n">
        <x:v>14571.48</x:v>
      </x:c>
      <x:c r="J46" s="129" t="n">
        <x:v>11130.69</x:v>
      </x:c>
      <x:c r="K46" s="104" t="str">
        <x:v>Refunded</x:v>
      </x:c>
      <x:c r="L46" s="104" t="str">
        <x:v>Returned</x:v>
      </x:c>
      <x:c r="M46" s="105" t="str">
        <x:v>Include in refunded summary</x:v>
      </x:c>
    </x:row>
    <x:row r="47">
      <x:c r="A47" s="103" t="n">
        <x:v>489</x:v>
      </x:c>
      <x:c r="B47" s="104" t="str">
        <x:v>ORD-2025-10488</x:v>
      </x:c>
      <x:c r="C47" s="120" t="n">
        <x:v>45818</x:v>
      </x:c>
      <x:c r="D47" s="120" t="n">
        <x:v>45825</x:v>
      </x:c>
      <x:c r="E47" s="104" t="str">
        <x:v>Rahul Verma</x:v>
      </x:c>
      <x:c r="F47" s="104" t="str">
        <x:v>Furniture</x:v>
      </x:c>
      <x:c r="G47" s="104" t="str">
        <x:v>South</x:v>
      </x:c>
      <x:c r="H47" s="129" t="n">
        <x:v>6155.5</x:v>
      </x:c>
      <x:c r="I47" s="129" t="n">
        <x:v>4282.09</x:v>
      </x:c>
      <x:c r="J47" s="129" t="n">
        <x:v>1873.41</x:v>
      </x:c>
      <x:c r="K47" s="104" t="str">
        <x:v>Refunded</x:v>
      </x:c>
      <x:c r="L47" s="104" t="str">
        <x:v>Returned</x:v>
      </x:c>
      <x:c r="M47" s="105" t="str">
        <x:v>Include in refunded summary</x:v>
      </x:c>
    </x:row>
    <x:row r="48">
      <x:c r="A48" s="103" t="n">
        <x:v>497</x:v>
      </x:c>
      <x:c r="B48" s="104" t="str">
        <x:v>ORD-2024-10496</x:v>
      </x:c>
      <x:c r="C48" s="120" t="n">
        <x:v>45421</x:v>
      </x:c>
      <x:c r="D48" s="120" t="n">
        <x:v>45427</x:v>
      </x:c>
      <x:c r="E48" s="104" t="str">
        <x:v>Mira Das</x:v>
      </x:c>
      <x:c r="F48" s="104" t="str">
        <x:v>Technology</x:v>
      </x:c>
      <x:c r="G48" s="104" t="str">
        <x:v>East</x:v>
      </x:c>
      <x:c r="H48" s="129" t="n">
        <x:v>3784.72</x:v>
      </x:c>
      <x:c r="I48" s="129" t="n">
        <x:v>2419.24</x:v>
      </x:c>
      <x:c r="J48" s="129" t="n">
        <x:v>1365.48</x:v>
      </x:c>
      <x:c r="K48" s="104" t="str">
        <x:v>Refunded</x:v>
      </x:c>
      <x:c r="L48" s="104" t="str">
        <x:v>Returned</x:v>
      </x:c>
      <x:c r="M48" s="105" t="str">
        <x:v>Include in refunded summary</x:v>
      </x:c>
    </x:row>
    <x:row r="49">
      <x:c r="A49" s="103" t="n">
        <x:v>500</x:v>
      </x:c>
      <x:c r="B49" s="104" t="str">
        <x:v>ORD-2025-10499</x:v>
      </x:c>
      <x:c r="C49" s="120" t="n">
        <x:v>45907</x:v>
      </x:c>
      <x:c r="D49" s="120" t="n">
        <x:v>45910</x:v>
      </x:c>
      <x:c r="E49" s="104" t="str">
        <x:v>Karan Malhotra</x:v>
      </x:c>
      <x:c r="F49" s="104" t="str">
        <x:v>Furniture</x:v>
      </x:c>
      <x:c r="G49" s="104" t="str">
        <x:v>North</x:v>
      </x:c>
      <x:c r="H49" s="129" t="n">
        <x:v>850.35</x:v>
      </x:c>
      <x:c r="I49" s="129" t="n">
        <x:v>600.98</x:v>
      </x:c>
      <x:c r="J49" s="129" t="n">
        <x:v>249.37</x:v>
      </x:c>
      <x:c r="K49" s="104" t="str">
        <x:v>Refunded</x:v>
      </x:c>
      <x:c r="L49" s="104" t="str">
        <x:v>Cancelled</x:v>
      </x:c>
      <x:c r="M49" s="105" t="str">
        <x:v>Include in refunded summary</x:v>
      </x:c>
    </x:row>
    <x:row r="50">
      <x:c r="A50" s="103" t="n">
        <x:v>508</x:v>
      </x:c>
      <x:c r="B50" s="104" t="str">
        <x:v>ORD-2024-10507</x:v>
      </x:c>
      <x:c r="C50" s="120" t="n">
        <x:v>45641</x:v>
      </x:c>
      <x:c r="D50" s="120" t="n">
        <x:v>45641</x:v>
      </x:c>
      <x:c r="E50" s="104" t="str">
        <x:v>Aarav Sharma</x:v>
      </x:c>
      <x:c r="F50" s="104" t="str">
        <x:v>Furniture</x:v>
      </x:c>
      <x:c r="G50" s="104" t="str">
        <x:v>North</x:v>
      </x:c>
      <x:c r="H50" s="129" t="n">
        <x:v>1205.64</x:v>
      </x:c>
      <x:c r="I50" s="129" t="n">
        <x:v>842.07</x:v>
      </x:c>
      <x:c r="J50" s="129" t="n">
        <x:v>363.57</x:v>
      </x:c>
      <x:c r="K50" s="104" t="str">
        <x:v>Refunded</x:v>
      </x:c>
      <x:c r="L50" s="104" t="str">
        <x:v>Returned</x:v>
      </x:c>
      <x:c r="M50" s="105" t="str">
        <x:v>Include in refunded summary</x:v>
      </x:c>
    </x:row>
    <x:row r="51">
      <x:c r="A51" s="103" t="n">
        <x:v>519</x:v>
      </x:c>
      <x:c r="B51" s="104" t="str">
        <x:v>ORD-2025-10518</x:v>
      </x:c>
      <x:c r="C51" s="120" t="n">
        <x:v>45802</x:v>
      </x:c>
      <x:c r="D51" s="120" t="n">
        <x:v>45804</x:v>
      </x:c>
      <x:c r="E51" s="104" t="str">
        <x:v>Rahul Verma</x:v>
      </x:c>
      <x:c r="F51" s="104" t="str">
        <x:v>Furniture</x:v>
      </x:c>
      <x:c r="G51" s="104" t="str">
        <x:v>East</x:v>
      </x:c>
      <x:c r="H51" s="129" t="n">
        <x:v>11890.37</x:v>
      </x:c>
      <x:c r="I51" s="129" t="n">
        <x:v>9234.53</x:v>
      </x:c>
      <x:c r="J51" s="129" t="n">
        <x:v>2655.84</x:v>
      </x:c>
      <x:c r="K51" s="104" t="str">
        <x:v>Refunded</x:v>
      </x:c>
      <x:c r="L51" s="104" t="str">
        <x:v>Returned</x:v>
      </x:c>
      <x:c r="M51" s="105" t="str">
        <x:v>Include in refunded summary</x:v>
      </x:c>
    </x:row>
    <x:row r="52">
      <x:c r="A52" s="103" t="n">
        <x:v>567</x:v>
      </x:c>
      <x:c r="B52" s="104" t="str">
        <x:v>ORD-2025-10566</x:v>
      </x:c>
      <x:c r="C52" s="120" t="n">
        <x:v>45876</x:v>
      </x:c>
      <x:c r="D52" s="120" t="n">
        <x:v>45882</x:v>
      </x:c>
      <x:c r="E52" s="104" t="str">
        <x:v>Mira Das</x:v>
      </x:c>
      <x:c r="F52" s="104" t="str">
        <x:v>Technology</x:v>
      </x:c>
      <x:c r="G52" s="104" t="str">
        <x:v>North</x:v>
      </x:c>
      <x:c r="H52" s="129" t="n">
        <x:v>9224.93</x:v>
      </x:c>
      <x:c r="I52" s="129" t="n">
        <x:v>7005.2</x:v>
      </x:c>
      <x:c r="J52" s="129" t="n">
        <x:v>2219.73</x:v>
      </x:c>
      <x:c r="K52" s="104" t="str">
        <x:v>Refunded</x:v>
      </x:c>
      <x:c r="L52" s="104" t="str">
        <x:v>Cancelled</x:v>
      </x:c>
      <x:c r="M52" s="105" t="str">
        <x:v>Include in refunded summary</x:v>
      </x:c>
    </x:row>
    <x:row r="53">
      <x:c r="A53" s="103" t="n">
        <x:v>571</x:v>
      </x:c>
      <x:c r="B53" s="104" t="str">
        <x:v>ORD-2025-10570</x:v>
      </x:c>
      <x:c r="C53" s="120" t="n">
        <x:v>45908</x:v>
      </x:c>
      <x:c r="D53" s="120" t="n">
        <x:v>45910</x:v>
      </x:c>
      <x:c r="E53" s="104" t="str">
        <x:v>Rahul Verma</x:v>
      </x:c>
      <x:c r="F53" s="104" t="str">
        <x:v>Furniture</x:v>
      </x:c>
      <x:c r="G53" s="104" t="str">
        <x:v>West</x:v>
      </x:c>
      <x:c r="H53" s="129" t="n">
        <x:v>14630.26</x:v>
      </x:c>
      <x:c r="I53" s="129" t="n">
        <x:v>11906.36</x:v>
      </x:c>
      <x:c r="J53" s="129" t="n">
        <x:v>2723.9</x:v>
      </x:c>
      <x:c r="K53" s="104" t="str">
        <x:v>Refunded</x:v>
      </x:c>
      <x:c r="L53" s="104" t="str">
        <x:v>Returned</x:v>
      </x:c>
      <x:c r="M53" s="105" t="str">
        <x:v>Include in refunded summary</x:v>
      </x:c>
    </x:row>
    <x:row r="54">
      <x:c r="A54" s="103" t="n">
        <x:v>578</x:v>
      </x:c>
      <x:c r="B54" s="104" t="str">
        <x:v>ORD-2024-10577</x:v>
      </x:c>
      <x:c r="C54" s="120" t="n">
        <x:v>45339</x:v>
      </x:c>
      <x:c r="D54" s="120" t="n">
        <x:v>45345</x:v>
      </x:c>
      <x:c r="E54" s="104" t="str">
        <x:v>Rohan Mehta</x:v>
      </x:c>
      <x:c r="F54" s="104" t="str">
        <x:v>Office Supplies</x:v>
      </x:c>
      <x:c r="G54" s="104" t="str">
        <x:v>Unknown</x:v>
      </x:c>
      <x:c r="H54" s="129" t="n">
        <x:v>23530.14</x:v>
      </x:c>
      <x:c r="I54" s="129" t="n">
        <x:v>19537.79</x:v>
      </x:c>
      <x:c r="J54" s="129" t="n">
        <x:v>3992.35</x:v>
      </x:c>
      <x:c r="K54" s="104" t="str">
        <x:v>Refunded</x:v>
      </x:c>
      <x:c r="L54" s="104" t="str">
        <x:v>Returned</x:v>
      </x:c>
      <x:c r="M54" s="105" t="str">
        <x:v>Include in refunded summary</x:v>
      </x:c>
    </x:row>
    <x:row r="55">
      <x:c r="A55" s="103" t="n">
        <x:v>583</x:v>
      </x:c>
      <x:c r="B55" s="104" t="str">
        <x:v>ORD-2025-10582</x:v>
      </x:c>
      <x:c r="C55" s="120" t="n">
        <x:v>45878</x:v>
      </x:c>
      <x:c r="D55" s="120" t="n">
        <x:v>45879</x:v>
      </x:c>
      <x:c r="E55" s="104" t="str">
        <x:v>Neha Gupta</x:v>
      </x:c>
      <x:c r="F55" s="104" t="str">
        <x:v>Office Supplies</x:v>
      </x:c>
      <x:c r="G55" s="104" t="str">
        <x:v>North</x:v>
      </x:c>
      <x:c r="H55" s="129" t="n">
        <x:v>16323.8</x:v>
      </x:c>
      <x:c r="I55" s="129" t="n">
        <x:v>9965.79</x:v>
      </x:c>
      <x:c r="J55" s="129" t="n">
        <x:v>6358.01</x:v>
      </x:c>
      <x:c r="K55" s="104" t="str">
        <x:v>Refunded</x:v>
      </x:c>
      <x:c r="L55" s="104" t="str">
        <x:v>Returned</x:v>
      </x:c>
      <x:c r="M55" s="105" t="str">
        <x:v>Include in refunded summary</x:v>
      </x:c>
    </x:row>
    <x:row r="56">
      <x:c r="A56" s="103" t="n">
        <x:v>589</x:v>
      </x:c>
      <x:c r="B56" s="104" t="str">
        <x:v>ORD-2025-10588</x:v>
      </x:c>
      <x:c r="C56" s="120" t="n">
        <x:v>45861</x:v>
      </x:c>
      <x:c r="D56" s="120" t="n">
        <x:v>45869</x:v>
      </x:c>
      <x:c r="E56" s="104" t="str">
        <x:v>Kabir Singh</x:v>
      </x:c>
      <x:c r="F56" s="104" t="str">
        <x:v>Technology</x:v>
      </x:c>
      <x:c r="G56" s="104" t="str">
        <x:v>West</x:v>
      </x:c>
      <x:c r="H56" s="129" t="n">
        <x:v>3615.76</x:v>
      </x:c>
      <x:c r="I56" s="129" t="n">
        <x:v>2951.52</x:v>
      </x:c>
      <x:c r="J56" s="129" t="n">
        <x:v>664.24</x:v>
      </x:c>
      <x:c r="K56" s="104" t="str">
        <x:v>Refunded</x:v>
      </x:c>
      <x:c r="L56" s="104" t="str">
        <x:v>Cancelled</x:v>
      </x:c>
      <x:c r="M56" s="105" t="str">
        <x:v>Include in refunded summary</x:v>
      </x:c>
    </x:row>
    <x:row r="57">
      <x:c r="A57" s="103" t="n">
        <x:v>590</x:v>
      </x:c>
      <x:c r="B57" s="104" t="str">
        <x:v>ORD-2025-10589</x:v>
      </x:c>
      <x:c r="C57" s="120" t="n">
        <x:v>45727</x:v>
      </x:c>
      <x:c r="D57" s="120" t="n">
        <x:v>45731</x:v>
      </x:c>
      <x:c r="E57" s="104" t="str">
        <x:v>Aarav Sharma</x:v>
      </x:c>
      <x:c r="F57" s="104" t="str">
        <x:v>Technology</x:v>
      </x:c>
      <x:c r="G57" s="104" t="str">
        <x:v>South</x:v>
      </x:c>
      <x:c r="H57" s="129" t="n">
        <x:v>32013.79</x:v>
      </x:c>
      <x:c r="I57" s="129" t="n">
        <x:v>20896.88</x:v>
      </x:c>
      <x:c r="J57" s="129" t="n">
        <x:v>11116.91</x:v>
      </x:c>
      <x:c r="K57" s="104" t="str">
        <x:v>Refunded</x:v>
      </x:c>
      <x:c r="L57" s="104" t="str">
        <x:v>Cancelled</x:v>
      </x:c>
      <x:c r="M57" s="105" t="str">
        <x:v>Include in refunded summary</x:v>
      </x:c>
    </x:row>
    <x:row r="58">
      <x:c r="A58" s="103" t="n">
        <x:v>616</x:v>
      </x:c>
      <x:c r="B58" s="104" t="str">
        <x:v>ORD-2024-10615</x:v>
      </x:c>
      <x:c r="C58" s="120" t="n">
        <x:v>45333</x:v>
      </x:c>
      <x:c r="D58" s="120" t="n">
        <x:v>45341</x:v>
      </x:c>
      <x:c r="E58" s="104" t="str">
        <x:v>Ananya Rao</x:v>
      </x:c>
      <x:c r="F58" s="104" t="str">
        <x:v>Furniture</x:v>
      </x:c>
      <x:c r="G58" s="104" t="str">
        <x:v>South</x:v>
      </x:c>
      <x:c r="H58" s="129" t="n">
        <x:v>20389.92</x:v>
      </x:c>
      <x:c r="I58" s="129" t="n">
        <x:v>16661.08</x:v>
      </x:c>
      <x:c r="J58" s="129" t="n">
        <x:v>3728.84</x:v>
      </x:c>
      <x:c r="K58" s="104" t="str">
        <x:v>Refunded</x:v>
      </x:c>
      <x:c r="L58" s="104" t="str">
        <x:v>Cancelled</x:v>
      </x:c>
      <x:c r="M58" s="105" t="str">
        <x:v>Include in refunded summary</x:v>
      </x:c>
    </x:row>
    <x:row r="59">
      <x:c r="A59" s="103" t="n">
        <x:v>621</x:v>
      </x:c>
      <x:c r="B59" s="104" t="str">
        <x:v>ORD-2024-10620</x:v>
      </x:c>
      <x:c r="C59" s="120" t="n">
        <x:v>45618</x:v>
      </x:c>
      <x:c r="D59" s="120" t="n">
        <x:v>45623</x:v>
      </x:c>
      <x:c r="E59" s="104" t="str">
        <x:v>Priya Menon</x:v>
      </x:c>
      <x:c r="F59" s="104" t="str">
        <x:v>Office Supplies</x:v>
      </x:c>
      <x:c r="G59" s="104" t="str">
        <x:v>South</x:v>
      </x:c>
      <x:c r="H59" s="129" t="n">
        <x:v>3401.01</x:v>
      </x:c>
      <x:c r="I59" s="129" t="n">
        <x:v>2917.54</x:v>
      </x:c>
      <x:c r="J59" s="129" t="n">
        <x:v>483.47</x:v>
      </x:c>
      <x:c r="K59" s="104" t="str">
        <x:v>Refunded</x:v>
      </x:c>
      <x:c r="L59" s="104" t="str">
        <x:v>Returned</x:v>
      </x:c>
      <x:c r="M59" s="105" t="str">
        <x:v>Include in refunded summary</x:v>
      </x:c>
    </x:row>
    <x:row r="60">
      <x:c r="A60" s="103" t="n">
        <x:v>660</x:v>
      </x:c>
      <x:c r="B60" s="104" t="str">
        <x:v>ORD-2025-10659</x:v>
      </x:c>
      <x:c r="C60" s="120" t="n">
        <x:v>45817</x:v>
      </x:c>
      <x:c r="D60" s="120" t="n">
        <x:v>45820</x:v>
      </x:c>
      <x:c r="E60" s="104" t="str">
        <x:v>Sneha Kapoor</x:v>
      </x:c>
      <x:c r="F60" s="104" t="str">
        <x:v>Office Supplies</x:v>
      </x:c>
      <x:c r="G60" s="104" t="str">
        <x:v>Unknown</x:v>
      </x:c>
      <x:c r="H60" s="129" t="n">
        <x:v>19966.94</x:v>
      </x:c>
      <x:c r="I60" s="129" t="n">
        <x:v>12690.83</x:v>
      </x:c>
      <x:c r="J60" s="129" t="n">
        <x:v>7276.11</x:v>
      </x:c>
      <x:c r="K60" s="104" t="str">
        <x:v>Refunded</x:v>
      </x:c>
      <x:c r="L60" s="104" t="str">
        <x:v>Cancelled</x:v>
      </x:c>
      <x:c r="M60" s="105" t="str">
        <x:v>Include in refunded summary</x:v>
      </x:c>
    </x:row>
    <x:row r="61">
      <x:c r="A61" s="103" t="n">
        <x:v>661</x:v>
      </x:c>
      <x:c r="B61" s="104" t="str">
        <x:v>ORD-2025-10660</x:v>
      </x:c>
      <x:c r="C61" s="120" t="n">
        <x:v>45678</x:v>
      </x:c>
      <x:c r="D61" s="120" t="n">
        <x:v>45679</x:v>
      </x:c>
      <x:c r="E61" s="104" t="str">
        <x:v>Diya Patel</x:v>
      </x:c>
      <x:c r="F61" s="104" t="str">
        <x:v>Technology</x:v>
      </x:c>
      <x:c r="G61" s="104" t="str">
        <x:v>South</x:v>
      </x:c>
      <x:c r="H61" s="129" t="n">
        <x:v>710.9</x:v>
      </x:c>
      <x:c r="I61" s="129" t="n">
        <x:v>513.88</x:v>
      </x:c>
      <x:c r="J61" s="129" t="n">
        <x:v>197.02</x:v>
      </x:c>
      <x:c r="K61" s="104" t="str">
        <x:v>Refunded</x:v>
      </x:c>
      <x:c r="L61" s="104" t="str">
        <x:v>Cancelled</x:v>
      </x:c>
      <x:c r="M61" s="105" t="str">
        <x:v>Include in refunded summary</x:v>
      </x:c>
    </x:row>
    <x:row r="62">
      <x:c r="A62" s="103" t="n">
        <x:v>681</x:v>
      </x:c>
      <x:c r="B62" s="104" t="str">
        <x:v>ORD-2025-10680</x:v>
      </x:c>
      <x:c r="C62" s="120" t="n">
        <x:v>45885</x:v>
      </x:c>
      <x:c r="D62" s="120" t="n">
        <x:v>45892</x:v>
      </x:c>
      <x:c r="E62" s="104" t="str">
        <x:v>Rohan Mehta</x:v>
      </x:c>
      <x:c r="F62" s="104" t="str">
        <x:v>Technology</x:v>
      </x:c>
      <x:c r="G62" s="104" t="str">
        <x:v>North</x:v>
      </x:c>
      <x:c r="H62" s="129" t="n">
        <x:v>5360.17</x:v>
      </x:c>
      <x:c r="I62" s="129" t="n">
        <x:v>3881.51</x:v>
      </x:c>
      <x:c r="J62" s="129" t="n">
        <x:v>1478.66</x:v>
      </x:c>
      <x:c r="K62" s="104" t="str">
        <x:v>Refunded</x:v>
      </x:c>
      <x:c r="L62" s="104" t="str">
        <x:v>Cancelled</x:v>
      </x:c>
      <x:c r="M62" s="105" t="str">
        <x:v>Include in refunded summary</x:v>
      </x:c>
    </x:row>
    <x:row r="63">
      <x:c r="A63" s="103" t="n">
        <x:v>685</x:v>
      </x:c>
      <x:c r="B63" s="104" t="str">
        <x:v>ORD-2025-10684</x:v>
      </x:c>
      <x:c r="C63" s="120" t="n">
        <x:v>45858</x:v>
      </x:c>
      <x:c r="D63" s="120" t="n">
        <x:v>45862</x:v>
      </x:c>
      <x:c r="E63" s="104" t="str">
        <x:v>Arjun Bose</x:v>
      </x:c>
      <x:c r="F63" s="104" t="str">
        <x:v>Furniture</x:v>
      </x:c>
      <x:c r="G63" s="104" t="str">
        <x:v>South</x:v>
      </x:c>
      <x:c r="H63" s="129" t="n">
        <x:v>7902.96</x:v>
      </x:c>
      <x:c r="I63" s="129" t="n">
        <x:v>5512.03</x:v>
      </x:c>
      <x:c r="J63" s="129" t="n">
        <x:v>2390.93</x:v>
      </x:c>
      <x:c r="K63" s="104" t="str">
        <x:v>Refunded</x:v>
      </x:c>
      <x:c r="L63" s="104" t="str">
        <x:v>Cancelled</x:v>
      </x:c>
      <x:c r="M63" s="105" t="str">
        <x:v>Include in refunded summary</x:v>
      </x:c>
    </x:row>
    <x:row r="64">
      <x:c r="A64" s="103" t="n">
        <x:v>686</x:v>
      </x:c>
      <x:c r="B64" s="104" t="str">
        <x:v>ORD-2025-10685</x:v>
      </x:c>
      <x:c r="C64" s="120" t="n">
        <x:v>45859</x:v>
      </x:c>
      <x:c r="D64" s="120" t="n">
        <x:v>45859</x:v>
      </x:c>
      <x:c r="E64" s="104" t="str">
        <x:v>Isha Nair</x:v>
      </x:c>
      <x:c r="F64" s="104" t="str">
        <x:v>Furniture</x:v>
      </x:c>
      <x:c r="G64" s="104" t="str">
        <x:v>South</x:v>
      </x:c>
      <x:c r="H64" s="129" t="n">
        <x:v>24621.24</x:v>
      </x:c>
      <x:c r="I64" s="129" t="n">
        <x:v>17155.48</x:v>
      </x:c>
      <x:c r="J64" s="129" t="n">
        <x:v>7465.76</x:v>
      </x:c>
      <x:c r="K64" s="104" t="str">
        <x:v>Refunded</x:v>
      </x:c>
      <x:c r="L64" s="104" t="str">
        <x:v>Cancelled</x:v>
      </x:c>
      <x:c r="M64" s="105" t="str">
        <x:v>Include in refunded summary</x:v>
      </x:c>
    </x:row>
    <x:row r="65">
      <x:c r="A65" s="103" t="n">
        <x:v>699</x:v>
      </x:c>
      <x:c r="B65" s="104" t="str">
        <x:v>ORD-2025-10698</x:v>
      </x:c>
      <x:c r="C65" s="120" t="n">
        <x:v>45717</x:v>
      </x:c>
      <x:c r="D65" s="120" t="n">
        <x:v>45723</x:v>
      </x:c>
      <x:c r="E65" s="104" t="str">
        <x:v>Arjun Bose</x:v>
      </x:c>
      <x:c r="F65" s="104" t="str">
        <x:v>Office Supplies</x:v>
      </x:c>
      <x:c r="G65" s="104" t="str">
        <x:v>South</x:v>
      </x:c>
      <x:c r="H65" s="129" t="n">
        <x:v>2977.54</x:v>
      </x:c>
      <x:c r="I65" s="129" t="n">
        <x:v>1849.3</x:v>
      </x:c>
      <x:c r="J65" s="129" t="n">
        <x:v>1128.24</x:v>
      </x:c>
      <x:c r="K65" s="104" t="str">
        <x:v>Refunded</x:v>
      </x:c>
      <x:c r="L65" s="104" t="str">
        <x:v>Returned</x:v>
      </x:c>
      <x:c r="M65" s="105" t="str">
        <x:v>Include in refunded summary</x:v>
      </x:c>
    </x:row>
    <x:row r="66">
      <x:c r="A66" s="103" t="n">
        <x:v>717</x:v>
      </x:c>
      <x:c r="B66" s="104" t="str">
        <x:v>ORD-2025-10716</x:v>
      </x:c>
      <x:c r="C66" s="120" t="n">
        <x:v>45891</x:v>
      </x:c>
      <x:c r="D66" s="120" t="n">
        <x:v>45896</x:v>
      </x:c>
      <x:c r="E66" s="104" t="str">
        <x:v>Priya Menon</x:v>
      </x:c>
      <x:c r="F66" s="104" t="str">
        <x:v>Furniture</x:v>
      </x:c>
      <x:c r="G66" s="104" t="str">
        <x:v>North</x:v>
      </x:c>
      <x:c r="H66" s="129" t="n">
        <x:v>19901.63</x:v>
      </x:c>
      <x:c r="I66" s="129" t="n">
        <x:v>15492.03</x:v>
      </x:c>
      <x:c r="J66" s="129" t="n">
        <x:v>4409.6</x:v>
      </x:c>
      <x:c r="K66" s="104" t="str">
        <x:v>Refunded</x:v>
      </x:c>
      <x:c r="L66" s="104" t="str">
        <x:v>Cancelled</x:v>
      </x:c>
      <x:c r="M66" s="105" t="str">
        <x:v>Include in refunded summary</x:v>
      </x:c>
    </x:row>
    <x:row r="67">
      <x:c r="A67" s="103" t="n">
        <x:v>724</x:v>
      </x:c>
      <x:c r="B67" s="104" t="str">
        <x:v>ORD-2024-10723</x:v>
      </x:c>
      <x:c r="C67" s="120" t="n">
        <x:v>45572</x:v>
      </x:c>
      <x:c r="D67" s="120" t="n">
        <x:v>45575</x:v>
      </x:c>
      <x:c r="E67" s="104" t="str">
        <x:v>Vikram Iyer</x:v>
      </x:c>
      <x:c r="F67" s="104" t="str">
        <x:v>Furniture</x:v>
      </x:c>
      <x:c r="G67" s="104" t="str">
        <x:v>East</x:v>
      </x:c>
      <x:c r="H67" s="129" t="n">
        <x:v>4333.59</x:v>
      </x:c>
      <x:c r="I67" s="129" t="n">
        <x:v>2533.59</x:v>
      </x:c>
      <x:c r="J67" s="129" t="n">
        <x:v>1800</x:v>
      </x:c>
      <x:c r="K67" s="104" t="str">
        <x:v>Refunded</x:v>
      </x:c>
      <x:c r="L67" s="104" t="str">
        <x:v>Cancelled</x:v>
      </x:c>
      <x:c r="M67" s="105" t="str">
        <x:v>Include in refunded summary</x:v>
      </x:c>
    </x:row>
    <x:row r="68">
      <x:c r="A68" s="103" t="n">
        <x:v>732</x:v>
      </x:c>
      <x:c r="B68" s="104" t="str">
        <x:v>ORD-2025-10731</x:v>
      </x:c>
      <x:c r="C68" s="120" t="n">
        <x:v>45827</x:v>
      </x:c>
      <x:c r="D68" s="120" t="n">
        <x:v>45832</x:v>
      </x:c>
      <x:c r="E68" s="104" t="str">
        <x:v>Arjun Bose</x:v>
      </x:c>
      <x:c r="F68" s="104" t="str">
        <x:v>Office Supplies</x:v>
      </x:c>
      <x:c r="G68" s="104" t="str">
        <x:v>East</x:v>
      </x:c>
      <x:c r="H68" s="129" t="n">
        <x:v>2658.83</x:v>
      </x:c>
      <x:c r="I68" s="129" t="n">
        <x:v>2226.97</x:v>
      </x:c>
      <x:c r="J68" s="129" t="n">
        <x:v>431.86</x:v>
      </x:c>
      <x:c r="K68" s="104" t="str">
        <x:v>Refunded</x:v>
      </x:c>
      <x:c r="L68" s="104" t="str">
        <x:v>Returned</x:v>
      </x:c>
      <x:c r="M68" s="105" t="str">
        <x:v>Include in refunded summary</x:v>
      </x:c>
    </x:row>
    <x:row r="69">
      <x:c r="A69" s="103" t="n">
        <x:v>764</x:v>
      </x:c>
      <x:c r="B69" s="104" t="str">
        <x:v>ORD-2024-10763</x:v>
      </x:c>
      <x:c r="C69" s="120" t="n">
        <x:v>45292</x:v>
      </x:c>
      <x:c r="D69" s="120" t="n">
        <x:v>45296</x:v>
      </x:c>
      <x:c r="E69" s="104" t="str">
        <x:v>Diya Patel</x:v>
      </x:c>
      <x:c r="F69" s="104" t="str">
        <x:v>Technology</x:v>
      </x:c>
      <x:c r="G69" s="104" t="str">
        <x:v>West</x:v>
      </x:c>
      <x:c r="H69" s="129" t="n">
        <x:v>5910.59</x:v>
      </x:c>
      <x:c r="I69" s="129" t="n">
        <x:v>4775.44</x:v>
      </x:c>
      <x:c r="J69" s="129" t="n">
        <x:v>1135.15</x:v>
      </x:c>
      <x:c r="K69" s="104" t="str">
        <x:v>Refunded</x:v>
      </x:c>
      <x:c r="L69" s="104" t="str">
        <x:v>Returned</x:v>
      </x:c>
      <x:c r="M69" s="105" t="str">
        <x:v>Include in refunded summary</x:v>
      </x:c>
    </x:row>
    <x:row r="70">
      <x:c r="A70" s="103" t="n">
        <x:v>788</x:v>
      </x:c>
      <x:c r="B70" s="104" t="str">
        <x:v>ORD-2025-10787</x:v>
      </x:c>
      <x:c r="C70" s="120" t="n">
        <x:v>45844</x:v>
      </x:c>
      <x:c r="D70" s="120" t="n">
        <x:v>45846</x:v>
      </x:c>
      <x:c r="E70" s="104" t="str">
        <x:v>Ananya Rao</x:v>
      </x:c>
      <x:c r="F70" s="104" t="str">
        <x:v>Furniture</x:v>
      </x:c>
      <x:c r="G70" s="104" t="str">
        <x:v>North</x:v>
      </x:c>
      <x:c r="H70" s="129" t="n">
        <x:v>2718.71</x:v>
      </x:c>
      <x:c r="I70" s="129" t="n">
        <x:v>2065.05</x:v>
      </x:c>
      <x:c r="J70" s="129" t="n">
        <x:v>653.66</x:v>
      </x:c>
      <x:c r="K70" s="104" t="str">
        <x:v>Refunded</x:v>
      </x:c>
      <x:c r="L70" s="104" t="str">
        <x:v>Returned</x:v>
      </x:c>
      <x:c r="M70" s="105" t="str">
        <x:v>Include in refunded summary</x:v>
      </x:c>
    </x:row>
    <x:row r="71">
      <x:c r="A71" s="103" t="n">
        <x:v>797</x:v>
      </x:c>
      <x:c r="B71" s="104" t="str">
        <x:v>ORD-2024-10796</x:v>
      </x:c>
      <x:c r="C71" s="120" t="n">
        <x:v>45503</x:v>
      </x:c>
      <x:c r="D71" s="120" t="n">
        <x:v>45503</x:v>
      </x:c>
      <x:c r="E71" s="104" t="str">
        <x:v>Diya Patel</x:v>
      </x:c>
      <x:c r="F71" s="104" t="str">
        <x:v>Technology</x:v>
      </x:c>
      <x:c r="G71" s="104" t="str">
        <x:v>East</x:v>
      </x:c>
      <x:c r="H71" s="129" t="n">
        <x:v>26051.94</x:v>
      </x:c>
      <x:c r="I71" s="129" t="n">
        <x:v>16883.59</x:v>
      </x:c>
      <x:c r="J71" s="129" t="n">
        <x:v>9168.35</x:v>
      </x:c>
      <x:c r="K71" s="104" t="str">
        <x:v>Refunded</x:v>
      </x:c>
      <x:c r="L71" s="104" t="str">
        <x:v>Cancelled</x:v>
      </x:c>
      <x:c r="M71" s="105" t="str">
        <x:v>Include in refunded summary</x:v>
      </x:c>
    </x:row>
    <x:row r="72">
      <x:c r="A72" s="103" t="n">
        <x:v>873</x:v>
      </x:c>
      <x:c r="B72" s="104" t="str">
        <x:v>ORD-2024-10872</x:v>
      </x:c>
      <x:c r="C72" s="120" t="n">
        <x:v>45342</x:v>
      </x:c>
      <x:c r="D72" s="120" t="n">
        <x:v>45344</x:v>
      </x:c>
      <x:c r="E72" s="104" t="str">
        <x:v>Neha Gupta</x:v>
      </x:c>
      <x:c r="F72" s="104" t="str">
        <x:v>Technology</x:v>
      </x:c>
      <x:c r="G72" s="104" t="str">
        <x:v>South</x:v>
      </x:c>
      <x:c r="H72" s="129" t="n">
        <x:v>19676.07</x:v>
      </x:c>
      <x:c r="I72" s="129" t="n">
        <x:v>12458.62</x:v>
      </x:c>
      <x:c r="J72" s="129" t="n">
        <x:v>7217.45</x:v>
      </x:c>
      <x:c r="K72" s="104" t="str">
        <x:v>Refunded</x:v>
      </x:c>
      <x:c r="L72" s="104" t="str">
        <x:v>Cancelled</x:v>
      </x:c>
      <x:c r="M72" s="105" t="str">
        <x:v>Include in refunded summary</x:v>
      </x:c>
    </x:row>
    <x:row r="73">
      <x:c r="A73" s="103" t="n">
        <x:v>890</x:v>
      </x:c>
      <x:c r="B73" s="104" t="str">
        <x:v>ORD-2025-10889</x:v>
      </x:c>
      <x:c r="C73" s="120" t="n">
        <x:v>45875</x:v>
      </x:c>
      <x:c r="D73" s="120" t="n">
        <x:v>45876</x:v>
      </x:c>
      <x:c r="E73" s="104" t="str">
        <x:v>Rahul Verma</x:v>
      </x:c>
      <x:c r="F73" s="104" t="str">
        <x:v>Office Supplies</x:v>
      </x:c>
      <x:c r="G73" s="104" t="str">
        <x:v>West</x:v>
      </x:c>
      <x:c r="H73" s="129" t="n">
        <x:v>12685.1</x:v>
      </x:c>
      <x:c r="I73" s="129" t="n">
        <x:v>10779.56</x:v>
      </x:c>
      <x:c r="J73" s="129" t="n">
        <x:v>1905.54</x:v>
      </x:c>
      <x:c r="K73" s="104" t="str">
        <x:v>Refunded</x:v>
      </x:c>
      <x:c r="L73" s="104" t="str">
        <x:v>Cancelled</x:v>
      </x:c>
      <x:c r="M73" s="105" t="str">
        <x:v>Include in refunded summary</x:v>
      </x:c>
    </x:row>
    <x:row r="74">
      <x:c r="A74" s="106" t="n">
        <x:v>932</x:v>
      </x:c>
      <x:c r="B74" s="107" t="str">
        <x:v>ORD-2024-10124</x:v>
      </x:c>
      <x:c r="C74" s="122" t="n">
        <x:v>45436</x:v>
      </x:c>
      <x:c r="D74" s="122" t="n">
        <x:v>45437</x:v>
      </x:c>
      <x:c r="E74" s="107" t="str">
        <x:v>Sneha Kapoor</x:v>
      </x:c>
      <x:c r="F74" s="107" t="str">
        <x:v>Technology</x:v>
      </x:c>
      <x:c r="G74" s="107" t="str">
        <x:v>North</x:v>
      </x:c>
      <x:c r="H74" s="130" t="n">
        <x:v>808.67</x:v>
      </x:c>
      <x:c r="I74" s="130" t="n">
        <x:v>453.35</x:v>
      </x:c>
      <x:c r="J74" s="130" t="n">
        <x:v>180.78</x:v>
      </x:c>
      <x:c r="K74" s="107" t="str">
        <x:v>Refunded</x:v>
      </x:c>
      <x:c r="L74" s="107" t="str">
        <x:v>Returned</x:v>
      </x:c>
      <x:c r="M74" s="108" t="str">
        <x:v>Include in refunded summary</x:v>
      </x:c>
    </x:row>
  </x:sheetData>
  <x:mergeCells>
    <x:mergeCell ref="A1:M1"/>
  </x:mergeCells>
  <x:pageMargins left="0.7" right="0.7" top="0.75" bottom="0.75" header="0.3" footer="0.3"/>
</x:worksheet>
</file>