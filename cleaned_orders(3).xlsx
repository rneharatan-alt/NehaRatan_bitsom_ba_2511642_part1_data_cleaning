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99de4a27d47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rders" sheetId="1" r:id="R7b6e5e673e724ad7"/>
    <x:sheet xmlns:r="http://schemas.openxmlformats.org/officeDocument/2006/relationships" name="business_rules" sheetId="2" r:id="Rb247c9fc3a9945f6"/>
    <x:sheet xmlns:r="http://schemas.openxmlformats.org/officeDocument/2006/relationships" name="Business_Summary" sheetId="3" r:id="R94c36837bf004f7f"/>
    <x:sheet xmlns:r="http://schemas.openxmlformats.org/officeDocument/2006/relationships" name="Cleaned_Orders" sheetId="4" r:id="R7205a69ad5db4343"/>
    <x:sheet xmlns:r="http://schemas.openxmlformats.org/officeDocument/2006/relationships" name="Data_Quality_Report" sheetId="5" r:id="Re33f26b8e95343b9"/>
    <x:sheet xmlns:r="http://schemas.openxmlformats.org/officeDocument/2006/relationships" name="Issue_Log" sheetId="6" r:id="R0bbfbcd1e641441a"/>
    <x:sheet xmlns:r="http://schemas.openxmlformats.org/officeDocument/2006/relationships" name="Field_Mapping" sheetId="7" r:id="R67cb8ee5bad64354"/>
    <x:sheet xmlns:r="http://schemas.openxmlformats.org/officeDocument/2006/relationships" name="Cleaning_Methods" sheetId="8" r:id="Rc39d34e46c1a4e3c"/>
    <x:sheet xmlns:r="http://schemas.openxmlformats.org/officeDocument/2006/relationships" name="Date_Validation" sheetId="9" r:id="Rb9114eced8e84613"/>
    <x:sheet xmlns:r="http://schemas.openxmlformats.org/officeDocument/2006/relationships" name="Date_Validation_Log" sheetId="10" r:id="Rbec6fbce1949499b"/>
    <x:sheet xmlns:r="http://schemas.openxmlformats.org/officeDocument/2006/relationships" name="Business_Rules_Summary" sheetId="11" r:id="Ra6976065019f4c28"/>
    <x:sheet xmlns:r="http://schemas.openxmlformats.org/officeDocument/2006/relationships" name="Refunded_Sales_Summary" sheetId="12" r:id="Rabe715c2c29a49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0"/>
    <x:numFmt numFmtId="202" formatCode="#,##0.00"/>
    <x:numFmt numFmtId="203" formatCode="0.0%"/>
    <x:numFmt numFmtId="204" formatCode="@"/>
    <x:numFmt numFmtId="205" formatCode="0%"/>
    <x:numFmt numFmtId="206" formatCode="#,##0"/>
    <x:numFmt numFmtId="207" formatCode="#,##0.00;[Red]-#,##0.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4"/>
      <x:color rgb="FFFFFFFF"/>
      <x:name val="Carlito"/>
    </x:font>
    <x:font>
      <x:b/>
      <x:sz val="11"/>
      <x:color rgb="FF9C5700"/>
      <x:name val="Carlito"/>
    </x:font>
    <x:font>
      <x:i/>
      <x:sz val="11"/>
      <x:color rgb="FF7F6000"/>
      <x:name val="Carlito"/>
    </x:font>
    <x:font>
      <x:b/>
      <x:sz val="12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244062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2" fillId="5" borderId="0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left"/>
    </x:xf>
    <x:xf numFmtId="0" fontId="3" fillId="7" borderId="0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3" fillId="7" xfId="0" applyNumberFormat="1" applyFont="1" applyFill="1" applyBorder="0" applyAlignment="1">
      <x:alignment horizontal="left" vertical="center"/>
    </x:xf>
    <x:xf numFmtId="0" fontId="0" fillId="0" xfId="0" applyNumberFormat="1" applyFont="1" applyFill="1" applyBorder="0"/>
    <x:xf numFmtId="0" fontId="1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wrapText="1"/>
    </x:xf>
    <x:xf numFmtId="201" fontId="0" fillId="0" xfId="0" applyNumberFormat="1" applyFont="1" applyFill="1" applyBorder="0"/>
    <x:xf numFmtId="0" fontId="4" fillId="8" xfId="0" applyNumberFormat="1" applyFont="1" applyFill="1" applyBorder="0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3" fillId="4" xfId="0" applyNumberFormat="1" applyFont="1" applyFill="1" applyBorder="0" applyAlignment="1">
      <x:alignment horizontal="left" vertical="center"/>
    </x:xf>
    <x:xf numFmtId="0" fontId="1" fillId="4" xfId="0" applyNumberFormat="1" applyFont="1" applyFill="1" applyBorder="0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205" fontId="0" fillId="0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5" fontId="0" fillId="0" borderId="0" xfId="0" applyNumberFormat="1" applyFont="1" applyFill="1" applyBorder="1" applyAlignment="1">
      <x:alignment vertical="center" wrapText="0"/>
    </x:xf>
    <x:xf numFmtId="203" fontId="0" fillId="0" borderId="0" xfId="0" applyNumberFormat="1" applyFont="1" applyFill="1" applyBorder="1" applyAlignment="1">
      <x:alignment vertical="center" wrapText="0"/>
    </x:xf>
    <x:xf numFmtId="204" fontId="0" fillId="0" borderId="0" xfId="0" applyNumberFormat="1" applyFont="1" applyFill="1" applyBorder="1" applyAlignment="1">
      <x:alignment vertical="center" wrapText="0"/>
    </x:xf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left"/>
    </x:xf>
    <x:xf numFmtId="0" fontId="3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1" fillId="10" borderId="2" xfId="0" applyNumberFormat="1" applyFont="1" applyFill="1" applyBorder="1" applyAlignment="1">
      <x:alignment horizontal="center" vertical="center" wrapText="1"/>
    </x:xf>
    <x:xf numFmtId="0" fontId="1" fillId="10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10" borderId="2" xfId="0" applyNumberFormat="1" applyFont="1" applyFill="1" applyBorder="1" applyAlignment="1">
      <x:alignment horizontal="center" vertical="top" wrapText="1"/>
    </x:xf>
    <x:xf numFmtId="0" fontId="1" fillId="10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1" fillId="1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1" fillId="10" borderId="8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  <x:xf numFmtId="206" fontId="0" fillId="0" borderId="5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6" fontId="0" fillId="0" xfId="0" applyNumberFormat="1" applyFont="1" applyFill="1" applyBorder="0" applyAlignment="1">
      <x:alignment wrapText="1"/>
    </x:xf>
    <x:xf numFmtId="206" fontId="0" fillId="0" borderId="9" xfId="0" applyNumberFormat="1" applyFont="1" applyFill="1" applyBorder="1" applyAlignment="1">
      <x:alignment wrapText="1"/>
    </x:xf>
    <x:xf numFmtId="202" fontId="0" fillId="0" xfId="0" applyNumberFormat="1" applyFont="1" applyFill="1" applyBorder="0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2" fontId="1" fillId="10" borderId="8" xfId="0" applyNumberFormat="1" applyFont="1" applyFill="1" applyBorder="1" applyAlignment="1">
      <x:alignment horizontal="center" vertical="center" wrapText="1"/>
    </x:xf>
    <x:xf numFmtId="202" fontId="1" fillId="10" borderId="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0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 applyAlignment="1">
      <x:alignment wrapText="1"/>
    </x:xf>
    <x:xf numFmtId="202" fontId="1" fillId="1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 applyAlignment="1">
      <x:alignment vertical="center" wrapText="0"/>
    </x:xf>
    <x:xf numFmtId="207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center" wrapText="0"/>
    </x:xf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left"/>
    </x:xf>
    <x:xf numFmtId="0" fontId="6" fillId="12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1">
    <x:dxf>
      <x:font>
        <x:b/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C00000"/>
      </x:font>
      <x:fill>
        <x:patternFill>
          <x:bgColor rgb="FFFDE9D9"/>
        </x:patternFill>
      </x:fill>
    </x:dxf>
    <x:dxf>
      <x:font>
        <x:color rgb="FFC00000"/>
      </x:font>
      <x:fill>
        <x:patternFill>
          <x:bgColor rgb="FFFDE9D9"/>
        </x:patternFill>
      </x:fill>
    </x:dxf>
    <x:dxf>
      <x:font>
        <x:color rgb="FF9C57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DE9D9"/>
        </x:patternFill>
      </x:fill>
    </x:dxf>
    <x:dxf>
      <x:font>
        <x:b/>
        <x:color rgb="FFC00000"/>
      </x:font>
      <x:fill>
        <x:patternFill>
          <x:bgColor rgb="FFFDE9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597cf6ef484668" /><Relationship Type="http://schemas.openxmlformats.org/officeDocument/2006/relationships/theme" Target="/xl/theme/theme1.xml" Id="Rba339d5d61db4e70" /><Relationship Type="http://schemas.openxmlformats.org/officeDocument/2006/relationships/sharedStrings" Target="/xl/sharedStrings.xml" Id="Rc3db85ec717d4984" /><Relationship Type="http://schemas.openxmlformats.org/officeDocument/2006/relationships/worksheet" Target="/xl/worksheets/sheet1.xml" Id="R7b6e5e673e724ad7" /><Relationship Type="http://schemas.openxmlformats.org/officeDocument/2006/relationships/worksheet" Target="/xl/worksheets/sheet2.xml" Id="Rb247c9fc3a9945f6" /><Relationship Type="http://schemas.openxmlformats.org/officeDocument/2006/relationships/worksheet" Target="/xl/worksheets/sheet3.xml" Id="R94c36837bf004f7f" /><Relationship Type="http://schemas.openxmlformats.org/officeDocument/2006/relationships/worksheet" Target="/xl/worksheets/sheet4.xml" Id="R7205a69ad5db4343" /><Relationship Type="http://schemas.openxmlformats.org/officeDocument/2006/relationships/worksheet" Target="/xl/worksheets/sheet5.xml" Id="Re33f26b8e95343b9" /><Relationship Type="http://schemas.openxmlformats.org/officeDocument/2006/relationships/worksheet" Target="/xl/worksheets/sheet6.xml" Id="R0bbfbcd1e641441a" /><Relationship Type="http://schemas.openxmlformats.org/officeDocument/2006/relationships/worksheet" Target="/xl/worksheets/sheet7.xml" Id="R67cb8ee5bad64354" /><Relationship Type="http://schemas.openxmlformats.org/officeDocument/2006/relationships/worksheet" Target="/xl/worksheets/sheet8.xml" Id="Rc39d34e46c1a4e3c" /><Relationship Type="http://schemas.openxmlformats.org/officeDocument/2006/relationships/worksheet" Target="/xl/worksheets/sheet9.xml" Id="Rb9114eced8e84613" /><Relationship Type="http://schemas.openxmlformats.org/officeDocument/2006/relationships/worksheet" Target="/xl/worksheets/sheet10.xml" Id="Rbec6fbce1949499b" /><Relationship Type="http://schemas.openxmlformats.org/officeDocument/2006/relationships/worksheet" Target="/xl/worksheets/sheet11.xml" Id="Ra6976065019f4c28" /><Relationship Type="http://schemas.openxmlformats.org/officeDocument/2006/relationships/worksheet" Target="/xl/worksheets/sheet12.xml" Id="Rabe715c2c29a49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8dd1eb6b4b4f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Validated Completed Sales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Validated Sales</c:v>
          </c:tx>
          <c:cat>
            <c:strRef>
              <c:f>'Business_Summary'!$M$3:$M$5</c:f>
              <c:strCache>
                <c:ptCount val="0"/>
              </c:strCache>
            </c:strRef>
          </c:cat>
          <c:val>
            <c:numRef>
              <c:f>'Business_Summary'!$N$3:$N$5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6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8dd1eb6b4b4f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CleanedOrdersTable" displayName="CleanedOrdersTable" ref="A1:AS913" headerRowCount="1">
  <x:tableColumns count="45">
    <x:tableColumn id="1" name="source_row"/>
    <x:tableColumn id="2" name="order_id"/>
    <x:tableColumn id="3" name="order_date"/>
    <x:tableColumn id="4" name="ship_date"/>
    <x:tableColumn id="5" name="customer_id"/>
    <x:tableColumn id="6" name="customer_name"/>
    <x:tableColumn id="7" name="segment"/>
    <x:tableColumn id="8" name="region"/>
    <x:tableColumn id="9" name="state"/>
    <x:tableColumn id="10" name="city"/>
    <x:tableColumn id="11" name="category"/>
    <x:tableColumn id="12" name="sub_category"/>
    <x:tableColumn id="13" name="product_name"/>
    <x:tableColumn id="14" name="ship_mode"/>
    <x:tableColumn id="15" name="quantity"/>
    <x:tableColumn id="16" name="unit_price"/>
    <x:tableColumn id="17" name="discount"/>
    <x:tableColumn id="18" name="sales_raw"/>
    <x:tableColumn id="19" name="cost_raw"/>
    <x:tableColumn id="20" name="profit_raw"/>
    <x:tableColumn id="21" name="payment_status"/>
    <x:tableColumn id="22" name="order_status"/>
    <x:tableColumn id="23" name="calculated_sales"/>
    <x:tableColumn id="24" name="calculated_profit"/>
    <x:tableColumn id="25" name="profit_margin"/>
    <x:tableColumn id="26" name="shipping_delay_days"/>
    <x:tableColumn id="27" name="order_month"/>
    <x:tableColumn id="28" name="order_year"/>
    <x:tableColumn id="29" name="status_consistency"/>
    <x:tableColumn id="30" name="summary_eligibility"/>
    <x:tableColumn id="31" name="data_quality_flag"/>
    <x:tableColumn id="32" name="data_quality_status"/>
    <x:tableColumn id="33" name="cleaning_actions"/>
    <x:tableColumn id="34" name="order_date_validation"/>
    <x:tableColumn id="35" name="ship_date_validation"/>
    <x:tableColumn id="36" name="date_sequence_validation"/>
    <x:tableColumn id="37" name="date_validation_notes"/>
    <x:tableColumn id="38" name="business_rule_flags"/>
    <x:tableColumn id="39" name="discount_rule_result"/>
    <x:tableColumn id="40" name="completed_sales_rule"/>
    <x:tableColumn id="41" name="refund_summary_status"/>
    <x:tableColumn id="42" name="cleaned_discount"/>
    <x:tableColumn id="43" name="sales_calculation_variance"/>
    <x:tableColumn id="44" name="profit_calculation_variance"/>
    <x:tableColumn id="45" name="data_quality_details"/>
  </x:tableColumns>
  <x:tableStyleInfo name="TableStyleMedium2" showRowStripes="1"/>
</x:table>
</file>

<file path=xl/tables/table2.xml><?xml version="1.0" encoding="utf-8"?>
<x:table xmlns:x="http://schemas.openxmlformats.org/spreadsheetml/2006/main" id="2" name="IssueLogTable" displayName="IssueLogTable" ref="A1:J355" headerRowCount="1">
  <x:tableColumns count="10">
    <x:tableColumn id="1" name="issue_id"/>
    <x:tableColumn id="2" name="source_row"/>
    <x:tableColumn id="3" name="order_id"/>
    <x:tableColumn id="4" name="issue_category"/>
    <x:tableColumn id="5" name="field"/>
    <x:tableColumn id="6" name="raw_value"/>
    <x:tableColumn id="7" name="cleaned_value"/>
    <x:tableColumn id="8" name="action_taken"/>
    <x:tableColumn id="9" name="severity"/>
    <x:tableColumn id="10" name="retained_in_cleaned_data"/>
  </x:tableColumns>
  <x:tableStyleInfo name="TableStyleMedium2" showRowStripes="1"/>
</x:table>
</file>

<file path=xl/tables/table3.xml><?xml version="1.0" encoding="utf-8"?>
<x:table xmlns:x="http://schemas.openxmlformats.org/spreadsheetml/2006/main" id="3" name="FieldMappingTable" displayName="FieldMappingTable" ref="A1:F76" headerRowCount="1">
  <x:tableColumns count="6">
    <x:tableColumn id="1" name="field"/>
    <x:tableColumn id="2" name="raw_variant"/>
    <x:tableColumn id="3" name="standardized_value"/>
    <x:tableColumn id="4" name="action"/>
    <x:tableColumn id="5" name="Excel_technique"/>
    <x:tableColumn id="6" name="occurrence_count"/>
  </x:tableColumns>
  <x:tableStyleInfo name="TableStyleMedium2" showRowStripes="1"/>
</x:table>
</file>

<file path=xl/tables/table4.xml><?xml version="1.0" encoding="utf-8"?>
<x:table xmlns:x="http://schemas.openxmlformats.org/spreadsheetml/2006/main" id="4" name="DateValidationLogTable" displayName="DateValidationLogTable" ref="A1:J22" headerRowCount="1">
  <x:tableColumns count="10">
    <x:tableColumn id="1" name="source_row"/>
    <x:tableColumn id="2" name="order_id"/>
    <x:tableColumn id="3" name="raw_order_date"/>
    <x:tableColumn id="4" name="raw_ship_date"/>
    <x:tableColumn id="5" name="standardized_order_date"/>
    <x:tableColumn id="6" name="standardized_ship_date"/>
    <x:tableColumn id="7" name="shipping_delay_days"/>
    <x:tableColumn id="8" name="validation_issue"/>
    <x:tableColumn id="9" name="action_taken"/>
    <x:tableColumn id="10" name="retained_in_cleaned_da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614e70e06ca4b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c60c7a7cfcd4d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4cc8a3fa0e4f45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12b084da7f9845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.xml" Id="R9d47db322eaf49f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28" customHeight="1">
      <x:c r="A1" s="6" t="str">
        <x:v>order_id</x:v>
      </x:c>
      <x:c r="B1" s="6" t="str">
        <x:v>order_date</x:v>
      </x:c>
      <x:c r="C1" s="6" t="str">
        <x:v>ship_date</x:v>
      </x:c>
      <x:c r="D1" s="6" t="str">
        <x:v>customer_id</x:v>
      </x:c>
      <x:c r="E1" s="6" t="str">
        <x:v>customer_name</x:v>
      </x:c>
      <x:c r="F1" s="6" t="str">
        <x:v>segment</x:v>
      </x:c>
      <x:c r="G1" s="6" t="str">
        <x:v>region</x:v>
      </x:c>
      <x:c r="H1" s="6" t="str">
        <x:v>state</x:v>
      </x:c>
      <x:c r="I1" s="6" t="str">
        <x:v>city</x:v>
      </x:c>
      <x:c r="J1" s="6" t="str">
        <x:v>category</x:v>
      </x:c>
      <x:c r="K1" s="6" t="str">
        <x:v>sub_category</x:v>
      </x:c>
      <x:c r="L1" s="6" t="str">
        <x:v>product_name</x:v>
      </x:c>
      <x:c r="M1" s="6" t="str">
        <x:v>ship_mode</x:v>
      </x:c>
      <x:c r="N1" s="6" t="str">
        <x:v>quantity</x:v>
      </x:c>
      <x:c r="O1" s="6" t="str">
        <x:v>unit_price</x:v>
      </x:c>
      <x:c r="P1" s="6" t="str">
        <x:v>discount</x:v>
      </x:c>
      <x:c r="Q1" s="6" t="str">
        <x:v>sales</x:v>
      </x:c>
      <x:c r="R1" s="6" t="str">
        <x:v>cost</x:v>
      </x:c>
      <x:c r="S1" s="6" t="str">
        <x:v>profit</x:v>
      </x:c>
      <x:c r="T1" s="6" t="str">
        <x:v>payment_status</x:v>
      </x:c>
      <x:c r="U1" s="6" t="str">
        <x:v>order_status</x:v>
      </x:c>
    </x:row>
    <x:row r="2">
      <x:c r="A2" s="12" t="str">
        <x:v>ORD-2024-10001</x:v>
      </x:c>
      <x:c r="B2" s="12" t="str">
        <x:v>21 Jul 2024</x:v>
      </x:c>
      <x:c r="C2" s="12" t="str">
        <x:v>07/27/2024</x:v>
      </x:c>
      <x:c r="D2" s="12" t="str">
        <x:v>CUST-4655</x:v>
      </x:c>
      <x:c r="E2" s="12" t="str">
        <x:v>Karan Malhotra</x:v>
      </x:c>
      <x:c r="F2" s="12" t="str">
        <x:v>Consumer</x:v>
      </x:c>
      <x:c r="G2" s="12" t="str">
        <x:v>  North </x:v>
      </x:c>
      <x:c r="H2" s="12" t="str">
        <x:v>Rajasthan</x:v>
      </x:c>
      <x:c r="I2" s="12" t="str">
        <x:v>Jaipur</x:v>
      </x:c>
      <x:c r="J2" s="12" t="str">
        <x:v>Office Supplies</x:v>
      </x:c>
      <x:c r="K2" s="12" t="str">
        <x:v>Paper</x:v>
      </x:c>
      <x:c r="L2" s="12" t="str">
        <x:v>Pro Paper 122</x:v>
      </x:c>
      <x:c r="M2" s="12" t="str">
        <x:v>Second Class</x:v>
      </x:c>
      <x:c r="N2" s="12" t="n">
        <x:v>8</x:v>
      </x:c>
      <x:c r="O2" s="12" t="n">
        <x:v>2976.45</x:v>
      </x:c>
      <x:c r="P2" s="12" t="n">
        <x:v>0.2</x:v>
      </x:c>
      <x:c r="Q2" s="12" t="n">
        <x:v>19049.28</x:v>
      </x:c>
      <x:c r="R2" s="12" t="n">
        <x:v>15841.89</x:v>
      </x:c>
      <x:c r="S2" s="12" t="n">
        <x:v>3207.39</x:v>
      </x:c>
      <x:c r="T2" s="12" t="str">
        <x:v>Paid</x:v>
      </x:c>
      <x:c r="U2" s="12" t="str">
        <x:v>Completed</x:v>
      </x:c>
    </x:row>
    <x:row r="3">
      <x:c r="A3" s="12" t="str">
        <x:v>ORD-2024-10002</x:v>
      </x:c>
      <x:c r="B3" s="12" t="str">
        <x:v>08/31/2024</x:v>
      </x:c>
      <x:c r="C3" s="12" t="str">
        <x:v>05 Sep 2024</x:v>
      </x:c>
      <x:c r="D3" s="12" t="str">
        <x:v>CUST-2054</x:v>
      </x:c>
      <x:c r="E3" s="12" t="str">
        <x:v>Mira Das</x:v>
      </x:c>
      <x:c r="F3" s="12" t="str">
        <x:v>Small Business</x:v>
      </x:c>
      <x:c r="G3" s="12" t="str">
        <x:v>East</x:v>
      </x:c>
      <x:c r="H3" s="12" t="str">
        <x:v>Odisha</x:v>
      </x:c>
      <x:c r="I3" s="12" t="str">
        <x:v>Bhubaneswar</x:v>
      </x:c>
      <x:c r="J3" s="12" t="str">
        <x:v>Furniture</x:v>
      </x:c>
      <x:c r="K3" s="12" t="str">
        <x:v>Tables</x:v>
      </x:c>
      <x:c r="L3" s="12" t="str">
        <x:v>Pro Tables 258</x:v>
      </x:c>
      <x:c r="M3" s="12" t="str">
        <x:v>Same Day</x:v>
      </x:c>
      <x:c r="N3" s="12" t="n">
        <x:v>3</x:v>
      </x:c>
      <x:c r="O3" s="12" t="n">
        <x:v>2437.5</x:v>
      </x:c>
      <x:c r="P3" s="12" t="n">
        <x:v>0</x:v>
      </x:c>
      <x:c r="Q3" s="12" t="n">
        <x:v>7312.5</x:v>
      </x:c>
      <x:c r="R3" s="12" t="n">
        <x:v>4904.73</x:v>
      </x:c>
      <x:c r="S3" s="12" t="n">
        <x:v>2407.77</x:v>
      </x:c>
      <x:c r="T3" s="12" t="str">
        <x:v>Paid</x:v>
      </x:c>
      <x:c r="U3" s="12" t="str">
        <x:v>Completed</x:v>
      </x:c>
    </x:row>
    <x:row r="4">
      <x:c r="A4" s="12" t="str">
        <x:v>ORD-2024-10003</x:v>
      </x:c>
      <x:c r="B4" s="12" t="str">
        <x:v>06/08/2024</x:v>
      </x:c>
      <x:c r="C4" s="12" t="str">
        <x:v>15 Jun 2024</x:v>
      </x:c>
      <x:c r="D4" s="12" t="str">
        <x:v>CUST-6843</x:v>
      </x:c>
      <x:c r="E4" s="12" t="str">
        <x:v>Isha Nair</x:v>
      </x:c>
      <x:c r="F4" s="12" t="str">
        <x:v>Consumer</x:v>
      </x:c>
      <x:c r="G4" s="12" t="str">
        <x:v>East</x:v>
      </x:c>
      <x:c r="H4" s="12" t="str">
        <x:v>Odisha</x:v>
      </x:c>
      <x:c r="I4" s="12" t="str">
        <x:v>Bhubaneswar</x:v>
      </x:c>
      <x:c r="J4" s="12" t="str">
        <x:v>Office Supplies</x:v>
      </x:c>
      <x:c r="K4" s="12" t="str">
        <x:v>Art</x:v>
      </x:c>
      <x:c r="L4" s="12" t="str">
        <x:v>Elite Art 525</x:v>
      </x:c>
      <x:c r="M4" s="12" t="str">
        <x:v>First Class</x:v>
      </x:c>
      <x:c r="N4" s="12" t="n">
        <x:v>4</x:v>
      </x:c>
      <x:c r="O4" s="12" t="n">
        <x:v>1065.43</x:v>
      </x:c>
      <x:c r="P4" s="12" t="n">
        <x:v>0.55</x:v>
      </x:c>
      <x:c r="Q4" s="12" t="n">
        <x:v>4261.72</x:v>
      </x:c>
      <x:c r="R4" s="12" t="n">
        <x:v>2465.69</x:v>
      </x:c>
      <x:c r="S4" s="12" t="n">
        <x:v>1796.03</x:v>
      </x:c>
      <x:c r="T4" s="12" t="str">
        <x:v>Paid</x:v>
      </x:c>
      <x:c r="U4" s="12" t="str">
        <x:v>Completed</x:v>
      </x:c>
    </x:row>
    <x:row r="5">
      <x:c r="A5" s="12" t="str">
        <x:v>ORD-2024-10004</x:v>
      </x:c>
      <x:c r="B5" s="12" t="str">
        <x:v>28-11-2024</x:v>
      </x:c>
      <x:c r="C5" s="12" t="str">
        <x:v>11/29/2024</x:v>
      </x:c>
      <x:c r="D5" s="12" t="str">
        <x:v>CUST-3722</x:v>
      </x:c>
      <x:c r="E5" s="12" t="str">
        <x:v>Arjun Bose</x:v>
      </x:c>
      <x:c r="F5" s="12" t="str">
        <x:v>Small Business</x:v>
      </x:c>
      <x:c r="G5" s="12" t="str">
        <x:v>South</x:v>
      </x:c>
      <x:c r="H5" s="12" t="str">
        <x:v>Telangana</x:v>
      </x:c>
      <x:c r="I5" s="12" t="str">
        <x:v>Hyderabad</x:v>
      </x:c>
      <x:c r="J5" s="12" t="str">
        <x:v>Furniture</x:v>
      </x:c>
      <x:c r="K5" s="12" t="str">
        <x:v>Furnishings</x:v>
      </x:c>
      <x:c r="L5" s="12" t="str">
        <x:v>Smart Furnishings 294</x:v>
      </x:c>
      <x:c r="M5" s="12" t="str">
        <x:v>Standard Class</x:v>
      </x:c>
      <x:c r="N5" s="12" t="n">
        <x:v>6</x:v>
      </x:c>
      <x:c r="O5" s="12" t="n">
        <x:v>1848.43</x:v>
      </x:c>
      <x:c r="P5" s="12" t="n">
        <x:v>0.25</x:v>
      </x:c>
      <x:c r="Q5" s="12" t="n">
        <x:v>8317.93</x:v>
      </x:c>
      <x:c r="R5" s="12" t="n">
        <x:v>6796.77</x:v>
      </x:c>
      <x:c r="S5" s="12" t="n">
        <x:v>1521.16</x:v>
      </x:c>
      <x:c r="T5" s="12" t="str">
        <x:v>Paid</x:v>
      </x:c>
      <x:c r="U5" s="12" t="str">
        <x:v>Completed</x:v>
      </x:c>
    </x:row>
    <x:row r="6">
      <x:c r="A6" s="12" t="str">
        <x:v>ORD-2025-10005</x:v>
      </x:c>
      <x:c r="B6" s="12" t="str">
        <x:v>29 Aug 2025</x:v>
      </x:c>
      <x:c r="C6" s="12" t="str">
        <x:v>2025-09-01</x:v>
      </x:c>
      <x:c r="D6" s="12" t="str">
        <x:v>CUST-8130</x:v>
      </x:c>
      <x:c r="E6" s="12" t="str">
        <x:v>Ananya Rao</x:v>
      </x:c>
      <x:c r="F6" s="12" t="str">
        <x:v>Small Business</x:v>
      </x:c>
      <x:c r="G6" s="12" t="str">
        <x:v>West</x:v>
      </x:c>
      <x:c r="H6" s="12" t="str">
        <x:v>Maharashtra</x:v>
      </x:c>
      <x:c r="I6" s="12" t="str">
        <x:v>Mumbai</x:v>
      </x:c>
      <x:c r="J6" s="12" t="str">
        <x:v>Furniture</x:v>
      </x:c>
      <x:c r="K6" s="12" t="str">
        <x:v>Chairs</x:v>
      </x:c>
      <x:c r="L6" s="12" t="str">
        <x:v>Elite Chairs 543</x:v>
      </x:c>
      <x:c r="M6" s="12" t="str">
        <x:v>First Class</x:v>
      </x:c>
      <x:c r="N6" s="12" t="n">
        <x:v>7</x:v>
      </x:c>
      <x:c r="O6" s="12" t="n">
        <x:v>2973.76</x:v>
      </x:c>
      <x:c r="P6" s="12" t="n">
        <x:v>0</x:v>
      </x:c>
      <x:c r="Q6" s="12" t="n">
        <x:v>20816.32</x:v>
      </x:c>
      <x:c r="R6" s="12" t="n">
        <x:v>17705.37</x:v>
      </x:c>
      <x:c r="S6" s="12" t="n">
        <x:v>3110.95</x:v>
      </x:c>
      <x:c r="T6" s="12" t="str">
        <x:v>Paid</x:v>
      </x:c>
      <x:c r="U6" s="12" t="str">
        <x:v>Cancelled</x:v>
      </x:c>
    </x:row>
    <x:row r="7">
      <x:c r="A7" s="12" t="str">
        <x:v>ORD-2024-10006</x:v>
      </x:c>
      <x:c r="B7" s="12" t="str">
        <x:v>2024-05-24</x:v>
      </x:c>
      <x:c r="C7" s="12" t="str">
        <x:v>28-05-2024</x:v>
      </x:c>
      <x:c r="D7" s="12" t="str">
        <x:v>CUST-6056</x:v>
      </x:c>
      <x:c r="E7" s="12" t="str">
        <x:v>Vikram Iyer</x:v>
      </x:c>
      <x:c r="F7" s="12" t="str">
        <x:v>Small Business</x:v>
      </x:c>
      <x:c r="G7" s="12" t="str">
        <x:v>West</x:v>
      </x:c>
      <x:c r="H7" s="12" t="str">
        <x:v>Madhya Pradesh</x:v>
      </x:c>
      <x:c r="I7" s="12" t="str">
        <x:v>Indore</x:v>
      </x:c>
      <x:c r="J7" s="12" t="str">
        <x:v>Technology</x:v>
      </x:c>
      <x:c r="K7" s="12" t="str">
        <x:v>Accessories</x:v>
      </x:c>
      <x:c r="L7" s="12" t="str">
        <x:v>Pro Accessories 821</x:v>
      </x:c>
      <x:c r="M7" s="12" t="str">
        <x:v>Same Day</x:v>
      </x:c>
      <x:c r="N7" s="12" t="n">
        <x:v>3</x:v>
      </x:c>
      <x:c r="O7" s="12" t="n">
        <x:v>1053.11</x:v>
      </x:c>
      <x:c r="P7" s="12" t="n">
        <x:v>0.2</x:v>
      </x:c>
      <x:c r="Q7" s="12" t="n">
        <x:v>2527.46</x:v>
      </x:c>
      <x:c r="R7" s="12" t="n">
        <x:v>1533.58</x:v>
      </x:c>
      <x:c r="S7" s="12" t="n">
        <x:v>993.88</x:v>
      </x:c>
      <x:c r="T7" s="12" t="str">
        <x:v>Paid</x:v>
      </x:c>
      <x:c r="U7" s="12" t="str">
        <x:v>Completed</x:v>
      </x:c>
    </x:row>
    <x:row r="8">
      <x:c r="A8" s="12" t="str">
        <x:v>ORD-2025-10007</x:v>
      </x:c>
      <x:c r="B8" s="12" t="str">
        <x:v>04/10/2025</x:v>
      </x:c>
      <x:c r="C8" s="12" t="str">
        <x:v>04/16/2025</x:v>
      </x:c>
      <x:c r="D8" s="12" t="str">
        <x:v>CUST-3656</x:v>
      </x:c>
      <x:c r="E8" s="12" t="str">
        <x:v>Neha Gupta</x:v>
      </x:c>
      <x:c r="F8" s="12" t="str">
        <x:v>Consumer</x:v>
      </x:c>
      <x:c r="G8" s="12" t="str">
        <x:v>East</x:v>
      </x:c>
      <x:c r="H8" s="12" t="str">
        <x:v>Odisha</x:v>
      </x:c>
      <x:c r="I8" s="12" t="str">
        <x:v>Bhubaneswar</x:v>
      </x:c>
      <x:c r="J8" s="12" t="str">
        <x:v>Technology</x:v>
      </x:c>
      <x:c r="K8" s="12" t="str">
        <x:v>Copiers</x:v>
      </x:c>
      <x:c r="L8" s="12" t="str">
        <x:v>Eco Copiers 790</x:v>
      </x:c>
      <x:c r="M8" s="12" t="str">
        <x:v>Standard Class</x:v>
      </x:c>
      <x:c r="N8" s="12" t="n">
        <x:v>4</x:v>
      </x:c>
      <x:c r="O8" s="12" t="n">
        <x:v>1719.87</x:v>
      </x:c>
      <x:c r="P8" s="12" t="n">
        <x:v>0.15</x:v>
      </x:c>
      <x:c r="Q8" s="12" t="n">
        <x:v>5847.56</x:v>
      </x:c>
      <x:c r="R8" s="12" t="n">
        <x:v>4727.25</x:v>
      </x:c>
      <x:c r="S8" s="12" t="n">
        <x:v>1120.31</x:v>
      </x:c>
      <x:c r="T8" s="12" t="str">
        <x:v>Paid</x:v>
      </x:c>
      <x:c r="U8" s="12" t="str">
        <x:v>Completed</x:v>
      </x:c>
    </x:row>
    <x:row r="9">
      <x:c r="A9" s="12" t="str">
        <x:v>ORD-2025-10008</x:v>
      </x:c>
      <x:c r="B9" s="12" t="str">
        <x:v>2025-02-23</x:v>
      </x:c>
      <x:c r="C9" s="12" t="str">
        <x:v>26-02-2025</x:v>
      </x:c>
      <x:c r="D9" s="12" t="str">
        <x:v>CUST-4683</x:v>
      </x:c>
      <x:c r="E9" s="12" t="str">
        <x:v>Isha Nair</x:v>
      </x:c>
      <x:c r="F9" s="12" t="str">
        <x:v>Small Business</x:v>
      </x:c>
      <x:c r="G9" s="12" t="str">
        <x:v>South</x:v>
      </x:c>
      <x:c r="H9" s="12" t="str">
        <x:v>Andhra Pradesh</x:v>
      </x:c>
      <x:c r="I9" s="12" t="str">
        <x:v>Vijayawada</x:v>
      </x:c>
      <x:c r="J9" s="12" t="str">
        <x:v>Office Supplies</x:v>
      </x:c>
      <x:c r="K9" s="12" t="str">
        <x:v>Art</x:v>
      </x:c>
      <x:c r="L9" s="12" t="str">
        <x:v>Eco Art 848</x:v>
      </x:c>
      <x:c r="M9" s="12" t="str">
        <x:v>First Class</x:v>
      </x:c>
      <x:c r="N9" s="12" t="n">
        <x:v>1</x:v>
      </x:c>
      <x:c r="O9" s="12" t="n">
        <x:v>2980.71</x:v>
      </x:c>
      <x:c r="P9" s="12" t="n">
        <x:v>0</x:v>
      </x:c>
      <x:c r="Q9" s="12" t="n">
        <x:v>2980.71</x:v>
      </x:c>
      <x:c r="R9" s="12" t="n">
        <x:v>2357.22</x:v>
      </x:c>
      <x:c r="S9" s="12" t="n">
        <x:v>623.49</x:v>
      </x:c>
      <x:c r="T9" s="12" t="str">
        <x:v>Paid</x:v>
      </x:c>
      <x:c r="U9" s="12" t="str">
        <x:v>Completed</x:v>
      </x:c>
    </x:row>
    <x:row r="10">
      <x:c r="A10" s="12" t="str">
        <x:v>ORD-2024-10009</x:v>
      </x:c>
      <x:c r="B10" s="12" t="str">
        <x:v>11/05/2024</x:v>
      </x:c>
      <x:c r="C10" s="12" t="str">
        <x:v>11/10/2024</x:v>
      </x:c>
      <x:c r="D10" s="12" t="str">
        <x:v>CUST-2598</x:v>
      </x:c>
      <x:c r="E10" s="12" t="str">
        <x:v>Aditi Sen</x:v>
      </x:c>
      <x:c r="F10" s="12" t="str">
        <x:v>Corporate</x:v>
      </x:c>
      <x:c r="G10" s="12" t="str">
        <x:v>South</x:v>
      </x:c>
      <x:c r="H10" s="12" t="str">
        <x:v>Telangana</x:v>
      </x:c>
      <x:c r="I10" s="12" t="str">
        <x:v>Hyderabad</x:v>
      </x:c>
      <x:c r="J10" s="12" t="str">
        <x:v>Office Supplies</x:v>
      </x:c>
      <x:c r="K10" s="12" t="str">
        <x:v>Labels</x:v>
      </x:c>
      <x:c r="L10" s="12" t="str">
        <x:v>Classic Labels 815</x:v>
      </x:c>
      <x:c r="M10" s="12" t="str">
        <x:v>First Class</x:v>
      </x:c>
      <x:c r="N10" s="12" t="n">
        <x:v>8</x:v>
      </x:c>
      <x:c r="O10" s="12" t="n">
        <x:v>3134.2</x:v>
      </x:c>
      <x:c r="P10" s="12" t="n">
        <x:v>0</x:v>
      </x:c>
      <x:c r="Q10" s="12" t="n">
        <x:v>25073.6</x:v>
      </x:c>
      <x:c r="R10" s="12" t="n">
        <x:v>17347.23</x:v>
      </x:c>
      <x:c r="S10" s="12" t="n">
        <x:v>7726.37</x:v>
      </x:c>
      <x:c r="T10" s="12" t="str">
        <x:v>Paid</x:v>
      </x:c>
      <x:c r="U10" s="12" t="str">
        <x:v>Completed</x:v>
      </x:c>
    </x:row>
    <x:row r="11">
      <x:c r="A11" s="12" t="str">
        <x:v>ORD-2025-10010</x:v>
      </x:c>
      <x:c r="B11" s="12" t="str">
        <x:v>07-09-2025</x:v>
      </x:c>
      <x:c r="C11" s="12" t="str">
        <x:v>09/12/2025</x:v>
      </x:c>
      <x:c r="D11" s="12" t="str">
        <x:v>CUST-2483</x:v>
      </x:c>
      <x:c r="E11" s="12" t="str">
        <x:v>Mira Das</x:v>
      </x:c>
      <x:c r="F11" s="12" t="str">
        <x:v>Home Office</x:v>
      </x:c>
      <x:c r="G11" s="12" t="str">
        <x:v>South</x:v>
      </x:c>
      <x:c r="H11" s="12" t="str">
        <x:v>Telangana</x:v>
      </x:c>
      <x:c r="I11" s="12" t="str">
        <x:v>Hyderabad</x:v>
      </x:c>
      <x:c r="J11" s="12" t="str">
        <x:v>Office Supplies</x:v>
      </x:c>
      <x:c r="K11" s="12" t="str">
        <x:v>Paper</x:v>
      </x:c>
      <x:c r="L11" s="12" t="str">
        <x:v>Pro Paper 622</x:v>
      </x:c>
      <x:c r="M11" s="12" t="str">
        <x:v>Second Class</x:v>
      </x:c>
      <x:c r="N11" s="12" t="n">
        <x:v>9</x:v>
      </x:c>
      <x:c r="O11" s="12" t="n">
        <x:v>852.04</x:v>
      </x:c>
      <x:c r="P11" s="12" t="n">
        <x:v>0.2</x:v>
      </x:c>
      <x:c r="Q11" s="12" t="n">
        <x:v>6134.69</x:v>
      </x:c>
      <x:c r="R11" s="12" t="n">
        <x:v>3800.19</x:v>
      </x:c>
      <x:c r="S11" s="12" t="n">
        <x:v>2334.5</x:v>
      </x:c>
      <x:c r="T11" s="12" t="str">
        <x:v>Paid</x:v>
      </x:c>
      <x:c r="U11" s="12" t="str">
        <x:v>Completed</x:v>
      </x:c>
    </x:row>
    <x:row r="12">
      <x:c r="A12" s="12" t="str">
        <x:v>ORD-2025-10011</x:v>
      </x:c>
      <x:c r="B12" s="12" t="str">
        <x:v>20 May 2025</x:v>
      </x:c>
      <x:c r="C12" s="12" t="str">
        <x:v>05/20/2025</x:v>
      </x:c>
      <x:c r="D12" s="12" t="str">
        <x:v>CUST-8092</x:v>
      </x:c>
      <x:c r="E12" s="12" t="str">
        <x:v>Ananya Rao</x:v>
      </x:c>
      <x:c r="F12" s="12" t="str">
        <x:v>Corporate</x:v>
      </x:c>
      <x:c r="G12" s="12" t="str">
        <x:v>East</x:v>
      </x:c>
      <x:c r="H12" s="12" t="str">
        <x:v>West Bengal</x:v>
      </x:c>
      <x:c r="I12" s="12" t="str">
        <x:v>Kolkata</x:v>
      </x:c>
      <x:c r="J12" s="12" t="str">
        <x:v>Office Supplies</x:v>
      </x:c>
      <x:c r="K12" s="12" t="str">
        <x:v>Labels</x:v>
      </x:c>
      <x:c r="L12" s="12" t="str">
        <x:v>Prime Labels 644</x:v>
      </x:c>
      <x:c r="M12" s="12" t="str">
        <x:v>Second Class</x:v>
      </x:c>
      <x:c r="N12" s="12" t="n">
        <x:v>3</x:v>
      </x:c>
      <x:c r="O12" s="12" t="n">
        <x:v>3534.83</x:v>
      </x:c>
      <x:c r="P12" s="12" t="n">
        <x:v>0.05</x:v>
      </x:c>
      <x:c r="Q12" s="12" t="n">
        <x:v>10074.27</x:v>
      </x:c>
      <x:c r="R12" s="12" t="n">
        <x:v>6048.27</x:v>
      </x:c>
      <x:c r="S12" s="12" t="n">
        <x:v>4026</x:v>
      </x:c>
      <x:c r="T12" s="12" t="str">
        <x:v>Refunded</x:v>
      </x:c>
      <x:c r="U12" s="12" t="str">
        <x:v>Returned</x:v>
      </x:c>
    </x:row>
    <x:row r="13">
      <x:c r="A13" s="12" t="str">
        <x:v>ORD-2024-10012</x:v>
      </x:c>
      <x:c r="B13" s="12" t="str">
        <x:v>2024-07-22</x:v>
      </x:c>
      <x:c r="C13" s="12" t="str">
        <x:v>23-07-2024</x:v>
      </x:c>
      <x:c r="D13" s="12" t="str">
        <x:v>CUST-6528</x:v>
      </x:c>
      <x:c r="E13" s="12" t="str">
        <x:v>Vikram Iyer</x:v>
      </x:c>
      <x:c r="F13" s="12" t="str">
        <x:v>Small Business</x:v>
      </x:c>
      <x:c r="G13" s="12" t="str">
        <x:v>East</x:v>
      </x:c>
      <x:c r="H13" s="12" t="str">
        <x:v>Odisha</x:v>
      </x:c>
      <x:c r="I13" s="12" t="str">
        <x:v>Bhubaneswar</x:v>
      </x:c>
      <x:c r="J13" s="12" t="str">
        <x:v>Technology</x:v>
      </x:c>
      <x:c r="K13" s="12" t="str">
        <x:v>Accessories</x:v>
      </x:c>
      <x:c r="L13" s="12" t="str">
        <x:v>Smart Accessories 603</x:v>
      </x:c>
      <x:c r="M13" s="12" t="str">
        <x:v>Same Day</x:v>
      </x:c>
      <x:c r="N13" s="12" t="n">
        <x:v>6</x:v>
      </x:c>
      <x:c r="O13" s="12" t="n">
        <x:v>2005.95</x:v>
      </x:c>
      <x:c r="P13" s="12" t="n">
        <x:v>0.2</x:v>
      </x:c>
      <x:c r="Q13" s="12" t="n">
        <x:v>9628.56</x:v>
      </x:c>
      <x:c r="R13" s="12" t="n">
        <x:v>8038.59</x:v>
      </x:c>
      <x:c r="S13" s="12" t="n">
        <x:v>1589.97</x:v>
      </x:c>
      <x:c r="T13" s="12" t="str">
        <x:v>Paid</x:v>
      </x:c>
      <x:c r="U13" s="12" t="str">
        <x:v>Completed</x:v>
      </x:c>
    </x:row>
    <x:row r="14">
      <x:c r="A14" s="12" t="str">
        <x:v>ORD-2024-10013</x:v>
      </x:c>
      <x:c r="B14" s="12" t="str">
        <x:v>20 Dec 2024</x:v>
      </x:c>
      <x:c r="C14" s="12" t="str">
        <x:v>12/21/2024</x:v>
      </x:c>
      <x:c r="D14" s="12" t="str">
        <x:v>CUST-2648</x:v>
      </x:c>
      <x:c r="E14" s="12" t="str">
        <x:v>Ananya Rao</x:v>
      </x:c>
      <x:c r="F14" s="12" t="str">
        <x:v>Corporate </x:v>
      </x:c>
      <x:c r="G14" s="12" t="str">
        <x:v>West</x:v>
      </x:c>
      <x:c r="H14" s="12" t="str">
        <x:v>Rajasthan</x:v>
      </x:c>
      <x:c r="I14" s="12" t="str">
        <x:v>Udaipur</x:v>
      </x:c>
      <x:c r="J14" s="12" t="str">
        <x:v>Office Supplies</x:v>
      </x:c>
      <x:c r="K14" s="12" t="str">
        <x:v>Paper</x:v>
      </x:c>
      <x:c r="L14" s="12" t="str">
        <x:v>Pro Paper 481</x:v>
      </x:c>
      <x:c r="M14" s="12" t="str">
        <x:v>First Class</x:v>
      </x:c>
      <x:c r="N14" s="12" t="n">
        <x:v>1</x:v>
      </x:c>
      <x:c r="O14" s="12" t="n">
        <x:v>702.14</x:v>
      </x:c>
      <x:c r="P14" s="12" t="n">
        <x:v>0.15</x:v>
      </x:c>
      <x:c r="Q14" s="12" t="n">
        <x:v>596.82</x:v>
      </x:c>
      <x:c r="R14" s="12" t="n">
        <x:v>380.25</x:v>
      </x:c>
      <x:c r="S14" s="12" t="n">
        <x:v>216.57</x:v>
      </x:c>
      <x:c r="T14" s="12" t="str">
        <x:v>Pending</x:v>
      </x:c>
      <x:c r="U14" s="12" t="str">
        <x:v>Returned</x:v>
      </x:c>
    </x:row>
    <x:row r="15">
      <x:c r="A15" s="12" t="str">
        <x:v>ORD-2025-10014</x:v>
      </x:c>
      <x:c r="B15" s="12" t="str">
        <x:v>2025-10-12</x:v>
      </x:c>
      <x:c r="C15" s="12" t="str">
        <x:v>16-10-2025</x:v>
      </x:c>
      <x:c r="D15" s="12" t="str">
        <x:v>CUST-7482</x:v>
      </x:c>
      <x:c r="E15" s="12" t="str">
        <x:v>Priya Menon</x:v>
      </x:c>
      <x:c r="F15" s="12" t="str">
        <x:v>Small Business</x:v>
      </x:c>
      <x:c r="G15" s="12" t="str">
        <x:v>West</x:v>
      </x:c>
      <x:c r="H15" s="12" t="str">
        <x:v>Maharashtra</x:v>
      </x:c>
      <x:c r="I15" s="12" t="str">
        <x:v>Mumbai</x:v>
      </x:c>
      <x:c r="J15" s="12" t="str">
        <x:v>Office Supplies</x:v>
      </x:c>
      <x:c r="K15" s="12" t="str">
        <x:v>Art</x:v>
      </x:c>
      <x:c r="L15" s="12" t="str">
        <x:v>Smart Art 795</x:v>
      </x:c>
      <x:c r="M15" s="12" t="str">
        <x:v>Second Class</x:v>
      </x:c>
      <x:c r="N15" s="12" t="n">
        <x:v>7</x:v>
      </x:c>
      <x:c r="O15" s="12" t="n">
        <x:v>3964.72</x:v>
      </x:c>
      <x:c r="P15" s="12" t="n">
        <x:v>0.05</x:v>
      </x:c>
      <x:c r="Q15" s="12" t="n">
        <x:v>26365.39</x:v>
      </x:c>
      <x:c r="R15" s="12" t="n">
        <x:v>22306.24</x:v>
      </x:c>
      <x:c r="S15" s="12" t="n">
        <x:v>4059.15</x:v>
      </x:c>
      <x:c r="T15" s="12" t="str">
        <x:v>Paid</x:v>
      </x:c>
      <x:c r="U15" s="12" t="str">
        <x:v>Completed</x:v>
      </x:c>
    </x:row>
    <x:row r="16">
      <x:c r="A16" s="12" t="str">
        <x:v>ORD-2024-10015</x:v>
      </x:c>
      <x:c r="B16" s="12" t="str">
        <x:v>27 Dec 2024</x:v>
      </x:c>
      <x:c r="C16" s="12" t="str">
        <x:v>12/28/2024</x:v>
      </x:c>
      <x:c r="D16" s="12" t="str">
        <x:v>CUST-4912</x:v>
      </x:c>
      <x:c r="E16" s="12" t="str">
        <x:v>Rahul Verma</x:v>
      </x:c>
      <x:c r="F16" s="12" t="str">
        <x:v>Consumer</x:v>
      </x:c>
      <x:c r="G16" s="12" t="str">
        <x:v>West</x:v>
      </x:c>
      <x:c r="H16" s="12" t="str">
        <x:v>Rajasthan</x:v>
      </x:c>
      <x:c r="I16" s="12" t="str">
        <x:v>Udaipur</x:v>
      </x:c>
      <x:c r="J16" s="12" t="str">
        <x:v>Technology</x:v>
      </x:c>
      <x:c r="K16" s="12" t="str">
        <x:v>Copiers</x:v>
      </x:c>
      <x:c r="L16" s="12" t="str">
        <x:v>Max Copiers 983</x:v>
      </x:c>
      <x:c r="M16" s="12" t="str">
        <x:v>Standard Class</x:v>
      </x:c>
      <x:c r="N16" s="12" t="n">
        <x:v>2</x:v>
      </x:c>
      <x:c r="O16" s="12" t="n">
        <x:v>2737.83</x:v>
      </x:c>
      <x:c r="P16" s="12" t="n">
        <x:v>0.25</x:v>
      </x:c>
      <x:c r="Q16" s="12" t="n">
        <x:v>4106.74</x:v>
      </x:c>
      <x:c r="R16" s="12" t="n">
        <x:v>2666.3</x:v>
      </x:c>
      <x:c r="S16" s="12" t="n">
        <x:v>1440.44</x:v>
      </x:c>
      <x:c r="T16" s="12" t="str">
        <x:v>Paid</x:v>
      </x:c>
      <x:c r="U16" s="12" t="str">
        <x:v>Completed</x:v>
      </x:c>
    </x:row>
    <x:row r="17">
      <x:c r="A17" s="12" t="str">
        <x:v>ORD-2024-10016</x:v>
      </x:c>
      <x:c r="B17" s="12" t="str">
        <x:v>07/09/2024</x:v>
      </x:c>
      <x:c r="C17" s="12" t="str">
        <x:v>09 Jul 2024</x:v>
      </x:c>
      <x:c r="D17" s="12" t="str">
        <x:v>CUST-7656</x:v>
      </x:c>
      <x:c r="E17" s="12" t="str">
        <x:v>Karan Malhotra</x:v>
      </x:c>
      <x:c r="F17" s="12" t="str">
        <x:v>Small Business</x:v>
      </x:c>
      <x:c r="G17" s="12" t="str">
        <x:v>North</x:v>
      </x:c>
      <x:c r="H17" s="12" t="str">
        <x:v>Punjab</x:v>
      </x:c>
      <x:c r="I17" s="12" t="str">
        <x:v>Ludhiana</x:v>
      </x:c>
      <x:c r="J17" s="12" t="str">
        <x:v>Office Supplies</x:v>
      </x:c>
      <x:c r="K17" s="12" t="str">
        <x:v>Storage</x:v>
      </x:c>
      <x:c r="L17" s="12" t="str">
        <x:v>Classic Storage 198</x:v>
      </x:c>
      <x:c r="M17" s="12" t="str">
        <x:v>Second Class</x:v>
      </x:c>
      <x:c r="N17" s="12" t="n">
        <x:v>6</x:v>
      </x:c>
      <x:c r="O17" s="12" t="n">
        <x:v>3965.76</x:v>
      </x:c>
      <x:c r="P17" s="12" t="n">
        <x:v>0</x:v>
      </x:c>
      <x:c r="Q17" s="12" t="n">
        <x:v>23794.56</x:v>
      </x:c>
      <x:c r="R17" s="12" t="n">
        <x:v>15698.47</x:v>
      </x:c>
      <x:c r="S17" s="12" t="n">
        <x:v>8096.09</x:v>
      </x:c>
      <x:c r="T17" s="12" t="str">
        <x:v>Paid</x:v>
      </x:c>
      <x:c r="U17" s="12" t="str">
        <x:v>Completed</x:v>
      </x:c>
    </x:row>
    <x:row r="18">
      <x:c r="A18" s="12" t="str">
        <x:v>ORD-2024-10017</x:v>
      </x:c>
      <x:c r="B18" s="12" t="str">
        <x:v>05/08/2024</x:v>
      </x:c>
      <x:c r="C18" s="12" t="str">
        <x:v>15-05-2024</x:v>
      </x:c>
      <x:c r="D18" s="12" t="str">
        <x:v>CUST-6214</x:v>
      </x:c>
      <x:c r="E18" s="12" t="str">
        <x:v>Aarav Sharma</x:v>
      </x:c>
      <x:c r="F18" s="12" t="str">
        <x:v>Consumer</x:v>
      </x:c>
      <x:c r="G18" s="12" t="str">
        <x:v>South</x:v>
      </x:c>
      <x:c r="H18" s="12" t="str">
        <x:v>Telangana</x:v>
      </x:c>
      <x:c r="I18" s="12" t="str">
        <x:v>Hyderabad</x:v>
      </x:c>
      <x:c r="J18" s="12" t="str">
        <x:v>Office Supplies</x:v>
      </x:c>
      <x:c r="K18" s="12" t="str">
        <x:v>Art</x:v>
      </x:c>
      <x:c r="L18" s="12" t="str">
        <x:v>Basic Art 204</x:v>
      </x:c>
      <x:c r="M18" s="12" t="str">
        <x:v>First Class</x:v>
      </x:c>
      <x:c r="N18" s="12" t="n">
        <x:v>4</x:v>
      </x:c>
      <x:c r="O18" s="12" t="n">
        <x:v>3323.51</x:v>
      </x:c>
      <x:c r="P18" s="12" t="n">
        <x:v>0.25</x:v>
      </x:c>
      <x:c r="Q18" s="12" t="n">
        <x:v>9970.53</x:v>
      </x:c>
      <x:c r="R18" s="12" t="n">
        <x:v>5668.17</x:v>
      </x:c>
      <x:c r="S18" s="12" t="n">
        <x:v>4302.36</x:v>
      </x:c>
      <x:c r="T18" s="12" t="str">
        <x:v>Paid</x:v>
      </x:c>
      <x:c r="U18" s="12" t="str">
        <x:v>Completed</x:v>
      </x:c>
    </x:row>
    <x:row r="19">
      <x:c r="A19" s="12" t="str">
        <x:v>ORD-2024-10018</x:v>
      </x:c>
      <x:c r="B19" s="12" t="str">
        <x:v>01/07/2024</x:v>
      </x:c>
      <x:c r="C19" s="12" t="str">
        <x:v>2024-01-08</x:v>
      </x:c>
      <x:c r="D19" s="12" t="str">
        <x:v>CUST-1626</x:v>
      </x:c>
      <x:c r="E19" s="12" t="str">
        <x:v>Sneha Kapoor</x:v>
      </x:c>
      <x:c r="F19" s="12" t="str">
        <x:v>Small Business</x:v>
      </x:c>
      <x:c r="G19" s="12" t="str">
        <x:v>North</x:v>
      </x:c>
      <x:c r="H19" s="12" t="str">
        <x:v>Rajasthan</x:v>
      </x:c>
      <x:c r="I19" s="12" t="str">
        <x:v>Jaipur</x:v>
      </x:c>
      <x:c r="J19" s="12" t="str">
        <x:v>Furniture</x:v>
      </x:c>
      <x:c r="K19" s="12" t="str">
        <x:v>Furnishings</x:v>
      </x:c>
      <x:c r="L19" s="12" t="str">
        <x:v>Basic Furnishings 434</x:v>
      </x:c>
      <x:c r="M19" s="12" t="str">
        <x:v>Same Day</x:v>
      </x:c>
      <x:c r="N19" s="12" t="n">
        <x:v>5</x:v>
      </x:c>
      <x:c r="O19" s="12" t="n">
        <x:v>1526.78</x:v>
      </x:c>
      <x:c r="P19" s="12" t="n">
        <x:v>0</x:v>
      </x:c>
      <x:c r="Q19" s="12" t="n">
        <x:v>7633.9</x:v>
      </x:c>
      <x:c r="R19" s="12" t="n">
        <x:v>4706.91</x:v>
      </x:c>
      <x:c r="S19" s="12" t="n">
        <x:v>2926.99</x:v>
      </x:c>
      <x:c r="T19" s="12" t="str">
        <x:v>Paid</x:v>
      </x:c>
      <x:c r="U19" s="12" t="str">
        <x:v>Completed</x:v>
      </x:c>
    </x:row>
    <x:row r="20">
      <x:c r="A20" s="12" t="str">
        <x:v>ORD-2025-10019</x:v>
      </x:c>
      <x:c r="B20" s="12" t="str">
        <x:v>07/15/2025</x:v>
      </x:c>
      <x:c r="C20" s="12" t="str">
        <x:v>17-07-2025</x:v>
      </x:c>
      <x:c r="D20" s="12" t="str">
        <x:v>CUST-2110</x:v>
      </x:c>
      <x:c r="E20" s="12" t="str">
        <x:v>Aarav Sharma</x:v>
      </x:c>
      <x:c r="F20" s="12" t="str">
        <x:v>Home Office</x:v>
      </x:c>
      <x:c r="G20" s="12" t="str">
        <x:v>North</x:v>
      </x:c>
      <x:c r="H20" s="12" t="str">
        <x:v>Uttar Pradesh</x:v>
      </x:c>
      <x:c r="I20" s="12" t="str">
        <x:v>Noida</x:v>
      </x:c>
      <x:c r="J20" s="12" t="str">
        <x:v>Technology</x:v>
      </x:c>
      <x:c r="K20" s="12" t="str">
        <x:v>Copiers</x:v>
      </x:c>
      <x:c r="L20" s="12" t="str">
        <x:v>Eco Copiers 755</x:v>
      </x:c>
      <x:c r="M20" s="12" t="str">
        <x:v>First Class</x:v>
      </x:c>
      <x:c r="N20" s="12" t="n">
        <x:v>2</x:v>
      </x:c>
      <x:c r="O20" s="12" t="n">
        <x:v>1997.99</x:v>
      </x:c>
      <x:c r="P20" s="12" t="n">
        <x:v>0</x:v>
      </x:c>
      <x:c r="Q20" s="12" t="n">
        <x:v>3995.98</x:v>
      </x:c>
      <x:c r="R20" s="12" t="n">
        <x:v>2633.2</x:v>
      </x:c>
      <x:c r="S20" s="12" t="n">
        <x:v>1362.78</x:v>
      </x:c>
      <x:c r="T20" s="12" t="str">
        <x:v>Refunded</x:v>
      </x:c>
      <x:c r="U20" s="12" t="str">
        <x:v>Cancelled</x:v>
      </x:c>
    </x:row>
    <x:row r="21">
      <x:c r="A21" s="12" t="str">
        <x:v>ORD-2024-10020</x:v>
      </x:c>
      <x:c r="B21" s="12" t="str">
        <x:v>07/27/2024</x:v>
      </x:c>
      <x:c r="C21" s="12" t="str">
        <x:v>31 Jul 2024</x:v>
      </x:c>
      <x:c r="D21" s="12" t="str">
        <x:v>CUST-3186</x:v>
      </x:c>
      <x:c r="E21" s="12" t="str">
        <x:v>Rohan Mehta</x:v>
      </x:c>
      <x:c r="F21" s="12" t="str">
        <x:v>Home Office</x:v>
      </x:c>
      <x:c r="G21" s="12" t="str">
        <x:v>West</x:v>
      </x:c>
      <x:c r="H21" s="12" t="str">
        <x:v>Madhya Pradesh</x:v>
      </x:c>
      <x:c r="I21" s="12" t="str">
        <x:v>Indore</x:v>
      </x:c>
      <x:c r="J21" s="12" t="str">
        <x:v>Office Supplies</x:v>
      </x:c>
      <x:c r="K21" s="12" t="str">
        <x:v>Storage</x:v>
      </x:c>
      <x:c r="L21" s="12" t="str">
        <x:v>Prime Storage 121</x:v>
      </x:c>
      <x:c r="M21" s="12" t="str">
        <x:v>Second Class</x:v>
      </x:c>
      <x:c r="N21" s="12" t="n">
        <x:v>3</x:v>
      </x:c>
      <x:c r="O21" s="12" t="n">
        <x:v>3887.94</x:v>
      </x:c>
      <x:c r="P21" s="12" t="n">
        <x:v>-0.19</x:v>
      </x:c>
      <x:c r="Q21" s="12" t="n">
        <x:v>9331.06</x:v>
      </x:c>
      <x:c r="R21" s="12" t="n">
        <x:v>7529.31</x:v>
      </x:c>
      <x:c r="S21" s="12" t="n">
        <x:v>1801.75</x:v>
      </x:c>
      <x:c r="T21" s="12" t="str">
        <x:v>Paid</x:v>
      </x:c>
      <x:c r="U21" s="12" t="str">
        <x:v>Completed</x:v>
      </x:c>
    </x:row>
    <x:row r="22">
      <x:c r="A22" s="12" t="str">
        <x:v>ORD-2025-10021</x:v>
      </x:c>
      <x:c r="B22" s="12" t="str">
        <x:v>21-01-2025</x:v>
      </x:c>
      <x:c r="C22" s="12" t="str">
        <x:v>23 Jan 2025</x:v>
      </x:c>
      <x:c r="D22" s="12" t="str">
        <x:v>CUST-3190</x:v>
      </x:c>
      <x:c r="E22" s="12" t="str">
        <x:v>Aditi Sen</x:v>
      </x:c>
      <x:c r="F22" s="12" t="str">
        <x:v>Home Office</x:v>
      </x:c>
      <x:c r="G22" s="12" t="str">
        <x:v>East</x:v>
      </x:c>
      <x:c r="H22" s="12" t="str">
        <x:v>Bihar</x:v>
      </x:c>
      <x:c r="I22" s="12" t="str">
        <x:v>Patna</x:v>
      </x:c>
      <x:c r="J22" s="12" t="str">
        <x:v>Technology</x:v>
      </x:c>
      <x:c r="K22" s="12" t="str">
        <x:v>Copiers</x:v>
      </x:c>
      <x:c r="L22" s="12" t="str">
        <x:v>Elite Copiers 233</x:v>
      </x:c>
      <x:c r="M22" s="12" t="str">
        <x:v>First Class</x:v>
      </x:c>
      <x:c r="N22" s="12" t="n">
        <x:v>5</x:v>
      </x:c>
      <x:c r="O22" s="12" t="n">
        <x:v>4373.06</x:v>
      </x:c>
      <x:c r="P22" s="12" t="n">
        <x:v>0.25</x:v>
      </x:c>
      <x:c r="Q22" s="12" t="n">
        <x:v>16398.98</x:v>
      </x:c>
      <x:c r="R22" s="12" t="n">
        <x:v>9556.52</x:v>
      </x:c>
      <x:c r="S22" s="12" t="n">
        <x:v>6842.46</x:v>
      </x:c>
      <x:c r="T22" s="12" t="str">
        <x:v>Paid</x:v>
      </x:c>
      <x:c r="U22" s="12" t="str">
        <x:v>Completed</x:v>
      </x:c>
    </x:row>
    <x:row r="23">
      <x:c r="A23" s="12" t="str">
        <x:v>ORD-2025-10022</x:v>
      </x:c>
      <x:c r="B23" s="12" t="str">
        <x:v>24-01-2025</x:v>
      </x:c>
      <x:c r="C23" s="12" t="str">
        <x:v>01/30/2025</x:v>
      </x:c>
      <x:c r="D23" s="12" t="str">
        <x:v>CUST-3036</x:v>
      </x:c>
      <x:c r="E23" s="12" t="str">
        <x:v>Sneha Kapoor</x:v>
      </x:c>
      <x:c r="F23" s="12" t="str">
        <x:v>Consumer</x:v>
      </x:c>
      <x:c r="G23" s="12" t="str">
        <x:v>West</x:v>
      </x:c>
      <x:c r="H23" s="12" t="str">
        <x:v>Madhya Pradesh</x:v>
      </x:c>
      <x:c r="I23" s="12" t="str">
        <x:v>Indore</x:v>
      </x:c>
      <x:c r="J23" s="12" t="str">
        <x:v>Furniture</x:v>
      </x:c>
      <x:c r="K23" s="12" t="str">
        <x:v>Furnishings</x:v>
      </x:c>
      <x:c r="L23" s="12" t="str">
        <x:v>Eco Furnishings 897</x:v>
      </x:c>
      <x:c r="M23" s="12" t="str">
        <x:v>Second Class</x:v>
      </x:c>
      <x:c r="N23" s="12" t="n">
        <x:v>4</x:v>
      </x:c>
      <x:c r="O23" s="12" t="n">
        <x:v>697.69</x:v>
      </x:c>
      <x:c r="P23" s="12" t="n">
        <x:v>-0.23</x:v>
      </x:c>
      <x:c r="Q23" s="12" t="n">
        <x:v>2790.76</x:v>
      </x:c>
      <x:c r="R23" s="12" t="n">
        <x:v>2037.71</x:v>
      </x:c>
      <x:c r="S23" s="12" t="n">
        <x:v>753.05</x:v>
      </x:c>
      <x:c r="T23" s="12" t="str">
        <x:v>Paid</x:v>
      </x:c>
      <x:c r="U23" s="12" t="str">
        <x:v>Completed</x:v>
      </x:c>
    </x:row>
    <x:row r="24">
      <x:c r="A24" s="12" t="str">
        <x:v>ORD-2025-10023</x:v>
      </x:c>
      <x:c r="B24" s="12" t="str">
        <x:v>19 Jan 2025</x:v>
      </x:c>
      <x:c r="C24" s="12" t="str">
        <x:v>2025-01-21</x:v>
      </x:c>
      <x:c r="D24" s="12" t="str">
        <x:v>CUST-3588</x:v>
      </x:c>
      <x:c r="E24" s="12" t="str">
        <x:v>Mira Das</x:v>
      </x:c>
      <x:c r="F24" s="12" t="str">
        <x:v>Consumer</x:v>
      </x:c>
      <x:c r="G24" s="12" t="str">
        <x:v>South</x:v>
      </x:c>
      <x:c r="H24" s="12" t="str">
        <x:v>Telangana</x:v>
      </x:c>
      <x:c r="I24" s="12" t="str">
        <x:v>Hyderabad</x:v>
      </x:c>
      <x:c r="J24" s="12" t="str">
        <x:v>Office Supplies</x:v>
      </x:c>
      <x:c r="K24" s="12" t="str">
        <x:v>Binders</x:v>
      </x:c>
      <x:c r="L24" s="12" t="str">
        <x:v>Max Binders 355</x:v>
      </x:c>
      <x:c r="M24" s="12" t="str">
        <x:v>Standard Class</x:v>
      </x:c>
      <x:c r="N24" s="12" t="n">
        <x:v>8</x:v>
      </x:c>
      <x:c r="O24" s="12" t="n">
        <x:v>1219.34</x:v>
      </x:c>
      <x:c r="P24" s="12" t="n">
        <x:v>0.15</x:v>
      </x:c>
      <x:c r="Q24" s="12" t="n">
        <x:v>8291.51</x:v>
      </x:c>
      <x:c r="R24" s="12" t="n">
        <x:v>6685.03</x:v>
      </x:c>
      <x:c r="S24" s="12" t="n">
        <x:v>1606.48</x:v>
      </x:c>
      <x:c r="T24" s="12" t="str">
        <x:v>Failed</x:v>
      </x:c>
      <x:c r="U24" s="12" t="str">
        <x:v>Returned</x:v>
      </x:c>
    </x:row>
    <x:row r="25">
      <x:c r="A25" s="12" t="str">
        <x:v>ORD-2025-10024</x:v>
      </x:c>
      <x:c r="B25" s="12" t="str">
        <x:v>29 Aug 2025</x:v>
      </x:c>
      <x:c r="C25" s="12" t="str">
        <x:v>31-08-2025</x:v>
      </x:c>
      <x:c r="D25" s="12" t="str">
        <x:v>CUST-7098</x:v>
      </x:c>
      <x:c r="E25" s="12" t="str">
        <x:v>Rahul Verma</x:v>
      </x:c>
      <x:c r="F25" s="12" t="str">
        <x:v>Home Office</x:v>
      </x:c>
      <x:c r="G25" s="12" t="str">
        <x:v>East</x:v>
      </x:c>
      <x:c r="H25" s="12" t="str">
        <x:v>Bihar</x:v>
      </x:c>
      <x:c r="I25" s="12" t="str">
        <x:v>Patna</x:v>
      </x:c>
      <x:c r="J25" s="12" t="str">
        <x:v>Furniture</x:v>
      </x:c>
      <x:c r="K25" s="12" t="str">
        <x:v>Bookcases</x:v>
      </x:c>
      <x:c r="L25" s="12" t="str">
        <x:v>Pro Bookcases 394</x:v>
      </x:c>
      <x:c r="M25" s="12" t="str">
        <x:v>First Class</x:v>
      </x:c>
      <x:c r="N25" s="12" t="n">
        <x:v>4</x:v>
      </x:c>
      <x:c r="O25" s="12" t="n">
        <x:v>1958.01</x:v>
      </x:c>
      <x:c r="P25" s="12" t="n">
        <x:v>0.2</x:v>
      </x:c>
      <x:c r="Q25" s="12" t="n">
        <x:v>6265.63</x:v>
      </x:c>
      <x:c r="R25" s="12" t="n">
        <x:v>4321.86</x:v>
      </x:c>
      <x:c r="S25" s="12" t="n">
        <x:v>1943.77</x:v>
      </x:c>
      <x:c r="T25" s="12" t="str">
        <x:v>Paid</x:v>
      </x:c>
      <x:c r="U25" s="12" t="str">
        <x:v>Completed</x:v>
      </x:c>
    </x:row>
    <x:row r="26">
      <x:c r="A26" s="12" t="str">
        <x:v>ORD-2024-10025</x:v>
      </x:c>
      <x:c r="B26" s="12" t="str">
        <x:v>2024-03-04</x:v>
      </x:c>
      <x:c r="C26" s="12" t="str">
        <x:v>03/01/2024</x:v>
      </x:c>
      <x:c r="D26" s="12" t="str">
        <x:v>CUST-1747</x:v>
      </x:c>
      <x:c r="E26" s="12" t="str">
        <x:v>Diya Patel</x:v>
      </x:c>
      <x:c r="F26" s="12" t="str">
        <x:v>Consumer</x:v>
      </x:c>
      <x:c r="G26" s="12" t="str">
        <x:v>North</x:v>
      </x:c>
      <x:c r="H26" s="12" t="str">
        <x:v>Punjab</x:v>
      </x:c>
      <x:c r="I26" s="12" t="str">
        <x:v>Ludhiana</x:v>
      </x:c>
      <x:c r="J26" s="12" t="str">
        <x:v>Office Supplies</x:v>
      </x:c>
      <x:c r="K26" s="12" t="str">
        <x:v>Art</x:v>
      </x:c>
      <x:c r="L26" s="12" t="str">
        <x:v>Max Art 215</x:v>
      </x:c>
      <x:c r="M26" s="12" t="str">
        <x:v>Standard Class</x:v>
      </x:c>
      <x:c r="N26" s="12" t="n">
        <x:v>4</x:v>
      </x:c>
      <x:c r="O26" s="12" t="n">
        <x:v>4492.94</x:v>
      </x:c>
      <x:c r="P26" s="12" t="n">
        <x:v>0.25</x:v>
      </x:c>
      <x:c r="Q26" s="12" t="n">
        <x:v>13478.82</x:v>
      </x:c>
      <x:c r="R26" s="12" t="n">
        <x:v>10937.35</x:v>
      </x:c>
      <x:c r="S26" s="12" t="n">
        <x:v>2541.47</x:v>
      </x:c>
      <x:c r="T26" s="12" t="str">
        <x:v>Pending</x:v>
      </x:c>
      <x:c r="U26" s="12" t="str">
        <x:v>Cancelled</x:v>
      </x:c>
    </x:row>
    <x:row r="27">
      <x:c r="A27" s="12" t="str">
        <x:v>ORD-2024-10026</x:v>
      </x:c>
      <x:c r="B27" s="12" t="str">
        <x:v>11-10-2024</x:v>
      </x:c>
      <x:c r="C27" s="12" t="str">
        <x:v>2024-10-19</x:v>
      </x:c>
      <x:c r="D27" s="12" t="str">
        <x:v>CUST-1731</x:v>
      </x:c>
      <x:c r="E27" s="12" t="str">
        <x:v>Arjun Bose</x:v>
      </x:c>
      <x:c r="F27" s="12" t="str">
        <x:v>Corporate</x:v>
      </x:c>
      <x:c r="G27" s="12" t="str">
        <x:v>East</x:v>
      </x:c>
      <x:c r="H27" s="12" t="str">
        <x:v>Assam</x:v>
      </x:c>
      <x:c r="I27" s="12" t="str">
        <x:v>Guwahati</x:v>
      </x:c>
      <x:c r="J27" s="12" t="str">
        <x:v>Technology</x:v>
      </x:c>
      <x:c r="K27" s="12" t="str">
        <x:v>Accessories</x:v>
      </x:c>
      <x:c r="L27" s="12" t="str">
        <x:v>Classic Accessories 478</x:v>
      </x:c>
      <x:c r="M27" s="12" t="str">
        <x:v>First Class</x:v>
      </x:c>
      <x:c r="N27" s="12" t="n">
        <x:v>2</x:v>
      </x:c>
      <x:c r="O27" s="12" t="n">
        <x:v>4315.2</x:v>
      </x:c>
      <x:c r="P27" s="12" t="n">
        <x:v>0.15</x:v>
      </x:c>
      <x:c r="Q27" s="12" t="n">
        <x:v>7335.84</x:v>
      </x:c>
      <x:c r="R27" s="12" t="n">
        <x:v>4968.41</x:v>
      </x:c>
      <x:c r="S27" s="12" t="n">
        <x:v>2367.43</x:v>
      </x:c>
      <x:c r="T27" s="12" t="str">
        <x:v>Paid</x:v>
      </x:c>
      <x:c r="U27" s="12" t="str">
        <x:v>Completed</x:v>
      </x:c>
    </x:row>
    <x:row r="28">
      <x:c r="A28" s="12" t="str">
        <x:v>ORD-2024-10027</x:v>
      </x:c>
      <x:c r="B28" s="12" t="str">
        <x:v>23-11-2024</x:v>
      </x:c>
      <x:c r="C28" s="12" t="str">
        <x:v>23 Nov 2024</x:v>
      </x:c>
      <x:c r="D28" s="12" t="str">
        <x:v>CUST-4401</x:v>
      </x:c>
      <x:c r="E28" s="12" t="str">
        <x:v>Diya Patel</x:v>
      </x:c>
      <x:c r="F28" s="12" t="str">
        <x:v>Corporate</x:v>
      </x:c>
      <x:c r="G28" s="12" t="str">
        <x:v>North</x:v>
      </x:c>
      <x:c r="H28" s="12" t="str">
        <x:v>Uttar Pradesh</x:v>
      </x:c>
      <x:c r="I28" s="12" t="str">
        <x:v>Noida</x:v>
      </x:c>
      <x:c r="J28" s="12" t="str">
        <x:v>Technology</x:v>
      </x:c>
      <x:c r="K28" s="12" t="str">
        <x:v>Phones</x:v>
      </x:c>
      <x:c r="L28" s="12" t="str">
        <x:v>Pro Phones 243</x:v>
      </x:c>
      <x:c r="M28" s="12" t="str">
        <x:v>Standard Class</x:v>
      </x:c>
      <x:c r="N28" s="12" t="n">
        <x:v>4</x:v>
      </x:c>
      <x:c r="O28" s="12" t="n">
        <x:v>716.13</x:v>
      </x:c>
      <x:c r="P28" s="12" t="n">
        <x:v>0.1</x:v>
      </x:c>
      <x:c r="Q28" s="12" t="n">
        <x:v>2578.07</x:v>
      </x:c>
      <x:c r="R28" s="12" t="n">
        <x:v>1527.55</x:v>
      </x:c>
      <x:c r="S28" s="12" t="n">
        <x:v>1050.52</x:v>
      </x:c>
      <x:c r="T28" s="12" t="str">
        <x:v>Paid </x:v>
      </x:c>
      <x:c r="U28" s="12" t="str">
        <x:v>Returned</x:v>
      </x:c>
    </x:row>
    <x:row r="29">
      <x:c r="A29" s="12" t="str">
        <x:v>ORD-2025-10028</x:v>
      </x:c>
      <x:c r="B29" s="12" t="str">
        <x:v>29 Sep 2025</x:v>
      </x:c>
      <x:c r="C29" s="12" t="str">
        <x:v>05-10-2025</x:v>
      </x:c>
      <x:c r="D29" s="12" t="str">
        <x:v>CUST-9875</x:v>
      </x:c>
      <x:c r="E29" s="12" t="str">
        <x:v>Arjun Bose</x:v>
      </x:c>
      <x:c r="F29" s="12" t="str">
        <x:v>Small Business</x:v>
      </x:c>
      <x:c r="G29" s="12" t="str">
        <x:v>South</x:v>
      </x:c>
      <x:c r="H29" s="12" t="str">
        <x:v>Karnataka</x:v>
      </x:c>
      <x:c r="I29" s="12" t="str">
        <x:v>Bengaluru</x:v>
      </x:c>
      <x:c r="J29" s="12" t="str">
        <x:v>Office Supplies</x:v>
      </x:c>
      <x:c r="K29" s="12" t="str">
        <x:v>Paper</x:v>
      </x:c>
      <x:c r="L29" s="12" t="str">
        <x:v>Basic Paper 613</x:v>
      </x:c>
      <x:c r="M29" s="12" t="str">
        <x:v>Second Class</x:v>
      </x:c>
      <x:c r="N29" s="12" t="n">
        <x:v>5</x:v>
      </x:c>
      <x:c r="O29" s="12" t="n">
        <x:v>1806.51</x:v>
      </x:c>
      <x:c r="P29" s="12" t="n">
        <x:v>0.25</x:v>
      </x:c>
      <x:c r="Q29" s="12" t="n">
        <x:v>6774.41</x:v>
      </x:c>
      <x:c r="R29" s="12" t="n">
        <x:v>4710.36</x:v>
      </x:c>
      <x:c r="S29" s="12" t="n">
        <x:v>2064.05</x:v>
      </x:c>
      <x:c r="T29" s="12" t="str">
        <x:v>Failed</x:v>
      </x:c>
      <x:c r="U29" s="12" t="str">
        <x:v>Returned</x:v>
      </x:c>
    </x:row>
    <x:row r="30">
      <x:c r="A30" s="12" t="str">
        <x:v>ORD-2024-10029</x:v>
      </x:c>
      <x:c r="B30" s="12" t="str">
        <x:v>11-10-2024</x:v>
      </x:c>
      <x:c r="C30" s="12" t="str">
        <x:v>18-10-2024</x:v>
      </x:c>
      <x:c r="D30" s="12" t="str">
        <x:v>CUST-1569</x:v>
      </x:c>
      <x:c r="E30" s="12" t="str">
        <x:v>Ananya Rao</x:v>
      </x:c>
      <x:c r="F30" s="12" t="str">
        <x:v>Home Office</x:v>
      </x:c>
      <x:c r="G30" s="12" t="str">
        <x:v>West</x:v>
      </x:c>
      <x:c r="H30" s="12" t="str">
        <x:v>Gujarat</x:v>
      </x:c>
      <x:c r="I30" s="12" t="str">
        <x:v>Ahmedabad</x:v>
      </x:c>
      <x:c r="J30" s="12" t="str">
        <x:v>Technology</x:v>
      </x:c>
      <x:c r="K30" s="12" t="str">
        <x:v>Phones</x:v>
      </x:c>
      <x:c r="L30" s="12" t="str">
        <x:v>Prime Phones 698</x:v>
      </x:c>
      <x:c r="M30" s="12" t="str">
        <x:v>Second Class</x:v>
      </x:c>
      <x:c r="N30" s="12" t="n">
        <x:v>2</x:v>
      </x:c>
      <x:c r="O30" s="12" t="n">
        <x:v>1942.22</x:v>
      </x:c>
      <x:c r="P30" s="12" t="n">
        <x:v>0.25</x:v>
      </x:c>
      <x:c r="Q30" s="12" t="n">
        <x:v>2913.33</x:v>
      </x:c>
      <x:c r="R30" s="12" t="n">
        <x:v>2122.33</x:v>
      </x:c>
      <x:c r="S30" s="12" t="n">
        <x:v>791</x:v>
      </x:c>
      <x:c r="T30" s="12" t="str">
        <x:v>Refunded</x:v>
      </x:c>
      <x:c r="U30" s="12" t="str">
        <x:v>Cancelled</x:v>
      </x:c>
    </x:row>
    <x:row r="31">
      <x:c r="A31" s="12" t="str">
        <x:v>ORD-2025-10030</x:v>
      </x:c>
      <x:c r="B31" s="12" t="str">
        <x:v>13 Aug 2025</x:v>
      </x:c>
      <x:c r="C31" s="12" t="str">
        <x:v>13-08-2025</x:v>
      </x:c>
      <x:c r="D31" s="12" t="str">
        <x:v>CUST-5936</x:v>
      </x:c>
      <x:c r="E31" s="12" t="str">
        <x:v>Rohan Mehta</x:v>
      </x:c>
      <x:c r="F31" s="12" t="str">
        <x:v>Home Office</x:v>
      </x:c>
      <x:c r="G31" s="12" t="str">
        <x:v>South</x:v>
      </x:c>
      <x:c r="H31" s="12" t="str">
        <x:v>Kerala</x:v>
      </x:c>
      <x:c r="I31" s="12" t="str">
        <x:v>Kochi</x:v>
      </x:c>
      <x:c r="J31" s="12" t="str">
        <x:v>Technology</x:v>
      </x:c>
      <x:c r="K31" s="12" t="str">
        <x:v>Phones</x:v>
      </x:c>
      <x:c r="L31" s="12" t="str">
        <x:v>Pro Phones 442</x:v>
      </x:c>
      <x:c r="M31" s="12" t="str">
        <x:v>Standard Class</x:v>
      </x:c>
      <x:c r="N31" s="12" t="n">
        <x:v>1</x:v>
      </x:c>
      <x:c r="O31" s="12" t="n">
        <x:v>256.01</x:v>
      </x:c>
      <x:c r="P31" s="12" t="n">
        <x:v>0.15</x:v>
      </x:c>
      <x:c r="Q31" s="12" t="n">
        <x:v>217.61</x:v>
      </x:c>
      <x:c r="R31" s="12" t="n">
        <x:v>119.77</x:v>
      </x:c>
      <x:c r="S31" s="12" t="n">
        <x:v>97.84</x:v>
      </x:c>
      <x:c r="T31" s="12" t="str">
        <x:v>Paid</x:v>
      </x:c>
      <x:c r="U31" s="12" t="str">
        <x:v>Completed</x:v>
      </x:c>
    </x:row>
    <x:row r="32">
      <x:c r="A32" s="12" t="str">
        <x:v>ORD-2024-10031</x:v>
      </x:c>
      <x:c r="B32" s="12" t="str">
        <x:v>09 Feb 2024</x:v>
      </x:c>
      <x:c r="C32" s="12" t="str">
        <x:v>02/12/2024</x:v>
      </x:c>
      <x:c r="D32" s="12" t="str">
        <x:v>CUST-8759</x:v>
      </x:c>
      <x:c r="E32" s="12" t="str">
        <x:v>Ananya Rao</x:v>
      </x:c>
      <x:c r="F32" s="12" t="str">
        <x:v>Corporate</x:v>
      </x:c>
      <x:c r="G32" s="12" t="str">
        <x:v>West</x:v>
      </x:c>
      <x:c r="H32" s="12" t="str">
        <x:v>Goa</x:v>
      </x:c>
      <x:c r="I32" s="12" t="str">
        <x:v>Panaji</x:v>
      </x:c>
      <x:c r="J32" s="12" t="str">
        <x:v>Office Supplies</x:v>
      </x:c>
      <x:c r="K32" s="12" t="str">
        <x:v>Labels</x:v>
      </x:c>
      <x:c r="L32" s="12" t="str">
        <x:v>Pro Labels 355</x:v>
      </x:c>
      <x:c r="M32" s="12" t="str">
        <x:v>First Class</x:v>
      </x:c>
      <x:c r="N32" s="12" t="n">
        <x:v>1</x:v>
      </x:c>
      <x:c r="O32" s="12" t="n">
        <x:v>3421.77</x:v>
      </x:c>
      <x:c r="P32" s="12" t="n">
        <x:v>0.1</x:v>
      </x:c>
      <x:c r="Q32" s="12" t="n">
        <x:v>3079.59</x:v>
      </x:c>
      <x:c r="R32" s="12" t="n">
        <x:v>2001.89</x:v>
      </x:c>
      <x:c r="S32" s="12" t="n">
        <x:v>1077.7</x:v>
      </x:c>
      <x:c r="T32" s="12" t="str">
        <x:v>Paid</x:v>
      </x:c>
      <x:c r="U32" s="12" t="str">
        <x:v>Completed</x:v>
      </x:c>
    </x:row>
    <x:row r="33">
      <x:c r="A33" s="12" t="str">
        <x:v>ORD-2025-10032</x:v>
      </x:c>
      <x:c r="B33" s="12" t="str">
        <x:v>15-06-2025</x:v>
      </x:c>
      <x:c r="C33" s="12" t="str">
        <x:v>19-06-2025</x:v>
      </x:c>
      <x:c r="D33" s="12" t="str">
        <x:v>CUST-7867</x:v>
      </x:c>
      <x:c r="E33" s="12" t="str">
        <x:v>Karan Malhotra</x:v>
      </x:c>
      <x:c r="F33" s="12" t="str">
        <x:v>Small Business</x:v>
      </x:c>
      <x:c r="G33" s="12" t="str">
        <x:v>West</x:v>
      </x:c>
      <x:c r="H33" s="12" t="str">
        <x:v>Madhya Pradesh</x:v>
      </x:c>
      <x:c r="I33" s="12" t="str">
        <x:v>Indore</x:v>
      </x:c>
      <x:c r="J33" s="12" t="str">
        <x:v>Office Supplies</x:v>
      </x:c>
      <x:c r="K33" s="12" t="str">
        <x:v>Paper</x:v>
      </x:c>
      <x:c r="L33" s="12" t="str">
        <x:v>Pro Paper 959</x:v>
      </x:c>
      <x:c r="M33" s="12" t="str">
        <x:v>Second Class</x:v>
      </x:c>
      <x:c r="N33" s="12" t="n">
        <x:v>9</x:v>
      </x:c>
      <x:c r="O33" s="12" t="n">
        <x:v>3092.55</x:v>
      </x:c>
      <x:c r="P33" s="12" t="n">
        <x:v>0</x:v>
      </x:c>
      <x:c r="Q33" s="12" t="n">
        <x:v>27832.95</x:v>
      </x:c>
      <x:c r="R33" s="12" t="n">
        <x:v>17769.75</x:v>
      </x:c>
      <x:c r="S33" s="12" t="n">
        <x:v>10063.2</x:v>
      </x:c>
      <x:c r="T33" s="12" t="str">
        <x:v>Failed</x:v>
      </x:c>
      <x:c r="U33" s="12" t="str">
        <x:v>Returned</x:v>
      </x:c>
    </x:row>
    <x:row r="34">
      <x:c r="A34" s="12" t="str">
        <x:v>ORD-2024-10033</x:v>
      </x:c>
      <x:c r="B34" s="12" t="str">
        <x:v>22-11-2024</x:v>
      </x:c>
      <x:c r="C34" s="12" t="str">
        <x:v>2024-11-26</x:v>
      </x:c>
      <x:c r="D34" s="12" t="str">
        <x:v>CUST-6509</x:v>
      </x:c>
      <x:c r="E34" s="12" t="str">
        <x:v>Aarav Sharma</x:v>
      </x:c>
      <x:c r="F34" s="12" t="str">
        <x:v>Corporate</x:v>
      </x:c>
      <x:c r="G34" s="12" t="str">
        <x:v>South</x:v>
      </x:c>
      <x:c r="H34" s="12" t="str">
        <x:v>Andhra Pradesh</x:v>
      </x:c>
      <x:c r="I34" s="12" t="str">
        <x:v>Vijayawada</x:v>
      </x:c>
      <x:c r="J34" s="12" t="str">
        <x:v>Technology</x:v>
      </x:c>
      <x:c r="K34" s="12" t="str">
        <x:v>Phones</x:v>
      </x:c>
      <x:c r="L34" s="12" t="str">
        <x:v>Basic Phones 242</x:v>
      </x:c>
      <x:c r="M34" s="12" t="str">
        <x:v>Second Class</x:v>
      </x:c>
      <x:c r="N34" s="12" t="n">
        <x:v>3</x:v>
      </x:c>
      <x:c r="O34" s="12" t="n">
        <x:v>4001.25</x:v>
      </x:c>
      <x:c r="P34" s="12"/>
      <x:c r="Q34" s="12" t="n">
        <x:v>9002.81</x:v>
      </x:c>
      <x:c r="R34" s="12" t="n">
        <x:v>7529.92</x:v>
      </x:c>
      <x:c r="S34" s="12" t="n">
        <x:v>1472.89</x:v>
      </x:c>
      <x:c r="T34" s="12" t="str">
        <x:v>Paid</x:v>
      </x:c>
      <x:c r="U34" s="12" t="str">
        <x:v>Completed</x:v>
      </x:c>
    </x:row>
    <x:row r="35">
      <x:c r="A35" s="12" t="str">
        <x:v>ORD-2024-10034</x:v>
      </x:c>
      <x:c r="B35" s="12" t="str">
        <x:v>07/22/2024</x:v>
      </x:c>
      <x:c r="C35" s="12" t="str">
        <x:v>27-07-2024</x:v>
      </x:c>
      <x:c r="D35" s="12" t="str">
        <x:v>CUST-6660</x:v>
      </x:c>
      <x:c r="E35" s="12" t="str">
        <x:v>Priya Menon</x:v>
      </x:c>
      <x:c r="F35" s="12" t="str">
        <x:v>Home Office</x:v>
      </x:c>
      <x:c r="G35" s="12" t="str">
        <x:v>West</x:v>
      </x:c>
      <x:c r="H35" s="12" t="str">
        <x:v>Goa</x:v>
      </x:c>
      <x:c r="I35" s="12" t="str">
        <x:v>Panaji</x:v>
      </x:c>
      <x:c r="J35" s="12" t="str">
        <x:v>Furniture</x:v>
      </x:c>
      <x:c r="K35" s="12" t="str">
        <x:v>Tables</x:v>
      </x:c>
      <x:c r="L35" s="12" t="str">
        <x:v>Max Tables 836</x:v>
      </x:c>
      <x:c r="M35" s="12" t="str">
        <x:v>Same Day</x:v>
      </x:c>
      <x:c r="N35" s="12" t="n">
        <x:v>7</x:v>
      </x:c>
      <x:c r="O35" s="12" t="n">
        <x:v>492.41</x:v>
      </x:c>
      <x:c r="P35" s="12" t="n">
        <x:v>0.25</x:v>
      </x:c>
      <x:c r="Q35" s="12" t="n">
        <x:v>2585.15</x:v>
      </x:c>
      <x:c r="R35" s="12" t="n">
        <x:v>2070.73</x:v>
      </x:c>
      <x:c r="S35" s="12" t="n">
        <x:v>514.42</x:v>
      </x:c>
      <x:c r="T35" s="12" t="str">
        <x:v>Paid</x:v>
      </x:c>
      <x:c r="U35" s="12" t="str">
        <x:v>Completed</x:v>
      </x:c>
    </x:row>
    <x:row r="36">
      <x:c r="A36" s="12" t="str">
        <x:v>ORD-2025-10035</x:v>
      </x:c>
      <x:c r="B36" s="12" t="str">
        <x:v>2025-01-31</x:v>
      </x:c>
      <x:c r="C36" s="12" t="str">
        <x:v>2025-02-05</x:v>
      </x:c>
      <x:c r="D36" s="12" t="str">
        <x:v>CUST-2392</x:v>
      </x:c>
      <x:c r="E36" s="12" t="str">
        <x:v>Priya Menon</x:v>
      </x:c>
      <x:c r="F36" s="12" t="str">
        <x:v>Home Office</x:v>
      </x:c>
      <x:c r="G36" s="12" t="str">
        <x:v>East</x:v>
      </x:c>
      <x:c r="H36" s="12" t="str">
        <x:v>West Bengal</x:v>
      </x:c>
      <x:c r="I36" s="12" t="str">
        <x:v>Kolkata</x:v>
      </x:c>
      <x:c r="J36" s="12" t="str">
        <x:v>Furniture</x:v>
      </x:c>
      <x:c r="K36" s="12" t="str">
        <x:v>Chairs</x:v>
      </x:c>
      <x:c r="L36" s="12" t="str">
        <x:v>Elite Chairs 862</x:v>
      </x:c>
      <x:c r="M36" s="12"/>
      <x:c r="N36" s="12" t="n">
        <x:v>2</x:v>
      </x:c>
      <x:c r="O36" s="12" t="n">
        <x:v>4159.69</x:v>
      </x:c>
      <x:c r="P36" s="12" t="n">
        <x:v>0.2</x:v>
      </x:c>
      <x:c r="Q36" s="12" t="n">
        <x:v>6655.5</x:v>
      </x:c>
      <x:c r="R36" s="12" t="n">
        <x:v>4340.21</x:v>
      </x:c>
      <x:c r="S36" s="12" t="n">
        <x:v>2607.32</x:v>
      </x:c>
      <x:c r="T36" s="12" t="str">
        <x:v>Paid</x:v>
      </x:c>
      <x:c r="U36" s="12" t="str">
        <x:v>Completed</x:v>
      </x:c>
    </x:row>
    <x:row r="37">
      <x:c r="A37" s="12" t="str">
        <x:v>ORD-2024-10036</x:v>
      </x:c>
      <x:c r="B37" s="12" t="str">
        <x:v>29-05-2024</x:v>
      </x:c>
      <x:c r="C37" s="12" t="str">
        <x:v>29 May 2024</x:v>
      </x:c>
      <x:c r="D37" s="12" t="str">
        <x:v>CUST-1611</x:v>
      </x:c>
      <x:c r="E37" s="12" t="str">
        <x:v>Sneha Kapoor</x:v>
      </x:c>
      <x:c r="F37" s="12" t="str">
        <x:v>Small Business</x:v>
      </x:c>
      <x:c r="G37" s="12" t="str">
        <x:v>West</x:v>
      </x:c>
      <x:c r="H37" s="12" t="str">
        <x:v>Gujarat</x:v>
      </x:c>
      <x:c r="I37" s="12" t="str">
        <x:v>Ahmedabad</x:v>
      </x:c>
      <x:c r="J37" s="12" t="str">
        <x:v>Furniture</x:v>
      </x:c>
      <x:c r="K37" s="12" t="str">
        <x:v>Bookcases</x:v>
      </x:c>
      <x:c r="L37" s="12" t="str">
        <x:v>Prime Bookcases 414</x:v>
      </x:c>
      <x:c r="M37" s="12" t="str">
        <x:v>Second Class</x:v>
      </x:c>
      <x:c r="N37" s="12" t="n">
        <x:v>8</x:v>
      </x:c>
      <x:c r="O37" s="12" t="n">
        <x:v>2507.12</x:v>
      </x:c>
      <x:c r="P37" s="12" t="n">
        <x:v>0.05</x:v>
      </x:c>
      <x:c r="Q37" s="12" t="n">
        <x:v>19054.11</x:v>
      </x:c>
      <x:c r="R37" s="12" t="n">
        <x:v>15313.83</x:v>
      </x:c>
      <x:c r="S37" s="12" t="n">
        <x:v>3740.28</x:v>
      </x:c>
      <x:c r="T37" s="12" t="str">
        <x:v>Pending</x:v>
      </x:c>
      <x:c r="U37" s="12" t="str">
        <x:v>Returned</x:v>
      </x:c>
    </x:row>
    <x:row r="38">
      <x:c r="A38" s="12" t="str">
        <x:v>ORD-2024-10037</x:v>
      </x:c>
      <x:c r="B38" s="12" t="str">
        <x:v>2024-10-25</x:v>
      </x:c>
      <x:c r="C38" s="12" t="str">
        <x:v>28 Oct 2024</x:v>
      </x:c>
      <x:c r="D38" s="12" t="str">
        <x:v>CUST-8296</x:v>
      </x:c>
      <x:c r="E38" s="12" t="str">
        <x:v>Rohan Mehta</x:v>
      </x:c>
      <x:c r="F38" s="12" t="str">
        <x:v>Corporate</x:v>
      </x:c>
      <x:c r="G38" s="12" t="str">
        <x:v>West</x:v>
      </x:c>
      <x:c r="H38" s="12" t="str">
        <x:v>Maharashtra</x:v>
      </x:c>
      <x:c r="I38" s="12" t="str">
        <x:v>Mumbai</x:v>
      </x:c>
      <x:c r="J38" s="12" t="str">
        <x:v>Furniture</x:v>
      </x:c>
      <x:c r="K38" s="12" t="str">
        <x:v>Bookcases</x:v>
      </x:c>
      <x:c r="L38" s="12" t="str">
        <x:v>Eco Bookcases 220</x:v>
      </x:c>
      <x:c r="M38" s="12" t="str">
        <x:v>Second Class</x:v>
      </x:c>
      <x:c r="N38" s="12" t="n">
        <x:v>3</x:v>
      </x:c>
      <x:c r="O38" s="12" t="n">
        <x:v>3126.47</x:v>
      </x:c>
      <x:c r="P38" s="12" t="n">
        <x:v>0</x:v>
      </x:c>
      <x:c r="Q38" s="12" t="n">
        <x:v>9379.41</x:v>
      </x:c>
      <x:c r="R38" s="12" t="n">
        <x:v>6670.85</x:v>
      </x:c>
      <x:c r="S38" s="12" t="n">
        <x:v>2708.56</x:v>
      </x:c>
      <x:c r="T38" s="12" t="str">
        <x:v>Paid</x:v>
      </x:c>
      <x:c r="U38" s="12" t="str">
        <x:v>Returned</x:v>
      </x:c>
    </x:row>
    <x:row r="39">
      <x:c r="A39" s="12" t="str">
        <x:v>ORD-2025-10038</x:v>
      </x:c>
      <x:c r="B39" s="12" t="str">
        <x:v>29-07-2025</x:v>
      </x:c>
      <x:c r="C39" s="12" t="str">
        <x:v>29-07-2025</x:v>
      </x:c>
      <x:c r="D39" s="12" t="str">
        <x:v>CUST-4646</x:v>
      </x:c>
      <x:c r="E39" s="12" t="str">
        <x:v>Diya Patel</x:v>
      </x:c>
      <x:c r="F39" s="12" t="str">
        <x:v>Consumer</x:v>
      </x:c>
      <x:c r="G39" s="12" t="str">
        <x:v>West</x:v>
      </x:c>
      <x:c r="H39" s="12" t="str">
        <x:v>Maharashtra</x:v>
      </x:c>
      <x:c r="I39" s="12" t="str">
        <x:v>Mumbai</x:v>
      </x:c>
      <x:c r="J39" s="12" t="str">
        <x:v>Technology</x:v>
      </x:c>
      <x:c r="K39" s="12" t="str">
        <x:v>Copiers</x:v>
      </x:c>
      <x:c r="L39" s="12" t="str">
        <x:v>Pro Copiers 830</x:v>
      </x:c>
      <x:c r="M39" s="12" t="str">
        <x:v>STANDARD CLASS</x:v>
      </x:c>
      <x:c r="N39" s="12" t="n">
        <x:v>4</x:v>
      </x:c>
      <x:c r="O39" s="12" t="n">
        <x:v>1327.54</x:v>
      </x:c>
      <x:c r="P39" s="12" t="n">
        <x:v>0.2</x:v>
      </x:c>
      <x:c r="Q39" s="12" t="n">
        <x:v>4248.13</x:v>
      </x:c>
      <x:c r="R39" s="12" t="n">
        <x:v>3321.09</x:v>
      </x:c>
      <x:c r="S39" s="12" t="n">
        <x:v>927.04</x:v>
      </x:c>
      <x:c r="T39" s="12" t="str">
        <x:v>Paid</x:v>
      </x:c>
      <x:c r="U39" s="12" t="str">
        <x:v>Completed</x:v>
      </x:c>
    </x:row>
    <x:row r="40">
      <x:c r="A40" s="12" t="str">
        <x:v>ORD-2024-10039</x:v>
      </x:c>
      <x:c r="B40" s="12" t="str">
        <x:v>2024-06-17</x:v>
      </x:c>
      <x:c r="C40" s="12" t="str">
        <x:v>22-06-2024</x:v>
      </x:c>
      <x:c r="D40" s="12" t="str">
        <x:v>CUST-8235</x:v>
      </x:c>
      <x:c r="E40" s="12" t="str">
        <x:v>Aarav Sharma</x:v>
      </x:c>
      <x:c r="F40" s="12" t="str">
        <x:v>Corporate</x:v>
      </x:c>
      <x:c r="G40" s="12" t="str">
        <x:v>West</x:v>
      </x:c>
      <x:c r="H40" s="12" t="str">
        <x:v>Gujarat</x:v>
      </x:c>
      <x:c r="I40" s="12" t="str">
        <x:v>Ahmedabad</x:v>
      </x:c>
      <x:c r="J40" s="12" t="str">
        <x:v>Technology</x:v>
      </x:c>
      <x:c r="K40" s="12" t="str">
        <x:v>Phones</x:v>
      </x:c>
      <x:c r="L40" s="12" t="str">
        <x:v>Prime Phones 507</x:v>
      </x:c>
      <x:c r="M40" s="12" t="str">
        <x:v>First Class</x:v>
      </x:c>
      <x:c r="N40" s="12" t="n">
        <x:v>7</x:v>
      </x:c>
      <x:c r="O40" s="12" t="n">
        <x:v>2210.68</x:v>
      </x:c>
      <x:c r="P40" s="12" t="n">
        <x:v>0.1</x:v>
      </x:c>
      <x:c r="Q40" s="12" t="n">
        <x:v>13927.28</x:v>
      </x:c>
      <x:c r="R40" s="12" t="n">
        <x:v>10504.87</x:v>
      </x:c>
      <x:c r="S40" s="12" t="n">
        <x:v>3422.41</x:v>
      </x:c>
      <x:c r="T40" s="12" t="str">
        <x:v>Paid</x:v>
      </x:c>
      <x:c r="U40" s="12" t="str">
        <x:v>Completed</x:v>
      </x:c>
    </x:row>
    <x:row r="41">
      <x:c r="A41" s="12" t="str">
        <x:v>ORD-2024-10040</x:v>
      </x:c>
      <x:c r="B41" s="12" t="str">
        <x:v>12/11/2024</x:v>
      </x:c>
      <x:c r="C41" s="12" t="str">
        <x:v>2024-12-11</x:v>
      </x:c>
      <x:c r="D41" s="12" t="str">
        <x:v>CUST-5830</x:v>
      </x:c>
      <x:c r="E41" s="12" t="str">
        <x:v>Mira Das</x:v>
      </x:c>
      <x:c r="F41" s="12" t="str">
        <x:v>Small Business</x:v>
      </x:c>
      <x:c r="G41" s="12" t="str">
        <x:v>West</x:v>
      </x:c>
      <x:c r="H41" s="12" t="str">
        <x:v>Madhya Pradesh</x:v>
      </x:c>
      <x:c r="I41" s="12" t="str">
        <x:v>Indore</x:v>
      </x:c>
      <x:c r="J41" s="12" t="str">
        <x:v>Technology</x:v>
      </x:c>
      <x:c r="K41" s="12" t="str">
        <x:v>Copiers</x:v>
      </x:c>
      <x:c r="L41" s="12" t="str">
        <x:v>Classic Copiers 590</x:v>
      </x:c>
      <x:c r="M41" s="12" t="str">
        <x:v>First Class</x:v>
      </x:c>
      <x:c r="N41" s="12" t="n">
        <x:v>4</x:v>
      </x:c>
      <x:c r="O41" s="12" t="n">
        <x:v>1370.92</x:v>
      </x:c>
      <x:c r="P41" s="12" t="n">
        <x:v>0.1</x:v>
      </x:c>
      <x:c r="Q41" s="12" t="n">
        <x:v>4935.31</x:v>
      </x:c>
      <x:c r="R41" s="12" t="n">
        <x:v>3374.77</x:v>
      </x:c>
      <x:c r="S41" s="12" t="n">
        <x:v>1560.54</x:v>
      </x:c>
      <x:c r="T41" s="12" t="str">
        <x:v>Pending</x:v>
      </x:c>
      <x:c r="U41" s="12" t="str">
        <x:v>Returned</x:v>
      </x:c>
    </x:row>
    <x:row r="42">
      <x:c r="A42" s="12" t="str">
        <x:v>ORD-2024-10041</x:v>
      </x:c>
      <x:c r="B42" s="12" t="str">
        <x:v>10-10-2024</x:v>
      </x:c>
      <x:c r="C42" s="12" t="str">
        <x:v>16 Oct 2024</x:v>
      </x:c>
      <x:c r="D42" s="12" t="str">
        <x:v>CUST-7178</x:v>
      </x:c>
      <x:c r="E42" s="12" t="str">
        <x:v>Isha Nair</x:v>
      </x:c>
      <x:c r="F42" s="12" t="str">
        <x:v>Home Office</x:v>
      </x:c>
      <x:c r="G42" s="12" t="str">
        <x:v>West</x:v>
      </x:c>
      <x:c r="H42" s="12" t="str">
        <x:v>Rajasthan</x:v>
      </x:c>
      <x:c r="I42" s="12" t="str">
        <x:v>Udaipur</x:v>
      </x:c>
      <x:c r="J42" s="12" t="str">
        <x:v>Technology</x:v>
      </x:c>
      <x:c r="K42" s="12" t="str">
        <x:v>Copiers</x:v>
      </x:c>
      <x:c r="L42" s="12" t="str">
        <x:v>Eco Copiers 865</x:v>
      </x:c>
      <x:c r="M42" s="12" t="str">
        <x:v>Standard Class</x:v>
      </x:c>
      <x:c r="N42" s="12" t="n">
        <x:v>7</x:v>
      </x:c>
      <x:c r="O42" s="12" t="n">
        <x:v>2509.27</x:v>
      </x:c>
      <x:c r="P42" s="12" t="n">
        <x:v>0.2</x:v>
      </x:c>
      <x:c r="Q42" s="12" t="n">
        <x:v>14051.91</x:v>
      </x:c>
      <x:c r="R42" s="12" t="n">
        <x:v>11990.37</x:v>
      </x:c>
      <x:c r="S42" s="12" t="n">
        <x:v>2061.54</x:v>
      </x:c>
      <x:c r="T42" s="12" t="str">
        <x:v>Paid</x:v>
      </x:c>
      <x:c r="U42" s="12" t="str">
        <x:v>Completed</x:v>
      </x:c>
    </x:row>
    <x:row r="43">
      <x:c r="A43" s="12" t="str">
        <x:v>ORD-2024-10042</x:v>
      </x:c>
      <x:c r="B43" s="12" t="str">
        <x:v>03/12/2024</x:v>
      </x:c>
      <x:c r="C43" s="12" t="str">
        <x:v>17-03-2024</x:v>
      </x:c>
      <x:c r="D43" s="12" t="str">
        <x:v>CUST-3829</x:v>
      </x:c>
      <x:c r="E43" s="12" t="str">
        <x:v>Aarav Sharma</x:v>
      </x:c>
      <x:c r="F43" s="12" t="str">
        <x:v>Small Business</x:v>
      </x:c>
      <x:c r="G43" s="12" t="str">
        <x:v>East</x:v>
      </x:c>
      <x:c r="H43" s="12" t="str">
        <x:v>Odisha</x:v>
      </x:c>
      <x:c r="I43" s="12" t="str">
        <x:v>Bhubaneswar</x:v>
      </x:c>
      <x:c r="J43" s="12" t="str">
        <x:v>Furniture</x:v>
      </x:c>
      <x:c r="K43" s="12" t="str">
        <x:v>Bookcases</x:v>
      </x:c>
      <x:c r="L43" s="12" t="str">
        <x:v>Classic Bookcases 835</x:v>
      </x:c>
      <x:c r="M43" s="12" t="str">
        <x:v>Same Day</x:v>
      </x:c>
      <x:c r="N43" s="12" t="n">
        <x:v>8</x:v>
      </x:c>
      <x:c r="O43" s="12" t="n">
        <x:v>855.81</x:v>
      </x:c>
      <x:c r="P43" s="12" t="n">
        <x:v>0</x:v>
      </x:c>
      <x:c r="Q43" s="12" t="n">
        <x:v>6846.48</x:v>
      </x:c>
      <x:c r="R43" s="12" t="n">
        <x:v>4239.89</x:v>
      </x:c>
      <x:c r="S43" s="12" t="n">
        <x:v>2606.59</x:v>
      </x:c>
      <x:c r="T43" s="12" t="str">
        <x:v>Pending</x:v>
      </x:c>
      <x:c r="U43" s="12" t="str">
        <x:v>Cancelled</x:v>
      </x:c>
    </x:row>
    <x:row r="44">
      <x:c r="A44" s="12" t="str">
        <x:v>ORD-2025-10043</x:v>
      </x:c>
      <x:c r="B44" s="12" t="str">
        <x:v>2025-10-10</x:v>
      </x:c>
      <x:c r="C44" s="12" t="str">
        <x:v>15 Oct 2025</x:v>
      </x:c>
      <x:c r="D44" s="12" t="str">
        <x:v>CUST-6708</x:v>
      </x:c>
      <x:c r="E44" s="12" t="str">
        <x:v>Arjun Bose</x:v>
      </x:c>
      <x:c r="F44" s="12" t="str">
        <x:v>Corporate</x:v>
      </x:c>
      <x:c r="G44" s="12" t="str">
        <x:v>East</x:v>
      </x:c>
      <x:c r="H44" s="12" t="str">
        <x:v>Jharkhand</x:v>
      </x:c>
      <x:c r="I44" s="12" t="str">
        <x:v>Ranchi</x:v>
      </x:c>
      <x:c r="J44" s="12" t="str">
        <x:v>Technology</x:v>
      </x:c>
      <x:c r="K44" s="12" t="str">
        <x:v>Phones</x:v>
      </x:c>
      <x:c r="L44" s="12" t="str">
        <x:v>Eco Phones 702</x:v>
      </x:c>
      <x:c r="M44" s="12" t="str">
        <x:v>Standard Class</x:v>
      </x:c>
      <x:c r="N44" s="12" t="n">
        <x:v>8</x:v>
      </x:c>
      <x:c r="O44" s="12" t="n">
        <x:v>979.87</x:v>
      </x:c>
      <x:c r="P44" s="12" t="n">
        <x:v>0.05</x:v>
      </x:c>
      <x:c r="Q44" s="12" t="n">
        <x:v>7447.01</x:v>
      </x:c>
      <x:c r="R44" s="12" t="n">
        <x:v>4496.22</x:v>
      </x:c>
      <x:c r="S44" s="12" t="n">
        <x:v>2950.79</x:v>
      </x:c>
      <x:c r="T44" s="12" t="str">
        <x:v>Paid</x:v>
      </x:c>
      <x:c r="U44" s="12" t="str">
        <x:v>Completed</x:v>
      </x:c>
    </x:row>
    <x:row r="45">
      <x:c r="A45" s="12" t="str">
        <x:v>ORD-2024-10044</x:v>
      </x:c>
      <x:c r="B45" s="12" t="str">
        <x:v>07/08/2024</x:v>
      </x:c>
      <x:c r="C45" s="12" t="str">
        <x:v>07/14/2024</x:v>
      </x:c>
      <x:c r="D45" s="12" t="str">
        <x:v>CUST-7119</x:v>
      </x:c>
      <x:c r="E45" s="12" t="str">
        <x:v>Priya Menon</x:v>
      </x:c>
      <x:c r="F45" s="12" t="str">
        <x:v>Small Business</x:v>
      </x:c>
      <x:c r="G45" s="12" t="str">
        <x:v>East</x:v>
      </x:c>
      <x:c r="H45" s="12" t="str">
        <x:v>Odisha</x:v>
      </x:c>
      <x:c r="I45" s="12" t="str">
        <x:v>Bhubaneswar</x:v>
      </x:c>
      <x:c r="J45" s="12" t="str">
        <x:v>Furniture</x:v>
      </x:c>
      <x:c r="K45" s="12" t="str">
        <x:v>Furnishings</x:v>
      </x:c>
      <x:c r="L45" s="12" t="str">
        <x:v>Smart Furnishings 956</x:v>
      </x:c>
      <x:c r="M45" s="12" t="str">
        <x:v>Same Day</x:v>
      </x:c>
      <x:c r="N45" s="12" t="n">
        <x:v>3</x:v>
      </x:c>
      <x:c r="O45" s="12" t="n">
        <x:v>1010.23</x:v>
      </x:c>
      <x:c r="P45" s="12" t="n">
        <x:v>0</x:v>
      </x:c>
      <x:c r="Q45" s="12" t="n">
        <x:v>3030.69</x:v>
      </x:c>
      <x:c r="R45" s="12" t="n">
        <x:v>1721.08</x:v>
      </x:c>
      <x:c r="S45" s="12" t="n">
        <x:v>1309.61</x:v>
      </x:c>
      <x:c r="T45" s="12" t="str">
        <x:v>Paid</x:v>
      </x:c>
      <x:c r="U45" s="12" t="str">
        <x:v>Completed</x:v>
      </x:c>
    </x:row>
    <x:row r="46">
      <x:c r="A46" s="12" t="str">
        <x:v>ORD-2024-10045</x:v>
      </x:c>
      <x:c r="B46" s="12" t="str">
        <x:v>06/22/2024</x:v>
      </x:c>
      <x:c r="C46" s="12" t="str">
        <x:v>25-06-2024</x:v>
      </x:c>
      <x:c r="D46" s="12" t="str">
        <x:v>CUST-3373</x:v>
      </x:c>
      <x:c r="E46" s="12" t="str">
        <x:v>Rohan Mehta</x:v>
      </x:c>
      <x:c r="F46" s="12" t="str">
        <x:v>Small Business</x:v>
      </x:c>
      <x:c r="G46" s="12" t="str">
        <x:v>North</x:v>
      </x:c>
      <x:c r="H46" s="12" t="str">
        <x:v>Haryana</x:v>
      </x:c>
      <x:c r="I46" s="12" t="str">
        <x:v>Gurugram</x:v>
      </x:c>
      <x:c r="J46" s="12" t="str">
        <x:v>Furniture</x:v>
      </x:c>
      <x:c r="K46" s="12" t="str">
        <x:v>Chairs</x:v>
      </x:c>
      <x:c r="L46" s="12" t="str">
        <x:v>Max Chairs 393</x:v>
      </x:c>
      <x:c r="M46" s="12" t="str">
        <x:v>Standard Class</x:v>
      </x:c>
      <x:c r="N46" s="12" t="n">
        <x:v>9</x:v>
      </x:c>
      <x:c r="O46" s="12" t="n">
        <x:v>3329.77</x:v>
      </x:c>
      <x:c r="P46" s="12" t="n">
        <x:v>0.1</x:v>
      </x:c>
      <x:c r="Q46" s="12" t="n">
        <x:v>26971.14</x:v>
      </x:c>
      <x:c r="R46" s="12" t="n">
        <x:v>17376.2</x:v>
      </x:c>
      <x:c r="S46" s="12" t="n">
        <x:v>9594.94</x:v>
      </x:c>
      <x:c r="T46" s="12" t="str">
        <x:v>Paid</x:v>
      </x:c>
      <x:c r="U46" s="12" t="str">
        <x:v>Completed</x:v>
      </x:c>
    </x:row>
    <x:row r="47">
      <x:c r="A47" s="12" t="str">
        <x:v>ORD-2024-10046</x:v>
      </x:c>
      <x:c r="B47" s="12" t="str">
        <x:v>18 Jan 2024</x:v>
      </x:c>
      <x:c r="C47" s="12" t="str">
        <x:v>24-01-2024</x:v>
      </x:c>
      <x:c r="D47" s="12" t="str">
        <x:v>CUST-8896</x:v>
      </x:c>
      <x:c r="E47" s="12" t="str">
        <x:v>Isha Nair</x:v>
      </x:c>
      <x:c r="F47" s="12" t="str">
        <x:v>Home Office</x:v>
      </x:c>
      <x:c r="G47" s="12" t="str">
        <x:v>East</x:v>
      </x:c>
      <x:c r="H47" s="12" t="str">
        <x:v>Bihar</x:v>
      </x:c>
      <x:c r="I47" s="12" t="str">
        <x:v>Patna</x:v>
      </x:c>
      <x:c r="J47" s="12" t="str">
        <x:v>Office Supplies</x:v>
      </x:c>
      <x:c r="K47" s="12" t="str">
        <x:v>Art</x:v>
      </x:c>
      <x:c r="L47" s="12" t="str">
        <x:v>Prime Art 221</x:v>
      </x:c>
      <x:c r="M47" s="12" t="str">
        <x:v>Second Class</x:v>
      </x:c>
      <x:c r="N47" s="12" t="n">
        <x:v>8</x:v>
      </x:c>
      <x:c r="O47" s="12" t="n">
        <x:v>3927.82</x:v>
      </x:c>
      <x:c r="P47" s="12" t="n">
        <x:v>0.05</x:v>
      </x:c>
      <x:c r="Q47" s="12" t="n">
        <x:v>29851.43</x:v>
      </x:c>
      <x:c r="R47" s="12" t="n">
        <x:v>17487.48</x:v>
      </x:c>
      <x:c r="S47" s="12" t="n">
        <x:v>12363.95</x:v>
      </x:c>
      <x:c r="T47" s="12" t="str">
        <x:v>Pending</x:v>
      </x:c>
      <x:c r="U47" s="12" t="str">
        <x:v>Returned</x:v>
      </x:c>
    </x:row>
    <x:row r="48">
      <x:c r="A48" s="12" t="str">
        <x:v>ORD-2024-10047</x:v>
      </x:c>
      <x:c r="B48" s="12" t="str">
        <x:v>19-07-2024</x:v>
      </x:c>
      <x:c r="C48" s="12" t="str">
        <x:v>19-07-2024</x:v>
      </x:c>
      <x:c r="D48" s="12" t="str">
        <x:v>CUST-8517</x:v>
      </x:c>
      <x:c r="E48" s="12" t="str">
        <x:v>Ananya Rao</x:v>
      </x:c>
      <x:c r="F48" s="12" t="str">
        <x:v>Small Business</x:v>
      </x:c>
      <x:c r="G48" s="12" t="str">
        <x:v>South</x:v>
      </x:c>
      <x:c r="H48" s="12" t="str">
        <x:v>Kerala</x:v>
      </x:c>
      <x:c r="I48" s="12" t="str">
        <x:v>Kochi</x:v>
      </x:c>
      <x:c r="J48" s="12" t="str">
        <x:v>Furniture</x:v>
      </x:c>
      <x:c r="K48" s="12" t="str">
        <x:v>Bookcases</x:v>
      </x:c>
      <x:c r="L48" s="12" t="str">
        <x:v>Elite Bookcases 671</x:v>
      </x:c>
      <x:c r="M48" s="12" t="str">
        <x:v>Standard Class</x:v>
      </x:c>
      <x:c r="N48" s="12" t="n">
        <x:v>9</x:v>
      </x:c>
      <x:c r="O48" s="12" t="n">
        <x:v>2386.79</x:v>
      </x:c>
      <x:c r="P48" s="12" t="n">
        <x:v>0.25</x:v>
      </x:c>
      <x:c r="Q48" s="12" t="n">
        <x:v>16110.83</x:v>
      </x:c>
      <x:c r="R48" s="12" t="n">
        <x:v>10680.03</x:v>
      </x:c>
      <x:c r="S48" s="12" t="n">
        <x:v>5430.8</x:v>
      </x:c>
      <x:c r="T48" s="12" t="str">
        <x:v>Refunded</x:v>
      </x:c>
      <x:c r="U48" s="12" t="str">
        <x:v>Returned</x:v>
      </x:c>
    </x:row>
    <x:row r="49">
      <x:c r="A49" s="12" t="str">
        <x:v>ORD-2024-10048</x:v>
      </x:c>
      <x:c r="B49" s="12" t="str">
        <x:v>12-08-2024</x:v>
      </x:c>
      <x:c r="C49" s="12" t="str">
        <x:v>2024-08-12</x:v>
      </x:c>
      <x:c r="D49" s="12" t="str">
        <x:v>CUST-1987</x:v>
      </x:c>
      <x:c r="E49" s="12" t="str">
        <x:v>Rahul Verma</x:v>
      </x:c>
      <x:c r="F49" s="12" t="str">
        <x:v>Corporate</x:v>
      </x:c>
      <x:c r="G49" s="12" t="str">
        <x:v>South</x:v>
      </x:c>
      <x:c r="H49" s="12" t="str">
        <x:v>Tamil Nadu</x:v>
      </x:c>
      <x:c r="I49" s="12" t="str">
        <x:v>Chennai</x:v>
      </x:c>
      <x:c r="J49" s="12" t="str">
        <x:v>Office Supplies</x:v>
      </x:c>
      <x:c r="K49" s="12" t="str">
        <x:v>Storage</x:v>
      </x:c>
      <x:c r="L49" s="12" t="str">
        <x:v>Max Storage 432</x:v>
      </x:c>
      <x:c r="M49" s="12" t="str">
        <x:v>Standard Class</x:v>
      </x:c>
      <x:c r="N49" s="12" t="n">
        <x:v>8</x:v>
      </x:c>
      <x:c r="O49" s="12" t="n">
        <x:v>2445.31</x:v>
      </x:c>
      <x:c r="P49" s="12" t="n">
        <x:v>0.1</x:v>
      </x:c>
      <x:c r="Q49" s="12" t="n">
        <x:v>17606.23</x:v>
      </x:c>
      <x:c r="R49" s="12" t="n">
        <x:v>12438.96</x:v>
      </x:c>
      <x:c r="S49" s="12" t="n">
        <x:v>5167.27</x:v>
      </x:c>
      <x:c r="T49" s="12" t="str">
        <x:v>Paid</x:v>
      </x:c>
      <x:c r="U49" s="12" t="str">
        <x:v>Completed</x:v>
      </x:c>
    </x:row>
    <x:row r="50">
      <x:c r="A50" s="12" t="str">
        <x:v>ORD-2025-10049</x:v>
      </x:c>
      <x:c r="B50" s="12" t="str">
        <x:v>30 Jan 2025</x:v>
      </x:c>
      <x:c r="C50" s="12" t="str">
        <x:v>05 Feb 2025</x:v>
      </x:c>
      <x:c r="D50" s="12" t="str">
        <x:v>CUST-8183</x:v>
      </x:c>
      <x:c r="E50" s="12" t="str">
        <x:v>Neha Gupta</x:v>
      </x:c>
      <x:c r="F50" s="12" t="str">
        <x:v>Corporate</x:v>
      </x:c>
      <x:c r="G50" s="12" t="str">
        <x:v>West</x:v>
      </x:c>
      <x:c r="H50" s="12" t="str">
        <x:v>Maharashtra</x:v>
      </x:c>
      <x:c r="I50" s="12" t="str">
        <x:v>Mumbai</x:v>
      </x:c>
      <x:c r="J50" s="12" t="str">
        <x:v>Furniture</x:v>
      </x:c>
      <x:c r="K50" s="12" t="str">
        <x:v>Chairs</x:v>
      </x:c>
      <x:c r="L50" s="12" t="str">
        <x:v>Basic Chairs 837</x:v>
      </x:c>
      <x:c r="M50" s="12" t="str">
        <x:v>Second Class </x:v>
      </x:c>
      <x:c r="N50" s="12" t="n">
        <x:v>7</x:v>
      </x:c>
      <x:c r="O50" s="12" t="n">
        <x:v>4063.66</x:v>
      </x:c>
      <x:c r="P50" s="12" t="n">
        <x:v>0</x:v>
      </x:c>
      <x:c r="Q50" s="12" t="n">
        <x:v>28445.62</x:v>
      </x:c>
      <x:c r="R50" s="12" t="n">
        <x:v>20938.59</x:v>
      </x:c>
      <x:c r="S50" s="12" t="n">
        <x:v>7507.03</x:v>
      </x:c>
      <x:c r="T50" s="12" t="str">
        <x:v>Paid</x:v>
      </x:c>
      <x:c r="U50" s="12" t="str">
        <x:v>Completed</x:v>
      </x:c>
    </x:row>
    <x:row r="51">
      <x:c r="A51" s="12" t="str">
        <x:v>ORD-2024-10050</x:v>
      </x:c>
      <x:c r="B51" s="12" t="str">
        <x:v>2024-04-06</x:v>
      </x:c>
      <x:c r="C51" s="12" t="str">
        <x:v>13 Apr 2024</x:v>
      </x:c>
      <x:c r="D51" s="12" t="str">
        <x:v>CUST-2380</x:v>
      </x:c>
      <x:c r="E51" s="12" t="str">
        <x:v>Aarav Sharma</x:v>
      </x:c>
      <x:c r="F51" s="12" t="str">
        <x:v>Home Office</x:v>
      </x:c>
      <x:c r="G51" s="12" t="str">
        <x:v>North</x:v>
      </x:c>
      <x:c r="H51" s="12" t="str">
        <x:v>Uttar Pradesh</x:v>
      </x:c>
      <x:c r="I51" s="12" t="str">
        <x:v>Noida</x:v>
      </x:c>
      <x:c r="J51" s="12" t="str">
        <x:v>Technology</x:v>
      </x:c>
      <x:c r="K51" s="12" t="str">
        <x:v>Copiers</x:v>
      </x:c>
      <x:c r="L51" s="12" t="str">
        <x:v>Classic Copiers 295</x:v>
      </x:c>
      <x:c r="M51" s="12" t="str">
        <x:v>Second Class</x:v>
      </x:c>
      <x:c r="N51" s="12" t="n">
        <x:v>9</x:v>
      </x:c>
      <x:c r="O51" s="12" t="n">
        <x:v>792.11</x:v>
      </x:c>
      <x:c r="P51" s="12" t="n">
        <x:v>0.05</x:v>
      </x:c>
      <x:c r="Q51" s="12" t="n">
        <x:v>6772.54</x:v>
      </x:c>
      <x:c r="R51" s="12" t="n">
        <x:v>5755.46</x:v>
      </x:c>
      <x:c r="S51" s="12" t="n">
        <x:v>1017.08</x:v>
      </x:c>
      <x:c r="T51" s="12" t="str">
        <x:v>Paid</x:v>
      </x:c>
      <x:c r="U51" s="12" t="str">
        <x:v>Completed</x:v>
      </x:c>
    </x:row>
    <x:row r="52">
      <x:c r="A52" s="12" t="str">
        <x:v>ORD-2025-10051</x:v>
      </x:c>
      <x:c r="B52" s="12" t="str">
        <x:v>05/11/2025</x:v>
      </x:c>
      <x:c r="C52" s="12" t="str">
        <x:v>19 May 2025</x:v>
      </x:c>
      <x:c r="D52" s="12" t="str">
        <x:v>CUST-8787</x:v>
      </x:c>
      <x:c r="E52" s="12" t="str">
        <x:v>Sneha Kapoor</x:v>
      </x:c>
      <x:c r="F52" s="12" t="str">
        <x:v>Consumer</x:v>
      </x:c>
      <x:c r="G52" s="12" t="str">
        <x:v>East</x:v>
      </x:c>
      <x:c r="H52" s="12" t="str">
        <x:v>West Bengal</x:v>
      </x:c>
      <x:c r="I52" s="12" t="str">
        <x:v>Kolkata</x:v>
      </x:c>
      <x:c r="J52" s="12" t="str">
        <x:v>Technology</x:v>
      </x:c>
      <x:c r="K52" s="12" t="str">
        <x:v>Copiers</x:v>
      </x:c>
      <x:c r="L52" s="12" t="str">
        <x:v>Pro Copiers 963</x:v>
      </x:c>
      <x:c r="M52" s="12" t="str">
        <x:v>Standard Class</x:v>
      </x:c>
      <x:c r="N52" s="12" t="n">
        <x:v>1</x:v>
      </x:c>
      <x:c r="O52" s="12" t="n">
        <x:v>2382.8</x:v>
      </x:c>
      <x:c r="P52" s="12" t="n">
        <x:v>0.15</x:v>
      </x:c>
      <x:c r="Q52" s="12" t="n">
        <x:v>2025.38</x:v>
      </x:c>
      <x:c r="R52" s="12" t="n">
        <x:v>1140.65</x:v>
      </x:c>
      <x:c r="S52" s="12" t="n">
        <x:v>884.73</x:v>
      </x:c>
      <x:c r="T52" s="12" t="str">
        <x:v>Paid</x:v>
      </x:c>
      <x:c r="U52" s="12" t="str">
        <x:v>Completed</x:v>
      </x:c>
    </x:row>
    <x:row r="53">
      <x:c r="A53" s="12" t="str">
        <x:v>ORD-2024-10052</x:v>
      </x:c>
      <x:c r="B53" s="12" t="str">
        <x:v>24 Apr 2024</x:v>
      </x:c>
      <x:c r="C53" s="12" t="str">
        <x:v>29 Apr 2024</x:v>
      </x:c>
      <x:c r="D53" s="12" t="str">
        <x:v>CUST-3557</x:v>
      </x:c>
      <x:c r="E53" s="12" t="str">
        <x:v>Ananya Rao </x:v>
      </x:c>
      <x:c r="F53" s="12" t="str">
        <x:v>Corporate</x:v>
      </x:c>
      <x:c r="G53" s="12" t="str">
        <x:v>South</x:v>
      </x:c>
      <x:c r="H53" s="12" t="str">
        <x:v>Telangana</x:v>
      </x:c>
      <x:c r="I53" s="12" t="str">
        <x:v>Hyderabad</x:v>
      </x:c>
      <x:c r="J53" s="12" t="str">
        <x:v>Office Supplies</x:v>
      </x:c>
      <x:c r="K53" s="12" t="str">
        <x:v>Art</x:v>
      </x:c>
      <x:c r="L53" s="12" t="str">
        <x:v>Pro Art 907</x:v>
      </x:c>
      <x:c r="M53" s="12" t="str">
        <x:v>Standard Class</x:v>
      </x:c>
      <x:c r="N53" s="12" t="n">
        <x:v>6</x:v>
      </x:c>
      <x:c r="O53" s="12" t="n">
        <x:v>1528.08</x:v>
      </x:c>
      <x:c r="P53" s="12" t="n">
        <x:v>0</x:v>
      </x:c>
      <x:c r="Q53" s="12" t="n">
        <x:v>9168.48</x:v>
      </x:c>
      <x:c r="R53" s="12" t="n">
        <x:v>7439.77</x:v>
      </x:c>
      <x:c r="S53" s="12" t="n">
        <x:v>1728.71</x:v>
      </x:c>
      <x:c r="T53" s="12" t="str">
        <x:v>Paid</x:v>
      </x:c>
      <x:c r="U53" s="12" t="str">
        <x:v>Completed</x:v>
      </x:c>
    </x:row>
    <x:row r="54">
      <x:c r="A54" s="12" t="str">
        <x:v>ORD-2024-10053</x:v>
      </x:c>
      <x:c r="B54" s="12" t="str">
        <x:v>26-10-2024</x:v>
      </x:c>
      <x:c r="C54" s="12" t="str">
        <x:v>2024-10-28</x:v>
      </x:c>
      <x:c r="D54" s="12" t="str">
        <x:v>CUST-2778</x:v>
      </x:c>
      <x:c r="E54" s="12" t="str">
        <x:v>Kabir Singh</x:v>
      </x:c>
      <x:c r="F54" s="12" t="str">
        <x:v>Small Business</x:v>
      </x:c>
      <x:c r="G54" s="12" t="str">
        <x:v>North</x:v>
      </x:c>
      <x:c r="H54" s="12" t="str">
        <x:v>Rajasthan</x:v>
      </x:c>
      <x:c r="I54" s="12" t="str">
        <x:v>Jaipur</x:v>
      </x:c>
      <x:c r="J54" s="12" t="str">
        <x:v>Furniture</x:v>
      </x:c>
      <x:c r="K54" s="12" t="str">
        <x:v>Chairs</x:v>
      </x:c>
      <x:c r="L54" s="12" t="str">
        <x:v>Pro Chairs 526</x:v>
      </x:c>
      <x:c r="M54" s="12" t="str">
        <x:v>First Class</x:v>
      </x:c>
      <x:c r="N54" s="12" t="n">
        <x:v>9</x:v>
      </x:c>
      <x:c r="O54" s="12" t="n">
        <x:v>1399.63</x:v>
      </x:c>
      <x:c r="P54" s="12" t="n">
        <x:v>0</x:v>
      </x:c>
      <x:c r="Q54" s="12" t="n">
        <x:v>12596.67</x:v>
      </x:c>
      <x:c r="R54" s="12" t="n">
        <x:v>10603.29</x:v>
      </x:c>
      <x:c r="S54" s="12" t="n">
        <x:v>1993.38</x:v>
      </x:c>
      <x:c r="T54" s="12" t="str">
        <x:v>Failed</x:v>
      </x:c>
      <x:c r="U54" s="12" t="str">
        <x:v>Cancelled</x:v>
      </x:c>
    </x:row>
    <x:row r="55">
      <x:c r="A55" s="12" t="str">
        <x:v>ORD-2025-10054</x:v>
      </x:c>
      <x:c r="B55" s="12" t="str">
        <x:v>31 Mar 2025</x:v>
      </x:c>
      <x:c r="C55" s="12" t="str">
        <x:v>2025-03-31</x:v>
      </x:c>
      <x:c r="D55" s="12" t="str">
        <x:v>CUST-7195</x:v>
      </x:c>
      <x:c r="E55" s="12" t="str">
        <x:v>Kabir Singh</x:v>
      </x:c>
      <x:c r="F55" s="12" t="str">
        <x:v>Home Office</x:v>
      </x:c>
      <x:c r="G55" s="12" t="str">
        <x:v>West</x:v>
      </x:c>
      <x:c r="H55" s="12" t="str">
        <x:v>Gujarat</x:v>
      </x:c>
      <x:c r="I55" s="12" t="str">
        <x:v>Ahmedabad</x:v>
      </x:c>
      <x:c r="J55" s="12" t="str">
        <x:v>Office Supplies</x:v>
      </x:c>
      <x:c r="K55" s="12" t="str">
        <x:v>Storage</x:v>
      </x:c>
      <x:c r="L55" s="12" t="str">
        <x:v>Elite Storage 924</x:v>
      </x:c>
      <x:c r="M55" s="12" t="str">
        <x:v>First Class</x:v>
      </x:c>
      <x:c r="N55" s="12" t="n">
        <x:v>5</x:v>
      </x:c>
      <x:c r="O55" s="12" t="n">
        <x:v>1207.47</x:v>
      </x:c>
      <x:c r="P55" s="12" t="n">
        <x:v>0.15</x:v>
      </x:c>
      <x:c r="Q55" s="12" t="n">
        <x:v>5131.75</x:v>
      </x:c>
      <x:c r="R55" s="12" t="n">
        <x:v>2838.68</x:v>
      </x:c>
      <x:c r="S55" s="12" t="n">
        <x:v>2293.07</x:v>
      </x:c>
      <x:c r="T55" s="12" t="str">
        <x:v>Paid</x:v>
      </x:c>
      <x:c r="U55" s="12" t="str">
        <x:v>Completed</x:v>
      </x:c>
    </x:row>
    <x:row r="56">
      <x:c r="A56" s="12" t="str">
        <x:v>ORD-2025-10055</x:v>
      </x:c>
      <x:c r="B56" s="12" t="str">
        <x:v>30 May 2025</x:v>
      </x:c>
      <x:c r="C56" s="12" t="str">
        <x:v>2025-06-02</x:v>
      </x:c>
      <x:c r="D56" s="12" t="str">
        <x:v>CUST-9039</x:v>
      </x:c>
      <x:c r="E56" s="12" t="str">
        <x:v>Arjun Bose</x:v>
      </x:c>
      <x:c r="F56" s="12" t="str">
        <x:v>Corporate</x:v>
      </x:c>
      <x:c r="G56" s="12" t="str">
        <x:v>South</x:v>
      </x:c>
      <x:c r="H56" s="12" t="str">
        <x:v>Tamil Nadu</x:v>
      </x:c>
      <x:c r="I56" s="12" t="str">
        <x:v>Chennai</x:v>
      </x:c>
      <x:c r="J56" s="12" t="str">
        <x:v>Office Supplies</x:v>
      </x:c>
      <x:c r="K56" s="12" t="str">
        <x:v>Labels</x:v>
      </x:c>
      <x:c r="L56" s="12" t="str">
        <x:v>Pro Labels 957</x:v>
      </x:c>
      <x:c r="M56" s="12" t="str">
        <x:v>Same Day</x:v>
      </x:c>
      <x:c r="N56" s="12" t="n">
        <x:v>8</x:v>
      </x:c>
      <x:c r="O56" s="12" t="n">
        <x:v>474.37</x:v>
      </x:c>
      <x:c r="P56" s="12" t="n">
        <x:v>0.1</x:v>
      </x:c>
      <x:c r="Q56" s="12" t="n">
        <x:v>3415.46</x:v>
      </x:c>
      <x:c r="R56" s="12" t="n">
        <x:v>1993.23</x:v>
      </x:c>
      <x:c r="S56" s="12" t="n">
        <x:v>1422.23</x:v>
      </x:c>
      <x:c r="T56" s="12" t="str">
        <x:v>Failed</x:v>
      </x:c>
      <x:c r="U56" s="12" t="str">
        <x:v>Cancelled</x:v>
      </x:c>
    </x:row>
    <x:row r="57">
      <x:c r="A57" s="12" t="str">
        <x:v>ORD-2025-10056</x:v>
      </x:c>
      <x:c r="B57" s="12" t="str">
        <x:v>01-07-2025</x:v>
      </x:c>
      <x:c r="C57" s="12" t="str">
        <x:v>03-07-2025</x:v>
      </x:c>
      <x:c r="D57" s="12" t="str">
        <x:v>CUST-9821</x:v>
      </x:c>
      <x:c r="E57" s="12" t="str">
        <x:v>Mira Das</x:v>
      </x:c>
      <x:c r="F57" s="12" t="str">
        <x:v>Small Business</x:v>
      </x:c>
      <x:c r="G57" s="12" t="str">
        <x:v>South</x:v>
      </x:c>
      <x:c r="H57" s="12" t="str">
        <x:v>Andhra Pradesh</x:v>
      </x:c>
      <x:c r="I57" s="12" t="str">
        <x:v>Vijayawada</x:v>
      </x:c>
      <x:c r="J57" s="12" t="str">
        <x:v>Technology</x:v>
      </x:c>
      <x:c r="K57" s="12" t="str">
        <x:v>Machines</x:v>
      </x:c>
      <x:c r="L57" s="12" t="str">
        <x:v>Classic Machines 310</x:v>
      </x:c>
      <x:c r="M57" s="12" t="str">
        <x:v>Same Day</x:v>
      </x:c>
      <x:c r="N57" s="12" t="n">
        <x:v>3</x:v>
      </x:c>
      <x:c r="O57" s="12" t="n">
        <x:v>1516.24</x:v>
      </x:c>
      <x:c r="P57" s="12" t="n">
        <x:v>0.25</x:v>
      </x:c>
      <x:c r="Q57" s="12" t="n">
        <x:v>3411.54</x:v>
      </x:c>
      <x:c r="R57" s="12" t="n">
        <x:v>2803.13</x:v>
      </x:c>
      <x:c r="S57" s="12" t="n">
        <x:v>608.41</x:v>
      </x:c>
      <x:c r="T57" s="12" t="str">
        <x:v>Paid</x:v>
      </x:c>
      <x:c r="U57" s="12" t="str">
        <x:v>Completed</x:v>
      </x:c>
    </x:row>
    <x:row r="58">
      <x:c r="A58" s="12" t="str">
        <x:v>ORD-2025-10057</x:v>
      </x:c>
      <x:c r="B58" s="12" t="str">
        <x:v>2025-01-05</x:v>
      </x:c>
      <x:c r="C58" s="12" t="str">
        <x:v>06-01-2025</x:v>
      </x:c>
      <x:c r="D58" s="12" t="str">
        <x:v>CUST-8701</x:v>
      </x:c>
      <x:c r="E58" s="12" t="str">
        <x:v>Karan Malhotra</x:v>
      </x:c>
      <x:c r="F58" s="12" t="str">
        <x:v>Consumer</x:v>
      </x:c>
      <x:c r="G58" s="12" t="str">
        <x:v>South</x:v>
      </x:c>
      <x:c r="H58" s="12" t="str">
        <x:v>Karnataka</x:v>
      </x:c>
      <x:c r="I58" s="12" t="str">
        <x:v>Bengaluru</x:v>
      </x:c>
      <x:c r="J58" s="12" t="str">
        <x:v>Office Supplies</x:v>
      </x:c>
      <x:c r="K58" s="12" t="str">
        <x:v>Binders</x:v>
      </x:c>
      <x:c r="L58" s="12" t="str">
        <x:v>Smart Binders 393</x:v>
      </x:c>
      <x:c r="M58" s="12" t="str">
        <x:v>Second Class</x:v>
      </x:c>
      <x:c r="N58" s="12" t="n">
        <x:v>3</x:v>
      </x:c>
      <x:c r="O58" s="12" t="n">
        <x:v>3155.61</x:v>
      </x:c>
      <x:c r="P58" s="12" t="n">
        <x:v>0</x:v>
      </x:c>
      <x:c r="Q58" s="12" t="n">
        <x:v>9466.83</x:v>
      </x:c>
      <x:c r="R58" s="12" t="n">
        <x:v>6557.83</x:v>
      </x:c>
      <x:c r="S58" s="12" t="n">
        <x:v>2909</x:v>
      </x:c>
      <x:c r="T58" s="12" t="str">
        <x:v>Refunded</x:v>
      </x:c>
      <x:c r="U58" s="12" t="str">
        <x:v>Cancelled</x:v>
      </x:c>
    </x:row>
    <x:row r="59">
      <x:c r="A59" s="12" t="str">
        <x:v>ORD-2024-10058</x:v>
      </x:c>
      <x:c r="B59" s="12" t="str">
        <x:v>2024-02-07</x:v>
      </x:c>
      <x:c r="C59" s="12" t="str">
        <x:v>15 Feb 2024</x:v>
      </x:c>
      <x:c r="D59" s="12" t="str">
        <x:v>CUST-9941</x:v>
      </x:c>
      <x:c r="E59" s="12" t="str">
        <x:v>Priya Menon</x:v>
      </x:c>
      <x:c r="F59" s="12" t="str">
        <x:v>Consumer</x:v>
      </x:c>
      <x:c r="G59" s="12" t="str">
        <x:v>West</x:v>
      </x:c>
      <x:c r="H59" s="12" t="str">
        <x:v>Goa</x:v>
      </x:c>
      <x:c r="I59" s="12" t="str">
        <x:v>Panaji</x:v>
      </x:c>
      <x:c r="J59" s="12" t="str">
        <x:v>Furniture</x:v>
      </x:c>
      <x:c r="K59" s="12" t="str">
        <x:v>Chairs</x:v>
      </x:c>
      <x:c r="L59" s="12" t="str">
        <x:v>Max Chairs 813</x:v>
      </x:c>
      <x:c r="M59" s="12" t="str">
        <x:v>Same Day</x:v>
      </x:c>
      <x:c r="N59" s="12" t="n">
        <x:v>5</x:v>
      </x:c>
      <x:c r="O59" s="12" t="n">
        <x:v>255.87</x:v>
      </x:c>
      <x:c r="P59" s="12" t="n">
        <x:v>0</x:v>
      </x:c>
      <x:c r="Q59" s="12" t="n">
        <x:v>1279.35</x:v>
      </x:c>
      <x:c r="R59" s="12" t="n">
        <x:v>1091.54</x:v>
      </x:c>
      <x:c r="S59" s="12" t="n">
        <x:v>187.81</x:v>
      </x:c>
      <x:c r="T59" s="12" t="str">
        <x:v>Paid</x:v>
      </x:c>
      <x:c r="U59" s="12" t="str">
        <x:v>Completed</x:v>
      </x:c>
    </x:row>
    <x:row r="60">
      <x:c r="A60" s="12" t="str">
        <x:v>ORD-2024-10059</x:v>
      </x:c>
      <x:c r="B60" s="12" t="str">
        <x:v>2024-09-01</x:v>
      </x:c>
      <x:c r="C60" s="12" t="str">
        <x:v>2024-09-07</x:v>
      </x:c>
      <x:c r="D60" s="12" t="str">
        <x:v>CUST-3983</x:v>
      </x:c>
      <x:c r="E60" s="12" t="str">
        <x:v>Isha Nair</x:v>
      </x:c>
      <x:c r="F60" s="12" t="str">
        <x:v>Home Office</x:v>
      </x:c>
      <x:c r="G60" s="12" t="str">
        <x:v>North</x:v>
      </x:c>
      <x:c r="H60" s="12" t="str">
        <x:v>Rajasthan</x:v>
      </x:c>
      <x:c r="I60" s="12" t="str">
        <x:v>Jaipur</x:v>
      </x:c>
      <x:c r="J60" s="12" t="str">
        <x:v>Office Supplies</x:v>
      </x:c>
      <x:c r="K60" s="12" t="str">
        <x:v>Storage</x:v>
      </x:c>
      <x:c r="L60" s="12" t="str">
        <x:v>Basic Storage 872</x:v>
      </x:c>
      <x:c r="M60" s="12"/>
      <x:c r="N60" s="12" t="n">
        <x:v>9</x:v>
      </x:c>
      <x:c r="O60" s="12" t="n">
        <x:v>1389.48</x:v>
      </x:c>
      <x:c r="P60" s="12" t="n">
        <x:v>0.1</x:v>
      </x:c>
      <x:c r="Q60" s="12" t="n">
        <x:v>11254.79</x:v>
      </x:c>
      <x:c r="R60" s="12" t="n">
        <x:v>6578.06</x:v>
      </x:c>
      <x:c r="S60" s="12" t="n">
        <x:v>4676.73</x:v>
      </x:c>
      <x:c r="T60" s="12" t="str">
        <x:v>Pending</x:v>
      </x:c>
      <x:c r="U60" s="12" t="str">
        <x:v>Returned</x:v>
      </x:c>
    </x:row>
    <x:row r="61">
      <x:c r="A61" s="12" t="str">
        <x:v>ORD-2024-10060</x:v>
      </x:c>
      <x:c r="B61" s="12" t="str">
        <x:v>20-07-2024</x:v>
      </x:c>
      <x:c r="C61" s="12" t="str">
        <x:v>25 Jul 2024</x:v>
      </x:c>
      <x:c r="D61" s="12" t="str">
        <x:v>CUST-2418</x:v>
      </x:c>
      <x:c r="E61" s="12" t="str">
        <x:v>Priya Menon</x:v>
      </x:c>
      <x:c r="F61" s="12" t="str">
        <x:v>Corporate</x:v>
      </x:c>
      <x:c r="G61" s="12" t="str">
        <x:v>East</x:v>
      </x:c>
      <x:c r="H61" s="12" t="str">
        <x:v>Assam</x:v>
      </x:c>
      <x:c r="I61" s="12" t="str">
        <x:v>Guwahati</x:v>
      </x:c>
      <x:c r="J61" s="12" t="str">
        <x:v>Office Supplies</x:v>
      </x:c>
      <x:c r="K61" s="12" t="str">
        <x:v>Labels</x:v>
      </x:c>
      <x:c r="L61" s="12" t="str">
        <x:v>Smart Labels 655</x:v>
      </x:c>
      <x:c r="M61" s="12" t="str">
        <x:v>Same Day</x:v>
      </x:c>
      <x:c r="N61" s="12" t="n">
        <x:v>5</x:v>
      </x:c>
      <x:c r="O61" s="12" t="n">
        <x:v>4133.85</x:v>
      </x:c>
      <x:c r="P61" s="12" t="n">
        <x:v>0.2</x:v>
      </x:c>
      <x:c r="Q61" s="12" t="n">
        <x:v>16535.4</x:v>
      </x:c>
      <x:c r="R61" s="12" t="n">
        <x:v>12990.21</x:v>
      </x:c>
      <x:c r="S61" s="12" t="n">
        <x:v>3545.19</x:v>
      </x:c>
      <x:c r="T61" s="12" t="str">
        <x:v>Paid</x:v>
      </x:c>
      <x:c r="U61" s="12" t="str">
        <x:v>Cancelled</x:v>
      </x:c>
    </x:row>
    <x:row r="62">
      <x:c r="A62" s="12" t="str">
        <x:v>ORD-2024-10061</x:v>
      </x:c>
      <x:c r="B62" s="12" t="str">
        <x:v>07/13/2024</x:v>
      </x:c>
      <x:c r="C62" s="12" t="str">
        <x:v>2024-07-19</x:v>
      </x:c>
      <x:c r="D62" s="12" t="str">
        <x:v>CUST-2892</x:v>
      </x:c>
      <x:c r="E62" s="12" t="str">
        <x:v>Ananya Rao</x:v>
      </x:c>
      <x:c r="F62" s="12" t="str">
        <x:v>Corporate</x:v>
      </x:c>
      <x:c r="G62" s="12" t="str">
        <x:v>East</x:v>
      </x:c>
      <x:c r="H62" s="12" t="str">
        <x:v>Assam</x:v>
      </x:c>
      <x:c r="I62" s="12" t="str">
        <x:v>Guwahati</x:v>
      </x:c>
      <x:c r="J62" s="12" t="str">
        <x:v>Office Supplies</x:v>
      </x:c>
      <x:c r="K62" s="12" t="str">
        <x:v>Labels</x:v>
      </x:c>
      <x:c r="L62" s="12" t="str">
        <x:v>Eco Labels 210</x:v>
      </x:c>
      <x:c r="M62" s="12" t="str">
        <x:v>Same Day</x:v>
      </x:c>
      <x:c r="N62" s="12" t="n">
        <x:v>3</x:v>
      </x:c>
      <x:c r="O62" s="12" t="n">
        <x:v>275.76</x:v>
      </x:c>
      <x:c r="P62" s="12" t="n">
        <x:v>0.2</x:v>
      </x:c>
      <x:c r="Q62" s="12" t="n">
        <x:v>661.82</x:v>
      </x:c>
      <x:c r="R62" s="12" t="n">
        <x:v>481.47</x:v>
      </x:c>
      <x:c r="S62" s="12" t="n">
        <x:v>180.35</x:v>
      </x:c>
      <x:c r="T62" s="12" t="str">
        <x:v>Refunded</x:v>
      </x:c>
      <x:c r="U62" s="12" t="str">
        <x:v>Cancelled</x:v>
      </x:c>
    </x:row>
    <x:row r="63">
      <x:c r="A63" s="12" t="str">
        <x:v>ORD-2024-10062</x:v>
      </x:c>
      <x:c r="B63" s="12" t="str">
        <x:v>16 Apr 2024</x:v>
      </x:c>
      <x:c r="C63" s="12" t="str">
        <x:v>04/16/2024</x:v>
      </x:c>
      <x:c r="D63" s="12" t="str">
        <x:v>CUST-7008</x:v>
      </x:c>
      <x:c r="E63" s="12" t="str">
        <x:v>Vikram Iyer</x:v>
      </x:c>
      <x:c r="F63" s="12" t="str">
        <x:v>Home Office</x:v>
      </x:c>
      <x:c r="G63" s="12" t="str">
        <x:v>East</x:v>
      </x:c>
      <x:c r="H63" s="12" t="str">
        <x:v>Bihar</x:v>
      </x:c>
      <x:c r="I63" s="12" t="str">
        <x:v>Patna</x:v>
      </x:c>
      <x:c r="J63" s="12" t="str">
        <x:v>Furniture</x:v>
      </x:c>
      <x:c r="K63" s="12" t="str">
        <x:v>Bookcases</x:v>
      </x:c>
      <x:c r="L63" s="12" t="str">
        <x:v>Classic Bookcases 296</x:v>
      </x:c>
      <x:c r="M63" s="12" t="str">
        <x:v>Standard Class</x:v>
      </x:c>
      <x:c r="N63" s="12" t="n">
        <x:v>1</x:v>
      </x:c>
      <x:c r="O63" s="12" t="n">
        <x:v>949.59</x:v>
      </x:c>
      <x:c r="P63" s="12" t="n">
        <x:v>0</x:v>
      </x:c>
      <x:c r="Q63" s="12" t="n">
        <x:v>949.59</x:v>
      </x:c>
      <x:c r="R63" s="12" t="n">
        <x:v>751.25</x:v>
      </x:c>
      <x:c r="S63" s="12" t="n">
        <x:v>198.34</x:v>
      </x:c>
      <x:c r="T63" s="12" t="str">
        <x:v>Paid</x:v>
      </x:c>
      <x:c r="U63" s="12" t="str">
        <x:v>Completed</x:v>
      </x:c>
    </x:row>
    <x:row r="64">
      <x:c r="A64" s="12" t="str">
        <x:v>ORD-2024-10063</x:v>
      </x:c>
      <x:c r="B64" s="12" t="str">
        <x:v>30 Oct 2024</x:v>
      </x:c>
      <x:c r="C64" s="12" t="str">
        <x:v>02-11-2024</x:v>
      </x:c>
      <x:c r="D64" s="12" t="str">
        <x:v>CUST-4900</x:v>
      </x:c>
      <x:c r="E64" s="12" t="str">
        <x:v>Sneha Kapoor</x:v>
      </x:c>
      <x:c r="F64" s="12" t="str">
        <x:v>Home Office</x:v>
      </x:c>
      <x:c r="G64" s="12" t="str">
        <x:v>North</x:v>
      </x:c>
      <x:c r="H64" s="12" t="str">
        <x:v>Rajasthan</x:v>
      </x:c>
      <x:c r="I64" s="12" t="str">
        <x:v>Jaipur</x:v>
      </x:c>
      <x:c r="J64" s="12" t="str">
        <x:v>Technology</x:v>
      </x:c>
      <x:c r="K64" s="12" t="str">
        <x:v>Phones</x:v>
      </x:c>
      <x:c r="L64" s="12" t="str">
        <x:v>Basic Phones 230</x:v>
      </x:c>
      <x:c r="M64" s="12" t="str">
        <x:v>Standard Class</x:v>
      </x:c>
      <x:c r="N64" s="12" t="n">
        <x:v>9</x:v>
      </x:c>
      <x:c r="O64" s="12" t="n">
        <x:v>3042.29</x:v>
      </x:c>
      <x:c r="P64" s="12" t="n">
        <x:v>0.2</x:v>
      </x:c>
      <x:c r="Q64" s="12" t="n">
        <x:v>21904.49</x:v>
      </x:c>
      <x:c r="R64" s="12" t="n">
        <x:v>13570.55</x:v>
      </x:c>
      <x:c r="S64" s="12" t="n">
        <x:v>8333.94</x:v>
      </x:c>
      <x:c r="T64" s="12" t="str">
        <x:v>Paid</x:v>
      </x:c>
      <x:c r="U64" s="12" t="str">
        <x:v>Completed</x:v>
      </x:c>
    </x:row>
    <x:row r="65">
      <x:c r="A65" s="12" t="str">
        <x:v>ORD-2024-10064</x:v>
      </x:c>
      <x:c r="B65" s="12" t="str">
        <x:v>2024-01-25</x:v>
      </x:c>
      <x:c r="C65" s="12" t="str">
        <x:v>01-02-2024</x:v>
      </x:c>
      <x:c r="D65" s="12" t="str">
        <x:v>CUST-5382</x:v>
      </x:c>
      <x:c r="E65" s="12" t="str">
        <x:v>Sneha Kapoor</x:v>
      </x:c>
      <x:c r="F65" s="12" t="str">
        <x:v>Home Office</x:v>
      </x:c>
      <x:c r="G65" s="12" t="str">
        <x:v>North</x:v>
      </x:c>
      <x:c r="H65" s="12" t="str">
        <x:v>Haryana</x:v>
      </x:c>
      <x:c r="I65" s="12" t="str">
        <x:v>Gurugram</x:v>
      </x:c>
      <x:c r="J65" s="12" t="str">
        <x:v>Office Supplies</x:v>
      </x:c>
      <x:c r="K65" s="12" t="str">
        <x:v>Binders</x:v>
      </x:c>
      <x:c r="L65" s="12" t="str">
        <x:v>Pro Binders 690</x:v>
      </x:c>
      <x:c r="M65" s="12" t="str">
        <x:v>Same Day</x:v>
      </x:c>
      <x:c r="N65" s="12" t="n">
        <x:v>2</x:v>
      </x:c>
      <x:c r="O65" s="12" t="n">
        <x:v>2832.77</x:v>
      </x:c>
      <x:c r="P65" s="12" t="n">
        <x:v>0.15</x:v>
      </x:c>
      <x:c r="Q65" s="12" t="n">
        <x:v>4815.71</x:v>
      </x:c>
      <x:c r="R65" s="12" t="n">
        <x:v>3027.75</x:v>
      </x:c>
      <x:c r="S65" s="12" t="n">
        <x:v>1917.47</x:v>
      </x:c>
      <x:c r="T65" s="12" t="str">
        <x:v>Paid </x:v>
      </x:c>
      <x:c r="U65" s="12" t="str">
        <x:v>Completed</x:v>
      </x:c>
    </x:row>
    <x:row r="66">
      <x:c r="A66" s="12" t="str">
        <x:v>ORD-2024-10065</x:v>
      </x:c>
      <x:c r="B66" s="12" t="str">
        <x:v>2024-12-23</x:v>
      </x:c>
      <x:c r="C66" s="12" t="str">
        <x:v>12/29/2024</x:v>
      </x:c>
      <x:c r="D66" s="12" t="str">
        <x:v>CUST-2749</x:v>
      </x:c>
      <x:c r="E66" s="12" t="str">
        <x:v>Aarav Sharma</x:v>
      </x:c>
      <x:c r="F66" s="12" t="str">
        <x:v>Corporate</x:v>
      </x:c>
      <x:c r="G66" s="12" t="str">
        <x:v>East</x:v>
      </x:c>
      <x:c r="H66" s="12" t="str">
        <x:v>Jharkhand</x:v>
      </x:c>
      <x:c r="I66" s="12" t="str">
        <x:v>Ranchi</x:v>
      </x:c>
      <x:c r="J66" s="12" t="str">
        <x:v>Office Supplies</x:v>
      </x:c>
      <x:c r="K66" s="12" t="str">
        <x:v>Paper</x:v>
      </x:c>
      <x:c r="L66" s="12" t="str">
        <x:v>Classic Paper 458</x:v>
      </x:c>
      <x:c r="M66" s="12" t="str">
        <x:v>First Class</x:v>
      </x:c>
      <x:c r="N66" s="12" t="n">
        <x:v>7</x:v>
      </x:c>
      <x:c r="O66" s="12" t="n">
        <x:v>447.84</x:v>
      </x:c>
      <x:c r="P66" s="12" t="n">
        <x:v>0</x:v>
      </x:c>
      <x:c r="Q66" s="12" t="n">
        <x:v>3134.88</x:v>
      </x:c>
      <x:c r="R66" s="12" t="n">
        <x:v>2367.63</x:v>
      </x:c>
      <x:c r="S66" s="12" t="n">
        <x:v>767.25</x:v>
      </x:c>
      <x:c r="T66" s="12" t="str">
        <x:v>Refunded</x:v>
      </x:c>
      <x:c r="U66" s="12" t="str">
        <x:v>Returned</x:v>
      </x:c>
    </x:row>
    <x:row r="67">
      <x:c r="A67" s="12" t="str">
        <x:v>ORD-2024-10066</x:v>
      </x:c>
      <x:c r="B67" s="12" t="str">
        <x:v>22 Apr 2024</x:v>
      </x:c>
      <x:c r="C67" s="12" t="str">
        <x:v>2024-04-27</x:v>
      </x:c>
      <x:c r="D67" s="12" t="str">
        <x:v>CUST-2463</x:v>
      </x:c>
      <x:c r="E67" s="12" t="str">
        <x:v>Mira Das</x:v>
      </x:c>
      <x:c r="F67" s="12" t="str">
        <x:v>Home Office</x:v>
      </x:c>
      <x:c r="G67" s="12" t="str">
        <x:v>West</x:v>
      </x:c>
      <x:c r="H67" s="12" t="str">
        <x:v>Maharashtra</x:v>
      </x:c>
      <x:c r="I67" s="12" t="str">
        <x:v>Mumbai</x:v>
      </x:c>
      <x:c r="J67" s="12" t="str">
        <x:v>Office Supplies</x:v>
      </x:c>
      <x:c r="K67" s="12" t="str">
        <x:v>Paper</x:v>
      </x:c>
      <x:c r="L67" s="12" t="str">
        <x:v>Pro Paper 552</x:v>
      </x:c>
      <x:c r="M67" s="12" t="str">
        <x:v>Second Class</x:v>
      </x:c>
      <x:c r="N67" s="12" t="n">
        <x:v>1</x:v>
      </x:c>
      <x:c r="O67" s="12" t="n">
        <x:v>4280.19</x:v>
      </x:c>
      <x:c r="P67" s="12" t="n">
        <x:v>0.05</x:v>
      </x:c>
      <x:c r="Q67" s="12" t="n">
        <x:v>4066.18</x:v>
      </x:c>
      <x:c r="R67" s="12" t="n">
        <x:v>2628.92</x:v>
      </x:c>
      <x:c r="S67" s="12" t="n">
        <x:v>1437.26</x:v>
      </x:c>
      <x:c r="T67" s="12" t="str">
        <x:v>Paid</x:v>
      </x:c>
      <x:c r="U67" s="12" t="str">
        <x:v>Completed</x:v>
      </x:c>
    </x:row>
    <x:row r="68">
      <x:c r="A68" s="12" t="str">
        <x:v>ORD-2025-10067</x:v>
      </x:c>
      <x:c r="B68" s="12" t="str">
        <x:v>08/28/2025</x:v>
      </x:c>
      <x:c r="C68" s="12" t="str">
        <x:v>01 Sep 2025</x:v>
      </x:c>
      <x:c r="D68" s="12" t="str">
        <x:v>CUST-1504</x:v>
      </x:c>
      <x:c r="E68" s="12" t="str">
        <x:v>Karan Malhotra</x:v>
      </x:c>
      <x:c r="F68" s="12" t="str">
        <x:v>Small Business</x:v>
      </x:c>
      <x:c r="G68" s="12" t="str">
        <x:v>South</x:v>
      </x:c>
      <x:c r="H68" s="12" t="str">
        <x:v>Tamil Nadu</x:v>
      </x:c>
      <x:c r="I68" s="12" t="str">
        <x:v>Chennai</x:v>
      </x:c>
      <x:c r="J68" s="12" t="str">
        <x:v>Technology</x:v>
      </x:c>
      <x:c r="K68" s="12" t="str">
        <x:v>Accessories</x:v>
      </x:c>
      <x:c r="L68" s="12" t="str">
        <x:v>Elite Accessories 187</x:v>
      </x:c>
      <x:c r="M68" s="12" t="str">
        <x:v>Same Day</x:v>
      </x:c>
      <x:c r="N68" s="12" t="n">
        <x:v>7</x:v>
      </x:c>
      <x:c r="O68" s="12" t="n">
        <x:v>1057.46</x:v>
      </x:c>
      <x:c r="P68" s="12" t="n">
        <x:v>0.05</x:v>
      </x:c>
      <x:c r="Q68" s="12" t="n">
        <x:v>7032.11</x:v>
      </x:c>
      <x:c r="R68" s="12" t="n">
        <x:v>4610.34</x:v>
      </x:c>
      <x:c r="S68" s="12" t="n">
        <x:v>2421.77</x:v>
      </x:c>
      <x:c r="T68" s="12" t="str">
        <x:v>Paid</x:v>
      </x:c>
      <x:c r="U68" s="12" t="str">
        <x:v>Completed</x:v>
      </x:c>
    </x:row>
    <x:row r="69">
      <x:c r="A69" s="12" t="str">
        <x:v>ORD-2025-10068</x:v>
      </x:c>
      <x:c r="B69" s="12" t="str">
        <x:v>03 Feb 2025</x:v>
      </x:c>
      <x:c r="C69" s="12" t="str">
        <x:v>07-02-2025</x:v>
      </x:c>
      <x:c r="D69" s="12" t="str">
        <x:v>CUST-8282</x:v>
      </x:c>
      <x:c r="E69" s="12" t="str">
        <x:v>Kabir Singh</x:v>
      </x:c>
      <x:c r="F69" s="12" t="str">
        <x:v>Consumer</x:v>
      </x:c>
      <x:c r="G69" s="12" t="str">
        <x:v>North</x:v>
      </x:c>
      <x:c r="H69" s="12" t="str">
        <x:v>Haryana</x:v>
      </x:c>
      <x:c r="I69" s="12" t="str">
        <x:v>Gurugram</x:v>
      </x:c>
      <x:c r="J69" s="12" t="str">
        <x:v>Office Supplies</x:v>
      </x:c>
      <x:c r="K69" s="12" t="str">
        <x:v>Paper</x:v>
      </x:c>
      <x:c r="L69" s="12" t="str">
        <x:v>Eco Paper 922</x:v>
      </x:c>
      <x:c r="M69" s="12" t="str">
        <x:v>First Class</x:v>
      </x:c>
      <x:c r="N69" s="12" t="n">
        <x:v>7</x:v>
      </x:c>
      <x:c r="O69" s="12" t="n">
        <x:v>3609.34</x:v>
      </x:c>
      <x:c r="P69" s="12" t="n">
        <x:v>0.05</x:v>
      </x:c>
      <x:c r="Q69" s="12" t="n">
        <x:v>24002.11</x:v>
      </x:c>
      <x:c r="R69" s="12" t="n">
        <x:v>18707.57</x:v>
      </x:c>
      <x:c r="S69" s="12" t="n">
        <x:v>5294.54</x:v>
      </x:c>
      <x:c r="T69" s="12" t="str">
        <x:v>Paid</x:v>
      </x:c>
      <x:c r="U69" s="12" t="str">
        <x:v>Completed</x:v>
      </x:c>
    </x:row>
    <x:row r="70">
      <x:c r="A70" s="12" t="str">
        <x:v>ORD-2024-10069</x:v>
      </x:c>
      <x:c r="B70" s="12" t="str">
        <x:v>11/10/2024</x:v>
      </x:c>
      <x:c r="C70" s="12" t="str">
        <x:v>13 Nov 2024</x:v>
      </x:c>
      <x:c r="D70" s="12" t="str">
        <x:v>CUST-6054</x:v>
      </x:c>
      <x:c r="E70" s="12" t="str">
        <x:v>Isha Nair</x:v>
      </x:c>
      <x:c r="F70" s="12" t="str">
        <x:v>Corporate</x:v>
      </x:c>
      <x:c r="G70" s="12" t="str">
        <x:v>East</x:v>
      </x:c>
      <x:c r="H70" s="12" t="str">
        <x:v>Jharkhand</x:v>
      </x:c>
      <x:c r="I70" s="12" t="str">
        <x:v>Ranchi</x:v>
      </x:c>
      <x:c r="J70" s="12" t="str">
        <x:v>Office Supplies</x:v>
      </x:c>
      <x:c r="K70" s="12" t="str">
        <x:v>Storage</x:v>
      </x:c>
      <x:c r="L70" s="12" t="str">
        <x:v>Pro Storage 975</x:v>
      </x:c>
      <x:c r="M70" s="12" t="str">
        <x:v>Second Class</x:v>
      </x:c>
      <x:c r="N70" s="12" t="n">
        <x:v>9</x:v>
      </x:c>
      <x:c r="O70" s="12" t="n">
        <x:v>2211.12</x:v>
      </x:c>
      <x:c r="P70" s="12" t="n">
        <x:v>0</x:v>
      </x:c>
      <x:c r="Q70" s="12" t="n">
        <x:v>19900.08</x:v>
      </x:c>
      <x:c r="R70" s="12" t="n">
        <x:v>10962.66</x:v>
      </x:c>
      <x:c r="S70" s="12" t="n">
        <x:v>8937.42</x:v>
      </x:c>
      <x:c r="T70" s="12" t="str">
        <x:v>Failed</x:v>
      </x:c>
      <x:c r="U70" s="12" t="str">
        <x:v>Returned</x:v>
      </x:c>
    </x:row>
    <x:row r="71">
      <x:c r="A71" s="12" t="str">
        <x:v>ORD-2024-10070</x:v>
      </x:c>
      <x:c r="B71" s="12" t="str">
        <x:v>09 Apr 2024</x:v>
      </x:c>
      <x:c r="C71" s="12" t="str">
        <x:v>04/14/2024</x:v>
      </x:c>
      <x:c r="D71" s="12" t="str">
        <x:v>CUST-5979</x:v>
      </x:c>
      <x:c r="E71" s="12" t="str">
        <x:v>Neha Gupta</x:v>
      </x:c>
      <x:c r="F71" s="12" t="str">
        <x:v>Small Business</x:v>
      </x:c>
      <x:c r="G71" s="12" t="str">
        <x:v>West</x:v>
      </x:c>
      <x:c r="H71" s="12" t="str">
        <x:v>Gujarat</x:v>
      </x:c>
      <x:c r="I71" s="12" t="str">
        <x:v>Ahmedabad</x:v>
      </x:c>
      <x:c r="J71" s="12" t="str">
        <x:v>Technology</x:v>
      </x:c>
      <x:c r="K71" s="12" t="str">
        <x:v>Machines</x:v>
      </x:c>
      <x:c r="L71" s="12" t="str">
        <x:v>Prime Machines 782</x:v>
      </x:c>
      <x:c r="M71" s="12" t="str">
        <x:v>Same Day</x:v>
      </x:c>
      <x:c r="N71" s="12" t="n">
        <x:v>7</x:v>
      </x:c>
      <x:c r="O71" s="12" t="n">
        <x:v>3417.09</x:v>
      </x:c>
      <x:c r="P71" s="12" t="n">
        <x:v>0.1</x:v>
      </x:c>
      <x:c r="Q71" s="12" t="n">
        <x:v>21527.67</x:v>
      </x:c>
      <x:c r="R71" s="12" t="n">
        <x:v>18287.58</x:v>
      </x:c>
      <x:c r="S71" s="12" t="n">
        <x:v>3240.09</x:v>
      </x:c>
      <x:c r="T71" s="12" t="str">
        <x:v>Refunded</x:v>
      </x:c>
      <x:c r="U71" s="12" t="str">
        <x:v>Returned</x:v>
      </x:c>
    </x:row>
    <x:row r="72">
      <x:c r="A72" s="12" t="str">
        <x:v>ORD-2025-10071</x:v>
      </x:c>
      <x:c r="B72" s="12" t="str">
        <x:v>2025-08-22</x:v>
      </x:c>
      <x:c r="C72" s="12" t="str">
        <x:v>27 Aug 2025</x:v>
      </x:c>
      <x:c r="D72" s="12" t="str">
        <x:v>CUST-5582</x:v>
      </x:c>
      <x:c r="E72" s="12" t="str">
        <x:v>Karan Malhotra</x:v>
      </x:c>
      <x:c r="F72" s="12" t="str">
        <x:v>Corporate</x:v>
      </x:c>
      <x:c r="G72" s="12" t="str">
        <x:v>South</x:v>
      </x:c>
      <x:c r="H72" s="12" t="str">
        <x:v>Andhra Pradesh</x:v>
      </x:c>
      <x:c r="I72" s="12" t="str">
        <x:v>Vijayawada</x:v>
      </x:c>
      <x:c r="J72" s="12" t="str">
        <x:v>Technology</x:v>
      </x:c>
      <x:c r="K72" s="12" t="str">
        <x:v>Phones</x:v>
      </x:c>
      <x:c r="L72" s="12" t="str">
        <x:v>Max Phones 661</x:v>
      </x:c>
      <x:c r="M72" s="12" t="str">
        <x:v>First Class</x:v>
      </x:c>
      <x:c r="N72" s="12" t="n">
        <x:v>2</x:v>
      </x:c>
      <x:c r="O72" s="12" t="n">
        <x:v>905.87</x:v>
      </x:c>
      <x:c r="P72" s="12" t="n">
        <x:v>0.15</x:v>
      </x:c>
      <x:c r="Q72" s="12" t="n">
        <x:v>1539.98</x:v>
      </x:c>
      <x:c r="R72" s="12" t="n">
        <x:v>1070.2</x:v>
      </x:c>
      <x:c r="S72" s="12" t="n">
        <x:v>469.78</x:v>
      </x:c>
      <x:c r="T72" s="12" t="str">
        <x:v>Paid</x:v>
      </x:c>
      <x:c r="U72" s="12" t="str">
        <x:v>Completed</x:v>
      </x:c>
    </x:row>
    <x:row r="73">
      <x:c r="A73" s="12" t="str">
        <x:v>ORD-2025-10072</x:v>
      </x:c>
      <x:c r="B73" s="12" t="str">
        <x:v>04/16/2025</x:v>
      </x:c>
      <x:c r="C73" s="12" t="str">
        <x:v>2025-04-23</x:v>
      </x:c>
      <x:c r="D73" s="12" t="str">
        <x:v>CUST-3308</x:v>
      </x:c>
      <x:c r="E73" s="12" t="str">
        <x:v>Mira Das</x:v>
      </x:c>
      <x:c r="F73" s="12" t="str">
        <x:v>  Small Business </x:v>
      </x:c>
      <x:c r="G73" s="12" t="str">
        <x:v>West</x:v>
      </x:c>
      <x:c r="H73" s="12" t="str">
        <x:v>Goa</x:v>
      </x:c>
      <x:c r="I73" s="12" t="str">
        <x:v>Panaji</x:v>
      </x:c>
      <x:c r="J73" s="12" t="str">
        <x:v>Technology</x:v>
      </x:c>
      <x:c r="K73" s="12" t="str">
        <x:v>Machines</x:v>
      </x:c>
      <x:c r="L73" s="12" t="str">
        <x:v>Elite Machines 836</x:v>
      </x:c>
      <x:c r="M73" s="12" t="str">
        <x:v>Standard Class</x:v>
      </x:c>
      <x:c r="N73" s="12" t="n">
        <x:v>6</x:v>
      </x:c>
      <x:c r="O73" s="12" t="n">
        <x:v>2027.32</x:v>
      </x:c>
      <x:c r="P73" s="12" t="n">
        <x:v>0.1</x:v>
      </x:c>
      <x:c r="Q73" s="12" t="n">
        <x:v>10947.53</x:v>
      </x:c>
      <x:c r="R73" s="12" t="n">
        <x:v>6447.36</x:v>
      </x:c>
      <x:c r="S73" s="12" t="n">
        <x:v>4500.17</x:v>
      </x:c>
      <x:c r="T73" s="12" t="str">
        <x:v>Paid</x:v>
      </x:c>
      <x:c r="U73" s="12" t="str">
        <x:v>Completed</x:v>
      </x:c>
    </x:row>
    <x:row r="74">
      <x:c r="A74" s="12" t="str">
        <x:v>ORD-2024-10073</x:v>
      </x:c>
      <x:c r="B74" s="12" t="str">
        <x:v>2024-02-11</x:v>
      </x:c>
      <x:c r="C74" s="12" t="str">
        <x:v>07 Feb 2024</x:v>
      </x:c>
      <x:c r="D74" s="12" t="str">
        <x:v>CUST-5018</x:v>
      </x:c>
      <x:c r="E74" s="12" t="str">
        <x:v>Karan Malhotra</x:v>
      </x:c>
      <x:c r="F74" s="12" t="str">
        <x:v>Home Office</x:v>
      </x:c>
      <x:c r="G74" s="12" t="str">
        <x:v>South</x:v>
      </x:c>
      <x:c r="H74" s="12" t="str">
        <x:v>Tamil Nadu</x:v>
      </x:c>
      <x:c r="I74" s="12" t="str">
        <x:v>Chennai</x:v>
      </x:c>
      <x:c r="J74" s="12" t="str">
        <x:v>Furniture</x:v>
      </x:c>
      <x:c r="K74" s="12" t="str">
        <x:v>Tables</x:v>
      </x:c>
      <x:c r="L74" s="12" t="str">
        <x:v>Prime Tables 902</x:v>
      </x:c>
      <x:c r="M74" s="12" t="str">
        <x:v>First Class</x:v>
      </x:c>
      <x:c r="N74" s="12" t="n">
        <x:v>7</x:v>
      </x:c>
      <x:c r="O74" s="12" t="n">
        <x:v>2287.47</x:v>
      </x:c>
      <x:c r="P74" s="12" t="n">
        <x:v>0.15</x:v>
      </x:c>
      <x:c r="Q74" s="12" t="n">
        <x:v>13610.45</x:v>
      </x:c>
      <x:c r="R74" s="12" t="n">
        <x:v>10039.05</x:v>
      </x:c>
      <x:c r="S74" s="12" t="n">
        <x:v>3571.4</x:v>
      </x:c>
      <x:c r="T74" s="12" t="str">
        <x:v>Paid</x:v>
      </x:c>
      <x:c r="U74" s="12" t="str">
        <x:v>Completed</x:v>
      </x:c>
    </x:row>
    <x:row r="75">
      <x:c r="A75" s="12" t="str">
        <x:v>ORD-2025-10074</x:v>
      </x:c>
      <x:c r="B75" s="12" t="str">
        <x:v>29-03-2025</x:v>
      </x:c>
      <x:c r="C75" s="12" t="str">
        <x:v>04/03/2025</x:v>
      </x:c>
      <x:c r="D75" s="12" t="str">
        <x:v>CUST-2342</x:v>
      </x:c>
      <x:c r="E75" s="12" t="str">
        <x:v>Sneha Kapoor</x:v>
      </x:c>
      <x:c r="F75" s="12" t="str">
        <x:v>Corporate</x:v>
      </x:c>
      <x:c r="G75" s="12" t="str">
        <x:v>East</x:v>
      </x:c>
      <x:c r="H75" s="12" t="str">
        <x:v>West Bengal</x:v>
      </x:c>
      <x:c r="I75" s="12" t="str">
        <x:v>Kolkata</x:v>
      </x:c>
      <x:c r="J75" s="12" t="str">
        <x:v>Furniture</x:v>
      </x:c>
      <x:c r="K75" s="12" t="str">
        <x:v>Bookcases</x:v>
      </x:c>
      <x:c r="L75" s="12" t="str">
        <x:v>Smart Bookcases 167</x:v>
      </x:c>
      <x:c r="M75" s="12" t="str">
        <x:v>First Class</x:v>
      </x:c>
      <x:c r="N75" s="12" t="n">
        <x:v>5</x:v>
      </x:c>
      <x:c r="O75" s="12" t="n">
        <x:v>1425.74</x:v>
      </x:c>
      <x:c r="P75" s="12" t="n">
        <x:v>0</x:v>
      </x:c>
      <x:c r="Q75" s="12" t="n">
        <x:v>7128.7</x:v>
      </x:c>
      <x:c r="R75" s="12" t="n">
        <x:v>4382.15</x:v>
      </x:c>
      <x:c r="S75" s="12" t="n">
        <x:v>2746.55</x:v>
      </x:c>
      <x:c r="T75" s="12" t="str">
        <x:v>Paid</x:v>
      </x:c>
      <x:c r="U75" s="12" t="str">
        <x:v>Completed</x:v>
      </x:c>
    </x:row>
    <x:row r="76">
      <x:c r="A76" s="12" t="str">
        <x:v>ORD-2025-10075</x:v>
      </x:c>
      <x:c r="B76" s="12" t="str">
        <x:v>02/27/2025</x:v>
      </x:c>
      <x:c r="C76" s="12" t="str">
        <x:v>2025-03-01</x:v>
      </x:c>
      <x:c r="D76" s="12" t="str">
        <x:v>CUST-6201</x:v>
      </x:c>
      <x:c r="E76" s="12" t="str">
        <x:v>Vikram Iyer</x:v>
      </x:c>
      <x:c r="F76" s="12" t="str">
        <x:v>Small Business</x:v>
      </x:c>
      <x:c r="G76" s="12" t="str">
        <x:v>East</x:v>
      </x:c>
      <x:c r="H76" s="12" t="str">
        <x:v>West Bengal</x:v>
      </x:c>
      <x:c r="I76" s="12" t="str">
        <x:v>Kolkata</x:v>
      </x:c>
      <x:c r="J76" s="12" t="str">
        <x:v>Furniture</x:v>
      </x:c>
      <x:c r="K76" s="12" t="str">
        <x:v>Chairs</x:v>
      </x:c>
      <x:c r="L76" s="12" t="str">
        <x:v>Max Chairs 244</x:v>
      </x:c>
      <x:c r="M76" s="12" t="str">
        <x:v>Standard Class</x:v>
      </x:c>
      <x:c r="N76" s="12" t="n">
        <x:v>6</x:v>
      </x:c>
      <x:c r="O76" s="12" t="n">
        <x:v>551.64</x:v>
      </x:c>
      <x:c r="P76" s="12" t="n">
        <x:v>0</x:v>
      </x:c>
      <x:c r="Q76" s="12" t="n">
        <x:v>3309.84</x:v>
      </x:c>
      <x:c r="R76" s="12" t="n">
        <x:v>2671.08</x:v>
      </x:c>
      <x:c r="S76" s="12" t="n">
        <x:v>638.76</x:v>
      </x:c>
      <x:c r="T76" s="12" t="str">
        <x:v>Paid</x:v>
      </x:c>
      <x:c r="U76" s="12" t="str">
        <x:v>Completed</x:v>
      </x:c>
    </x:row>
    <x:row r="77">
      <x:c r="A77" s="12" t="str">
        <x:v>ORD-2025-10076</x:v>
      </x:c>
      <x:c r="B77" s="12" t="str">
        <x:v>22-08-2025</x:v>
      </x:c>
      <x:c r="C77" s="12" t="str">
        <x:v>08/27/2025</x:v>
      </x:c>
      <x:c r="D77" s="12" t="str">
        <x:v>CUST-5808</x:v>
      </x:c>
      <x:c r="E77" s="12" t="str">
        <x:v>Priya Menon</x:v>
      </x:c>
      <x:c r="F77" s="12" t="str">
        <x:v>Small Business</x:v>
      </x:c>
      <x:c r="G77" s="12" t="str">
        <x:v>East</x:v>
      </x:c>
      <x:c r="H77" s="12" t="str">
        <x:v>Odisha</x:v>
      </x:c>
      <x:c r="I77" s="12" t="str">
        <x:v>Bhubaneswar</x:v>
      </x:c>
      <x:c r="J77" s="12" t="str">
        <x:v>Office Supplies</x:v>
      </x:c>
      <x:c r="K77" s="12" t="str">
        <x:v>Labels</x:v>
      </x:c>
      <x:c r="L77" s="12" t="str">
        <x:v>Eco Labels 653</x:v>
      </x:c>
      <x:c r="M77" s="12" t="str">
        <x:v>First Class</x:v>
      </x:c>
      <x:c r="N77" s="12" t="n">
        <x:v>3</x:v>
      </x:c>
      <x:c r="O77" s="12" t="n">
        <x:v>3294.82</x:v>
      </x:c>
      <x:c r="P77" s="12" t="n">
        <x:v>0.2</x:v>
      </x:c>
      <x:c r="Q77" s="12" t="n">
        <x:v>7907.57</x:v>
      </x:c>
      <x:c r="R77" s="12" t="n">
        <x:v>5391.18</x:v>
      </x:c>
      <x:c r="S77" s="12" t="n">
        <x:v>2516.39</x:v>
      </x:c>
      <x:c r="T77" s="12" t="str">
        <x:v>Paid</x:v>
      </x:c>
      <x:c r="U77" s="12" t="str">
        <x:v>Completed</x:v>
      </x:c>
    </x:row>
    <x:row r="78">
      <x:c r="A78" s="12" t="str">
        <x:v>ORD-2024-10077</x:v>
      </x:c>
      <x:c r="B78" s="12" t="str">
        <x:v>03 Nov 2024</x:v>
      </x:c>
      <x:c r="C78" s="12" t="str">
        <x:v>11-11-2024</x:v>
      </x:c>
      <x:c r="D78" s="12" t="str">
        <x:v>CUST-2642</x:v>
      </x:c>
      <x:c r="E78" s="12" t="str">
        <x:v>Ananya Rao</x:v>
      </x:c>
      <x:c r="F78" s="12" t="str">
        <x:v>Corporate</x:v>
      </x:c>
      <x:c r="G78" s="12" t="str">
        <x:v>East</x:v>
      </x:c>
      <x:c r="H78" s="12" t="str">
        <x:v>Jharkhand</x:v>
      </x:c>
      <x:c r="I78" s="12" t="str">
        <x:v>Ranchi</x:v>
      </x:c>
      <x:c r="J78" s="12" t="str">
        <x:v>Office Supplies</x:v>
      </x:c>
      <x:c r="K78" s="12" t="str">
        <x:v>Labels</x:v>
      </x:c>
      <x:c r="L78" s="12" t="str">
        <x:v>Max Labels 617</x:v>
      </x:c>
      <x:c r="M78" s="12" t="str">
        <x:v>Second Class</x:v>
      </x:c>
      <x:c r="N78" s="12" t="n">
        <x:v>3</x:v>
      </x:c>
      <x:c r="O78" s="12" t="n">
        <x:v>3406.27</x:v>
      </x:c>
      <x:c r="P78" s="12" t="n">
        <x:v>0</x:v>
      </x:c>
      <x:c r="Q78" s="12" t="n">
        <x:v>10218.81</x:v>
      </x:c>
      <x:c r="R78" s="12" t="n">
        <x:v>7616.97</x:v>
      </x:c>
      <x:c r="S78" s="12" t="n">
        <x:v>2601.84</x:v>
      </x:c>
      <x:c r="T78" s="12" t="str">
        <x:v>Paid</x:v>
      </x:c>
      <x:c r="U78" s="12" t="str">
        <x:v>Completed</x:v>
      </x:c>
    </x:row>
    <x:row r="79">
      <x:c r="A79" s="12" t="str">
        <x:v>ORD-2025-10078</x:v>
      </x:c>
      <x:c r="B79" s="12" t="str">
        <x:v>07/08/2025</x:v>
      </x:c>
      <x:c r="C79" s="12" t="str">
        <x:v>12-07-2025</x:v>
      </x:c>
      <x:c r="D79" s="12" t="str">
        <x:v>CUST-4385</x:v>
      </x:c>
      <x:c r="E79" s="12" t="str">
        <x:v>Rohan Mehta</x:v>
      </x:c>
      <x:c r="F79" s="12" t="str">
        <x:v>Home Office</x:v>
      </x:c>
      <x:c r="G79" s="12" t="str">
        <x:v>North</x:v>
      </x:c>
      <x:c r="H79" s="12" t="str">
        <x:v>Uttar Pradesh</x:v>
      </x:c>
      <x:c r="I79" s="12" t="str">
        <x:v>Noida</x:v>
      </x:c>
      <x:c r="J79" s="12" t="str">
        <x:v>Furniture</x:v>
      </x:c>
      <x:c r="K79" s="12" t="str">
        <x:v>Furnishings</x:v>
      </x:c>
      <x:c r="L79" s="12" t="str">
        <x:v>Pro Furnishings 529</x:v>
      </x:c>
      <x:c r="M79" s="12" t="str">
        <x:v>Standard Class</x:v>
      </x:c>
      <x:c r="N79" s="12" t="n">
        <x:v>1</x:v>
      </x:c>
      <x:c r="O79" s="12" t="n">
        <x:v>2582.2</x:v>
      </x:c>
      <x:c r="P79" s="12" t="n">
        <x:v>0.15</x:v>
      </x:c>
      <x:c r="Q79" s="12" t="n">
        <x:v>2194.87</x:v>
      </x:c>
      <x:c r="R79" s="12" t="n">
        <x:v>1223.17</x:v>
      </x:c>
      <x:c r="S79" s="12" t="n">
        <x:v>971.7</x:v>
      </x:c>
      <x:c r="T79" s="12" t="str">
        <x:v>Refunded</x:v>
      </x:c>
      <x:c r="U79" s="12" t="str">
        <x:v>Cancelled</x:v>
      </x:c>
    </x:row>
    <x:row r="80">
      <x:c r="A80" s="12" t="str">
        <x:v>ORD-2025-10079</x:v>
      </x:c>
      <x:c r="B80" s="12" t="str">
        <x:v>07/16/2025</x:v>
      </x:c>
      <x:c r="C80" s="12" t="str">
        <x:v>21-07-2025</x:v>
      </x:c>
      <x:c r="D80" s="12" t="str">
        <x:v>CUST-8043</x:v>
      </x:c>
      <x:c r="E80" s="12" t="str">
        <x:v>Sneha Kapoor</x:v>
      </x:c>
      <x:c r="F80" s="12" t="str">
        <x:v>Corporate</x:v>
      </x:c>
      <x:c r="G80" s="12" t="str">
        <x:v>East</x:v>
      </x:c>
      <x:c r="H80" s="12" t="str">
        <x:v>West Bengal</x:v>
      </x:c>
      <x:c r="I80" s="12" t="str">
        <x:v>Kolkata</x:v>
      </x:c>
      <x:c r="J80" s="12" t="str">
        <x:v>Furniture</x:v>
      </x:c>
      <x:c r="K80" s="12" t="str">
        <x:v>Tables</x:v>
      </x:c>
      <x:c r="L80" s="12" t="str">
        <x:v>Smart Tables 561</x:v>
      </x:c>
      <x:c r="M80" s="12" t="str">
        <x:v>First Class</x:v>
      </x:c>
      <x:c r="N80" s="12" t="n">
        <x:v>5</x:v>
      </x:c>
      <x:c r="O80" s="12" t="n">
        <x:v>2129.51</x:v>
      </x:c>
      <x:c r="P80" s="12" t="n">
        <x:v>0.15</x:v>
      </x:c>
      <x:c r="Q80" s="12" t="n">
        <x:v>9050.42</x:v>
      </x:c>
      <x:c r="R80" s="12" t="n">
        <x:v>6778.85</x:v>
      </x:c>
      <x:c r="S80" s="12" t="n">
        <x:v>2271.57</x:v>
      </x:c>
      <x:c r="T80" s="12" t="str">
        <x:v>Paid</x:v>
      </x:c>
      <x:c r="U80" s="12" t="str">
        <x:v>Completed</x:v>
      </x:c>
    </x:row>
    <x:row r="81">
      <x:c r="A81" s="12" t="str">
        <x:v>ORD-2025-10080</x:v>
      </x:c>
      <x:c r="B81" s="12" t="str">
        <x:v>2025-09-27</x:v>
      </x:c>
      <x:c r="C81" s="12" t="str">
        <x:v>2025-10-03</x:v>
      </x:c>
      <x:c r="D81" s="12" t="str">
        <x:v>CUST-9978</x:v>
      </x:c>
      <x:c r="E81" s="12" t="str">
        <x:v>Diya Patel</x:v>
      </x:c>
      <x:c r="F81" s="12" t="str">
        <x:v>Home Office</x:v>
      </x:c>
      <x:c r="G81" s="12" t="str">
        <x:v>South</x:v>
      </x:c>
      <x:c r="H81" s="12" t="str">
        <x:v>Tamil Nadu</x:v>
      </x:c>
      <x:c r="I81" s="12" t="str">
        <x:v>Chennai</x:v>
      </x:c>
      <x:c r="J81" s="12" t="str">
        <x:v>  Furniture </x:v>
      </x:c>
      <x:c r="K81" s="12" t="str">
        <x:v>Chairs</x:v>
      </x:c>
      <x:c r="L81" s="12" t="str">
        <x:v>Prime Chairs 838</x:v>
      </x:c>
      <x:c r="M81" s="12" t="str">
        <x:v>Same Day</x:v>
      </x:c>
      <x:c r="N81" s="12" t="n">
        <x:v>9</x:v>
      </x:c>
      <x:c r="O81" s="12" t="n">
        <x:v>4131.52</x:v>
      </x:c>
      <x:c r="P81" s="12" t="n">
        <x:v>0.1</x:v>
      </x:c>
      <x:c r="Q81" s="12" t="n">
        <x:v>33465.31</x:v>
      </x:c>
      <x:c r="R81" s="12" t="n">
        <x:v>24781.26</x:v>
      </x:c>
      <x:c r="S81" s="12" t="n">
        <x:v>8684.05</x:v>
      </x:c>
      <x:c r="T81" s="12" t="str">
        <x:v>Paid</x:v>
      </x:c>
      <x:c r="U81" s="12" t="str">
        <x:v>Completed</x:v>
      </x:c>
    </x:row>
    <x:row r="82">
      <x:c r="A82" s="12" t="str">
        <x:v>ORD-2024-10081</x:v>
      </x:c>
      <x:c r="B82" s="12" t="str">
        <x:v>2024-08-10</x:v>
      </x:c>
      <x:c r="C82" s="12" t="str">
        <x:v>2024-08-14</x:v>
      </x:c>
      <x:c r="D82" s="12" t="str">
        <x:v>CUST-2094</x:v>
      </x:c>
      <x:c r="E82" s="12" t="str">
        <x:v>Aarav Sharma</x:v>
      </x:c>
      <x:c r="F82" s="12" t="str">
        <x:v>Small Business</x:v>
      </x:c>
      <x:c r="G82" s="12" t="str">
        <x:v>North</x:v>
      </x:c>
      <x:c r="H82" s="12" t="str">
        <x:v>Delhi</x:v>
      </x:c>
      <x:c r="I82" s="12" t="str">
        <x:v>New Delhi</x:v>
      </x:c>
      <x:c r="J82" s="12" t="str">
        <x:v>Office Supplies</x:v>
      </x:c>
      <x:c r="K82" s="12" t="str">
        <x:v>Storage</x:v>
      </x:c>
      <x:c r="L82" s="12" t="str">
        <x:v>Elite Storage 371</x:v>
      </x:c>
      <x:c r="M82" s="12" t="str">
        <x:v>Second Class</x:v>
      </x:c>
      <x:c r="N82" s="12" t="n">
        <x:v>4</x:v>
      </x:c>
      <x:c r="O82" s="12" t="n">
        <x:v>1182.32</x:v>
      </x:c>
      <x:c r="P82" s="12" t="n">
        <x:v>0.1</x:v>
      </x:c>
      <x:c r="Q82" s="12" t="n">
        <x:v>4256.35</x:v>
      </x:c>
      <x:c r="R82" s="12" t="n">
        <x:v>2495.33</x:v>
      </x:c>
      <x:c r="S82" s="12" t="n">
        <x:v>1761.02</x:v>
      </x:c>
      <x:c r="T82" s="12" t="str">
        <x:v>Pending</x:v>
      </x:c>
      <x:c r="U82" s="12" t="str">
        <x:v>Returned</x:v>
      </x:c>
    </x:row>
    <x:row r="83">
      <x:c r="A83" s="12" t="str">
        <x:v>ORD-2025-10082</x:v>
      </x:c>
      <x:c r="B83" s="12" t="str">
        <x:v>2025-03-16</x:v>
      </x:c>
      <x:c r="C83" s="12" t="str">
        <x:v>17-03-2025</x:v>
      </x:c>
      <x:c r="D83" s="12" t="str">
        <x:v>CUST-7907</x:v>
      </x:c>
      <x:c r="E83" s="12" t="str">
        <x:v>Karan Malhotra</x:v>
      </x:c>
      <x:c r="F83" s="12" t="str">
        <x:v>Home Office</x:v>
      </x:c>
      <x:c r="G83" s="12" t="str">
        <x:v>West</x:v>
      </x:c>
      <x:c r="H83" s="12" t="str">
        <x:v>Goa</x:v>
      </x:c>
      <x:c r="I83" s="12" t="str">
        <x:v>Panaji</x:v>
      </x:c>
      <x:c r="J83" s="12" t="str">
        <x:v>Office Supplies</x:v>
      </x:c>
      <x:c r="K83" s="12" t="str">
        <x:v>Labels</x:v>
      </x:c>
      <x:c r="L83" s="12" t="str">
        <x:v>Eco Labels 662</x:v>
      </x:c>
      <x:c r="M83" s="12" t="str">
        <x:v>Same Day</x:v>
      </x:c>
      <x:c r="N83" s="12" t="n">
        <x:v>3</x:v>
      </x:c>
      <x:c r="O83" s="12" t="n">
        <x:v>1841.91</x:v>
      </x:c>
      <x:c r="P83" s="12" t="n">
        <x:v>0</x:v>
      </x:c>
      <x:c r="Q83" s="12" t="n">
        <x:v>5525.73</x:v>
      </x:c>
      <x:c r="R83" s="12" t="n">
        <x:v>3093.42</x:v>
      </x:c>
      <x:c r="S83" s="12" t="n">
        <x:v>2432.31</x:v>
      </x:c>
      <x:c r="T83" s="12" t="str">
        <x:v>Paid</x:v>
      </x:c>
      <x:c r="U83" s="12" t="str">
        <x:v>Completed</x:v>
      </x:c>
    </x:row>
    <x:row r="84">
      <x:c r="A84" s="12" t="str">
        <x:v>ORD-2024-10083</x:v>
      </x:c>
      <x:c r="B84" s="12" t="str">
        <x:v>2024-08-03</x:v>
      </x:c>
      <x:c r="C84" s="12" t="str">
        <x:v>04-08-2024</x:v>
      </x:c>
      <x:c r="D84" s="12" t="str">
        <x:v>CUST-6516</x:v>
      </x:c>
      <x:c r="E84" s="12" t="str">
        <x:v>Arjun Bose</x:v>
      </x:c>
      <x:c r="F84" s="12" t="str">
        <x:v>Consumer</x:v>
      </x:c>
      <x:c r="G84" s="12" t="str">
        <x:v>North</x:v>
      </x:c>
      <x:c r="H84" s="12" t="str">
        <x:v>Uttar Pradesh</x:v>
      </x:c>
      <x:c r="I84" s="12" t="str">
        <x:v>Noida</x:v>
      </x:c>
      <x:c r="J84" s="12" t="str">
        <x:v>Technology</x:v>
      </x:c>
      <x:c r="K84" s="12" t="str">
        <x:v>Copiers</x:v>
      </x:c>
      <x:c r="L84" s="12" t="str">
        <x:v>Smart Copiers 702</x:v>
      </x:c>
      <x:c r="M84" s="12" t="str">
        <x:v>Second Class</x:v>
      </x:c>
      <x:c r="N84" s="12" t="n">
        <x:v>6</x:v>
      </x:c>
      <x:c r="O84" s="12" t="n">
        <x:v>1001.73</x:v>
      </x:c>
      <x:c r="P84" s="12" t="n">
        <x:v>0</x:v>
      </x:c>
      <x:c r="Q84" s="12" t="n">
        <x:v>6010.38</x:v>
      </x:c>
      <x:c r="R84" s="12" t="n">
        <x:v>3762.85</x:v>
      </x:c>
      <x:c r="S84" s="12" t="n">
        <x:v>2247.53</x:v>
      </x:c>
      <x:c r="T84" s="12" t="str">
        <x:v>Failed</x:v>
      </x:c>
      <x:c r="U84" s="12" t="str">
        <x:v>Returned</x:v>
      </x:c>
    </x:row>
    <x:row r="85">
      <x:c r="A85" s="12" t="str">
        <x:v>ORD-2024-10084</x:v>
      </x:c>
      <x:c r="B85" s="12" t="str">
        <x:v>26-10-2024</x:v>
      </x:c>
      <x:c r="C85" s="12" t="str">
        <x:v>29-10-2024</x:v>
      </x:c>
      <x:c r="D85" s="12" t="str">
        <x:v>CUST-4989</x:v>
      </x:c>
      <x:c r="E85" s="12" t="str">
        <x:v>Aditi Sen</x:v>
      </x:c>
      <x:c r="F85" s="12" t="str">
        <x:v>Home Office</x:v>
      </x:c>
      <x:c r="G85" s="12" t="str">
        <x:v>West</x:v>
      </x:c>
      <x:c r="H85" s="12" t="str">
        <x:v>Maharashtra</x:v>
      </x:c>
      <x:c r="I85" s="12" t="str">
        <x:v>Mumbai</x:v>
      </x:c>
      <x:c r="J85" s="12" t="str">
        <x:v>Furniture</x:v>
      </x:c>
      <x:c r="K85" s="12" t="str">
        <x:v>Tables</x:v>
      </x:c>
      <x:c r="L85" s="12" t="str">
        <x:v>Elite Tables 362</x:v>
      </x:c>
      <x:c r="M85" s="12" t="str">
        <x:v>Second Class</x:v>
      </x:c>
      <x:c r="N85" s="12" t="n">
        <x:v>9</x:v>
      </x:c>
      <x:c r="O85" s="12" t="n">
        <x:v>131.74</x:v>
      </x:c>
      <x:c r="P85" s="12" t="n">
        <x:v>0.2</x:v>
      </x:c>
      <x:c r="Q85" s="12" t="n">
        <x:v>948.53</x:v>
      </x:c>
      <x:c r="R85" s="12" t="n">
        <x:v>674.62</x:v>
      </x:c>
      <x:c r="S85" s="12" t="n">
        <x:v>273.91</x:v>
      </x:c>
      <x:c r="T85" s="12" t="str">
        <x:v>Paid</x:v>
      </x:c>
      <x:c r="U85" s="12" t="str">
        <x:v>Completed</x:v>
      </x:c>
    </x:row>
    <x:row r="86">
      <x:c r="A86" s="12" t="str">
        <x:v>ORD-2024-10085</x:v>
      </x:c>
      <x:c r="B86" s="12" t="str">
        <x:v>01 Oct 2024</x:v>
      </x:c>
      <x:c r="C86" s="12" t="str">
        <x:v>2024-10-03</x:v>
      </x:c>
      <x:c r="D86" s="12" t="str">
        <x:v>CUST-3758</x:v>
      </x:c>
      <x:c r="E86" s="12" t="str">
        <x:v>Rohan Mehta</x:v>
      </x:c>
      <x:c r="F86" s="12" t="str">
        <x:v>Corporate</x:v>
      </x:c>
      <x:c r="G86" s="12" t="str">
        <x:v>South</x:v>
      </x:c>
      <x:c r="H86" s="12" t="str">
        <x:v>Tamil Nadu</x:v>
      </x:c>
      <x:c r="I86" s="12" t="str">
        <x:v>Chennai</x:v>
      </x:c>
      <x:c r="J86" s="12" t="str">
        <x:v>Technology </x:v>
      </x:c>
      <x:c r="K86" s="12" t="str">
        <x:v>Phones</x:v>
      </x:c>
      <x:c r="L86" s="12" t="str">
        <x:v>Elite Phones 781</x:v>
      </x:c>
      <x:c r="M86" s="12" t="str">
        <x:v>Second Class</x:v>
      </x:c>
      <x:c r="N86" s="12" t="n">
        <x:v>6</x:v>
      </x:c>
      <x:c r="O86" s="12" t="n">
        <x:v>570.28</x:v>
      </x:c>
      <x:c r="P86" s="12" t="n">
        <x:v>0.2</x:v>
      </x:c>
      <x:c r="Q86" s="12" t="n">
        <x:v>2737.34</x:v>
      </x:c>
      <x:c r="R86" s="12" t="n">
        <x:v>2085.44</x:v>
      </x:c>
      <x:c r="S86" s="12" t="n">
        <x:v>651.9</x:v>
      </x:c>
      <x:c r="T86" s="12" t="str">
        <x:v>Paid</x:v>
      </x:c>
      <x:c r="U86" s="12" t="str">
        <x:v>Completed</x:v>
      </x:c>
    </x:row>
    <x:row r="87">
      <x:c r="A87" s="12" t="str">
        <x:v>ORD-2024-10086</x:v>
      </x:c>
      <x:c r="B87" s="12" t="str">
        <x:v>2024-07-30</x:v>
      </x:c>
      <x:c r="C87" s="12" t="str">
        <x:v>08/05/2024</x:v>
      </x:c>
      <x:c r="D87" s="12" t="str">
        <x:v>CUST-6702</x:v>
      </x:c>
      <x:c r="E87" s="12" t="str">
        <x:v>Kabir Singh</x:v>
      </x:c>
      <x:c r="F87" s="12" t="str">
        <x:v>Corporate</x:v>
      </x:c>
      <x:c r="G87" s="12" t="str">
        <x:v>North</x:v>
      </x:c>
      <x:c r="H87" s="12" t="str">
        <x:v>Delhi</x:v>
      </x:c>
      <x:c r="I87" s="12" t="str">
        <x:v>New Delhi</x:v>
      </x:c>
      <x:c r="J87" s="12" t="str">
        <x:v>Office Supplies</x:v>
      </x:c>
      <x:c r="K87" s="12" t="str">
        <x:v>Binders</x:v>
      </x:c>
      <x:c r="L87" s="12" t="str">
        <x:v>Eco Binders 456</x:v>
      </x:c>
      <x:c r="M87" s="12" t="str">
        <x:v>Standard Class</x:v>
      </x:c>
      <x:c r="N87" s="12" t="n">
        <x:v>1</x:v>
      </x:c>
      <x:c r="O87" s="12" t="n">
        <x:v>608.64</x:v>
      </x:c>
      <x:c r="P87" s="12" t="n">
        <x:v>0</x:v>
      </x:c>
      <x:c r="Q87" s="12" t="n">
        <x:v>608.64</x:v>
      </x:c>
      <x:c r="R87" s="12" t="n">
        <x:v>343.99</x:v>
      </x:c>
      <x:c r="S87" s="12" t="n">
        <x:v>264.65</x:v>
      </x:c>
      <x:c r="T87" s="12" t="str">
        <x:v>Paid</x:v>
      </x:c>
      <x:c r="U87" s="12" t="str">
        <x:v>Cancelled</x:v>
      </x:c>
    </x:row>
    <x:row r="88">
      <x:c r="A88" s="12" t="str">
        <x:v>ORD-2024-10087</x:v>
      </x:c>
      <x:c r="B88" s="12" t="str">
        <x:v>01 Jul 2024</x:v>
      </x:c>
      <x:c r="C88" s="12" t="str">
        <x:v>01 Jul 2024</x:v>
      </x:c>
      <x:c r="D88" s="12" t="str">
        <x:v>CUST-9148</x:v>
      </x:c>
      <x:c r="E88" s="12" t="str">
        <x:v>Ananya Rao</x:v>
      </x:c>
      <x:c r="F88" s="12" t="str">
        <x:v>Small Business</x:v>
      </x:c>
      <x:c r="G88" s="12" t="str">
        <x:v>North</x:v>
      </x:c>
      <x:c r="H88" s="12" t="str">
        <x:v>Delhi</x:v>
      </x:c>
      <x:c r="I88" s="12" t="str">
        <x:v>New Delhi</x:v>
      </x:c>
      <x:c r="J88" s="12" t="str">
        <x:v>Technology</x:v>
      </x:c>
      <x:c r="K88" s="12" t="str">
        <x:v>Copiers</x:v>
      </x:c>
      <x:c r="L88" s="12" t="str">
        <x:v>Basic Copiers 525</x:v>
      </x:c>
      <x:c r="M88" s="12" t="str">
        <x:v>Second Class</x:v>
      </x:c>
      <x:c r="N88" s="12" t="n">
        <x:v>3</x:v>
      </x:c>
      <x:c r="O88" s="12" t="n">
        <x:v>885.28</x:v>
      </x:c>
      <x:c r="P88" s="12" t="n">
        <x:v>0.1</x:v>
      </x:c>
      <x:c r="Q88" s="12" t="n">
        <x:v>2390.26</x:v>
      </x:c>
      <x:c r="R88" s="12" t="n">
        <x:v>1495.94</x:v>
      </x:c>
      <x:c r="S88" s="12" t="n">
        <x:v>894.32</x:v>
      </x:c>
      <x:c r="T88" s="12" t="str">
        <x:v>Refunded</x:v>
      </x:c>
      <x:c r="U88" s="12" t="str">
        <x:v>Cancelled</x:v>
      </x:c>
    </x:row>
    <x:row r="89">
      <x:c r="A89" s="12" t="str">
        <x:v>ORD-2024-10088</x:v>
      </x:c>
      <x:c r="B89" s="12" t="str">
        <x:v>02-08-2024</x:v>
      </x:c>
      <x:c r="C89" s="12" t="str">
        <x:v>2024-08-03</x:v>
      </x:c>
      <x:c r="D89" s="12" t="str">
        <x:v>CUST-5829</x:v>
      </x:c>
      <x:c r="E89" s="12" t="str">
        <x:v>Vikram Iyer</x:v>
      </x:c>
      <x:c r="F89" s="12" t="str">
        <x:v>Consumer</x:v>
      </x:c>
      <x:c r="G89" s="12" t="str">
        <x:v>East</x:v>
      </x:c>
      <x:c r="H89" s="12" t="str">
        <x:v>Assam</x:v>
      </x:c>
      <x:c r="I89" s="12" t="str">
        <x:v>Guwahati</x:v>
      </x:c>
      <x:c r="J89" s="12" t="str">
        <x:v>Office Supplies</x:v>
      </x:c>
      <x:c r="K89" s="12" t="str">
        <x:v>Binders</x:v>
      </x:c>
      <x:c r="L89" s="12" t="str">
        <x:v>Eco Binders 258</x:v>
      </x:c>
      <x:c r="M89" s="12" t="str">
        <x:v>Standard Class</x:v>
      </x:c>
      <x:c r="N89" s="12" t="n">
        <x:v>7</x:v>
      </x:c>
      <x:c r="O89" s="12" t="n">
        <x:v>3345.22</x:v>
      </x:c>
      <x:c r="P89" s="12" t="n">
        <x:v>0</x:v>
      </x:c>
      <x:c r="Q89" s="12" t="n">
        <x:v>23416.54</x:v>
      </x:c>
      <x:c r="R89" s="12" t="n">
        <x:v>15490.89</x:v>
      </x:c>
      <x:c r="S89" s="12" t="n">
        <x:v>7925.65</x:v>
      </x:c>
      <x:c r="T89" s="12" t="str">
        <x:v>Paid</x:v>
      </x:c>
      <x:c r="U89" s="12" t="str">
        <x:v>Completed</x:v>
      </x:c>
    </x:row>
    <x:row r="90">
      <x:c r="A90" s="12" t="str">
        <x:v>ORD-2024-10089</x:v>
      </x:c>
      <x:c r="B90" s="12" t="str">
        <x:v>03/24/2024</x:v>
      </x:c>
      <x:c r="C90" s="12" t="str">
        <x:v>27 Mar 2024</x:v>
      </x:c>
      <x:c r="D90" s="12" t="str">
        <x:v>CUST-6059</x:v>
      </x:c>
      <x:c r="E90" s="12" t="str">
        <x:v>Rohan Mehta</x:v>
      </x:c>
      <x:c r="F90" s="12" t="str">
        <x:v>Small Business</x:v>
      </x:c>
      <x:c r="G90" s="12" t="str">
        <x:v>West</x:v>
      </x:c>
      <x:c r="H90" s="12" t="str">
        <x:v>Maharashtra</x:v>
      </x:c>
      <x:c r="I90" s="12" t="str">
        <x:v>Mumbai</x:v>
      </x:c>
      <x:c r="J90" s="12" t="str">
        <x:v>Furniture</x:v>
      </x:c>
      <x:c r="K90" s="12" t="str">
        <x:v>Bookcases</x:v>
      </x:c>
      <x:c r="L90" s="12" t="str">
        <x:v>Max Bookcases 398</x:v>
      </x:c>
      <x:c r="M90" s="12" t="str">
        <x:v>Standard Class</x:v>
      </x:c>
      <x:c r="N90" s="12" t="n">
        <x:v>2</x:v>
      </x:c>
      <x:c r="O90" s="12" t="n">
        <x:v>3284.75</x:v>
      </x:c>
      <x:c r="P90" s="12" t="n">
        <x:v>0.05</x:v>
      </x:c>
      <x:c r="Q90" s="12" t="n">
        <x:v>6241.02</x:v>
      </x:c>
      <x:c r="R90" s="12" t="n">
        <x:v>5345.88</x:v>
      </x:c>
      <x:c r="S90" s="12" t="n">
        <x:v>895.14</x:v>
      </x:c>
      <x:c r="T90" s="12" t="str">
        <x:v>Paid</x:v>
      </x:c>
      <x:c r="U90" s="12" t="str">
        <x:v>Completed</x:v>
      </x:c>
    </x:row>
    <x:row r="91">
      <x:c r="A91" s="12" t="str">
        <x:v>ORD-2024-10090</x:v>
      </x:c>
      <x:c r="B91" s="12" t="str">
        <x:v>05 Sep 2024</x:v>
      </x:c>
      <x:c r="C91" s="12" t="str">
        <x:v>05 Sep 2024</x:v>
      </x:c>
      <x:c r="D91" s="12" t="str">
        <x:v>CUST-7744</x:v>
      </x:c>
      <x:c r="E91" s="12" t="str">
        <x:v>Kabir Singh</x:v>
      </x:c>
      <x:c r="F91" s="12" t="str">
        <x:v>Consumer</x:v>
      </x:c>
      <x:c r="G91" s="12" t="str">
        <x:v>South</x:v>
      </x:c>
      <x:c r="H91" s="12" t="str">
        <x:v>Andhra Pradesh</x:v>
      </x:c>
      <x:c r="I91" s="12" t="str">
        <x:v>Vijayawada</x:v>
      </x:c>
      <x:c r="J91" s="12" t="str">
        <x:v>Furniture</x:v>
      </x:c>
      <x:c r="K91" s="12" t="str">
        <x:v>Bookcases</x:v>
      </x:c>
      <x:c r="L91" s="12" t="str">
        <x:v>Smart Bookcases 857</x:v>
      </x:c>
      <x:c r="M91" s="12" t="str">
        <x:v>Standard Class</x:v>
      </x:c>
      <x:c r="N91" s="12" t="n">
        <x:v>7</x:v>
      </x:c>
      <x:c r="O91" s="12" t="n">
        <x:v>3761.09</x:v>
      </x:c>
      <x:c r="P91" s="12" t="n">
        <x:v>0.2</x:v>
      </x:c>
      <x:c r="Q91" s="12" t="n">
        <x:v>21062.1</x:v>
      </x:c>
      <x:c r="R91" s="12" t="n">
        <x:v>12057.13</x:v>
      </x:c>
      <x:c r="S91" s="12" t="n">
        <x:v>9004.97</x:v>
      </x:c>
      <x:c r="T91" s="12" t="str">
        <x:v>Pending</x:v>
      </x:c>
      <x:c r="U91" s="12" t="str">
        <x:v>Cancelled</x:v>
      </x:c>
    </x:row>
    <x:row r="92">
      <x:c r="A92" s="12" t="str">
        <x:v>ORD-2025-10091</x:v>
      </x:c>
      <x:c r="B92" s="12" t="str">
        <x:v>08/24/2025</x:v>
      </x:c>
      <x:c r="C92" s="12" t="str">
        <x:v>29 Aug 2025</x:v>
      </x:c>
      <x:c r="D92" s="12" t="str">
        <x:v>CUST-5909</x:v>
      </x:c>
      <x:c r="E92" s="12" t="str">
        <x:v>Aarav Sharma</x:v>
      </x:c>
      <x:c r="F92" s="12" t="str">
        <x:v>Small Business</x:v>
      </x:c>
      <x:c r="G92" s="12" t="str">
        <x:v>East</x:v>
      </x:c>
      <x:c r="H92" s="12" t="str">
        <x:v>Bihar</x:v>
      </x:c>
      <x:c r="I92" s="12" t="str">
        <x:v>Patna</x:v>
      </x:c>
      <x:c r="J92" s="12" t="str">
        <x:v>Technology</x:v>
      </x:c>
      <x:c r="K92" s="12" t="str">
        <x:v>Copiers</x:v>
      </x:c>
      <x:c r="L92" s="12" t="str">
        <x:v>Smart Copiers 556</x:v>
      </x:c>
      <x:c r="M92" s="12" t="str">
        <x:v>First Class</x:v>
      </x:c>
      <x:c r="N92" s="12" t="n">
        <x:v>3</x:v>
      </x:c>
      <x:c r="O92" s="12" t="n">
        <x:v>3703.96</x:v>
      </x:c>
      <x:c r="P92" s="12" t="n">
        <x:v>0.15</x:v>
      </x:c>
      <x:c r="Q92" s="12" t="n">
        <x:v>9445.1</x:v>
      </x:c>
      <x:c r="R92" s="12" t="n">
        <x:v>5586.28</x:v>
      </x:c>
      <x:c r="S92" s="12" t="n">
        <x:v>3858.82</x:v>
      </x:c>
      <x:c r="T92" s="12" t="str">
        <x:v>Paid</x:v>
      </x:c>
      <x:c r="U92" s="12" t="str">
        <x:v>Completed</x:v>
      </x:c>
    </x:row>
    <x:row r="93">
      <x:c r="A93" s="12" t="str">
        <x:v>ORD-2025-10092</x:v>
      </x:c>
      <x:c r="B93" s="12" t="str">
        <x:v>02-03-2025</x:v>
      </x:c>
      <x:c r="C93" s="12" t="str">
        <x:v>03/08/2025</x:v>
      </x:c>
      <x:c r="D93" s="12" t="str">
        <x:v>CUST-6409</x:v>
      </x:c>
      <x:c r="E93" s="12" t="str">
        <x:v>Sneha Kapoor</x:v>
      </x:c>
      <x:c r="F93" s="12" t="str">
        <x:v>Corporate</x:v>
      </x:c>
      <x:c r="G93" s="12" t="str">
        <x:v>West</x:v>
      </x:c>
      <x:c r="H93" s="12" t="str">
        <x:v>Madhya Pradesh</x:v>
      </x:c>
      <x:c r="I93" s="12" t="str">
        <x:v>Indore</x:v>
      </x:c>
      <x:c r="J93" s="12" t="str">
        <x:v>Technology</x:v>
      </x:c>
      <x:c r="K93" s="12" t="str">
        <x:v>Copiers</x:v>
      </x:c>
      <x:c r="L93" s="12" t="str">
        <x:v>Prime Copiers 575</x:v>
      </x:c>
      <x:c r="M93" s="12" t="str">
        <x:v>Second Class</x:v>
      </x:c>
      <x:c r="N93" s="12" t="n">
        <x:v>9</x:v>
      </x:c>
      <x:c r="O93" s="12" t="n">
        <x:v>269.68</x:v>
      </x:c>
      <x:c r="P93" s="12" t="n">
        <x:v>0</x:v>
      </x:c>
      <x:c r="Q93" s="12" t="n">
        <x:v>2427.12</x:v>
      </x:c>
      <x:c r="R93" s="12" t="n">
        <x:v>1538.35</x:v>
      </x:c>
      <x:c r="S93" s="12" t="n">
        <x:v>804.53</x:v>
      </x:c>
      <x:c r="T93" s="12" t="str">
        <x:v>Paid</x:v>
      </x:c>
      <x:c r="U93" s="12" t="str">
        <x:v>Completed</x:v>
      </x:c>
    </x:row>
    <x:row r="94">
      <x:c r="A94" s="12" t="str">
        <x:v>ORD-2025-10093</x:v>
      </x:c>
      <x:c r="B94" s="12" t="str">
        <x:v>23 Jan 2025</x:v>
      </x:c>
      <x:c r="C94" s="12" t="str">
        <x:v>01/26/2025</x:v>
      </x:c>
      <x:c r="D94" s="12" t="str">
        <x:v>CUST-3014</x:v>
      </x:c>
      <x:c r="E94" s="12" t="str">
        <x:v>Aarav Sharma</x:v>
      </x:c>
      <x:c r="F94" s="12" t="str">
        <x:v>Consumer</x:v>
      </x:c>
      <x:c r="G94" s="12" t="str">
        <x:v>West</x:v>
      </x:c>
      <x:c r="H94" s="12" t="str">
        <x:v>Madhya Pradesh</x:v>
      </x:c>
      <x:c r="I94" s="12" t="str">
        <x:v>Indore</x:v>
      </x:c>
      <x:c r="J94" s="12" t="str">
        <x:v>Office Supplies</x:v>
      </x:c>
      <x:c r="K94" s="12" t="str">
        <x:v>Paper</x:v>
      </x:c>
      <x:c r="L94" s="12" t="str">
        <x:v>Elite Paper 669</x:v>
      </x:c>
      <x:c r="M94" s="12" t="str">
        <x:v>Standard Class</x:v>
      </x:c>
      <x:c r="N94" s="12" t="n">
        <x:v>9</x:v>
      </x:c>
      <x:c r="O94" s="12" t="n">
        <x:v>4458.26</x:v>
      </x:c>
      <x:c r="P94" s="12" t="n">
        <x:v>0.1</x:v>
      </x:c>
      <x:c r="Q94" s="12" t="n">
        <x:v>36111.91</x:v>
      </x:c>
      <x:c r="R94" s="12" t="n">
        <x:v>29194.5</x:v>
      </x:c>
      <x:c r="S94" s="12" t="n">
        <x:v>6917.41</x:v>
      </x:c>
      <x:c r="T94" s="12" t="str">
        <x:v>Paid</x:v>
      </x:c>
      <x:c r="U94" s="12" t="str">
        <x:v>Completed</x:v>
      </x:c>
    </x:row>
    <x:row r="95">
      <x:c r="A95" s="12" t="str">
        <x:v>ORD-2024-10094</x:v>
      </x:c>
      <x:c r="B95" s="12" t="str">
        <x:v>01/07/2024</x:v>
      </x:c>
      <x:c r="C95" s="12" t="str">
        <x:v>13-01-2024</x:v>
      </x:c>
      <x:c r="D95" s="12" t="str">
        <x:v>CUST-6106</x:v>
      </x:c>
      <x:c r="E95" s="12" t="str">
        <x:v>Rohan Mehta</x:v>
      </x:c>
      <x:c r="F95" s="12" t="str">
        <x:v>Corporate</x:v>
      </x:c>
      <x:c r="G95" s="12" t="str">
        <x:v>North</x:v>
      </x:c>
      <x:c r="H95" s="12" t="str">
        <x:v>Uttar Pradesh</x:v>
      </x:c>
      <x:c r="I95" s="12" t="str">
        <x:v>Noida</x:v>
      </x:c>
      <x:c r="J95" s="12" t="str">
        <x:v>Office Supplies</x:v>
      </x:c>
      <x:c r="K95" s="12" t="str">
        <x:v>Binders</x:v>
      </x:c>
      <x:c r="L95" s="12" t="str">
        <x:v>Eco Binders 780</x:v>
      </x:c>
      <x:c r="M95" s="12" t="str">
        <x:v>Standard Class</x:v>
      </x:c>
      <x:c r="N95" s="12" t="n">
        <x:v>7</x:v>
      </x:c>
      <x:c r="O95" s="12" t="n">
        <x:v>2788.97</x:v>
      </x:c>
      <x:c r="P95" s="12" t="n">
        <x:v>-0.09</x:v>
      </x:c>
      <x:c r="Q95" s="12" t="n">
        <x:v>19522.79</x:v>
      </x:c>
      <x:c r="R95" s="12" t="n">
        <x:v>12455.78</x:v>
      </x:c>
      <x:c r="S95" s="12" t="n">
        <x:v>7067.01</x:v>
      </x:c>
      <x:c r="T95" s="12" t="str">
        <x:v>Paid</x:v>
      </x:c>
      <x:c r="U95" s="12" t="str">
        <x:v>Completed</x:v>
      </x:c>
    </x:row>
    <x:row r="96">
      <x:c r="A96" s="12" t="str">
        <x:v>ORD-2024-10095</x:v>
      </x:c>
      <x:c r="B96" s="12" t="str">
        <x:v>09/06/2024</x:v>
      </x:c>
      <x:c r="C96" s="12" t="str">
        <x:v>09 Sep 2024</x:v>
      </x:c>
      <x:c r="D96" s="12" t="str">
        <x:v>CUST-1926</x:v>
      </x:c>
      <x:c r="E96" s="12" t="str">
        <x:v>Diya Patel</x:v>
      </x:c>
      <x:c r="F96" s="12" t="str">
        <x:v>Consumer</x:v>
      </x:c>
      <x:c r="G96" s="12" t="str">
        <x:v>North</x:v>
      </x:c>
      <x:c r="H96" s="12" t="str">
        <x:v>Haryana</x:v>
      </x:c>
      <x:c r="I96" s="12" t="str">
        <x:v>Gurugram</x:v>
      </x:c>
      <x:c r="J96" s="12" t="str">
        <x:v>Technology</x:v>
      </x:c>
      <x:c r="K96" s="12" t="str">
        <x:v>Phones</x:v>
      </x:c>
      <x:c r="L96" s="12" t="str">
        <x:v>Elite Phones 723</x:v>
      </x:c>
      <x:c r="M96" s="12" t="str">
        <x:v>Second Class</x:v>
      </x:c>
      <x:c r="N96" s="12" t="n">
        <x:v>7</x:v>
      </x:c>
      <x:c r="O96" s="12" t="n">
        <x:v>3781.53</x:v>
      </x:c>
      <x:c r="P96" s="12" t="n">
        <x:v>0</x:v>
      </x:c>
      <x:c r="Q96" s="12" t="n">
        <x:v>26470.71</x:v>
      </x:c>
      <x:c r="R96" s="12" t="n">
        <x:v>21367.6</x:v>
      </x:c>
      <x:c r="S96" s="12" t="n">
        <x:v>5103.11</x:v>
      </x:c>
      <x:c r="T96" s="12" t="str">
        <x:v>Pending</x:v>
      </x:c>
      <x:c r="U96" s="12" t="str">
        <x:v>Cancelled</x:v>
      </x:c>
    </x:row>
    <x:row r="97">
      <x:c r="A97" s="12" t="str">
        <x:v>ORD-2025-10096</x:v>
      </x:c>
      <x:c r="B97" s="12" t="str">
        <x:v>05-09-2025</x:v>
      </x:c>
      <x:c r="C97" s="12" t="str">
        <x:v>09/10/2025</x:v>
      </x:c>
      <x:c r="D97" s="12" t="str">
        <x:v>CUST-2687</x:v>
      </x:c>
      <x:c r="E97" s="12" t="str">
        <x:v>Sneha Kapoor</x:v>
      </x:c>
      <x:c r="F97" s="12" t="str">
        <x:v>Corporate</x:v>
      </x:c>
      <x:c r="G97" s="12" t="str">
        <x:v>West</x:v>
      </x:c>
      <x:c r="H97" s="12" t="str">
        <x:v>Goa</x:v>
      </x:c>
      <x:c r="I97" s="12" t="str">
        <x:v>Panaji</x:v>
      </x:c>
      <x:c r="J97" s="12" t="str">
        <x:v>Furniture</x:v>
      </x:c>
      <x:c r="K97" s="12" t="str">
        <x:v>Bookcases</x:v>
      </x:c>
      <x:c r="L97" s="12" t="str">
        <x:v>Classic Bookcases 988</x:v>
      </x:c>
      <x:c r="M97" s="12" t="str">
        <x:v>Same Day</x:v>
      </x:c>
      <x:c r="N97" s="12" t="n">
        <x:v>6</x:v>
      </x:c>
      <x:c r="O97" s="12" t="n">
        <x:v>1754.13</x:v>
      </x:c>
      <x:c r="P97" s="12" t="n">
        <x:v>0</x:v>
      </x:c>
      <x:c r="Q97" s="12" t="n">
        <x:v>10524.78</x:v>
      </x:c>
      <x:c r="R97" s="12" t="n">
        <x:v>8841.05</x:v>
      </x:c>
      <x:c r="S97" s="12" t="n">
        <x:v>1683.73</x:v>
      </x:c>
      <x:c r="T97" s="12" t="str">
        <x:v>Paid</x:v>
      </x:c>
      <x:c r="U97" s="12" t="str">
        <x:v>Completed</x:v>
      </x:c>
    </x:row>
    <x:row r="98">
      <x:c r="A98" s="12" t="str">
        <x:v>ORD-2024-10097</x:v>
      </x:c>
      <x:c r="B98" s="12" t="str">
        <x:v>05 Jun 2024</x:v>
      </x:c>
      <x:c r="C98" s="12" t="str">
        <x:v>07-06-2024</x:v>
      </x:c>
      <x:c r="D98" s="12" t="str">
        <x:v>CUST-7283</x:v>
      </x:c>
      <x:c r="E98" s="12" t="str">
        <x:v>Rahul Verma</x:v>
      </x:c>
      <x:c r="F98" s="12" t="str">
        <x:v>Home Office</x:v>
      </x:c>
      <x:c r="G98" s="12" t="str">
        <x:v>East</x:v>
      </x:c>
      <x:c r="H98" s="12" t="str">
        <x:v>Odisha</x:v>
      </x:c>
      <x:c r="I98" s="12" t="str">
        <x:v>Bhubaneswar</x:v>
      </x:c>
      <x:c r="J98" s="12" t="str">
        <x:v>Technology</x:v>
      </x:c>
      <x:c r="K98" s="12" t="str">
        <x:v>Copiers</x:v>
      </x:c>
      <x:c r="L98" s="12" t="str">
        <x:v>Smart Copiers 547</x:v>
      </x:c>
      <x:c r="M98" s="12" t="str">
        <x:v>Second Class</x:v>
      </x:c>
      <x:c r="N98" s="12" t="n">
        <x:v>2</x:v>
      </x:c>
      <x:c r="O98" s="12" t="n">
        <x:v>2259.24</x:v>
      </x:c>
      <x:c r="P98" s="12" t="n">
        <x:v>0.15</x:v>
      </x:c>
      <x:c r="Q98" s="12" t="n">
        <x:v>3840.71</x:v>
      </x:c>
      <x:c r="R98" s="12" t="n">
        <x:v>2516.29</x:v>
      </x:c>
      <x:c r="S98" s="12" t="n">
        <x:v>1324.42</x:v>
      </x:c>
      <x:c r="T98" s="12" t="str">
        <x:v>Paid</x:v>
      </x:c>
      <x:c r="U98" s="12" t="str">
        <x:v>Completed</x:v>
      </x:c>
    </x:row>
    <x:row r="99">
      <x:c r="A99" s="12" t="str">
        <x:v>ORD-2025-10098</x:v>
      </x:c>
      <x:c r="B99" s="12" t="str">
        <x:v>08 Aug 2025</x:v>
      </x:c>
      <x:c r="C99" s="12" t="str">
        <x:v>2025-08-11</x:v>
      </x:c>
      <x:c r="D99" s="12" t="str">
        <x:v>CUST-8111</x:v>
      </x:c>
      <x:c r="E99" s="12" t="str">
        <x:v>Diya Patel</x:v>
      </x:c>
      <x:c r="F99" s="12" t="str">
        <x:v>Small Business</x:v>
      </x:c>
      <x:c r="G99" s="12" t="str">
        <x:v>West</x:v>
      </x:c>
      <x:c r="H99" s="12" t="str">
        <x:v>Gujarat</x:v>
      </x:c>
      <x:c r="I99" s="12" t="str">
        <x:v>Ahmedabad</x:v>
      </x:c>
      <x:c r="J99" s="12" t="str">
        <x:v>Office Supplies</x:v>
      </x:c>
      <x:c r="K99" s="12" t="str">
        <x:v>Storage</x:v>
      </x:c>
      <x:c r="L99" s="12" t="str">
        <x:v>Basic Storage 656</x:v>
      </x:c>
      <x:c r="M99" s="12" t="str">
        <x:v>Same Day</x:v>
      </x:c>
      <x:c r="N99" s="12" t="n">
        <x:v>5</x:v>
      </x:c>
      <x:c r="O99" s="12" t="n">
        <x:v>3602.36</x:v>
      </x:c>
      <x:c r="P99" s="12" t="n">
        <x:v>0.2</x:v>
      </x:c>
      <x:c r="Q99" s="12" t="n">
        <x:v>14409.44</x:v>
      </x:c>
      <x:c r="R99" s="12" t="n">
        <x:v>8809.97</x:v>
      </x:c>
      <x:c r="S99" s="12" t="n">
        <x:v>5599.47</x:v>
      </x:c>
      <x:c r="T99" s="12" t="str">
        <x:v>Pending</x:v>
      </x:c>
      <x:c r="U99" s="12" t="str">
        <x:v>Returned</x:v>
      </x:c>
    </x:row>
    <x:row r="100">
      <x:c r="A100" s="12" t="str">
        <x:v>ORD-2024-10099</x:v>
      </x:c>
      <x:c r="B100" s="12" t="str">
        <x:v>2024-01-26</x:v>
      </x:c>
      <x:c r="C100" s="12" t="str">
        <x:v>02/01/2024</x:v>
      </x:c>
      <x:c r="D100" s="12" t="str">
        <x:v>CUST-5434</x:v>
      </x:c>
      <x:c r="E100" s="12" t="str">
        <x:v>Rohan Mehta</x:v>
      </x:c>
      <x:c r="F100" s="12" t="str">
        <x:v>Home Office</x:v>
      </x:c>
      <x:c r="G100" s="12" t="str">
        <x:v>South</x:v>
      </x:c>
      <x:c r="H100" s="12" t="str">
        <x:v>Kerala</x:v>
      </x:c>
      <x:c r="I100" s="12" t="str">
        <x:v>Kochi</x:v>
      </x:c>
      <x:c r="J100" s="12" t="str">
        <x:v>Technology</x:v>
      </x:c>
      <x:c r="K100" s="12" t="str">
        <x:v>Copiers</x:v>
      </x:c>
      <x:c r="L100" s="12" t="str">
        <x:v>Elite Copiers 785</x:v>
      </x:c>
      <x:c r="M100" s="12"/>
      <x:c r="N100" s="12" t="n">
        <x:v>8</x:v>
      </x:c>
      <x:c r="O100" s="12" t="n">
        <x:v>2108.93</x:v>
      </x:c>
      <x:c r="P100" s="12" t="n">
        <x:v>0.1</x:v>
      </x:c>
      <x:c r="Q100" s="12" t="n">
        <x:v>15184.3</x:v>
      </x:c>
      <x:c r="R100" s="12" t="n">
        <x:v>11270.74</x:v>
      </x:c>
      <x:c r="S100" s="12" t="n">
        <x:v>3913.56</x:v>
      </x:c>
      <x:c r="T100" s="12" t="str">
        <x:v>Paid</x:v>
      </x:c>
      <x:c r="U100" s="12" t="str">
        <x:v>Completed</x:v>
      </x:c>
    </x:row>
    <x:row r="101">
      <x:c r="A101" s="12" t="str">
        <x:v>ORD-2025-10100</x:v>
      </x:c>
      <x:c r="B101" s="12" t="str">
        <x:v>11-01-2025</x:v>
      </x:c>
      <x:c r="C101" s="12" t="str">
        <x:v>11-01-2025</x:v>
      </x:c>
      <x:c r="D101" s="12" t="str">
        <x:v>CUST-3865</x:v>
      </x:c>
      <x:c r="E101" s="12" t="str">
        <x:v>Aditi Sen</x:v>
      </x:c>
      <x:c r="F101" s="12" t="str">
        <x:v>Small Business</x:v>
      </x:c>
      <x:c r="G101" s="12" t="str">
        <x:v>West</x:v>
      </x:c>
      <x:c r="H101" s="12" t="str">
        <x:v>Rajasthan</x:v>
      </x:c>
      <x:c r="I101" s="12" t="str">
        <x:v>Udaipur</x:v>
      </x:c>
      <x:c r="J101" s="12" t="str">
        <x:v>Technology</x:v>
      </x:c>
      <x:c r="K101" s="12" t="str">
        <x:v>Accessories</x:v>
      </x:c>
      <x:c r="L101" s="12" t="str">
        <x:v>Smart Accessories 542</x:v>
      </x:c>
      <x:c r="M101" s="12" t="str">
        <x:v>Same Day</x:v>
      </x:c>
      <x:c r="N101" s="12" t="n">
        <x:v>3</x:v>
      </x:c>
      <x:c r="O101" s="12" t="n">
        <x:v>2165.29</x:v>
      </x:c>
      <x:c r="P101" s="12" t="n">
        <x:v>0</x:v>
      </x:c>
      <x:c r="Q101" s="12" t="n">
        <x:v>6495.87</x:v>
      </x:c>
      <x:c r="R101" s="12" t="n">
        <x:v>4700.89</x:v>
      </x:c>
      <x:c r="S101" s="12" t="n">
        <x:v>1794.98</x:v>
      </x:c>
      <x:c r="T101" s="12" t="str">
        <x:v>Paid</x:v>
      </x:c>
      <x:c r="U101" s="12" t="str">
        <x:v>Completed</x:v>
      </x:c>
    </x:row>
    <x:row r="102">
      <x:c r="A102" s="12" t="str">
        <x:v>ORD-2025-10101</x:v>
      </x:c>
      <x:c r="B102" s="12" t="str">
        <x:v>12 Sep 2025</x:v>
      </x:c>
      <x:c r="C102" s="12" t="str">
        <x:v>18 Sep 2025</x:v>
      </x:c>
      <x:c r="D102" s="12" t="str">
        <x:v>CUST-6015</x:v>
      </x:c>
      <x:c r="E102" s="12" t="str">
        <x:v>Aarav Sharma</x:v>
      </x:c>
      <x:c r="F102" s="12" t="str">
        <x:v>Home Office</x:v>
      </x:c>
      <x:c r="G102" s="12" t="str">
        <x:v>South</x:v>
      </x:c>
      <x:c r="H102" s="12" t="str">
        <x:v>Kerala</x:v>
      </x:c>
      <x:c r="I102" s="12" t="str">
        <x:v>Kochi</x:v>
      </x:c>
      <x:c r="J102" s="12" t="str">
        <x:v>Office Supplies</x:v>
      </x:c>
      <x:c r="K102" s="12" t="str">
        <x:v>Storage</x:v>
      </x:c>
      <x:c r="L102" s="12" t="str">
        <x:v>Eco Storage 936</x:v>
      </x:c>
      <x:c r="M102" s="12" t="str">
        <x:v>Standard Class</x:v>
      </x:c>
      <x:c r="N102" s="12" t="n">
        <x:v>6</x:v>
      </x:c>
      <x:c r="O102" s="12" t="n">
        <x:v>1673.8</x:v>
      </x:c>
      <x:c r="P102" s="12" t="n">
        <x:v>0.05</x:v>
      </x:c>
      <x:c r="Q102" s="12" t="n">
        <x:v>9540.66</x:v>
      </x:c>
      <x:c r="R102" s="12" t="n">
        <x:v>5561.49</x:v>
      </x:c>
      <x:c r="S102" s="12" t="n">
        <x:v>3979.17</x:v>
      </x:c>
      <x:c r="T102" s="12" t="str">
        <x:v>Paid</x:v>
      </x:c>
      <x:c r="U102" s="12" t="str">
        <x:v>Completed</x:v>
      </x:c>
    </x:row>
    <x:row r="103">
      <x:c r="A103" s="12" t="str">
        <x:v>ORD-2024-10102</x:v>
      </x:c>
      <x:c r="B103" s="12" t="str">
        <x:v>06/22/2024</x:v>
      </x:c>
      <x:c r="C103" s="12" t="str">
        <x:v>26-06-2024</x:v>
      </x:c>
      <x:c r="D103" s="12" t="str">
        <x:v>CUST-7909</x:v>
      </x:c>
      <x:c r="E103" s="12" t="str">
        <x:v>Rohan Mehta</x:v>
      </x:c>
      <x:c r="F103" s="12" t="str">
        <x:v>  Home Office </x:v>
      </x:c>
      <x:c r="G103" s="12" t="str">
        <x:v>East</x:v>
      </x:c>
      <x:c r="H103" s="12" t="str">
        <x:v>Bihar</x:v>
      </x:c>
      <x:c r="I103" s="12" t="str">
        <x:v>Patna</x:v>
      </x:c>
      <x:c r="J103" s="12" t="str">
        <x:v>Furniture</x:v>
      </x:c>
      <x:c r="K103" s="12" t="str">
        <x:v>Furnishings</x:v>
      </x:c>
      <x:c r="L103" s="12" t="str">
        <x:v>Classic Furnishings 682</x:v>
      </x:c>
      <x:c r="M103" s="12" t="str">
        <x:v>First Class</x:v>
      </x:c>
      <x:c r="N103" s="12" t="n">
        <x:v>5</x:v>
      </x:c>
      <x:c r="O103" s="12" t="n">
        <x:v>4396.52</x:v>
      </x:c>
      <x:c r="P103" s="12" t="n">
        <x:v>0.25</x:v>
      </x:c>
      <x:c r="Q103" s="12" t="n">
        <x:v>16486.95</x:v>
      </x:c>
      <x:c r="R103" s="12" t="n">
        <x:v>12054.14</x:v>
      </x:c>
      <x:c r="S103" s="12" t="n">
        <x:v>4432.81</x:v>
      </x:c>
      <x:c r="T103" s="12" t="str">
        <x:v>Paid</x:v>
      </x:c>
      <x:c r="U103" s="12" t="str">
        <x:v>Completed</x:v>
      </x:c>
    </x:row>
    <x:row r="104">
      <x:c r="A104" s="12" t="str">
        <x:v>ORD-2025-10103</x:v>
      </x:c>
      <x:c r="B104" s="12" t="str">
        <x:v>12 Jul 2025</x:v>
      </x:c>
      <x:c r="C104" s="12" t="str">
        <x:v>2025-07-16</x:v>
      </x:c>
      <x:c r="D104" s="12" t="str">
        <x:v>CUST-9603</x:v>
      </x:c>
      <x:c r="E104" s="12" t="str">
        <x:v>Vikram Iyer</x:v>
      </x:c>
      <x:c r="F104" s="12" t="str">
        <x:v>Consumer</x:v>
      </x:c>
      <x:c r="G104" s="12" t="str">
        <x:v>South</x:v>
      </x:c>
      <x:c r="H104" s="12" t="str">
        <x:v>Karnataka</x:v>
      </x:c>
      <x:c r="I104" s="12" t="str">
        <x:v>Bengaluru</x:v>
      </x:c>
      <x:c r="J104" s="12" t="str">
        <x:v>Furniture</x:v>
      </x:c>
      <x:c r="K104" s="12" t="str">
        <x:v>Chairs</x:v>
      </x:c>
      <x:c r="L104" s="12" t="str">
        <x:v>Classic Chairs 604</x:v>
      </x:c>
      <x:c r="M104" s="12" t="str">
        <x:v>First Class</x:v>
      </x:c>
      <x:c r="N104" s="12" t="n">
        <x:v>4</x:v>
      </x:c>
      <x:c r="O104" s="12" t="n">
        <x:v>2865.71</x:v>
      </x:c>
      <x:c r="P104" s="12" t="n">
        <x:v>0</x:v>
      </x:c>
      <x:c r="Q104" s="12" t="n">
        <x:v>11462.84</x:v>
      </x:c>
      <x:c r="R104" s="12" t="n">
        <x:v>8979.78</x:v>
      </x:c>
      <x:c r="S104" s="12" t="n">
        <x:v>2483.06</x:v>
      </x:c>
      <x:c r="T104" s="12" t="str">
        <x:v>Refunded</x:v>
      </x:c>
      <x:c r="U104" s="12" t="str">
        <x:v>Cancelled</x:v>
      </x:c>
    </x:row>
    <x:row r="105">
      <x:c r="A105" s="12" t="str">
        <x:v>ORD-2025-10104</x:v>
      </x:c>
      <x:c r="B105" s="12" t="str">
        <x:v>05/02/2025</x:v>
      </x:c>
      <x:c r="C105" s="12" t="str">
        <x:v>05/10/2025</x:v>
      </x:c>
      <x:c r="D105" s="12" t="str">
        <x:v>CUST-6263</x:v>
      </x:c>
      <x:c r="E105" s="12" t="str">
        <x:v>Kabir Singh</x:v>
      </x:c>
      <x:c r="F105" s="12" t="str">
        <x:v>Corporate</x:v>
      </x:c>
      <x:c r="G105" s="12" t="str">
        <x:v>West</x:v>
      </x:c>
      <x:c r="H105" s="12" t="str">
        <x:v>Maharashtra</x:v>
      </x:c>
      <x:c r="I105" s="12" t="str">
        <x:v>Mumbai</x:v>
      </x:c>
      <x:c r="J105" s="12" t="str">
        <x:v>Furniture</x:v>
      </x:c>
      <x:c r="K105" s="12" t="str">
        <x:v>Tables</x:v>
      </x:c>
      <x:c r="L105" s="12" t="str">
        <x:v>Prime Tables 377</x:v>
      </x:c>
      <x:c r="M105" s="12" t="str">
        <x:v>First Class</x:v>
      </x:c>
      <x:c r="N105" s="12" t="n">
        <x:v>4</x:v>
      </x:c>
      <x:c r="O105" s="12" t="n">
        <x:v>2440.34</x:v>
      </x:c>
      <x:c r="P105" s="12" t="n">
        <x:v>0.2</x:v>
      </x:c>
      <x:c r="Q105" s="12" t="n">
        <x:v>7809.09</x:v>
      </x:c>
      <x:c r="R105" s="12" t="n">
        <x:v>6657.75</x:v>
      </x:c>
      <x:c r="S105" s="12" t="n">
        <x:v>1151.34</x:v>
      </x:c>
      <x:c r="T105" s="12" t="str">
        <x:v>Paid</x:v>
      </x:c>
      <x:c r="U105" s="12" t="str">
        <x:v>Completed</x:v>
      </x:c>
    </x:row>
    <x:row r="106">
      <x:c r="A106" s="12" t="str">
        <x:v>ORD-2025-10105</x:v>
      </x:c>
      <x:c r="B106" s="12" t="str">
        <x:v>2025-02-01</x:v>
      </x:c>
      <x:c r="C106" s="12" t="str">
        <x:v>02/08/2025</x:v>
      </x:c>
      <x:c r="D106" s="12" t="str">
        <x:v>CUST-1576</x:v>
      </x:c>
      <x:c r="E106" s="12" t="str">
        <x:v>Ananya Rao</x:v>
      </x:c>
      <x:c r="F106" s="12" t="str">
        <x:v>Consumer</x:v>
      </x:c>
      <x:c r="G106" s="12" t="str">
        <x:v>South</x:v>
      </x:c>
      <x:c r="H106" s="12" t="str">
        <x:v>Karnataka</x:v>
      </x:c>
      <x:c r="I106" s="12" t="str">
        <x:v>Bengaluru</x:v>
      </x:c>
      <x:c r="J106" s="12" t="str">
        <x:v>Office Supplies</x:v>
      </x:c>
      <x:c r="K106" s="12" t="str">
        <x:v>Labels</x:v>
      </x:c>
      <x:c r="L106" s="12" t="str">
        <x:v>Prime Labels 807</x:v>
      </x:c>
      <x:c r="M106" s="12" t="str">
        <x:v>Same Day</x:v>
      </x:c>
      <x:c r="N106" s="12" t="n">
        <x:v>5</x:v>
      </x:c>
      <x:c r="O106" s="12" t="n">
        <x:v>2112.54</x:v>
      </x:c>
      <x:c r="P106" s="12" t="n">
        <x:v>0.25</x:v>
      </x:c>
      <x:c r="Q106" s="12" t="n">
        <x:v>8260.46</x:v>
      </x:c>
      <x:c r="R106" s="12" t="n">
        <x:v>5619.95</x:v>
      </x:c>
      <x:c r="S106" s="12" t="n">
        <x:v>2302.08</x:v>
      </x:c>
      <x:c r="T106" s="12" t="str">
        <x:v>Paid</x:v>
      </x:c>
      <x:c r="U106" s="12" t="str">
        <x:v>Cancelled</x:v>
      </x:c>
    </x:row>
    <x:row r="107">
      <x:c r="A107" s="12" t="str">
        <x:v>ORD-2024-10106</x:v>
      </x:c>
      <x:c r="B107" s="12" t="str">
        <x:v>06/24/2024</x:v>
      </x:c>
      <x:c r="C107" s="12" t="str">
        <x:v>29-06-2024</x:v>
      </x:c>
      <x:c r="D107" s="12" t="str">
        <x:v>CUST-6540</x:v>
      </x:c>
      <x:c r="E107" s="12" t="str">
        <x:v>Mira Das</x:v>
      </x:c>
      <x:c r="F107" s="12" t="str">
        <x:v>Home Office</x:v>
      </x:c>
      <x:c r="G107" s="12" t="str">
        <x:v>East</x:v>
      </x:c>
      <x:c r="H107" s="12" t="str">
        <x:v>West Bengal</x:v>
      </x:c>
      <x:c r="I107" s="12" t="str">
        <x:v>Kolkata</x:v>
      </x:c>
      <x:c r="J107" s="12" t="str">
        <x:v>Furniture</x:v>
      </x:c>
      <x:c r="K107" s="12" t="str">
        <x:v>Tables</x:v>
      </x:c>
      <x:c r="L107" s="12" t="str">
        <x:v>Eco Tables 575</x:v>
      </x:c>
      <x:c r="M107" s="12" t="str">
        <x:v>Second Class</x:v>
      </x:c>
      <x:c r="N107" s="12" t="n">
        <x:v>2</x:v>
      </x:c>
      <x:c r="O107" s="12" t="n">
        <x:v>685</x:v>
      </x:c>
      <x:c r="P107" s="12" t="n">
        <x:v>0.1</x:v>
      </x:c>
      <x:c r="Q107" s="12" t="n">
        <x:v>1233</x:v>
      </x:c>
      <x:c r="R107" s="12" t="n">
        <x:v>1006.9</x:v>
      </x:c>
      <x:c r="S107" s="12" t="n">
        <x:v>226.1</x:v>
      </x:c>
      <x:c r="T107" s="12" t="str">
        <x:v>Paid</x:v>
      </x:c>
      <x:c r="U107" s="12" t="str">
        <x:v>Completed</x:v>
      </x:c>
    </x:row>
    <x:row r="108">
      <x:c r="A108" s="12" t="str">
        <x:v>ORD-2024-10107</x:v>
      </x:c>
      <x:c r="B108" s="12" t="str">
        <x:v>20-02-2024</x:v>
      </x:c>
      <x:c r="C108" s="12" t="str">
        <x:v>28 Feb 2024</x:v>
      </x:c>
      <x:c r="D108" s="12" t="str">
        <x:v>CUST-4008</x:v>
      </x:c>
      <x:c r="E108" s="12" t="str">
        <x:v>Arjun Bose</x:v>
      </x:c>
      <x:c r="F108" s="12" t="str">
        <x:v>Home Office</x:v>
      </x:c>
      <x:c r="G108" s="12" t="str">
        <x:v>East</x:v>
      </x:c>
      <x:c r="H108" s="12" t="str">
        <x:v>West Bengal</x:v>
      </x:c>
      <x:c r="I108" s="12" t="str">
        <x:v>Kolkata</x:v>
      </x:c>
      <x:c r="J108" s="12" t="str">
        <x:v>Office Supplies</x:v>
      </x:c>
      <x:c r="K108" s="12" t="str">
        <x:v>Paper</x:v>
      </x:c>
      <x:c r="L108" s="12" t="str">
        <x:v>Eco Paper 918</x:v>
      </x:c>
      <x:c r="M108" s="12" t="str">
        <x:v>Standard Class</x:v>
      </x:c>
      <x:c r="N108" s="12" t="n">
        <x:v>2</x:v>
      </x:c>
      <x:c r="O108" s="12" t="n">
        <x:v>4004.04</x:v>
      </x:c>
      <x:c r="P108" s="12"/>
      <x:c r="Q108" s="12" t="n">
        <x:v>7207.27</x:v>
      </x:c>
      <x:c r="R108" s="12" t="n">
        <x:v>5709.39</x:v>
      </x:c>
      <x:c r="S108" s="12" t="n">
        <x:v>1497.88</x:v>
      </x:c>
      <x:c r="T108" s="12" t="str">
        <x:v>Paid</x:v>
      </x:c>
      <x:c r="U108" s="12" t="str">
        <x:v>Cancelled</x:v>
      </x:c>
    </x:row>
    <x:row r="109">
      <x:c r="A109" s="12" t="str">
        <x:v>ORD-2024-10108</x:v>
      </x:c>
      <x:c r="B109" s="12" t="str">
        <x:v>29 Oct 2024</x:v>
      </x:c>
      <x:c r="C109" s="12" t="str">
        <x:v>2024-11-04</x:v>
      </x:c>
      <x:c r="D109" s="12" t="str">
        <x:v>CUST-6604</x:v>
      </x:c>
      <x:c r="E109" s="12" t="str">
        <x:v>Rohan Mehta</x:v>
      </x:c>
      <x:c r="F109" s="12" t="str">
        <x:v>Home Office</x:v>
      </x:c>
      <x:c r="G109" s="12" t="str">
        <x:v>East</x:v>
      </x:c>
      <x:c r="H109" s="12" t="str">
        <x:v>West Bengal</x:v>
      </x:c>
      <x:c r="I109" s="12" t="str">
        <x:v>Kolkata</x:v>
      </x:c>
      <x:c r="J109" s="12" t="str">
        <x:v>Furniture</x:v>
      </x:c>
      <x:c r="K109" s="12" t="str">
        <x:v>Furnishings</x:v>
      </x:c>
      <x:c r="L109" s="12" t="str">
        <x:v>Prime Furnishings 952</x:v>
      </x:c>
      <x:c r="M109" s="12" t="str">
        <x:v>First Class</x:v>
      </x:c>
      <x:c r="N109" s="12" t="n">
        <x:v>3</x:v>
      </x:c>
      <x:c r="O109" s="12" t="n">
        <x:v>4302.89</x:v>
      </x:c>
      <x:c r="P109" s="12" t="n">
        <x:v>0.05</x:v>
      </x:c>
      <x:c r="Q109" s="12" t="n">
        <x:v>12263.24</x:v>
      </x:c>
      <x:c r="R109" s="12" t="n">
        <x:v>8925.57</x:v>
      </x:c>
      <x:c r="S109" s="12" t="n">
        <x:v>3337.67</x:v>
      </x:c>
      <x:c r="T109" s="12" t="str">
        <x:v>Paid</x:v>
      </x:c>
      <x:c r="U109" s="12" t="str">
        <x:v>Completed</x:v>
      </x:c>
    </x:row>
    <x:row r="110">
      <x:c r="A110" s="12" t="str">
        <x:v>ORD-2024-10109</x:v>
      </x:c>
      <x:c r="B110" s="12" t="str">
        <x:v>15 Aug 2024</x:v>
      </x:c>
      <x:c r="C110" s="12" t="str">
        <x:v>08/23/2024</x:v>
      </x:c>
      <x:c r="D110" s="12" t="str">
        <x:v>CUST-4337</x:v>
      </x:c>
      <x:c r="E110" s="12" t="str">
        <x:v>Aditi Sen</x:v>
      </x:c>
      <x:c r="F110" s="12" t="str">
        <x:v>Small Business</x:v>
      </x:c>
      <x:c r="G110" s="12" t="str">
        <x:v>East</x:v>
      </x:c>
      <x:c r="H110" s="12" t="str">
        <x:v>Odisha</x:v>
      </x:c>
      <x:c r="I110" s="12" t="str">
        <x:v>Bhubaneswar</x:v>
      </x:c>
      <x:c r="J110" s="12" t="str">
        <x:v>Furniture</x:v>
      </x:c>
      <x:c r="K110" s="12" t="str">
        <x:v>Bookcases</x:v>
      </x:c>
      <x:c r="L110" s="12" t="str">
        <x:v>Prime Bookcases 631</x:v>
      </x:c>
      <x:c r="M110" s="12" t="str">
        <x:v>Same Day</x:v>
      </x:c>
      <x:c r="N110" s="12" t="n">
        <x:v>2</x:v>
      </x:c>
      <x:c r="O110" s="12" t="n">
        <x:v>537.54</x:v>
      </x:c>
      <x:c r="P110" s="12" t="n">
        <x:v>0.25</x:v>
      </x:c>
      <x:c r="Q110" s="12" t="n">
        <x:v>806.31</x:v>
      </x:c>
      <x:c r="R110" s="12" t="n">
        <x:v>498.5</x:v>
      </x:c>
      <x:c r="S110" s="12" t="n">
        <x:v>307.81</x:v>
      </x:c>
      <x:c r="T110" s="12" t="str">
        <x:v>Paid</x:v>
      </x:c>
      <x:c r="U110" s="12" t="str">
        <x:v>Completed</x:v>
      </x:c>
    </x:row>
    <x:row r="111">
      <x:c r="A111" s="12" t="str">
        <x:v>ORD-2025-10110</x:v>
      </x:c>
      <x:c r="B111" s="12" t="str">
        <x:v>23-08-2025</x:v>
      </x:c>
      <x:c r="C111" s="12" t="str">
        <x:v>08/27/2025</x:v>
      </x:c>
      <x:c r="D111" s="12" t="str">
        <x:v>CUST-3740</x:v>
      </x:c>
      <x:c r="E111" s="12" t="str">
        <x:v>Sneha Kapoor</x:v>
      </x:c>
      <x:c r="F111" s="12" t="str">
        <x:v>Consumer</x:v>
      </x:c>
      <x:c r="G111" s="12" t="str">
        <x:v>North</x:v>
      </x:c>
      <x:c r="H111" s="12" t="str">
        <x:v>Delhi</x:v>
      </x:c>
      <x:c r="I111" s="12" t="str">
        <x:v>New Delhi</x:v>
      </x:c>
      <x:c r="J111" s="12" t="str">
        <x:v>Office Supplies</x:v>
      </x:c>
      <x:c r="K111" s="12" t="str">
        <x:v>Binders</x:v>
      </x:c>
      <x:c r="L111" s="12" t="str">
        <x:v>Classic Binders 660</x:v>
      </x:c>
      <x:c r="M111" s="12" t="str">
        <x:v>Second Class</x:v>
      </x:c>
      <x:c r="N111" s="12" t="n">
        <x:v>1</x:v>
      </x:c>
      <x:c r="O111" s="12" t="n">
        <x:v>2788.62</x:v>
      </x:c>
      <x:c r="P111" s="12" t="n">
        <x:v>0.25</x:v>
      </x:c>
      <x:c r="Q111" s="12" t="n">
        <x:v>2091.47</x:v>
      </x:c>
      <x:c r="R111" s="12" t="n">
        <x:v>1317.22</x:v>
      </x:c>
      <x:c r="S111" s="12" t="n">
        <x:v>774.25</x:v>
      </x:c>
      <x:c r="T111" s="12" t="str">
        <x:v>Paid</x:v>
      </x:c>
      <x:c r="U111" s="12" t="str">
        <x:v>Completed</x:v>
      </x:c>
    </x:row>
    <x:row r="112">
      <x:c r="A112" s="12" t="str">
        <x:v>ORD-2024-10111</x:v>
      </x:c>
      <x:c r="B112" s="12" t="str">
        <x:v>10/18/2024</x:v>
      </x:c>
      <x:c r="C112" s="12" t="str">
        <x:v>2024-10-24</x:v>
      </x:c>
      <x:c r="D112" s="12" t="str">
        <x:v>CUST-7128</x:v>
      </x:c>
      <x:c r="E112" s="12" t="str">
        <x:v>Vikram Iyer</x:v>
      </x:c>
      <x:c r="F112" s="12" t="str">
        <x:v>Corporate</x:v>
      </x:c>
      <x:c r="G112" s="12" t="str">
        <x:v>South</x:v>
      </x:c>
      <x:c r="H112" s="12" t="str">
        <x:v>Kerala</x:v>
      </x:c>
      <x:c r="I112" s="12" t="str">
        <x:v>Kochi</x:v>
      </x:c>
      <x:c r="J112" s="12" t="str">
        <x:v>Office Supplies</x:v>
      </x:c>
      <x:c r="K112" s="12" t="str">
        <x:v>Labels</x:v>
      </x:c>
      <x:c r="L112" s="12" t="str">
        <x:v>Pro Labels 255</x:v>
      </x:c>
      <x:c r="M112" s="12" t="str">
        <x:v>First Class</x:v>
      </x:c>
      <x:c r="N112" s="12" t="n">
        <x:v>2</x:v>
      </x:c>
      <x:c r="O112" s="12" t="n">
        <x:v>2250.47</x:v>
      </x:c>
      <x:c r="P112" s="12" t="n">
        <x:v>0</x:v>
      </x:c>
      <x:c r="Q112" s="12" t="n">
        <x:v>4500.94</x:v>
      </x:c>
      <x:c r="R112" s="12" t="n">
        <x:v>2607.73</x:v>
      </x:c>
      <x:c r="S112" s="12" t="n">
        <x:v>1893.21</x:v>
      </x:c>
      <x:c r="T112" s="12" t="str">
        <x:v>Refunded</x:v>
      </x:c>
      <x:c r="U112" s="12" t="str">
        <x:v>Cancelled</x:v>
      </x:c>
    </x:row>
    <x:row r="113">
      <x:c r="A113" s="12" t="str">
        <x:v>ORD-2025-10112</x:v>
      </x:c>
      <x:c r="B113" s="12" t="str">
        <x:v>06/27/2025</x:v>
      </x:c>
      <x:c r="C113" s="12" t="str">
        <x:v>2025-06-30</x:v>
      </x:c>
      <x:c r="D113" s="12" t="str">
        <x:v>CUST-4743</x:v>
      </x:c>
      <x:c r="E113" s="12" t="str">
        <x:v>Neha Gupta</x:v>
      </x:c>
      <x:c r="F113" s="12" t="str">
        <x:v>Corporate</x:v>
      </x:c>
      <x:c r="G113" s="12" t="str">
        <x:v>East</x:v>
      </x:c>
      <x:c r="H113" s="12" t="str">
        <x:v>Bihar</x:v>
      </x:c>
      <x:c r="I113" s="12" t="str">
        <x:v>Patna</x:v>
      </x:c>
      <x:c r="J113" s="12" t="str">
        <x:v>Technology</x:v>
      </x:c>
      <x:c r="K113" s="12" t="str">
        <x:v>Accessories</x:v>
      </x:c>
      <x:c r="L113" s="12" t="str">
        <x:v>Basic Accessories 187</x:v>
      </x:c>
      <x:c r="M113" s="12" t="str">
        <x:v>First Class</x:v>
      </x:c>
      <x:c r="N113" s="12" t="n">
        <x:v>1</x:v>
      </x:c>
      <x:c r="O113" s="12" t="n">
        <x:v>1708.44</x:v>
      </x:c>
      <x:c r="P113" s="12" t="n">
        <x:v>0.05</x:v>
      </x:c>
      <x:c r="Q113" s="12" t="n">
        <x:v>1623.02</x:v>
      </x:c>
      <x:c r="R113" s="12" t="n">
        <x:v>1077.46</x:v>
      </x:c>
      <x:c r="S113" s="12" t="n">
        <x:v>545.56</x:v>
      </x:c>
      <x:c r="T113" s="12" t="str">
        <x:v>Pending</x:v>
      </x:c>
      <x:c r="U113" s="12" t="str">
        <x:v>Cancelled</x:v>
      </x:c>
    </x:row>
    <x:row r="114">
      <x:c r="A114" s="12" t="str">
        <x:v>ORD-2024-10113</x:v>
      </x:c>
      <x:c r="B114" s="12" t="str">
        <x:v>10 Jan 2024</x:v>
      </x:c>
      <x:c r="C114" s="12" t="str">
        <x:v>14-01-2024</x:v>
      </x:c>
      <x:c r="D114" s="12" t="str">
        <x:v>CUST-5213</x:v>
      </x:c>
      <x:c r="E114" s="12" t="str">
        <x:v>Sneha Kapoor</x:v>
      </x:c>
      <x:c r="F114" s="12" t="str">
        <x:v>  Consumer </x:v>
      </x:c>
      <x:c r="G114" s="12"/>
      <x:c r="H114" s="12" t="str">
        <x:v>Gujarat</x:v>
      </x:c>
      <x:c r="I114" s="12" t="str">
        <x:v>Ahmedabad</x:v>
      </x:c>
      <x:c r="J114" s="12" t="str">
        <x:v>Technology</x:v>
      </x:c>
      <x:c r="K114" s="12" t="str">
        <x:v>Accessories</x:v>
      </x:c>
      <x:c r="L114" s="12" t="str">
        <x:v>Max Accessories 451</x:v>
      </x:c>
      <x:c r="M114" s="12" t="str">
        <x:v>Standard Class</x:v>
      </x:c>
      <x:c r="N114" s="12" t="n">
        <x:v>3</x:v>
      </x:c>
      <x:c r="O114" s="12" t="n">
        <x:v>3829.48</x:v>
      </x:c>
      <x:c r="P114" s="12" t="n">
        <x:v>0.05</x:v>
      </x:c>
      <x:c r="Q114" s="12" t="n">
        <x:v>10914.02</x:v>
      </x:c>
      <x:c r="R114" s="12" t="n">
        <x:v>6548.74</x:v>
      </x:c>
      <x:c r="S114" s="12" t="n">
        <x:v>4365.28</x:v>
      </x:c>
      <x:c r="T114" s="12" t="str">
        <x:v>Paid</x:v>
      </x:c>
      <x:c r="U114" s="12" t="str">
        <x:v>Completed</x:v>
      </x:c>
    </x:row>
    <x:row r="115">
      <x:c r="A115" s="12" t="str">
        <x:v>ORD-2024-10114</x:v>
      </x:c>
      <x:c r="B115" s="12" t="str">
        <x:v>12-02-2024</x:v>
      </x:c>
      <x:c r="C115" s="12" t="str">
        <x:v>12-02-2024</x:v>
      </x:c>
      <x:c r="D115" s="12" t="str">
        <x:v>CUST-4989</x:v>
      </x:c>
      <x:c r="E115" s="12" t="str">
        <x:v>Isha Nair</x:v>
      </x:c>
      <x:c r="F115" s="12" t="str">
        <x:v>Home Office</x:v>
      </x:c>
      <x:c r="G115" s="12" t="str">
        <x:v>South</x:v>
      </x:c>
      <x:c r="H115" s="12" t="str">
        <x:v>Tamil Nadu</x:v>
      </x:c>
      <x:c r="I115" s="12" t="str">
        <x:v>Chennai</x:v>
      </x:c>
      <x:c r="J115" s="12" t="str">
        <x:v>Furniture</x:v>
      </x:c>
      <x:c r="K115" s="12" t="str">
        <x:v>Tables</x:v>
      </x:c>
      <x:c r="L115" s="12" t="str">
        <x:v>Classic Tables 752</x:v>
      </x:c>
      <x:c r="M115" s="12" t="str">
        <x:v>Standard Class</x:v>
      </x:c>
      <x:c r="N115" s="12" t="n">
        <x:v>3</x:v>
      </x:c>
      <x:c r="O115" s="12" t="n">
        <x:v>1089.15</x:v>
      </x:c>
      <x:c r="P115" s="12" t="n">
        <x:v>0.25</x:v>
      </x:c>
      <x:c r="Q115" s="12" t="n">
        <x:v>2450.59</x:v>
      </x:c>
      <x:c r="R115" s="12" t="n">
        <x:v>1639.89</x:v>
      </x:c>
      <x:c r="S115" s="12" t="n">
        <x:v>810.7</x:v>
      </x:c>
      <x:c r="T115" s="12" t="str">
        <x:v>Paid</x:v>
      </x:c>
      <x:c r="U115" s="12" t="str">
        <x:v>Completed</x:v>
      </x:c>
    </x:row>
    <x:row r="116">
      <x:c r="A116" s="12" t="str">
        <x:v>ORD-2024-10115</x:v>
      </x:c>
      <x:c r="B116" s="12" t="str">
        <x:v>2024-09-25</x:v>
      </x:c>
      <x:c r="C116" s="12" t="str">
        <x:v>30 Sep 2024</x:v>
      </x:c>
      <x:c r="D116" s="12" t="str">
        <x:v>CUST-2927</x:v>
      </x:c>
      <x:c r="E116" s="12" t="str">
        <x:v>Neha Gupta</x:v>
      </x:c>
      <x:c r="F116" s="12" t="str">
        <x:v>Small Business</x:v>
      </x:c>
      <x:c r="G116" s="12" t="str">
        <x:v>North</x:v>
      </x:c>
      <x:c r="H116" s="12" t="str">
        <x:v>Rajasthan</x:v>
      </x:c>
      <x:c r="I116" s="12" t="str">
        <x:v>Jaipur</x:v>
      </x:c>
      <x:c r="J116" s="12" t="str">
        <x:v>Technology</x:v>
      </x:c>
      <x:c r="K116" s="12" t="str">
        <x:v>Accessories</x:v>
      </x:c>
      <x:c r="L116" s="12" t="str">
        <x:v>Eco Accessories 452</x:v>
      </x:c>
      <x:c r="M116" s="12" t="str">
        <x:v>Second Class</x:v>
      </x:c>
      <x:c r="N116" s="12" t="n">
        <x:v>1</x:v>
      </x:c>
      <x:c r="O116" s="12" t="n">
        <x:v>4388.4</x:v>
      </x:c>
      <x:c r="P116" s="12" t="n">
        <x:v>0.1</x:v>
      </x:c>
      <x:c r="Q116" s="12" t="n">
        <x:v>3949.56</x:v>
      </x:c>
      <x:c r="R116" s="12" t="n">
        <x:v>3186.73</x:v>
      </x:c>
      <x:c r="S116" s="12" t="n">
        <x:v>762.83</x:v>
      </x:c>
      <x:c r="T116" s="12" t="str">
        <x:v>Pending</x:v>
      </x:c>
      <x:c r="U116" s="12" t="str">
        <x:v>Cancelled</x:v>
      </x:c>
    </x:row>
    <x:row r="117">
      <x:c r="A117" s="12" t="str">
        <x:v>ORD-2024-10116</x:v>
      </x:c>
      <x:c r="B117" s="12" t="str">
        <x:v>2024-12-27</x:v>
      </x:c>
      <x:c r="C117" s="12" t="str">
        <x:v>01-01-2025</x:v>
      </x:c>
      <x:c r="D117" s="12" t="str">
        <x:v>CUST-7764</x:v>
      </x:c>
      <x:c r="E117" s="12" t="str">
        <x:v>Kabir Singh</x:v>
      </x:c>
      <x:c r="F117" s="12" t="str">
        <x:v>Corporate</x:v>
      </x:c>
      <x:c r="G117" s="12" t="str">
        <x:v>South</x:v>
      </x:c>
      <x:c r="H117" s="12" t="str">
        <x:v>Tamil Nadu</x:v>
      </x:c>
      <x:c r="I117" s="12" t="str">
        <x:v>Chennai</x:v>
      </x:c>
      <x:c r="J117" s="12" t="str">
        <x:v>Office Supplies</x:v>
      </x:c>
      <x:c r="K117" s="12" t="str">
        <x:v>Binders</x:v>
      </x:c>
      <x:c r="L117" s="12" t="str">
        <x:v>Classic Binders 203</x:v>
      </x:c>
      <x:c r="M117" s="12" t="str">
        <x:v>Same Day</x:v>
      </x:c>
      <x:c r="N117" s="12" t="n">
        <x:v>2</x:v>
      </x:c>
      <x:c r="O117" s="12" t="n">
        <x:v>446.34</x:v>
      </x:c>
      <x:c r="P117" s="12" t="n">
        <x:v>0.15</x:v>
      </x:c>
      <x:c r="Q117" s="12" t="n">
        <x:v>758.78</x:v>
      </x:c>
      <x:c r="R117" s="12" t="n">
        <x:v>490.74</x:v>
      </x:c>
      <x:c r="S117" s="12" t="n">
        <x:v>268.04</x:v>
      </x:c>
      <x:c r="T117" s="12" t="str">
        <x:v>Paid</x:v>
      </x:c>
      <x:c r="U117" s="12" t="str">
        <x:v>Cancelled</x:v>
      </x:c>
    </x:row>
    <x:row r="118">
      <x:c r="A118" s="12" t="str">
        <x:v>ORD-2025-10117</x:v>
      </x:c>
      <x:c r="B118" s="12" t="str">
        <x:v>2025-02-15</x:v>
      </x:c>
      <x:c r="C118" s="12" t="str">
        <x:v>19 Feb 2025</x:v>
      </x:c>
      <x:c r="D118" s="12" t="str">
        <x:v>CUST-3632</x:v>
      </x:c>
      <x:c r="E118" s="12" t="str">
        <x:v>Ananya Rao</x:v>
      </x:c>
      <x:c r="F118" s="12" t="str">
        <x:v>Small Business</x:v>
      </x:c>
      <x:c r="G118" s="12"/>
      <x:c r="H118" s="12" t="str">
        <x:v>Madhya Pradesh</x:v>
      </x:c>
      <x:c r="I118" s="12" t="str">
        <x:v>Indore</x:v>
      </x:c>
      <x:c r="J118" s="12" t="str">
        <x:v>Office Supplies</x:v>
      </x:c>
      <x:c r="K118" s="12" t="str">
        <x:v>Binders</x:v>
      </x:c>
      <x:c r="L118" s="12" t="str">
        <x:v>Basic Binders 859</x:v>
      </x:c>
      <x:c r="M118" s="12" t="str">
        <x:v>First Class</x:v>
      </x:c>
      <x:c r="N118" s="12" t="n">
        <x:v>9</x:v>
      </x:c>
      <x:c r="O118" s="12" t="n">
        <x:v>531.99</x:v>
      </x:c>
      <x:c r="P118" s="12" t="n">
        <x:v>0.25</x:v>
      </x:c>
      <x:c r="Q118" s="12" t="n">
        <x:v>3590.93</x:v>
      </x:c>
      <x:c r="R118" s="12" t="n">
        <x:v>3061.39</x:v>
      </x:c>
      <x:c r="S118" s="12" t="n">
        <x:v>529.54</x:v>
      </x:c>
      <x:c r="T118" s="12" t="str">
        <x:v>Failed</x:v>
      </x:c>
      <x:c r="U118" s="12" t="str">
        <x:v>Cancelled</x:v>
      </x:c>
    </x:row>
    <x:row r="119">
      <x:c r="A119" s="12" t="str">
        <x:v>ORD-2024-10118</x:v>
      </x:c>
      <x:c r="B119" s="12" t="str">
        <x:v>2024-02-15</x:v>
      </x:c>
      <x:c r="C119" s="12" t="str">
        <x:v>17 Feb 2024</x:v>
      </x:c>
      <x:c r="D119" s="12" t="str">
        <x:v>CUST-9608</x:v>
      </x:c>
      <x:c r="E119" s="12" t="str">
        <x:v>Mira Das</x:v>
      </x:c>
      <x:c r="F119" s="12" t="str">
        <x:v>Home Office</x:v>
      </x:c>
      <x:c r="G119" s="12" t="str">
        <x:v>South</x:v>
      </x:c>
      <x:c r="H119" s="12" t="str">
        <x:v>Tamil Nadu</x:v>
      </x:c>
      <x:c r="I119" s="12" t="str">
        <x:v>Chennai</x:v>
      </x:c>
      <x:c r="J119" s="12" t="str">
        <x:v>Technology</x:v>
      </x:c>
      <x:c r="K119" s="12" t="str">
        <x:v>Machines</x:v>
      </x:c>
      <x:c r="L119" s="12" t="str">
        <x:v>Elite Machines 705</x:v>
      </x:c>
      <x:c r="M119" s="12" t="str">
        <x:v>Standard Class</x:v>
      </x:c>
      <x:c r="N119" s="12" t="n">
        <x:v>9</x:v>
      </x:c>
      <x:c r="O119" s="12" t="n">
        <x:v>3324.55</x:v>
      </x:c>
      <x:c r="P119" s="12" t="str">
        <x:v>70%</x:v>
      </x:c>
      <x:c r="Q119" s="12" t="n">
        <x:v>25432.81</x:v>
      </x:c>
      <x:c r="R119" s="12" t="n">
        <x:v>20370.16</x:v>
      </x:c>
      <x:c r="S119" s="12" t="n">
        <x:v>5062.65</x:v>
      </x:c>
      <x:c r="T119" s="12" t="str">
        <x:v>Paid</x:v>
      </x:c>
      <x:c r="U119" s="12" t="str">
        <x:v>Completed</x:v>
      </x:c>
    </x:row>
    <x:row r="120">
      <x:c r="A120" s="12" t="str">
        <x:v>ORD-2024-10119</x:v>
      </x:c>
      <x:c r="B120" s="12" t="str">
        <x:v>06/10/2024</x:v>
      </x:c>
      <x:c r="C120" s="12" t="str">
        <x:v>2024-06-18</x:v>
      </x:c>
      <x:c r="D120" s="12" t="str">
        <x:v>CUST-9135</x:v>
      </x:c>
      <x:c r="E120" s="12" t="str">
        <x:v>Vikram  Iyer</x:v>
      </x:c>
      <x:c r="F120" s="12" t="str">
        <x:v>Home Office</x:v>
      </x:c>
      <x:c r="G120" s="12" t="str">
        <x:v>South</x:v>
      </x:c>
      <x:c r="H120" s="12" t="str">
        <x:v>Andhra Pradesh</x:v>
      </x:c>
      <x:c r="I120" s="12" t="str">
        <x:v>Vijayawada</x:v>
      </x:c>
      <x:c r="J120" s="12" t="str">
        <x:v>Technology</x:v>
      </x:c>
      <x:c r="K120" s="12" t="str">
        <x:v>Copiers</x:v>
      </x:c>
      <x:c r="L120" s="12" t="str">
        <x:v>Pro Copiers 208</x:v>
      </x:c>
      <x:c r="M120" s="12" t="str">
        <x:v>Same Day</x:v>
      </x:c>
      <x:c r="N120" s="12" t="n">
        <x:v>5</x:v>
      </x:c>
      <x:c r="O120" s="12" t="n">
        <x:v>1580.27</x:v>
      </x:c>
      <x:c r="P120" s="12" t="n">
        <x:v>0.2</x:v>
      </x:c>
      <x:c r="Q120" s="12" t="n">
        <x:v>6321.08</x:v>
      </x:c>
      <x:c r="R120" s="12" t="n">
        <x:v>4407.22</x:v>
      </x:c>
      <x:c r="S120" s="12" t="n">
        <x:v>1913.86</x:v>
      </x:c>
      <x:c r="T120" s="12" t="str">
        <x:v>Paid</x:v>
      </x:c>
      <x:c r="U120" s="12" t="str">
        <x:v>Completed</x:v>
      </x:c>
    </x:row>
    <x:row r="121">
      <x:c r="A121" s="12" t="str">
        <x:v>ORD-2024-10120</x:v>
      </x:c>
      <x:c r="B121" s="12" t="str">
        <x:v>12 Jun 2024</x:v>
      </x:c>
      <x:c r="C121" s="12" t="str">
        <x:v>19 Jun 2024</x:v>
      </x:c>
      <x:c r="D121" s="12" t="str">
        <x:v>CUST-7861</x:v>
      </x:c>
      <x:c r="E121" s="12" t="str">
        <x:v>Aditi Sen</x:v>
      </x:c>
      <x:c r="F121" s="12" t="str">
        <x:v>Small Business </x:v>
      </x:c>
      <x:c r="G121" s="12" t="str">
        <x:v>South</x:v>
      </x:c>
      <x:c r="H121" s="12" t="str">
        <x:v>Kerala</x:v>
      </x:c>
      <x:c r="I121" s="12" t="str">
        <x:v>Kochi</x:v>
      </x:c>
      <x:c r="J121" s="12" t="str">
        <x:v>Furniture</x:v>
      </x:c>
      <x:c r="K121" s="12" t="str">
        <x:v>Chairs</x:v>
      </x:c>
      <x:c r="L121" s="12" t="str">
        <x:v>Elite Chairs 921</x:v>
      </x:c>
      <x:c r="M121" s="12" t="str">
        <x:v>Standard Class</x:v>
      </x:c>
      <x:c r="N121" s="12" t="n">
        <x:v>8</x:v>
      </x:c>
      <x:c r="O121" s="12" t="n">
        <x:v>314.05</x:v>
      </x:c>
      <x:c r="P121" s="12" t="n">
        <x:v>0.25</x:v>
      </x:c>
      <x:c r="Q121" s="12" t="n">
        <x:v>1884.3</x:v>
      </x:c>
      <x:c r="R121" s="12" t="n">
        <x:v>1517.69</x:v>
      </x:c>
      <x:c r="S121" s="12" t="n">
        <x:v>366.61</x:v>
      </x:c>
      <x:c r="T121" s="12" t="str">
        <x:v>Refunded</x:v>
      </x:c>
      <x:c r="U121" s="12" t="str">
        <x:v>Returned</x:v>
      </x:c>
    </x:row>
    <x:row r="122">
      <x:c r="A122" s="12" t="str">
        <x:v>ORD-2024-10121</x:v>
      </x:c>
      <x:c r="B122" s="12" t="str">
        <x:v>2024-08-10</x:v>
      </x:c>
      <x:c r="C122" s="12" t="str">
        <x:v>2024-08-18</x:v>
      </x:c>
      <x:c r="D122" s="12" t="str">
        <x:v>CUST-6096</x:v>
      </x:c>
      <x:c r="E122" s="12" t="str">
        <x:v>Sneha Kapoor</x:v>
      </x:c>
      <x:c r="F122" s="12" t="str">
        <x:v>Small Business</x:v>
      </x:c>
      <x:c r="G122" s="12" t="str">
        <x:v>East</x:v>
      </x:c>
      <x:c r="H122" s="12" t="str">
        <x:v>Bihar</x:v>
      </x:c>
      <x:c r="I122" s="12" t="str">
        <x:v>Patna</x:v>
      </x:c>
      <x:c r="J122" s="12" t="str">
        <x:v>Technology</x:v>
      </x:c>
      <x:c r="K122" s="12" t="str">
        <x:v>Phones</x:v>
      </x:c>
      <x:c r="L122" s="12" t="str">
        <x:v>Prime Phones 540</x:v>
      </x:c>
      <x:c r="M122" s="12" t="str">
        <x:v>Standard Class</x:v>
      </x:c>
      <x:c r="N122" s="12" t="n">
        <x:v>1</x:v>
      </x:c>
      <x:c r="O122" s="12" t="n">
        <x:v>1823.67</x:v>
      </x:c>
      <x:c r="P122" s="12" t="n">
        <x:v>0.2</x:v>
      </x:c>
      <x:c r="Q122" s="12" t="n">
        <x:v>1458.94</x:v>
      </x:c>
      <x:c r="R122" s="12" t="n">
        <x:v>893.2</x:v>
      </x:c>
      <x:c r="S122" s="12" t="n">
        <x:v>565.74</x:v>
      </x:c>
      <x:c r="T122" s="12" t="str">
        <x:v>Paid</x:v>
      </x:c>
      <x:c r="U122" s="12" t="str">
        <x:v>Returned</x:v>
      </x:c>
    </x:row>
    <x:row r="123">
      <x:c r="A123" s="12" t="str">
        <x:v>ORD-2025-10122</x:v>
      </x:c>
      <x:c r="B123" s="12" t="str">
        <x:v>08/22/2025</x:v>
      </x:c>
      <x:c r="C123" s="12" t="str">
        <x:v>08/26/2025</x:v>
      </x:c>
      <x:c r="D123" s="12" t="str">
        <x:v>CUST-2044</x:v>
      </x:c>
      <x:c r="E123" s="12" t="str">
        <x:v>Kabir Singh</x:v>
      </x:c>
      <x:c r="F123" s="12" t="str">
        <x:v>Small  Business</x:v>
      </x:c>
      <x:c r="G123" s="12" t="str">
        <x:v>South</x:v>
      </x:c>
      <x:c r="H123" s="12" t="str">
        <x:v>Andhra Pradesh</x:v>
      </x:c>
      <x:c r="I123" s="12" t="str">
        <x:v>Vijayawada</x:v>
      </x:c>
      <x:c r="J123" s="12" t="str">
        <x:v>Technology</x:v>
      </x:c>
      <x:c r="K123" s="12" t="str">
        <x:v>Machines</x:v>
      </x:c>
      <x:c r="L123" s="12" t="str">
        <x:v>Max Machines 948</x:v>
      </x:c>
      <x:c r="M123" s="12" t="str">
        <x:v>Second Class</x:v>
      </x:c>
      <x:c r="N123" s="12" t="n">
        <x:v>5</x:v>
      </x:c>
      <x:c r="O123" s="12" t="n">
        <x:v>3482.92</x:v>
      </x:c>
      <x:c r="P123" s="12" t="n">
        <x:v>0</x:v>
      </x:c>
      <x:c r="Q123" s="12" t="n">
        <x:v>17414.6</x:v>
      </x:c>
      <x:c r="R123" s="12" t="n">
        <x:v>11760.91</x:v>
      </x:c>
      <x:c r="S123" s="12" t="n">
        <x:v>5653.69</x:v>
      </x:c>
      <x:c r="T123" s="12" t="str">
        <x:v>Refunded</x:v>
      </x:c>
      <x:c r="U123" s="12" t="str">
        <x:v>Cancelled</x:v>
      </x:c>
    </x:row>
    <x:row r="124">
      <x:c r="A124" s="12" t="str">
        <x:v>ORD-2024-10123</x:v>
      </x:c>
      <x:c r="B124" s="12" t="str">
        <x:v>11/30/2024</x:v>
      </x:c>
      <x:c r="C124" s="12" t="str">
        <x:v>04-12-2024</x:v>
      </x:c>
      <x:c r="D124" s="12" t="str">
        <x:v>CUST-1721</x:v>
      </x:c>
      <x:c r="E124" s="12" t="str">
        <x:v>Ananya Rao</x:v>
      </x:c>
      <x:c r="F124" s="12" t="str">
        <x:v>Small Business</x:v>
      </x:c>
      <x:c r="G124" s="12" t="str">
        <x:v>East</x:v>
      </x:c>
      <x:c r="H124" s="12" t="str">
        <x:v>Assam</x:v>
      </x:c>
      <x:c r="I124" s="12" t="str">
        <x:v>Guwahati</x:v>
      </x:c>
      <x:c r="J124" s="12" t="str">
        <x:v>Furniture</x:v>
      </x:c>
      <x:c r="K124" s="12" t="str">
        <x:v>Chairs</x:v>
      </x:c>
      <x:c r="L124" s="12" t="str">
        <x:v>Max Chairs 786</x:v>
      </x:c>
      <x:c r="M124" s="12" t="str">
        <x:v>Second Class</x:v>
      </x:c>
      <x:c r="N124" s="12" t="n">
        <x:v>3</x:v>
      </x:c>
      <x:c r="O124" s="12" t="n">
        <x:v>170.35</x:v>
      </x:c>
      <x:c r="P124" s="12" t="n">
        <x:v>0</x:v>
      </x:c>
      <x:c r="Q124" s="12" t="n">
        <x:v>511.05</x:v>
      </x:c>
      <x:c r="R124" s="12" t="n">
        <x:v>367.18</x:v>
      </x:c>
      <x:c r="S124" s="12" t="n">
        <x:v>143.87</x:v>
      </x:c>
      <x:c r="T124" s="12" t="str">
        <x:v>Paid</x:v>
      </x:c>
      <x:c r="U124" s="12" t="str">
        <x:v>Completed</x:v>
      </x:c>
    </x:row>
    <x:row r="125">
      <x:c r="A125" s="12" t="str">
        <x:v>ORD-2024-10124</x:v>
      </x:c>
      <x:c r="B125" s="12" t="str">
        <x:v>05/24/2024</x:v>
      </x:c>
      <x:c r="C125" s="12" t="str">
        <x:v>25 May 2024</x:v>
      </x:c>
      <x:c r="D125" s="12" t="str">
        <x:v>CUST-1007</x:v>
      </x:c>
      <x:c r="E125" s="12" t="str">
        <x:v>Sneha Kapoor</x:v>
      </x:c>
      <x:c r="F125" s="12" t="str">
        <x:v>Small Business</x:v>
      </x:c>
      <x:c r="G125" s="12" t="str">
        <x:v>NORTH</x:v>
      </x:c>
      <x:c r="H125" s="12" t="str">
        <x:v>Punjab</x:v>
      </x:c>
      <x:c r="I125" s="12" t="str">
        <x:v>Ludhiana</x:v>
      </x:c>
      <x:c r="J125" s="12" t="str">
        <x:v>Technology</x:v>
      </x:c>
      <x:c r="K125" s="12" t="str">
        <x:v>Copiers</x:v>
      </x:c>
      <x:c r="L125" s="12" t="str">
        <x:v>Max Copiers 970</x:v>
      </x:c>
      <x:c r="M125" s="12" t="str">
        <x:v>Same Day</x:v>
      </x:c>
      <x:c r="N125" s="12" t="n">
        <x:v>1</x:v>
      </x:c>
      <x:c r="O125" s="12" t="n">
        <x:v>634.13</x:v>
      </x:c>
      <x:c r="P125" s="12" t="n">
        <x:v>0</x:v>
      </x:c>
      <x:c r="Q125" s="12" t="n">
        <x:v>634.13</x:v>
      </x:c>
      <x:c r="R125" s="12" t="n">
        <x:v>453.35</x:v>
      </x:c>
      <x:c r="S125" s="12" t="n">
        <x:v>180.78</x:v>
      </x:c>
      <x:c r="T125" s="12" t="str">
        <x:v>Refunded</x:v>
      </x:c>
      <x:c r="U125" s="12" t="str">
        <x:v>Cancelled</x:v>
      </x:c>
    </x:row>
    <x:row r="126">
      <x:c r="A126" s="12" t="str">
        <x:v>ORD-2024-10125</x:v>
      </x:c>
      <x:c r="B126" s="12" t="str">
        <x:v>21 Jul 2024</x:v>
      </x:c>
      <x:c r="C126" s="12" t="str">
        <x:v>07/24/2024</x:v>
      </x:c>
      <x:c r="D126" s="12" t="str">
        <x:v>CUST-4450</x:v>
      </x:c>
      <x:c r="E126" s="12" t="str">
        <x:v>Isha Nair</x:v>
      </x:c>
      <x:c r="F126" s="12" t="str">
        <x:v>Corporate</x:v>
      </x:c>
      <x:c r="G126" s="12" t="str">
        <x:v>South</x:v>
      </x:c>
      <x:c r="H126" s="12" t="str">
        <x:v>Karnataka</x:v>
      </x:c>
      <x:c r="I126" s="12" t="str">
        <x:v>Bengaluru</x:v>
      </x:c>
      <x:c r="J126" s="12" t="str">
        <x:v>Technology</x:v>
      </x:c>
      <x:c r="K126" s="12" t="str">
        <x:v>Copiers</x:v>
      </x:c>
      <x:c r="L126" s="12" t="str">
        <x:v>Pro Copiers 769</x:v>
      </x:c>
      <x:c r="M126" s="12" t="str">
        <x:v>Standard Class</x:v>
      </x:c>
      <x:c r="N126" s="12" t="n">
        <x:v>9</x:v>
      </x:c>
      <x:c r="O126" s="12" t="n">
        <x:v>465.06</x:v>
      </x:c>
      <x:c r="P126" s="12" t="n">
        <x:v>-0.15</x:v>
      </x:c>
      <x:c r="Q126" s="12" t="n">
        <x:v>4185.54</x:v>
      </x:c>
      <x:c r="R126" s="12" t="n">
        <x:v>3443.74</x:v>
      </x:c>
      <x:c r="S126" s="12" t="n">
        <x:v>741.8</x:v>
      </x:c>
      <x:c r="T126" s="12" t="str">
        <x:v>Paid</x:v>
      </x:c>
      <x:c r="U126" s="12" t="str">
        <x:v>Completed </x:v>
      </x:c>
    </x:row>
    <x:row r="127">
      <x:c r="A127" s="12" t="str">
        <x:v>ORD-2025-10126</x:v>
      </x:c>
      <x:c r="B127" s="12" t="str">
        <x:v>2025-07-17</x:v>
      </x:c>
      <x:c r="C127" s="12" t="str">
        <x:v>18-07-2025</x:v>
      </x:c>
      <x:c r="D127" s="12" t="str">
        <x:v>CUST-7924</x:v>
      </x:c>
      <x:c r="E127" s="12" t="str">
        <x:v>Neha Gupta</x:v>
      </x:c>
      <x:c r="F127" s="12" t="str">
        <x:v>Small Business</x:v>
      </x:c>
      <x:c r="G127" s="12" t="str">
        <x:v>West</x:v>
      </x:c>
      <x:c r="H127" s="12" t="str">
        <x:v>Rajasthan</x:v>
      </x:c>
      <x:c r="I127" s="12" t="str">
        <x:v>Udaipur</x:v>
      </x:c>
      <x:c r="J127" s="12" t="str">
        <x:v>Furniture</x:v>
      </x:c>
      <x:c r="K127" s="12" t="str">
        <x:v>Tables</x:v>
      </x:c>
      <x:c r="L127" s="12" t="str">
        <x:v>Basic Tables 753</x:v>
      </x:c>
      <x:c r="M127" s="12" t="str">
        <x:v>Same Day</x:v>
      </x:c>
      <x:c r="N127" s="12" t="n">
        <x:v>6</x:v>
      </x:c>
      <x:c r="O127" s="12" t="n">
        <x:v>3235.27</x:v>
      </x:c>
      <x:c r="P127" s="12" t="n">
        <x:v>0.25</x:v>
      </x:c>
      <x:c r="Q127" s="12" t="n">
        <x:v>14558.72</x:v>
      </x:c>
      <x:c r="R127" s="12" t="n">
        <x:v>9591.48</x:v>
      </x:c>
      <x:c r="S127" s="12" t="n">
        <x:v>4967.24</x:v>
      </x:c>
      <x:c r="T127" s="12" t="str">
        <x:v>Refunded</x:v>
      </x:c>
      <x:c r="U127" s="12" t="str">
        <x:v>Returned</x:v>
      </x:c>
    </x:row>
    <x:row r="128">
      <x:c r="A128" s="12" t="str">
        <x:v>ORD-2025-10127</x:v>
      </x:c>
      <x:c r="B128" s="12" t="str">
        <x:v>24-09-2025</x:v>
      </x:c>
      <x:c r="C128" s="12" t="str">
        <x:v>26 Sep 2025</x:v>
      </x:c>
      <x:c r="D128" s="12" t="str">
        <x:v>CUST-1715</x:v>
      </x:c>
      <x:c r="E128" s="12" t="str">
        <x:v>Priya Menon</x:v>
      </x:c>
      <x:c r="F128" s="12" t="str">
        <x:v>Corporate</x:v>
      </x:c>
      <x:c r="G128" s="12" t="str">
        <x:v>North</x:v>
      </x:c>
      <x:c r="H128" s="12" t="str">
        <x:v>Delhi</x:v>
      </x:c>
      <x:c r="I128" s="12" t="str">
        <x:v>New Delhi</x:v>
      </x:c>
      <x:c r="J128" s="12" t="str">
        <x:v>Technology</x:v>
      </x:c>
      <x:c r="K128" s="12" t="str">
        <x:v>Copiers</x:v>
      </x:c>
      <x:c r="L128" s="12" t="str">
        <x:v>Prime Copiers 651</x:v>
      </x:c>
      <x:c r="M128" s="12" t="str">
        <x:v>Standard Class</x:v>
      </x:c>
      <x:c r="N128" s="12" t="n">
        <x:v>3</x:v>
      </x:c>
      <x:c r="O128" s="12" t="n">
        <x:v>1593.86</x:v>
      </x:c>
      <x:c r="P128" s="12" t="n">
        <x:v>0.1</x:v>
      </x:c>
      <x:c r="Q128" s="12" t="n">
        <x:v>4303.42</x:v>
      </x:c>
      <x:c r="R128" s="12" t="n">
        <x:v>2568.57</x:v>
      </x:c>
      <x:c r="S128" s="12" t="n">
        <x:v>1734.85</x:v>
      </x:c>
      <x:c r="T128" s="12" t="str">
        <x:v>Paid</x:v>
      </x:c>
      <x:c r="U128" s="12" t="str">
        <x:v>Completed</x:v>
      </x:c>
    </x:row>
    <x:row r="129">
      <x:c r="A129" s="12" t="str">
        <x:v>ORD-2025-10128</x:v>
      </x:c>
      <x:c r="B129" s="12" t="str">
        <x:v>01/30/2025</x:v>
      </x:c>
      <x:c r="C129" s="12" t="str">
        <x:v>26-01-2025</x:v>
      </x:c>
      <x:c r="D129" s="12" t="str">
        <x:v>CUST-6802</x:v>
      </x:c>
      <x:c r="E129" s="12" t="str">
        <x:v>Priya Menon</x:v>
      </x:c>
      <x:c r="F129" s="12" t="str">
        <x:v>Corporate</x:v>
      </x:c>
      <x:c r="G129" s="12" t="str">
        <x:v>West</x:v>
      </x:c>
      <x:c r="H129" s="12" t="str">
        <x:v>Madhya Pradesh</x:v>
      </x:c>
      <x:c r="I129" s="12" t="str">
        <x:v>Indore</x:v>
      </x:c>
      <x:c r="J129" s="12" t="str">
        <x:v>Office Supplies</x:v>
      </x:c>
      <x:c r="K129" s="12" t="str">
        <x:v>Storage</x:v>
      </x:c>
      <x:c r="L129" s="12" t="str">
        <x:v>Basic Storage 321</x:v>
      </x:c>
      <x:c r="M129" s="12" t="str">
        <x:v>Second Class</x:v>
      </x:c>
      <x:c r="N129" s="12" t="n">
        <x:v>2</x:v>
      </x:c>
      <x:c r="O129" s="12" t="n">
        <x:v>3039.3</x:v>
      </x:c>
      <x:c r="P129" s="12" t="n">
        <x:v>0.05</x:v>
      </x:c>
      <x:c r="Q129" s="12" t="n">
        <x:v>5774.67</x:v>
      </x:c>
      <x:c r="R129" s="12" t="n">
        <x:v>3518.36</x:v>
      </x:c>
      <x:c r="S129" s="12" t="n">
        <x:v>2256.31</x:v>
      </x:c>
      <x:c r="T129" s="12" t="str">
        <x:v>Paid</x:v>
      </x:c>
      <x:c r="U129" s="12" t="str">
        <x:v>Completed</x:v>
      </x:c>
    </x:row>
    <x:row r="130">
      <x:c r="A130" s="12" t="str">
        <x:v>ORD-2024-10129</x:v>
      </x:c>
      <x:c r="B130" s="12" t="str">
        <x:v>13 Dec 2024</x:v>
      </x:c>
      <x:c r="C130" s="12" t="str">
        <x:v>16 Dec 2024</x:v>
      </x:c>
      <x:c r="D130" s="12" t="str">
        <x:v>CUST-9328</x:v>
      </x:c>
      <x:c r="E130" s="12" t="str">
        <x:v>Neha Gupta</x:v>
      </x:c>
      <x:c r="F130" s="12" t="str">
        <x:v>Small Business</x:v>
      </x:c>
      <x:c r="G130" s="12" t="str">
        <x:v>East</x:v>
      </x:c>
      <x:c r="H130" s="12" t="str">
        <x:v>Odisha</x:v>
      </x:c>
      <x:c r="I130" s="12" t="str">
        <x:v>Bhubaneswar</x:v>
      </x:c>
      <x:c r="J130" s="12" t="str">
        <x:v>Furniture</x:v>
      </x:c>
      <x:c r="K130" s="12" t="str">
        <x:v>Furnishings</x:v>
      </x:c>
      <x:c r="L130" s="12" t="str">
        <x:v>Prime Furnishings 710</x:v>
      </x:c>
      <x:c r="M130" s="12" t="str">
        <x:v>Standard Class</x:v>
      </x:c>
      <x:c r="N130" s="12" t="n">
        <x:v>5</x:v>
      </x:c>
      <x:c r="O130" s="12" t="n">
        <x:v>923.45</x:v>
      </x:c>
      <x:c r="P130" s="12" t="n">
        <x:v>0.05</x:v>
      </x:c>
      <x:c r="Q130" s="12" t="n">
        <x:v>4386.39</x:v>
      </x:c>
      <x:c r="R130" s="12" t="n">
        <x:v>3366.88</x:v>
      </x:c>
      <x:c r="S130" s="12" t="n">
        <x:v>1019.51</x:v>
      </x:c>
      <x:c r="T130" s="12" t="str">
        <x:v>Paid</x:v>
      </x:c>
      <x:c r="U130" s="12" t="str">
        <x:v>Returned</x:v>
      </x:c>
    </x:row>
    <x:row r="131">
      <x:c r="A131" s="12" t="str">
        <x:v>ORD-2024-10130</x:v>
      </x:c>
      <x:c r="B131" s="12" t="str">
        <x:v>2024-07-19</x:v>
      </x:c>
      <x:c r="C131" s="12" t="str">
        <x:v>25-07-2024</x:v>
      </x:c>
      <x:c r="D131" s="12" t="str">
        <x:v>CUST-2588</x:v>
      </x:c>
      <x:c r="E131" s="12" t="str">
        <x:v>Isha Nair</x:v>
      </x:c>
      <x:c r="F131" s="12" t="str">
        <x:v>Small Business</x:v>
      </x:c>
      <x:c r="G131" s="12" t="str">
        <x:v>West</x:v>
      </x:c>
      <x:c r="H131" s="12" t="str">
        <x:v>Goa</x:v>
      </x:c>
      <x:c r="I131" s="12" t="str">
        <x:v>Panaji</x:v>
      </x:c>
      <x:c r="J131" s="12" t="str">
        <x:v>Office Supplies</x:v>
      </x:c>
      <x:c r="K131" s="12" t="str">
        <x:v>Binders</x:v>
      </x:c>
      <x:c r="L131" s="12" t="str">
        <x:v>Elite Binders 723</x:v>
      </x:c>
      <x:c r="M131" s="12" t="str">
        <x:v>Standard Class</x:v>
      </x:c>
      <x:c r="N131" s="12" t="n">
        <x:v>7</x:v>
      </x:c>
      <x:c r="O131" s="12" t="n">
        <x:v>2741.29</x:v>
      </x:c>
      <x:c r="P131" s="12" t="n">
        <x:v>0.05</x:v>
      </x:c>
      <x:c r="Q131" s="12" t="n">
        <x:v>18229.58</x:v>
      </x:c>
      <x:c r="R131" s="12" t="n">
        <x:v>15139.15</x:v>
      </x:c>
      <x:c r="S131" s="12" t="n">
        <x:v>3090.43</x:v>
      </x:c>
      <x:c r="T131" s="12" t="str">
        <x:v>Paid</x:v>
      </x:c>
      <x:c r="U131" s="12" t="str">
        <x:v>Completed</x:v>
      </x:c>
    </x:row>
    <x:row r="132">
      <x:c r="A132" s="12" t="str">
        <x:v>ORD-2024-10131</x:v>
      </x:c>
      <x:c r="B132" s="12" t="str">
        <x:v>2024-01-27</x:v>
      </x:c>
      <x:c r="C132" s="12" t="str">
        <x:v>02 Feb 2024</x:v>
      </x:c>
      <x:c r="D132" s="12" t="str">
        <x:v>CUST-5435</x:v>
      </x:c>
      <x:c r="E132" s="12" t="str">
        <x:v>Arjun Bose</x:v>
      </x:c>
      <x:c r="F132" s="12" t="str">
        <x:v>Consumer</x:v>
      </x:c>
      <x:c r="G132" s="12" t="str">
        <x:v>West</x:v>
      </x:c>
      <x:c r="H132" s="12" t="str">
        <x:v>Gujarat</x:v>
      </x:c>
      <x:c r="I132" s="12" t="str">
        <x:v>Ahmedabad</x:v>
      </x:c>
      <x:c r="J132" s="12" t="str">
        <x:v>Office Supplies</x:v>
      </x:c>
      <x:c r="K132" s="12" t="str">
        <x:v>Labels</x:v>
      </x:c>
      <x:c r="L132" s="12" t="str">
        <x:v>Smart Labels 878</x:v>
      </x:c>
      <x:c r="M132" s="12" t="str">
        <x:v>Same Day</x:v>
      </x:c>
      <x:c r="N132" s="12" t="n">
        <x:v>5</x:v>
      </x:c>
      <x:c r="O132" s="12" t="n">
        <x:v>218.42</x:v>
      </x:c>
      <x:c r="P132" s="12" t="n">
        <x:v>0.2</x:v>
      </x:c>
      <x:c r="Q132" s="12" t="n">
        <x:v>873.68</x:v>
      </x:c>
      <x:c r="R132" s="12" t="n">
        <x:v>661.72</x:v>
      </x:c>
      <x:c r="S132" s="12" t="n">
        <x:v>211.96</x:v>
      </x:c>
      <x:c r="T132" s="12" t="str">
        <x:v>Pending</x:v>
      </x:c>
      <x:c r="U132" s="12" t="str">
        <x:v>Cancelled</x:v>
      </x:c>
    </x:row>
    <x:row r="133">
      <x:c r="A133" s="12" t="str">
        <x:v>ORD-2025-10132</x:v>
      </x:c>
      <x:c r="B133" s="12" t="str">
        <x:v>09/29/2025</x:v>
      </x:c>
      <x:c r="C133" s="12" t="str">
        <x:v>2025-10-04</x:v>
      </x:c>
      <x:c r="D133" s="12" t="str">
        <x:v>CUST-7637</x:v>
      </x:c>
      <x:c r="E133" s="12" t="str">
        <x:v>Ananya Rao</x:v>
      </x:c>
      <x:c r="F133" s="12" t="str">
        <x:v>Home Office</x:v>
      </x:c>
      <x:c r="G133" s="12" t="str">
        <x:v>East</x:v>
      </x:c>
      <x:c r="H133" s="12" t="str">
        <x:v>Jharkhand</x:v>
      </x:c>
      <x:c r="I133" s="12" t="str">
        <x:v>Ranchi</x:v>
      </x:c>
      <x:c r="J133" s="12" t="str">
        <x:v>Office Supplies</x:v>
      </x:c>
      <x:c r="K133" s="12" t="str">
        <x:v>Paper</x:v>
      </x:c>
      <x:c r="L133" s="12" t="str">
        <x:v>Pro Paper 934</x:v>
      </x:c>
      <x:c r="M133" s="12" t="str">
        <x:v>Same Day</x:v>
      </x:c>
      <x:c r="N133" s="12" t="n">
        <x:v>9</x:v>
      </x:c>
      <x:c r="O133" s="12" t="n">
        <x:v>373.91</x:v>
      </x:c>
      <x:c r="P133" s="12" t="n">
        <x:v>0.2</x:v>
      </x:c>
      <x:c r="Q133" s="12" t="n">
        <x:v>2692.15</x:v>
      </x:c>
      <x:c r="R133" s="12" t="n">
        <x:v>2044.49</x:v>
      </x:c>
      <x:c r="S133" s="12" t="n">
        <x:v>647.66</x:v>
      </x:c>
      <x:c r="T133" s="12" t="str">
        <x:v>Paid</x:v>
      </x:c>
      <x:c r="U133" s="12" t="str">
        <x:v>Completed</x:v>
      </x:c>
    </x:row>
    <x:row r="134">
      <x:c r="A134" s="12" t="str">
        <x:v>ORD-2024-10133</x:v>
      </x:c>
      <x:c r="B134" s="12" t="str">
        <x:v>04 Nov 2024</x:v>
      </x:c>
      <x:c r="C134" s="12" t="str">
        <x:v>04 Nov 2024</x:v>
      </x:c>
      <x:c r="D134" s="12" t="str">
        <x:v>CUST-3602</x:v>
      </x:c>
      <x:c r="E134" s="12" t="str">
        <x:v>Kabir Singh</x:v>
      </x:c>
      <x:c r="F134" s="12" t="str">
        <x:v>Corporate</x:v>
      </x:c>
      <x:c r="G134" s="12" t="str">
        <x:v>East</x:v>
      </x:c>
      <x:c r="H134" s="12" t="str">
        <x:v>Assam</x:v>
      </x:c>
      <x:c r="I134" s="12" t="str">
        <x:v>Guwahati</x:v>
      </x:c>
      <x:c r="J134" s="12" t="str">
        <x:v>Technology</x:v>
      </x:c>
      <x:c r="K134" s="12" t="str">
        <x:v>Machines</x:v>
      </x:c>
      <x:c r="L134" s="12" t="str">
        <x:v>Classic Machines 886</x:v>
      </x:c>
      <x:c r="M134" s="12" t="str">
        <x:v>First Class</x:v>
      </x:c>
      <x:c r="N134" s="12" t="n">
        <x:v>2</x:v>
      </x:c>
      <x:c r="O134" s="12" t="n">
        <x:v>533.08</x:v>
      </x:c>
      <x:c r="P134" s="12" t="n">
        <x:v>0</x:v>
      </x:c>
      <x:c r="Q134" s="12" t="n">
        <x:v>1066.16</x:v>
      </x:c>
      <x:c r="R134" s="12" t="n">
        <x:v>656.3</x:v>
      </x:c>
      <x:c r="S134" s="12" t="n">
        <x:v>409.86</x:v>
      </x:c>
      <x:c r="T134" s="12" t="str">
        <x:v>Failed</x:v>
      </x:c>
      <x:c r="U134" s="12" t="str">
        <x:v>Cancelled</x:v>
      </x:c>
    </x:row>
    <x:row r="135">
      <x:c r="A135" s="12" t="str">
        <x:v>ORD-2024-10134</x:v>
      </x:c>
      <x:c r="B135" s="12" t="str">
        <x:v>2024-12-13</x:v>
      </x:c>
      <x:c r="C135" s="12" t="str">
        <x:v>12/18/2024</x:v>
      </x:c>
      <x:c r="D135" s="12" t="str">
        <x:v>CUST-9441</x:v>
      </x:c>
      <x:c r="E135" s="12" t="str">
        <x:v>Karan Malhotra</x:v>
      </x:c>
      <x:c r="F135" s="12" t="str">
        <x:v>Consumer</x:v>
      </x:c>
      <x:c r="G135" s="12" t="str">
        <x:v>West</x:v>
      </x:c>
      <x:c r="H135" s="12" t="str">
        <x:v>Goa</x:v>
      </x:c>
      <x:c r="I135" s="12" t="str">
        <x:v>Panaji</x:v>
      </x:c>
      <x:c r="J135" s="12" t="str">
        <x:v>Technology</x:v>
      </x:c>
      <x:c r="K135" s="12" t="str">
        <x:v>Phones</x:v>
      </x:c>
      <x:c r="L135" s="12" t="str">
        <x:v>Prime Phones 419</x:v>
      </x:c>
      <x:c r="M135" s="12" t="str">
        <x:v>Second Class</x:v>
      </x:c>
      <x:c r="N135" s="12" t="n">
        <x:v>8</x:v>
      </x:c>
      <x:c r="O135" s="12" t="n">
        <x:v>3372.15</x:v>
      </x:c>
      <x:c r="P135" s="12" t="n">
        <x:v>0.15</x:v>
      </x:c>
      <x:c r="Q135" s="12" t="n">
        <x:v>22930.62</x:v>
      </x:c>
      <x:c r="R135" s="12" t="n">
        <x:v>16875.55</x:v>
      </x:c>
      <x:c r="S135" s="12" t="n">
        <x:v>6055.07</x:v>
      </x:c>
      <x:c r="T135" s="12" t="str">
        <x:v>Paid</x:v>
      </x:c>
      <x:c r="U135" s="12" t="str">
        <x:v>Completed</x:v>
      </x:c>
    </x:row>
    <x:row r="136">
      <x:c r="A136" s="12" t="str">
        <x:v>ORD-2025-10135</x:v>
      </x:c>
      <x:c r="B136" s="12" t="str">
        <x:v>07/14/2025</x:v>
      </x:c>
      <x:c r="C136" s="12" t="str">
        <x:v>2025-07-14</x:v>
      </x:c>
      <x:c r="D136" s="12" t="str">
        <x:v>CUST-7361</x:v>
      </x:c>
      <x:c r="E136" s="12" t="str">
        <x:v>Vikram Iyer</x:v>
      </x:c>
      <x:c r="F136" s="12" t="str">
        <x:v>Home Office</x:v>
      </x:c>
      <x:c r="G136" s="12" t="str">
        <x:v>East</x:v>
      </x:c>
      <x:c r="H136" s="12" t="str">
        <x:v>West Bengal</x:v>
      </x:c>
      <x:c r="I136" s="12" t="str">
        <x:v>Kolkata</x:v>
      </x:c>
      <x:c r="J136" s="12" t="str">
        <x:v>Furniture</x:v>
      </x:c>
      <x:c r="K136" s="12" t="str">
        <x:v>Bookcases</x:v>
      </x:c>
      <x:c r="L136" s="12" t="str">
        <x:v>Elite Bookcases 266</x:v>
      </x:c>
      <x:c r="M136" s="12"/>
      <x:c r="N136" s="12" t="n">
        <x:v>5</x:v>
      </x:c>
      <x:c r="O136" s="12" t="n">
        <x:v>383.1</x:v>
      </x:c>
      <x:c r="P136" s="12" t="n">
        <x:v>0.25</x:v>
      </x:c>
      <x:c r="Q136" s="12" t="n">
        <x:v>1436.62</x:v>
      </x:c>
      <x:c r="R136" s="12" t="n">
        <x:v>912.52</x:v>
      </x:c>
      <x:c r="S136" s="12" t="n">
        <x:v>524.1</x:v>
      </x:c>
      <x:c r="T136" s="12" t="str">
        <x:v>Pending</x:v>
      </x:c>
      <x:c r="U136" s="12" t="str">
        <x:v>Cancelled</x:v>
      </x:c>
    </x:row>
    <x:row r="137">
      <x:c r="A137" s="12" t="str">
        <x:v>ORD-2025-10136</x:v>
      </x:c>
      <x:c r="B137" s="12" t="str">
        <x:v>2025-08-24</x:v>
      </x:c>
      <x:c r="C137" s="12" t="str">
        <x:v>2025-08-24</x:v>
      </x:c>
      <x:c r="D137" s="12" t="str">
        <x:v>CUST-1148</x:v>
      </x:c>
      <x:c r="E137" s="12" t="str">
        <x:v>Diya Patel</x:v>
      </x:c>
      <x:c r="F137" s="12" t="str">
        <x:v>Small Business</x:v>
      </x:c>
      <x:c r="G137" s="12" t="str">
        <x:v>South</x:v>
      </x:c>
      <x:c r="H137" s="12" t="str">
        <x:v>Kerala</x:v>
      </x:c>
      <x:c r="I137" s="12" t="str">
        <x:v>Kochi</x:v>
      </x:c>
      <x:c r="J137" s="12" t="str">
        <x:v>Furniture </x:v>
      </x:c>
      <x:c r="K137" s="12" t="str">
        <x:v>Bookcases</x:v>
      </x:c>
      <x:c r="L137" s="12" t="str">
        <x:v>Prime Bookcases 954</x:v>
      </x:c>
      <x:c r="M137" s="12" t="str">
        <x:v>Standard Class</x:v>
      </x:c>
      <x:c r="N137" s="12" t="n">
        <x:v>1</x:v>
      </x:c>
      <x:c r="O137" s="12" t="n">
        <x:v>3424.78</x:v>
      </x:c>
      <x:c r="P137" s="12" t="n">
        <x:v>0</x:v>
      </x:c>
      <x:c r="Q137" s="12" t="n">
        <x:v>3424.78</x:v>
      </x:c>
      <x:c r="R137" s="12" t="n">
        <x:v>1951.45</x:v>
      </x:c>
      <x:c r="S137" s="12" t="n">
        <x:v>1473.33</x:v>
      </x:c>
      <x:c r="T137" s="12" t="str">
        <x:v>Paid</x:v>
      </x:c>
      <x:c r="U137" s="12" t="str">
        <x:v>Completed</x:v>
      </x:c>
    </x:row>
    <x:row r="138">
      <x:c r="A138" s="12" t="str">
        <x:v>ORD-2025-10137</x:v>
      </x:c>
      <x:c r="B138" s="12" t="str">
        <x:v>09-02-2025</x:v>
      </x:c>
      <x:c r="C138" s="12" t="str">
        <x:v>15-02-2025</x:v>
      </x:c>
      <x:c r="D138" s="12" t="str">
        <x:v>CUST-3350</x:v>
      </x:c>
      <x:c r="E138" s="12" t="str">
        <x:v>Mira Das</x:v>
      </x:c>
      <x:c r="F138" s="12" t="str">
        <x:v>Home Office</x:v>
      </x:c>
      <x:c r="G138" s="12" t="str">
        <x:v>East</x:v>
      </x:c>
      <x:c r="H138" s="12" t="str">
        <x:v>Jharkhand</x:v>
      </x:c>
      <x:c r="I138" s="12" t="str">
        <x:v>Ranchi</x:v>
      </x:c>
      <x:c r="J138" s="12" t="str">
        <x:v>Office Supplies</x:v>
      </x:c>
      <x:c r="K138" s="12" t="str">
        <x:v>Binders</x:v>
      </x:c>
      <x:c r="L138" s="12" t="str">
        <x:v>Max Binders 362</x:v>
      </x:c>
      <x:c r="M138" s="12" t="str">
        <x:v>Standard  Class</x:v>
      </x:c>
      <x:c r="N138" s="12" t="n">
        <x:v>9</x:v>
      </x:c>
      <x:c r="O138" s="12" t="n">
        <x:v>4330.33</x:v>
      </x:c>
      <x:c r="P138" s="12" t="n">
        <x:v>0.2</x:v>
      </x:c>
      <x:c r="Q138" s="12" t="n">
        <x:v>31178.38</x:v>
      </x:c>
      <x:c r="R138" s="12" t="n">
        <x:v>21421.09</x:v>
      </x:c>
      <x:c r="S138" s="12" t="n">
        <x:v>9757.29</x:v>
      </x:c>
      <x:c r="T138" s="12" t="str">
        <x:v>Paid</x:v>
      </x:c>
      <x:c r="U138" s="12" t="str">
        <x:v>Completed</x:v>
      </x:c>
    </x:row>
    <x:row r="139">
      <x:c r="A139" s="12" t="str">
        <x:v>ORD-2025-10138</x:v>
      </x:c>
      <x:c r="B139" s="12" t="str">
        <x:v>01/09/2025</x:v>
      </x:c>
      <x:c r="C139" s="12" t="str">
        <x:v>2025-01-09</x:v>
      </x:c>
      <x:c r="D139" s="12" t="str">
        <x:v>CUST-7932</x:v>
      </x:c>
      <x:c r="E139" s="12" t="str">
        <x:v>Sneha Kapoor</x:v>
      </x:c>
      <x:c r="F139" s="12" t="str">
        <x:v>Small Business</x:v>
      </x:c>
      <x:c r="G139" s="12" t="str">
        <x:v>North</x:v>
      </x:c>
      <x:c r="H139" s="12" t="str">
        <x:v>Rajasthan</x:v>
      </x:c>
      <x:c r="I139" s="12" t="str">
        <x:v>Jaipur</x:v>
      </x:c>
      <x:c r="J139" s="12" t="str">
        <x:v>Furniture</x:v>
      </x:c>
      <x:c r="K139" s="12" t="str">
        <x:v>Chairs</x:v>
      </x:c>
      <x:c r="L139" s="12" t="str">
        <x:v>Prime Chairs 261</x:v>
      </x:c>
      <x:c r="M139" s="12" t="str">
        <x:v>Same Day</x:v>
      </x:c>
      <x:c r="N139" s="12" t="n">
        <x:v>8</x:v>
      </x:c>
      <x:c r="O139" s="12" t="n">
        <x:v>2667.07</x:v>
      </x:c>
      <x:c r="P139" s="12" t="n">
        <x:v>0.1</x:v>
      </x:c>
      <x:c r="Q139" s="12" t="n">
        <x:v>19202.9</x:v>
      </x:c>
      <x:c r="R139" s="12" t="n">
        <x:v>15526.62</x:v>
      </x:c>
      <x:c r="S139" s="12" t="n">
        <x:v>3676.28</x:v>
      </x:c>
      <x:c r="T139" s="12" t="str">
        <x:v>Paid</x:v>
      </x:c>
      <x:c r="U139" s="12" t="str">
        <x:v>Completed</x:v>
      </x:c>
    </x:row>
    <x:row r="140">
      <x:c r="A140" s="12" t="str">
        <x:v>ORD-2024-10139</x:v>
      </x:c>
      <x:c r="B140" s="12" t="str">
        <x:v>2024-01-20</x:v>
      </x:c>
      <x:c r="C140" s="12" t="str">
        <x:v>26-01-2024</x:v>
      </x:c>
      <x:c r="D140" s="12" t="str">
        <x:v>CUST-7173</x:v>
      </x:c>
      <x:c r="E140" s="12" t="str">
        <x:v>Diya Patel</x:v>
      </x:c>
      <x:c r="F140" s="12" t="str">
        <x:v>Home Office</x:v>
      </x:c>
      <x:c r="G140" s="12" t="str">
        <x:v>East</x:v>
      </x:c>
      <x:c r="H140" s="12" t="str">
        <x:v>Jharkhand</x:v>
      </x:c>
      <x:c r="I140" s="12" t="str">
        <x:v>Ranchi</x:v>
      </x:c>
      <x:c r="J140" s="12" t="str">
        <x:v>Technology</x:v>
      </x:c>
      <x:c r="K140" s="12" t="str">
        <x:v>Machines</x:v>
      </x:c>
      <x:c r="L140" s="12" t="str">
        <x:v>Basic Machines 185</x:v>
      </x:c>
      <x:c r="M140" s="12" t="str">
        <x:v>Standard Class</x:v>
      </x:c>
      <x:c r="N140" s="12" t="n">
        <x:v>8</x:v>
      </x:c>
      <x:c r="O140" s="12" t="n">
        <x:v>4003.05</x:v>
      </x:c>
      <x:c r="P140" s="12" t="n">
        <x:v>0.25</x:v>
      </x:c>
      <x:c r="Q140" s="12" t="n">
        <x:v>24018.3</x:v>
      </x:c>
      <x:c r="R140" s="12" t="n">
        <x:v>14070.78</x:v>
      </x:c>
      <x:c r="S140" s="12" t="n">
        <x:v>9947.52</x:v>
      </x:c>
      <x:c r="T140" s="12" t="str">
        <x:v>Paid</x:v>
      </x:c>
      <x:c r="U140" s="12" t="str">
        <x:v>Completed</x:v>
      </x:c>
    </x:row>
    <x:row r="141">
      <x:c r="A141" s="12" t="str">
        <x:v>ORD-2025-10140</x:v>
      </x:c>
      <x:c r="B141" s="12" t="str">
        <x:v>03/02/2025</x:v>
      </x:c>
      <x:c r="C141" s="12" t="str">
        <x:v>07-03-2025</x:v>
      </x:c>
      <x:c r="D141" s="12" t="str">
        <x:v>CUST-4225</x:v>
      </x:c>
      <x:c r="E141" s="12" t="str">
        <x:v>Neha Gupta</x:v>
      </x:c>
      <x:c r="F141" s="12" t="str">
        <x:v>Home Office</x:v>
      </x:c>
      <x:c r="G141" s="12" t="str">
        <x:v>South</x:v>
      </x:c>
      <x:c r="H141" s="12" t="str">
        <x:v>Karnataka</x:v>
      </x:c>
      <x:c r="I141" s="12" t="str">
        <x:v>Bengaluru</x:v>
      </x:c>
      <x:c r="J141" s="12" t="str">
        <x:v>Office Supplies</x:v>
      </x:c>
      <x:c r="K141" s="12" t="str">
        <x:v>Labels</x:v>
      </x:c>
      <x:c r="L141" s="12" t="str">
        <x:v>Basic Labels 509</x:v>
      </x:c>
      <x:c r="M141" s="12" t="str">
        <x:v>Standard Class</x:v>
      </x:c>
      <x:c r="N141" s="12" t="n">
        <x:v>8</x:v>
      </x:c>
      <x:c r="O141" s="12" t="n">
        <x:v>1287.63</x:v>
      </x:c>
      <x:c r="P141" s="12" t="n">
        <x:v>0</x:v>
      </x:c>
      <x:c r="Q141" s="12" t="n">
        <x:v>10301.04</x:v>
      </x:c>
      <x:c r="R141" s="12" t="n">
        <x:v>6564.06</x:v>
      </x:c>
      <x:c r="S141" s="12" t="n">
        <x:v>3736.98</x:v>
      </x:c>
      <x:c r="T141" s="12" t="str">
        <x:v>Paid</x:v>
      </x:c>
      <x:c r="U141" s="12" t="str">
        <x:v>Completed</x:v>
      </x:c>
    </x:row>
    <x:row r="142">
      <x:c r="A142" s="12" t="str">
        <x:v>ORD-2024-10141</x:v>
      </x:c>
      <x:c r="B142" s="12" t="str">
        <x:v>31-05-2024</x:v>
      </x:c>
      <x:c r="C142" s="12" t="str">
        <x:v>01 Jun 2024</x:v>
      </x:c>
      <x:c r="D142" s="12" t="str">
        <x:v>CUST-2149</x:v>
      </x:c>
      <x:c r="E142" s="12" t="str">
        <x:v>Mira Das</x:v>
      </x:c>
      <x:c r="F142" s="12" t="str">
        <x:v>Corporate</x:v>
      </x:c>
      <x:c r="G142" s="12" t="str">
        <x:v>South</x:v>
      </x:c>
      <x:c r="H142" s="12" t="str">
        <x:v>Karnataka</x:v>
      </x:c>
      <x:c r="I142" s="12" t="str">
        <x:v>Bengaluru</x:v>
      </x:c>
      <x:c r="J142" s="12" t="str">
        <x:v>Furniture</x:v>
      </x:c>
      <x:c r="K142" s="12" t="str">
        <x:v>Bookcases</x:v>
      </x:c>
      <x:c r="L142" s="12" t="str">
        <x:v>Elite Bookcases 696</x:v>
      </x:c>
      <x:c r="M142" s="12" t="str">
        <x:v>Same Day</x:v>
      </x:c>
      <x:c r="N142" s="12" t="n">
        <x:v>3</x:v>
      </x:c>
      <x:c r="O142" s="12" t="n">
        <x:v>2914.55</x:v>
      </x:c>
      <x:c r="P142" s="12" t="n">
        <x:v>0</x:v>
      </x:c>
      <x:c r="Q142" s="12" t="n">
        <x:v>8743.65</x:v>
      </x:c>
      <x:c r="R142" s="12" t="n">
        <x:v>6603.76</x:v>
      </x:c>
      <x:c r="S142" s="12" t="n">
        <x:v>2139.89</x:v>
      </x:c>
      <x:c r="T142" s="12" t="str">
        <x:v>Paid</x:v>
      </x:c>
      <x:c r="U142" s="12" t="str">
        <x:v>Completed</x:v>
      </x:c>
    </x:row>
    <x:row r="143">
      <x:c r="A143" s="12" t="str">
        <x:v>ORD-2024-10142</x:v>
      </x:c>
      <x:c r="B143" s="12" t="str">
        <x:v>03/23/2024</x:v>
      </x:c>
      <x:c r="C143" s="12" t="str">
        <x:v>2024-03-29</x:v>
      </x:c>
      <x:c r="D143" s="12" t="str">
        <x:v>CUST-3314</x:v>
      </x:c>
      <x:c r="E143" s="12" t="str">
        <x:v>Priya Menon</x:v>
      </x:c>
      <x:c r="F143" s="12" t="str">
        <x:v>Corporate</x:v>
      </x:c>
      <x:c r="G143" s="12" t="str">
        <x:v>North</x:v>
      </x:c>
      <x:c r="H143" s="12" t="str">
        <x:v>Delhi</x:v>
      </x:c>
      <x:c r="I143" s="12" t="str">
        <x:v>New Delhi</x:v>
      </x:c>
      <x:c r="J143" s="12" t="str">
        <x:v>Furniture</x:v>
      </x:c>
      <x:c r="K143" s="12" t="str">
        <x:v>Bookcases</x:v>
      </x:c>
      <x:c r="L143" s="12" t="str">
        <x:v>Elite Bookcases 772</x:v>
      </x:c>
      <x:c r="M143" s="12" t="str">
        <x:v>Same Day</x:v>
      </x:c>
      <x:c r="N143" s="12" t="n">
        <x:v>7</x:v>
      </x:c>
      <x:c r="O143" s="12" t="n">
        <x:v>634.29</x:v>
      </x:c>
      <x:c r="P143" s="12" t="n">
        <x:v>0.1</x:v>
      </x:c>
      <x:c r="Q143" s="12" t="n">
        <x:v>3996.03</x:v>
      </x:c>
      <x:c r="R143" s="12" t="n">
        <x:v>2859.51</x:v>
      </x:c>
      <x:c r="S143" s="12" t="n">
        <x:v>1136.52</x:v>
      </x:c>
      <x:c r="T143" s="12" t="str">
        <x:v>Paid</x:v>
      </x:c>
      <x:c r="U143" s="12" t="str">
        <x:v>Returned</x:v>
      </x:c>
    </x:row>
    <x:row r="144">
      <x:c r="A144" s="12" t="str">
        <x:v>ORD-2024-10143</x:v>
      </x:c>
      <x:c r="B144" s="12" t="str">
        <x:v>30 Mar 2024</x:v>
      </x:c>
      <x:c r="C144" s="12" t="str">
        <x:v>26 Mar 2024</x:v>
      </x:c>
      <x:c r="D144" s="12" t="str">
        <x:v>CUST-8944</x:v>
      </x:c>
      <x:c r="E144" s="12" t="str">
        <x:v>Aditi Sen</x:v>
      </x:c>
      <x:c r="F144" s="12" t="str">
        <x:v>Home Office</x:v>
      </x:c>
      <x:c r="G144" s="12" t="str">
        <x:v>North</x:v>
      </x:c>
      <x:c r="H144" s="12" t="str">
        <x:v>Rajasthan</x:v>
      </x:c>
      <x:c r="I144" s="12" t="str">
        <x:v>Jaipur</x:v>
      </x:c>
      <x:c r="J144" s="12" t="str">
        <x:v>Technology</x:v>
      </x:c>
      <x:c r="K144" s="12" t="str">
        <x:v>Phones</x:v>
      </x:c>
      <x:c r="L144" s="12" t="str">
        <x:v>Classic Phones 142</x:v>
      </x:c>
      <x:c r="M144" s="12" t="str">
        <x:v>Second Class</x:v>
      </x:c>
      <x:c r="N144" s="12" t="n">
        <x:v>5</x:v>
      </x:c>
      <x:c r="O144" s="12" t="n">
        <x:v>907.54</x:v>
      </x:c>
      <x:c r="P144" s="12" t="n">
        <x:v>0.15</x:v>
      </x:c>
      <x:c r="Q144" s="12" t="n">
        <x:v>3857.04</x:v>
      </x:c>
      <x:c r="R144" s="12" t="n">
        <x:v>2769.26</x:v>
      </x:c>
      <x:c r="S144" s="12" t="n">
        <x:v>1087.78</x:v>
      </x:c>
      <x:c r="T144" s="12" t="str">
        <x:v>Paid</x:v>
      </x:c>
      <x:c r="U144" s="12" t="str">
        <x:v>Completed</x:v>
      </x:c>
    </x:row>
    <x:row r="145">
      <x:c r="A145" s="12" t="str">
        <x:v>ORD-2024-10144</x:v>
      </x:c>
      <x:c r="B145" s="12" t="str">
        <x:v>03/24/2024</x:v>
      </x:c>
      <x:c r="C145" s="12" t="str">
        <x:v>2024-03-26</x:v>
      </x:c>
      <x:c r="D145" s="12" t="str">
        <x:v>CUST-3144</x:v>
      </x:c>
      <x:c r="E145" s="12" t="str">
        <x:v>Priya Menon</x:v>
      </x:c>
      <x:c r="F145" s="12" t="str">
        <x:v>Consumer</x:v>
      </x:c>
      <x:c r="G145" s="12" t="str">
        <x:v>West</x:v>
      </x:c>
      <x:c r="H145" s="12" t="str">
        <x:v>Gujarat</x:v>
      </x:c>
      <x:c r="I145" s="12" t="str">
        <x:v>Ahmedabad</x:v>
      </x:c>
      <x:c r="J145" s="12" t="str">
        <x:v>Office Supplies</x:v>
      </x:c>
      <x:c r="K145" s="12" t="str">
        <x:v>Paper</x:v>
      </x:c>
      <x:c r="L145" s="12" t="str">
        <x:v>Pro Paper 575</x:v>
      </x:c>
      <x:c r="M145" s="12" t="str">
        <x:v>Second Class</x:v>
      </x:c>
      <x:c r="N145" s="12" t="n">
        <x:v>1</x:v>
      </x:c>
      <x:c r="O145" s="12" t="n">
        <x:v>3409.5</x:v>
      </x:c>
      <x:c r="P145" s="12" t="n">
        <x:v>0.1</x:v>
      </x:c>
      <x:c r="Q145" s="12" t="n">
        <x:v>3068.55</x:v>
      </x:c>
      <x:c r="R145" s="12" t="n">
        <x:v>1916.16</x:v>
      </x:c>
      <x:c r="S145" s="12" t="n">
        <x:v>1152.39</x:v>
      </x:c>
      <x:c r="T145" s="12" t="str">
        <x:v>Paid</x:v>
      </x:c>
      <x:c r="U145" s="12" t="str">
        <x:v>Returned</x:v>
      </x:c>
    </x:row>
    <x:row r="146">
      <x:c r="A146" s="12" t="str">
        <x:v>ORD-2024-10145</x:v>
      </x:c>
      <x:c r="B146" s="12" t="str">
        <x:v>07-06-2024</x:v>
      </x:c>
      <x:c r="C146" s="12" t="str">
        <x:v>2024-06-15</x:v>
      </x:c>
      <x:c r="D146" s="12" t="str">
        <x:v>CUST-6747</x:v>
      </x:c>
      <x:c r="E146" s="12" t="str">
        <x:v>Kabir Singh</x:v>
      </x:c>
      <x:c r="F146" s="12" t="str">
        <x:v>Small Business</x:v>
      </x:c>
      <x:c r="G146" s="12" t="str">
        <x:v>South</x:v>
      </x:c>
      <x:c r="H146" s="12" t="str">
        <x:v>Telangana</x:v>
      </x:c>
      <x:c r="I146" s="12" t="str">
        <x:v>Hyderabad</x:v>
      </x:c>
      <x:c r="J146" s="12" t="str">
        <x:v>Technology</x:v>
      </x:c>
      <x:c r="K146" s="12" t="str">
        <x:v>Accessories</x:v>
      </x:c>
      <x:c r="L146" s="12" t="str">
        <x:v>Elite Accessories 905</x:v>
      </x:c>
      <x:c r="M146" s="12" t="str">
        <x:v>First Class</x:v>
      </x:c>
      <x:c r="N146" s="12" t="n">
        <x:v>7</x:v>
      </x:c>
      <x:c r="O146" s="12" t="n">
        <x:v>2147.99</x:v>
      </x:c>
      <x:c r="P146" s="12" t="n">
        <x:v>0.25</x:v>
      </x:c>
      <x:c r="Q146" s="12" t="n">
        <x:v>11276.95</x:v>
      </x:c>
      <x:c r="R146" s="12" t="n">
        <x:v>6908.76</x:v>
      </x:c>
      <x:c r="S146" s="12" t="n">
        <x:v>4368.19</x:v>
      </x:c>
      <x:c r="T146" s="12" t="str">
        <x:v>Refunded</x:v>
      </x:c>
      <x:c r="U146" s="12" t="str">
        <x:v>Returned</x:v>
      </x:c>
    </x:row>
    <x:row r="147">
      <x:c r="A147" s="12" t="str">
        <x:v>ORD-2025-10146</x:v>
      </x:c>
      <x:c r="B147" s="12" t="str">
        <x:v>11-04-2025</x:v>
      </x:c>
      <x:c r="C147" s="12" t="str">
        <x:v>04/13/2025</x:v>
      </x:c>
      <x:c r="D147" s="12" t="str">
        <x:v>CUST-6161</x:v>
      </x:c>
      <x:c r="E147" s="12" t="str">
        <x:v>Mira Das</x:v>
      </x:c>
      <x:c r="F147" s="12" t="str">
        <x:v>Small Business</x:v>
      </x:c>
      <x:c r="G147" s="12" t="str">
        <x:v>West</x:v>
      </x:c>
      <x:c r="H147" s="12" t="str">
        <x:v>Goa</x:v>
      </x:c>
      <x:c r="I147" s="12" t="str">
        <x:v>Panaji</x:v>
      </x:c>
      <x:c r="J147" s="12" t="str">
        <x:v>Office Supplies</x:v>
      </x:c>
      <x:c r="K147" s="12" t="str">
        <x:v>Paper</x:v>
      </x:c>
      <x:c r="L147" s="12" t="str">
        <x:v>Smart Paper 899</x:v>
      </x:c>
      <x:c r="M147" s="12" t="str">
        <x:v>Standard Class</x:v>
      </x:c>
      <x:c r="N147" s="12" t="n">
        <x:v>4</x:v>
      </x:c>
      <x:c r="O147" s="12" t="n">
        <x:v>4182.15</x:v>
      </x:c>
      <x:c r="P147" s="12" t="n">
        <x:v>0.1</x:v>
      </x:c>
      <x:c r="Q147" s="12" t="n">
        <x:v>15055.74</x:v>
      </x:c>
      <x:c r="R147" s="12" t="n">
        <x:v>9808.83</x:v>
      </x:c>
      <x:c r="S147" s="12" t="n">
        <x:v>5246.91</x:v>
      </x:c>
      <x:c r="T147" s="12" t="str">
        <x:v>Paid</x:v>
      </x:c>
      <x:c r="U147" s="12" t="str">
        <x:v>Completed</x:v>
      </x:c>
    </x:row>
    <x:row r="148">
      <x:c r="A148" s="12" t="str">
        <x:v>ORD-2025-10147</x:v>
      </x:c>
      <x:c r="B148" s="12" t="str">
        <x:v>30 Jul 2025</x:v>
      </x:c>
      <x:c r="C148" s="12" t="str">
        <x:v>08/01/2025</x:v>
      </x:c>
      <x:c r="D148" s="12" t="str">
        <x:v>CUST-1460</x:v>
      </x:c>
      <x:c r="E148" s="12" t="str">
        <x:v>Sneha Kapoor</x:v>
      </x:c>
      <x:c r="F148" s="12" t="str">
        <x:v>Small Business</x:v>
      </x:c>
      <x:c r="G148" s="12" t="str">
        <x:v>South</x:v>
      </x:c>
      <x:c r="H148" s="12" t="str">
        <x:v>Tamil Nadu</x:v>
      </x:c>
      <x:c r="I148" s="12" t="str">
        <x:v>Chennai</x:v>
      </x:c>
      <x:c r="J148" s="12" t="str">
        <x:v>Office Supplies</x:v>
      </x:c>
      <x:c r="K148" s="12" t="str">
        <x:v>Storage</x:v>
      </x:c>
      <x:c r="L148" s="12" t="str">
        <x:v>Classic Storage 423</x:v>
      </x:c>
      <x:c r="M148" s="12" t="str">
        <x:v>Same Day</x:v>
      </x:c>
      <x:c r="N148" s="12" t="n">
        <x:v>9</x:v>
      </x:c>
      <x:c r="O148" s="12" t="n">
        <x:v>3165.43</x:v>
      </x:c>
      <x:c r="P148" s="12" t="n">
        <x:v>0.1</x:v>
      </x:c>
      <x:c r="Q148" s="12" t="n">
        <x:v>25639.98</x:v>
      </x:c>
      <x:c r="R148" s="12" t="n">
        <x:v>21635.08</x:v>
      </x:c>
      <x:c r="S148" s="12" t="n">
        <x:v>4004.9</x:v>
      </x:c>
      <x:c r="T148" s="12" t="str">
        <x:v>Paid</x:v>
      </x:c>
      <x:c r="U148" s="12" t="str">
        <x:v>Completed</x:v>
      </x:c>
    </x:row>
    <x:row r="149">
      <x:c r="A149" s="12" t="str">
        <x:v>ORD-2024-10148</x:v>
      </x:c>
      <x:c r="B149" s="12" t="str">
        <x:v>23-12-2024</x:v>
      </x:c>
      <x:c r="C149" s="12" t="str">
        <x:v>2024-12-30</x:v>
      </x:c>
      <x:c r="D149" s="12" t="str">
        <x:v>CUST-2692</x:v>
      </x:c>
      <x:c r="E149" s="12" t="str">
        <x:v>Priya Menon</x:v>
      </x:c>
      <x:c r="F149" s="12" t="str">
        <x:v>Home Office</x:v>
      </x:c>
      <x:c r="G149" s="12" t="str">
        <x:v>West</x:v>
      </x:c>
      <x:c r="H149" s="12" t="str">
        <x:v>Goa</x:v>
      </x:c>
      <x:c r="I149" s="12" t="str">
        <x:v>Panaji</x:v>
      </x:c>
      <x:c r="J149" s="12" t="str">
        <x:v>Furniture</x:v>
      </x:c>
      <x:c r="K149" s="12" t="str">
        <x:v>Furnishings</x:v>
      </x:c>
      <x:c r="L149" s="12" t="str">
        <x:v>Classic Furnishings 743</x:v>
      </x:c>
      <x:c r="M149" s="12" t="str">
        <x:v>First Class</x:v>
      </x:c>
      <x:c r="N149" s="12" t="n">
        <x:v>8</x:v>
      </x:c>
      <x:c r="O149" s="12" t="n">
        <x:v>386.1</x:v>
      </x:c>
      <x:c r="P149" s="12" t="n">
        <x:v>0.1</x:v>
      </x:c>
      <x:c r="Q149" s="12" t="n">
        <x:v>2779.92</x:v>
      </x:c>
      <x:c r="R149" s="12" t="n">
        <x:v>1744.05</x:v>
      </x:c>
      <x:c r="S149" s="12" t="n">
        <x:v>1035.87</x:v>
      </x:c>
      <x:c r="T149" s="12" t="str">
        <x:v>Paid</x:v>
      </x:c>
      <x:c r="U149" s="12" t="str">
        <x:v>Completed</x:v>
      </x:c>
    </x:row>
    <x:row r="150">
      <x:c r="A150" s="12" t="str">
        <x:v>ORD-2025-10149</x:v>
      </x:c>
      <x:c r="B150" s="12" t="str">
        <x:v>09 Feb 2025</x:v>
      </x:c>
      <x:c r="C150" s="12" t="str">
        <x:v>13-02-2025</x:v>
      </x:c>
      <x:c r="D150" s="12" t="str">
        <x:v>CUST-2822</x:v>
      </x:c>
      <x:c r="E150" s="12" t="str">
        <x:v>Mira Das</x:v>
      </x:c>
      <x:c r="F150" s="12" t="str">
        <x:v>Home Office</x:v>
      </x:c>
      <x:c r="G150" s="12" t="str">
        <x:v>West</x:v>
      </x:c>
      <x:c r="H150" s="12" t="str">
        <x:v>Madhya Pradesh</x:v>
      </x:c>
      <x:c r="I150" s="12" t="str">
        <x:v>Indore</x:v>
      </x:c>
      <x:c r="J150" s="12" t="str">
        <x:v>Technology</x:v>
      </x:c>
      <x:c r="K150" s="12" t="str">
        <x:v>Phones</x:v>
      </x:c>
      <x:c r="L150" s="12" t="str">
        <x:v>Smart Phones 336</x:v>
      </x:c>
      <x:c r="M150" s="12"/>
      <x:c r="N150" s="12" t="n">
        <x:v>8</x:v>
      </x:c>
      <x:c r="O150" s="12" t="n">
        <x:v>1696.07</x:v>
      </x:c>
      <x:c r="P150" s="12" t="n">
        <x:v>0.25</x:v>
      </x:c>
      <x:c r="Q150" s="12" t="n">
        <x:v>10176.42</x:v>
      </x:c>
      <x:c r="R150" s="12" t="n">
        <x:v>7604.47</x:v>
      </x:c>
      <x:c r="S150" s="12" t="n">
        <x:v>2571.95</x:v>
      </x:c>
      <x:c r="T150" s="12" t="str">
        <x:v>Paid</x:v>
      </x:c>
      <x:c r="U150" s="12" t="str">
        <x:v>Completed</x:v>
      </x:c>
    </x:row>
    <x:row r="151">
      <x:c r="A151" s="12" t="str">
        <x:v>ORD-2024-10150</x:v>
      </x:c>
      <x:c r="B151" s="12" t="str">
        <x:v>30-01-2024</x:v>
      </x:c>
      <x:c r="C151" s="12" t="str">
        <x:v>30-01-2024</x:v>
      </x:c>
      <x:c r="D151" s="12" t="str">
        <x:v>CUST-5876</x:v>
      </x:c>
      <x:c r="E151" s="12" t="str">
        <x:v>Aarav Sharma</x:v>
      </x:c>
      <x:c r="F151" s="12" t="str">
        <x:v>Small Business</x:v>
      </x:c>
      <x:c r="G151" s="12" t="str">
        <x:v>west</x:v>
      </x:c>
      <x:c r="H151" s="12" t="str">
        <x:v>Rajasthan</x:v>
      </x:c>
      <x:c r="I151" s="12" t="str">
        <x:v>Udaipur</x:v>
      </x:c>
      <x:c r="J151" s="12" t="str">
        <x:v>Technology</x:v>
      </x:c>
      <x:c r="K151" s="12" t="str">
        <x:v>Copiers</x:v>
      </x:c>
      <x:c r="L151" s="12" t="str">
        <x:v>Eco Copiers 381</x:v>
      </x:c>
      <x:c r="M151" s="12" t="str">
        <x:v>Same Day</x:v>
      </x:c>
      <x:c r="N151" s="12" t="n">
        <x:v>7</x:v>
      </x:c>
      <x:c r="O151" s="12" t="n">
        <x:v>2527.61</x:v>
      </x:c>
      <x:c r="P151" s="12" t="n">
        <x:v>0.25</x:v>
      </x:c>
      <x:c r="Q151" s="12" t="n">
        <x:v>13269.95</x:v>
      </x:c>
      <x:c r="R151" s="12" t="n">
        <x:v>8977.1</x:v>
      </x:c>
      <x:c r="S151" s="12" t="n">
        <x:v>4292.85</x:v>
      </x:c>
      <x:c r="T151" s="12" t="str">
        <x:v>Paid</x:v>
      </x:c>
      <x:c r="U151" s="12" t="str">
        <x:v>Completed</x:v>
      </x:c>
    </x:row>
    <x:row r="152">
      <x:c r="A152" s="12" t="str">
        <x:v>ORD-2024-10151</x:v>
      </x:c>
      <x:c r="B152" s="12" t="str">
        <x:v>04-03-2024</x:v>
      </x:c>
      <x:c r="C152" s="12" t="str">
        <x:v>2024-03-12</x:v>
      </x:c>
      <x:c r="D152" s="12" t="str">
        <x:v>CUST-4661</x:v>
      </x:c>
      <x:c r="E152" s="12" t="str">
        <x:v>Arjun Bose</x:v>
      </x:c>
      <x:c r="F152" s="12" t="str">
        <x:v>Consumer</x:v>
      </x:c>
      <x:c r="G152" s="12"/>
      <x:c r="H152" s="12" t="str">
        <x:v>Gujarat</x:v>
      </x:c>
      <x:c r="I152" s="12" t="str">
        <x:v>Ahmedabad</x:v>
      </x:c>
      <x:c r="J152" s="12" t="str">
        <x:v>Furniture</x:v>
      </x:c>
      <x:c r="K152" s="12" t="str">
        <x:v>Bookcases</x:v>
      </x:c>
      <x:c r="L152" s="12" t="str">
        <x:v>Max Bookcases 595</x:v>
      </x:c>
      <x:c r="M152" s="12" t="str">
        <x:v>First Class</x:v>
      </x:c>
      <x:c r="N152" s="12" t="n">
        <x:v>1</x:v>
      </x:c>
      <x:c r="O152" s="12" t="n">
        <x:v>1554.12</x:v>
      </x:c>
      <x:c r="P152" s="12" t="n">
        <x:v>0.1</x:v>
      </x:c>
      <x:c r="Q152" s="12" t="n">
        <x:v>1398.71</x:v>
      </x:c>
      <x:c r="R152" s="12" t="n">
        <x:v>1056.92</x:v>
      </x:c>
      <x:c r="S152" s="12" t="n">
        <x:v>341.79</x:v>
      </x:c>
      <x:c r="T152" s="12" t="str">
        <x:v>Paid</x:v>
      </x:c>
      <x:c r="U152" s="12" t="str">
        <x:v>Completed</x:v>
      </x:c>
    </x:row>
    <x:row r="153">
      <x:c r="A153" s="12" t="str">
        <x:v>ORD-2024-10152</x:v>
      </x:c>
      <x:c r="B153" s="12" t="str">
        <x:v>27 Jun 2024</x:v>
      </x:c>
      <x:c r="C153" s="12" t="str">
        <x:v>06/27/2024</x:v>
      </x:c>
      <x:c r="D153" s="12" t="str">
        <x:v>CUST-6011</x:v>
      </x:c>
      <x:c r="E153" s="12" t="str">
        <x:v>Neha Gupta</x:v>
      </x:c>
      <x:c r="F153" s="12" t="str">
        <x:v>Home Office</x:v>
      </x:c>
      <x:c r="G153" s="12"/>
      <x:c r="H153" s="12" t="str">
        <x:v>Madhya Pradesh</x:v>
      </x:c>
      <x:c r="I153" s="12" t="str">
        <x:v>Indore</x:v>
      </x:c>
      <x:c r="J153" s="12" t="str">
        <x:v>Technology</x:v>
      </x:c>
      <x:c r="K153" s="12" t="str">
        <x:v>Copiers</x:v>
      </x:c>
      <x:c r="L153" s="12" t="str">
        <x:v>Max Copiers 992</x:v>
      </x:c>
      <x:c r="M153" s="12" t="str">
        <x:v>Standard Class</x:v>
      </x:c>
      <x:c r="N153" s="12" t="n">
        <x:v>2</x:v>
      </x:c>
      <x:c r="O153" s="12" t="n">
        <x:v>3859.11</x:v>
      </x:c>
      <x:c r="P153" s="12" t="n">
        <x:v>0</x:v>
      </x:c>
      <x:c r="Q153" s="12" t="n">
        <x:v>7718.22</x:v>
      </x:c>
      <x:c r="R153" s="12" t="n">
        <x:v>5355.93</x:v>
      </x:c>
      <x:c r="S153" s="12" t="n">
        <x:v>2362.29</x:v>
      </x:c>
      <x:c r="T153" s="12" t="str">
        <x:v>Pending</x:v>
      </x:c>
      <x:c r="U153" s="12" t="str">
        <x:v>Returned</x:v>
      </x:c>
    </x:row>
    <x:row r="154">
      <x:c r="A154" s="12" t="str">
        <x:v>ORD-2024-10153</x:v>
      </x:c>
      <x:c r="B154" s="12" t="str">
        <x:v>14 Jun 2024</x:v>
      </x:c>
      <x:c r="C154" s="12" t="str">
        <x:v>06/17/2024</x:v>
      </x:c>
      <x:c r="D154" s="12" t="str">
        <x:v>CUST-6160</x:v>
      </x:c>
      <x:c r="E154" s="12" t="str">
        <x:v>Kabir Singh</x:v>
      </x:c>
      <x:c r="F154" s="12" t="str">
        <x:v>Small Business</x:v>
      </x:c>
      <x:c r="G154" s="12" t="str">
        <x:v>South</x:v>
      </x:c>
      <x:c r="H154" s="12" t="str">
        <x:v>Kerala</x:v>
      </x:c>
      <x:c r="I154" s="12" t="str">
        <x:v>Kochi</x:v>
      </x:c>
      <x:c r="J154" s="12" t="str">
        <x:v>Furniture</x:v>
      </x:c>
      <x:c r="K154" s="12" t="str">
        <x:v>Tables</x:v>
      </x:c>
      <x:c r="L154" s="12" t="str">
        <x:v>Pro Tables 407</x:v>
      </x:c>
      <x:c r="M154" s="12" t="str">
        <x:v>Second Class</x:v>
      </x:c>
      <x:c r="N154" s="12" t="n">
        <x:v>6</x:v>
      </x:c>
      <x:c r="O154" s="12" t="n">
        <x:v>1088.04</x:v>
      </x:c>
      <x:c r="P154" s="12" t="n">
        <x:v>0.1</x:v>
      </x:c>
      <x:c r="Q154" s="12" t="n">
        <x:v>5875.42</x:v>
      </x:c>
      <x:c r="R154" s="12" t="n">
        <x:v>4380.55</x:v>
      </x:c>
      <x:c r="S154" s="12" t="n">
        <x:v>1494.87</x:v>
      </x:c>
      <x:c r="T154" s="12" t="str">
        <x:v>Pending</x:v>
      </x:c>
      <x:c r="U154" s="12" t="str">
        <x:v>Returned</x:v>
      </x:c>
    </x:row>
    <x:row r="155">
      <x:c r="A155" s="12" t="str">
        <x:v>ORD-2025-10154</x:v>
      </x:c>
      <x:c r="B155" s="12" t="str">
        <x:v>23 Sep 2025</x:v>
      </x:c>
      <x:c r="C155" s="12" t="str">
        <x:v>2025-09-25</x:v>
      </x:c>
      <x:c r="D155" s="12" t="str">
        <x:v>CUST-6971</x:v>
      </x:c>
      <x:c r="E155" s="12" t="str">
        <x:v>Aditi Sen</x:v>
      </x:c>
      <x:c r="F155" s="12" t="str">
        <x:v>Consumer</x:v>
      </x:c>
      <x:c r="G155" s="12" t="str">
        <x:v>East</x:v>
      </x:c>
      <x:c r="H155" s="12" t="str">
        <x:v>Odisha</x:v>
      </x:c>
      <x:c r="I155" s="12" t="str">
        <x:v>Bhubaneswar</x:v>
      </x:c>
      <x:c r="J155" s="12" t="str">
        <x:v>Office Supplies</x:v>
      </x:c>
      <x:c r="K155" s="12" t="str">
        <x:v>Labels</x:v>
      </x:c>
      <x:c r="L155" s="12" t="str">
        <x:v>Prime Labels 559</x:v>
      </x:c>
      <x:c r="M155" s="12" t="str">
        <x:v>Standard Class</x:v>
      </x:c>
      <x:c r="N155" s="12" t="n">
        <x:v>7</x:v>
      </x:c>
      <x:c r="O155" s="12" t="n">
        <x:v>3280.31</x:v>
      </x:c>
      <x:c r="P155" s="12" t="n">
        <x:v>0</x:v>
      </x:c>
      <x:c r="Q155" s="12" t="n">
        <x:v>22962.17</x:v>
      </x:c>
      <x:c r="R155" s="12" t="n">
        <x:v>15716.5</x:v>
      </x:c>
      <x:c r="S155" s="12" t="n">
        <x:v>7245.67</x:v>
      </x:c>
      <x:c r="T155" s="12" t="str">
        <x:v>Refunded</x:v>
      </x:c>
      <x:c r="U155" s="12" t="str">
        <x:v>Returned</x:v>
      </x:c>
    </x:row>
    <x:row r="156">
      <x:c r="A156" s="12" t="str">
        <x:v>ORD-2024-10155</x:v>
      </x:c>
      <x:c r="B156" s="12" t="str">
        <x:v>12 Feb 2024</x:v>
      </x:c>
      <x:c r="C156" s="12" t="str">
        <x:v>02/11/2024</x:v>
      </x:c>
      <x:c r="D156" s="12" t="str">
        <x:v>CUST-7764</x:v>
      </x:c>
      <x:c r="E156" s="12" t="str">
        <x:v>Priya Menon</x:v>
      </x:c>
      <x:c r="F156" s="12" t="str">
        <x:v>Consumer</x:v>
      </x:c>
      <x:c r="G156" s="12" t="str">
        <x:v>South</x:v>
      </x:c>
      <x:c r="H156" s="12" t="str">
        <x:v>Tamil Nadu</x:v>
      </x:c>
      <x:c r="I156" s="12" t="str">
        <x:v>Chennai</x:v>
      </x:c>
      <x:c r="J156" s="12" t="str">
        <x:v>Furniture</x:v>
      </x:c>
      <x:c r="K156" s="12" t="str">
        <x:v>Bookcases</x:v>
      </x:c>
      <x:c r="L156" s="12" t="str">
        <x:v>Classic Bookcases 847</x:v>
      </x:c>
      <x:c r="M156" s="12" t="str">
        <x:v>Same Day</x:v>
      </x:c>
      <x:c r="N156" s="12" t="n">
        <x:v>1</x:v>
      </x:c>
      <x:c r="O156" s="12" t="n">
        <x:v>2599.12</x:v>
      </x:c>
      <x:c r="P156" s="12" t="n">
        <x:v>0.15</x:v>
      </x:c>
      <x:c r="Q156" s="12" t="n">
        <x:v>2209.25</x:v>
      </x:c>
      <x:c r="R156" s="12" t="n">
        <x:v>1523.78</x:v>
      </x:c>
      <x:c r="S156" s="12" t="n">
        <x:v>685.47</x:v>
      </x:c>
      <x:c r="T156" s="12" t="str">
        <x:v>Paid</x:v>
      </x:c>
      <x:c r="U156" s="12" t="str">
        <x:v>Completed</x:v>
      </x:c>
    </x:row>
    <x:row r="157">
      <x:c r="A157" s="12" t="str">
        <x:v>ORD-2025-10156</x:v>
      </x:c>
      <x:c r="B157" s="12" t="str">
        <x:v>01/26/2025</x:v>
      </x:c>
      <x:c r="C157" s="12" t="str">
        <x:v>03 Feb 2025</x:v>
      </x:c>
      <x:c r="D157" s="12" t="str">
        <x:v>CUST-8327</x:v>
      </x:c>
      <x:c r="E157" s="12" t="str">
        <x:v>Karan Malhotra</x:v>
      </x:c>
      <x:c r="F157" s="12" t="str">
        <x:v>Corporate</x:v>
      </x:c>
      <x:c r="G157" s="12" t="str">
        <x:v>West</x:v>
      </x:c>
      <x:c r="H157" s="12" t="str">
        <x:v>Rajasthan</x:v>
      </x:c>
      <x:c r="I157" s="12" t="str">
        <x:v>Udaipur</x:v>
      </x:c>
      <x:c r="J157" s="12" t="str">
        <x:v>Furniture</x:v>
      </x:c>
      <x:c r="K157" s="12" t="str">
        <x:v>Furnishings</x:v>
      </x:c>
      <x:c r="L157" s="12" t="str">
        <x:v>Classic Furnishings 655</x:v>
      </x:c>
      <x:c r="M157" s="12" t="str">
        <x:v>Same Day</x:v>
      </x:c>
      <x:c r="N157" s="12" t="n">
        <x:v>3</x:v>
      </x:c>
      <x:c r="O157" s="12" t="n">
        <x:v>2859.32</x:v>
      </x:c>
      <x:c r="P157" s="12" t="n">
        <x:v>0.1</x:v>
      </x:c>
      <x:c r="Q157" s="12" t="n">
        <x:v>7720.16</x:v>
      </x:c>
      <x:c r="R157" s="12" t="n">
        <x:v>5881</x:v>
      </x:c>
      <x:c r="S157" s="12" t="n">
        <x:v>1839.16</x:v>
      </x:c>
      <x:c r="T157" s="12" t="str">
        <x:v>Refunded</x:v>
      </x:c>
      <x:c r="U157" s="12" t="str">
        <x:v>Returned</x:v>
      </x:c>
    </x:row>
    <x:row r="158">
      <x:c r="A158" s="12" t="str">
        <x:v>ORD-2025-10157</x:v>
      </x:c>
      <x:c r="B158" s="12" t="str">
        <x:v>27-03-2025</x:v>
      </x:c>
      <x:c r="C158" s="12" t="str">
        <x:v>27 Mar 2025</x:v>
      </x:c>
      <x:c r="D158" s="12" t="str">
        <x:v>CUST-4058</x:v>
      </x:c>
      <x:c r="E158" s="12" t="str">
        <x:v>Vikram Iyer</x:v>
      </x:c>
      <x:c r="F158" s="12" t="str">
        <x:v>Small Business</x:v>
      </x:c>
      <x:c r="G158" s="12" t="str">
        <x:v>East</x:v>
      </x:c>
      <x:c r="H158" s="12" t="str">
        <x:v>Bihar</x:v>
      </x:c>
      <x:c r="I158" s="12" t="str">
        <x:v>Patna</x:v>
      </x:c>
      <x:c r="J158" s="12" t="str">
        <x:v>Technology</x:v>
      </x:c>
      <x:c r="K158" s="12" t="str">
        <x:v>Machines</x:v>
      </x:c>
      <x:c r="L158" s="12" t="str">
        <x:v>Eco Machines 657</x:v>
      </x:c>
      <x:c r="M158" s="12" t="str">
        <x:v>Second Class</x:v>
      </x:c>
      <x:c r="N158" s="12" t="n">
        <x:v>7</x:v>
      </x:c>
      <x:c r="O158" s="12" t="n">
        <x:v>2305.37</x:v>
      </x:c>
      <x:c r="P158" s="12" t="n">
        <x:v>0.25</x:v>
      </x:c>
      <x:c r="Q158" s="12" t="n">
        <x:v>12103.19</x:v>
      </x:c>
      <x:c r="R158" s="12" t="n">
        <x:v>6717.87</x:v>
      </x:c>
      <x:c r="S158" s="12" t="n">
        <x:v>5385.32</x:v>
      </x:c>
      <x:c r="T158" s="12" t="str">
        <x:v>Paid</x:v>
      </x:c>
      <x:c r="U158" s="12" t="str">
        <x:v>Completed </x:v>
      </x:c>
    </x:row>
    <x:row r="159">
      <x:c r="A159" s="12" t="str">
        <x:v>ORD-2024-10158</x:v>
      </x:c>
      <x:c r="B159" s="12" t="str">
        <x:v>10/22/2024</x:v>
      </x:c>
      <x:c r="C159" s="12" t="str">
        <x:v>24-10-2024</x:v>
      </x:c>
      <x:c r="D159" s="12" t="str">
        <x:v>CUST-1142</x:v>
      </x:c>
      <x:c r="E159" s="12" t="str">
        <x:v>Rohan Mehta</x:v>
      </x:c>
      <x:c r="F159" s="12" t="str">
        <x:v>Small Business</x:v>
      </x:c>
      <x:c r="G159" s="12" t="str">
        <x:v>South</x:v>
      </x:c>
      <x:c r="H159" s="12" t="str">
        <x:v>Andhra Pradesh</x:v>
      </x:c>
      <x:c r="I159" s="12" t="str">
        <x:v>Vijayawada</x:v>
      </x:c>
      <x:c r="J159" s="12" t="str">
        <x:v>Furniture</x:v>
      </x:c>
      <x:c r="K159" s="12" t="str">
        <x:v>Bookcases</x:v>
      </x:c>
      <x:c r="L159" s="12" t="str">
        <x:v>Pro Bookcases 430</x:v>
      </x:c>
      <x:c r="M159" s="12" t="str">
        <x:v>Standard Class</x:v>
      </x:c>
      <x:c r="N159" s="12" t="n">
        <x:v>3</x:v>
      </x:c>
      <x:c r="O159" s="12" t="n">
        <x:v>915.84</x:v>
      </x:c>
      <x:c r="P159" s="12" t="n">
        <x:v>0.15</x:v>
      </x:c>
      <x:c r="Q159" s="12" t="n">
        <x:v>2335.39</x:v>
      </x:c>
      <x:c r="R159" s="12" t="n">
        <x:v>1466.15</x:v>
      </x:c>
      <x:c r="S159" s="12" t="n">
        <x:v>869.24</x:v>
      </x:c>
      <x:c r="T159" s="12" t="str">
        <x:v>Paid</x:v>
      </x:c>
      <x:c r="U159" s="12" t="str">
        <x:v>Completed</x:v>
      </x:c>
    </x:row>
    <x:row r="160">
      <x:c r="A160" s="12" t="str">
        <x:v>ORD-2024-10159</x:v>
      </x:c>
      <x:c r="B160" s="12" t="str">
        <x:v>2024-09-09</x:v>
      </x:c>
      <x:c r="C160" s="12" t="str">
        <x:v>09/11/2024</x:v>
      </x:c>
      <x:c r="D160" s="12" t="str">
        <x:v>CUST-2324</x:v>
      </x:c>
      <x:c r="E160" s="12" t="str">
        <x:v>Neha Gupta</x:v>
      </x:c>
      <x:c r="F160" s="12" t="str">
        <x:v>Home Office</x:v>
      </x:c>
      <x:c r="G160" s="12" t="str">
        <x:v>South</x:v>
      </x:c>
      <x:c r="H160" s="12" t="str">
        <x:v>Telangana</x:v>
      </x:c>
      <x:c r="I160" s="12" t="str">
        <x:v>Hyderabad</x:v>
      </x:c>
      <x:c r="J160" s="12" t="str">
        <x:v>Furniture</x:v>
      </x:c>
      <x:c r="K160" s="12" t="str">
        <x:v>Bookcases</x:v>
      </x:c>
      <x:c r="L160" s="12" t="str">
        <x:v>Max Bookcases 881</x:v>
      </x:c>
      <x:c r="M160" s="12" t="str">
        <x:v>First Class</x:v>
      </x:c>
      <x:c r="N160" s="12" t="n">
        <x:v>1</x:v>
      </x:c>
      <x:c r="O160" s="12" t="n">
        <x:v>4199.54</x:v>
      </x:c>
      <x:c r="P160" s="12" t="n">
        <x:v>0.05</x:v>
      </x:c>
      <x:c r="Q160" s="12" t="n">
        <x:v>3989.56</x:v>
      </x:c>
      <x:c r="R160" s="12" t="n">
        <x:v>2381.38</x:v>
      </x:c>
      <x:c r="S160" s="12" t="n">
        <x:v>1608.18</x:v>
      </x:c>
      <x:c r="T160" s="12" t="str">
        <x:v>Paid</x:v>
      </x:c>
      <x:c r="U160" s="12" t="str">
        <x:v>Completed</x:v>
      </x:c>
    </x:row>
    <x:row r="161">
      <x:c r="A161" s="12" t="str">
        <x:v>ORD-2025-10160</x:v>
      </x:c>
      <x:c r="B161" s="12" t="str">
        <x:v>2025-01-30</x:v>
      </x:c>
      <x:c r="C161" s="12" t="str">
        <x:v>04-02-2025</x:v>
      </x:c>
      <x:c r="D161" s="12" t="str">
        <x:v>CUST-7717</x:v>
      </x:c>
      <x:c r="E161" s="12" t="str">
        <x:v>Priya Menon</x:v>
      </x:c>
      <x:c r="F161" s="12" t="str">
        <x:v>Corporate</x:v>
      </x:c>
      <x:c r="G161" s="12" t="str">
        <x:v>North</x:v>
      </x:c>
      <x:c r="H161" s="12" t="str">
        <x:v>Haryana</x:v>
      </x:c>
      <x:c r="I161" s="12" t="str">
        <x:v>Gurugram</x:v>
      </x:c>
      <x:c r="J161" s="12" t="str">
        <x:v>Furniture</x:v>
      </x:c>
      <x:c r="K161" s="12" t="str">
        <x:v>Chairs</x:v>
      </x:c>
      <x:c r="L161" s="12" t="str">
        <x:v>Elite Chairs 998</x:v>
      </x:c>
      <x:c r="M161" s="12" t="str">
        <x:v>Same Day</x:v>
      </x:c>
      <x:c r="N161" s="12" t="n">
        <x:v>9</x:v>
      </x:c>
      <x:c r="O161" s="12" t="n">
        <x:v>4430.5</x:v>
      </x:c>
      <x:c r="P161" s="12" t="n">
        <x:v>0.15</x:v>
      </x:c>
      <x:c r="Q161" s="12" t="n">
        <x:v>33893.32</x:v>
      </x:c>
      <x:c r="R161" s="12" t="n">
        <x:v>25750.35</x:v>
      </x:c>
      <x:c r="S161" s="12" t="n">
        <x:v>8142.97</x:v>
      </x:c>
      <x:c r="T161" s="12" t="str">
        <x:v>Pending</x:v>
      </x:c>
      <x:c r="U161" s="12" t="str">
        <x:v>Cancelled</x:v>
      </x:c>
    </x:row>
    <x:row r="162">
      <x:c r="A162" s="12" t="str">
        <x:v>ORD-2025-10161</x:v>
      </x:c>
      <x:c r="B162" s="12" t="str">
        <x:v>08-10-2025</x:v>
      </x:c>
      <x:c r="C162" s="12" t="str">
        <x:v>10/06/2025</x:v>
      </x:c>
      <x:c r="D162" s="12" t="str">
        <x:v>CUST-4932</x:v>
      </x:c>
      <x:c r="E162" s="12" t="str">
        <x:v>Vikram Iyer</x:v>
      </x:c>
      <x:c r="F162" s="12" t="str">
        <x:v>Small Business</x:v>
      </x:c>
      <x:c r="G162" s="12" t="str">
        <x:v>West</x:v>
      </x:c>
      <x:c r="H162" s="12" t="str">
        <x:v>Maharashtra</x:v>
      </x:c>
      <x:c r="I162" s="12" t="str">
        <x:v>Mumbai</x:v>
      </x:c>
      <x:c r="J162" s="12" t="str">
        <x:v>Office Supplies</x:v>
      </x:c>
      <x:c r="K162" s="12" t="str">
        <x:v>Paper</x:v>
      </x:c>
      <x:c r="L162" s="12" t="str">
        <x:v>Max Paper 113</x:v>
      </x:c>
      <x:c r="M162" s="12" t="str">
        <x:v>Second Class</x:v>
      </x:c>
      <x:c r="N162" s="12" t="n">
        <x:v>4</x:v>
      </x:c>
      <x:c r="O162" s="12" t="n">
        <x:v>1260.42</x:v>
      </x:c>
      <x:c r="P162" s="12" t="n">
        <x:v>0.05</x:v>
      </x:c>
      <x:c r="Q162" s="12" t="n">
        <x:v>4789.6</x:v>
      </x:c>
      <x:c r="R162" s="12" t="n">
        <x:v>4037.64</x:v>
      </x:c>
      <x:c r="S162" s="12" t="n">
        <x:v>751.96</x:v>
      </x:c>
      <x:c r="T162" s="12" t="str">
        <x:v>Pending</x:v>
      </x:c>
      <x:c r="U162" s="12" t="str">
        <x:v>Cancelled</x:v>
      </x:c>
    </x:row>
    <x:row r="163">
      <x:c r="A163" s="12" t="str">
        <x:v>ORD-2025-10162</x:v>
      </x:c>
      <x:c r="B163" s="12" t="str">
        <x:v>2025-07-24</x:v>
      </x:c>
      <x:c r="C163" s="12" t="str">
        <x:v>30-07-2025</x:v>
      </x:c>
      <x:c r="D163" s="12" t="str">
        <x:v>CUST-2367</x:v>
      </x:c>
      <x:c r="E163" s="12" t="str">
        <x:v>Arjun Bose</x:v>
      </x:c>
      <x:c r="F163" s="12" t="str">
        <x:v>consumer</x:v>
      </x:c>
      <x:c r="G163" s="12" t="str">
        <x:v>West</x:v>
      </x:c>
      <x:c r="H163" s="12" t="str">
        <x:v>Rajasthan</x:v>
      </x:c>
      <x:c r="I163" s="12" t="str">
        <x:v>Udaipur</x:v>
      </x:c>
      <x:c r="J163" s="12" t="str">
        <x:v>Office Supplies</x:v>
      </x:c>
      <x:c r="K163" s="12" t="str">
        <x:v>Binders</x:v>
      </x:c>
      <x:c r="L163" s="12" t="str">
        <x:v>Smart Binders 267</x:v>
      </x:c>
      <x:c r="M163" s="12" t="str">
        <x:v>Standard Class</x:v>
      </x:c>
      <x:c r="N163" s="12" t="n">
        <x:v>1</x:v>
      </x:c>
      <x:c r="O163" s="12" t="n">
        <x:v>1643.41</x:v>
      </x:c>
      <x:c r="P163" s="12" t="n">
        <x:v>0</x:v>
      </x:c>
      <x:c r="Q163" s="12" t="n">
        <x:v>1643.41</x:v>
      </x:c>
      <x:c r="R163" s="12" t="n">
        <x:v>907.4</x:v>
      </x:c>
      <x:c r="S163" s="12" t="n">
        <x:v>736.01</x:v>
      </x:c>
      <x:c r="T163" s="12" t="str">
        <x:v>Pending</x:v>
      </x:c>
      <x:c r="U163" s="12" t="str">
        <x:v>Cancelled</x:v>
      </x:c>
    </x:row>
    <x:row r="164">
      <x:c r="A164" s="12" t="str">
        <x:v>ORD-2024-10163</x:v>
      </x:c>
      <x:c r="B164" s="12" t="str">
        <x:v>2024-03-09</x:v>
      </x:c>
      <x:c r="C164" s="12" t="str">
        <x:v>14 Mar 2024</x:v>
      </x:c>
      <x:c r="D164" s="12" t="str">
        <x:v>CUST-4830</x:v>
      </x:c>
      <x:c r="E164" s="12" t="str">
        <x:v>Neha Gupta</x:v>
      </x:c>
      <x:c r="F164" s="12" t="str">
        <x:v>Small Business</x:v>
      </x:c>
      <x:c r="G164" s="12" t="str">
        <x:v>West</x:v>
      </x:c>
      <x:c r="H164" s="12" t="str">
        <x:v>Goa</x:v>
      </x:c>
      <x:c r="I164" s="12" t="str">
        <x:v>Panaji</x:v>
      </x:c>
      <x:c r="J164" s="12" t="str">
        <x:v>Furniture</x:v>
      </x:c>
      <x:c r="K164" s="12" t="str">
        <x:v>Furnishings</x:v>
      </x:c>
      <x:c r="L164" s="12" t="str">
        <x:v>Pro Furnishings 108</x:v>
      </x:c>
      <x:c r="M164" s="12" t="str">
        <x:v>Second Class</x:v>
      </x:c>
      <x:c r="N164" s="12" t="n">
        <x:v>8</x:v>
      </x:c>
      <x:c r="O164" s="12" t="n">
        <x:v>4472.84</x:v>
      </x:c>
      <x:c r="P164" s="12" t="n">
        <x:v>0</x:v>
      </x:c>
      <x:c r="Q164" s="12" t="n">
        <x:v>35997.62</x:v>
      </x:c>
      <x:c r="R164" s="12" t="n">
        <x:v>26424.41</x:v>
      </x:c>
      <x:c r="S164" s="12" t="n">
        <x:v>9358.31</x:v>
      </x:c>
      <x:c r="T164" s="12" t="str">
        <x:v>Pending</x:v>
      </x:c>
      <x:c r="U164" s="12" t="str">
        <x:v>Returned</x:v>
      </x:c>
    </x:row>
    <x:row r="165">
      <x:c r="A165" s="12" t="str">
        <x:v>ORD-2025-10164</x:v>
      </x:c>
      <x:c r="B165" s="12" t="str">
        <x:v>09/21/2025</x:v>
      </x:c>
      <x:c r="C165" s="12" t="str">
        <x:v>26 Sep 2025</x:v>
      </x:c>
      <x:c r="D165" s="12" t="str">
        <x:v>CUST-2548</x:v>
      </x:c>
      <x:c r="E165" s="12" t="str">
        <x:v>Rohan Mehta</x:v>
      </x:c>
      <x:c r="F165" s="12" t="str">
        <x:v>Home Office</x:v>
      </x:c>
      <x:c r="G165" s="12" t="str">
        <x:v>West</x:v>
      </x:c>
      <x:c r="H165" s="12" t="str">
        <x:v>Gujarat</x:v>
      </x:c>
      <x:c r="I165" s="12" t="str">
        <x:v>Ahmedabad</x:v>
      </x:c>
      <x:c r="J165" s="12" t="str">
        <x:v>Furniture</x:v>
      </x:c>
      <x:c r="K165" s="12" t="str">
        <x:v>Tables</x:v>
      </x:c>
      <x:c r="L165" s="12" t="str">
        <x:v>Elite Tables 389</x:v>
      </x:c>
      <x:c r="M165" s="12"/>
      <x:c r="N165" s="12" t="n">
        <x:v>6</x:v>
      </x:c>
      <x:c r="O165" s="12" t="n">
        <x:v>2903.58</x:v>
      </x:c>
      <x:c r="P165" s="12" t="n">
        <x:v>0.1</x:v>
      </x:c>
      <x:c r="Q165" s="12" t="n">
        <x:v>15679.33</x:v>
      </x:c>
      <x:c r="R165" s="12" t="n">
        <x:v>12477.82</x:v>
      </x:c>
      <x:c r="S165" s="12" t="n">
        <x:v>3201.51</x:v>
      </x:c>
      <x:c r="T165" s="12" t="str">
        <x:v>Pending</x:v>
      </x:c>
      <x:c r="U165" s="12" t="str">
        <x:v>Returned</x:v>
      </x:c>
    </x:row>
    <x:row r="166">
      <x:c r="A166" s="12" t="str">
        <x:v>ORD-2025-10165</x:v>
      </x:c>
      <x:c r="B166" s="12" t="str">
        <x:v>09 Sep 2025</x:v>
      </x:c>
      <x:c r="C166" s="12" t="str">
        <x:v>09/14/2025</x:v>
      </x:c>
      <x:c r="D166" s="12" t="str">
        <x:v>CUST-3833</x:v>
      </x:c>
      <x:c r="E166" s="12" t="str">
        <x:v>Rahul Verma</x:v>
      </x:c>
      <x:c r="F166" s="12" t="str">
        <x:v>Small Business</x:v>
      </x:c>
      <x:c r="G166" s="12" t="str">
        <x:v>East</x:v>
      </x:c>
      <x:c r="H166" s="12" t="str">
        <x:v>West Bengal</x:v>
      </x:c>
      <x:c r="I166" s="12" t="str">
        <x:v>Kolkata</x:v>
      </x:c>
      <x:c r="J166" s="12" t="str">
        <x:v>Furniture</x:v>
      </x:c>
      <x:c r="K166" s="12" t="str">
        <x:v>Bookcases</x:v>
      </x:c>
      <x:c r="L166" s="12" t="str">
        <x:v>Pro Bookcases 595</x:v>
      </x:c>
      <x:c r="M166" s="12" t="str">
        <x:v>Second Class</x:v>
      </x:c>
      <x:c r="N166" s="12" t="n">
        <x:v>1</x:v>
      </x:c>
      <x:c r="O166" s="12" t="n">
        <x:v>3154.42</x:v>
      </x:c>
      <x:c r="P166" s="12" t="n">
        <x:v>0.25</x:v>
      </x:c>
      <x:c r="Q166" s="12" t="n">
        <x:v>2365.82</x:v>
      </x:c>
      <x:c r="R166" s="12" t="n">
        <x:v>1547.99</x:v>
      </x:c>
      <x:c r="S166" s="12" t="n">
        <x:v>817.83</x:v>
      </x:c>
      <x:c r="T166" s="12" t="str">
        <x:v>Paid</x:v>
      </x:c>
      <x:c r="U166" s="12" t="str">
        <x:v>Completed</x:v>
      </x:c>
    </x:row>
    <x:row r="167">
      <x:c r="A167" s="12" t="str">
        <x:v>ORD-2024-10166</x:v>
      </x:c>
      <x:c r="B167" s="12" t="str">
        <x:v>11/22/2024</x:v>
      </x:c>
      <x:c r="C167" s="12" t="str">
        <x:v>29-11-2024</x:v>
      </x:c>
      <x:c r="D167" s="12" t="str">
        <x:v>CUST-4598</x:v>
      </x:c>
      <x:c r="E167" s="12" t="str">
        <x:v>Mira Das</x:v>
      </x:c>
      <x:c r="F167" s="12" t="str">
        <x:v>Home Office</x:v>
      </x:c>
      <x:c r="G167" s="12" t="str">
        <x:v>East</x:v>
      </x:c>
      <x:c r="H167" s="12" t="str">
        <x:v>Bihar</x:v>
      </x:c>
      <x:c r="I167" s="12" t="str">
        <x:v>Patna</x:v>
      </x:c>
      <x:c r="J167" s="12" t="str">
        <x:v>Furniture</x:v>
      </x:c>
      <x:c r="K167" s="12" t="str">
        <x:v>Chairs</x:v>
      </x:c>
      <x:c r="L167" s="12" t="str">
        <x:v>Max Chairs 148</x:v>
      </x:c>
      <x:c r="M167" s="12" t="str">
        <x:v>Standard Class</x:v>
      </x:c>
      <x:c r="N167" s="12" t="n">
        <x:v>4</x:v>
      </x:c>
      <x:c r="O167" s="12" t="n">
        <x:v>3422.99</x:v>
      </x:c>
      <x:c r="P167" s="12" t="n">
        <x:v>0.25</x:v>
      </x:c>
      <x:c r="Q167" s="12" t="n">
        <x:v>10268.97</x:v>
      </x:c>
      <x:c r="R167" s="12" t="n">
        <x:v>6470.92</x:v>
      </x:c>
      <x:c r="S167" s="12" t="n">
        <x:v>3798.05</x:v>
      </x:c>
      <x:c r="T167" s="12" t="str">
        <x:v>Paid</x:v>
      </x:c>
      <x:c r="U167" s="12" t="str">
        <x:v>Completed</x:v>
      </x:c>
    </x:row>
    <x:row r="168">
      <x:c r="A168" s="12" t="str">
        <x:v>ORD-2025-10167</x:v>
      </x:c>
      <x:c r="B168" s="12" t="str">
        <x:v>20-02-2025</x:v>
      </x:c>
      <x:c r="C168" s="12" t="str">
        <x:v>26-02-2025</x:v>
      </x:c>
      <x:c r="D168" s="12" t="str">
        <x:v>CUST-7215</x:v>
      </x:c>
      <x:c r="E168" s="12" t="str">
        <x:v>Karan Malhotra</x:v>
      </x:c>
      <x:c r="F168" s="12" t="str">
        <x:v>Small Business</x:v>
      </x:c>
      <x:c r="G168" s="12" t="str">
        <x:v>West</x:v>
      </x:c>
      <x:c r="H168" s="12" t="str">
        <x:v>Gujarat</x:v>
      </x:c>
      <x:c r="I168" s="12" t="str">
        <x:v>Ahmedabad</x:v>
      </x:c>
      <x:c r="J168" s="12" t="str">
        <x:v>OFFICE SUPPLIES</x:v>
      </x:c>
      <x:c r="K168" s="12" t="str">
        <x:v>Labels</x:v>
      </x:c>
      <x:c r="L168" s="12" t="str">
        <x:v>Basic Labels 671</x:v>
      </x:c>
      <x:c r="M168" s="12" t="str">
        <x:v>First Class</x:v>
      </x:c>
      <x:c r="N168" s="12" t="n">
        <x:v>1</x:v>
      </x:c>
      <x:c r="O168" s="12" t="n">
        <x:v>2557.85</x:v>
      </x:c>
      <x:c r="P168" s="12" t="n">
        <x:v>0.2</x:v>
      </x:c>
      <x:c r="Q168" s="12" t="n">
        <x:v>2046.28</x:v>
      </x:c>
      <x:c r="R168" s="12" t="n">
        <x:v>1449.54</x:v>
      </x:c>
      <x:c r="S168" s="12" t="n">
        <x:v>596.74</x:v>
      </x:c>
      <x:c r="T168" s="12" t="str">
        <x:v>Paid</x:v>
      </x:c>
      <x:c r="U168" s="12" t="str">
        <x:v>Completed</x:v>
      </x:c>
    </x:row>
    <x:row r="169">
      <x:c r="A169" s="12" t="str">
        <x:v>ORD-2025-10168</x:v>
      </x:c>
      <x:c r="B169" s="12" t="str">
        <x:v>2025-08-18</x:v>
      </x:c>
      <x:c r="C169" s="12" t="str">
        <x:v>08/18/2025</x:v>
      </x:c>
      <x:c r="D169" s="12" t="str">
        <x:v>CUST-7770</x:v>
      </x:c>
      <x:c r="E169" s="12" t="str">
        <x:v>Arjun Bose</x:v>
      </x:c>
      <x:c r="F169" s="12" t="str">
        <x:v>Home Office</x:v>
      </x:c>
      <x:c r="G169" s="12" t="str">
        <x:v>South</x:v>
      </x:c>
      <x:c r="H169" s="12" t="str">
        <x:v>Karnataka</x:v>
      </x:c>
      <x:c r="I169" s="12" t="str">
        <x:v>Bengaluru</x:v>
      </x:c>
      <x:c r="J169" s="12" t="str">
        <x:v>Office Supplies</x:v>
      </x:c>
      <x:c r="K169" s="12" t="str">
        <x:v>Storage</x:v>
      </x:c>
      <x:c r="L169" s="12" t="str">
        <x:v>Elite Storage 628</x:v>
      </x:c>
      <x:c r="M169" s="12" t="str">
        <x:v>First Class</x:v>
      </x:c>
      <x:c r="N169" s="12" t="n">
        <x:v>9</x:v>
      </x:c>
      <x:c r="O169" s="12" t="n">
        <x:v>3030.93</x:v>
      </x:c>
      <x:c r="P169" s="12" t="n">
        <x:v>0.15</x:v>
      </x:c>
      <x:c r="Q169" s="12" t="n">
        <x:v>23186.61</x:v>
      </x:c>
      <x:c r="R169" s="12" t="n">
        <x:v>17906.54</x:v>
      </x:c>
      <x:c r="S169" s="12" t="n">
        <x:v>5280.07</x:v>
      </x:c>
      <x:c r="T169" s="12" t="str">
        <x:v>Paid</x:v>
      </x:c>
      <x:c r="U169" s="12" t="str">
        <x:v>Returned</x:v>
      </x:c>
    </x:row>
    <x:row r="170">
      <x:c r="A170" s="12" t="str">
        <x:v>ORD-2025-10169</x:v>
      </x:c>
      <x:c r="B170" s="12" t="str">
        <x:v>01/20/2025</x:v>
      </x:c>
      <x:c r="C170" s="12" t="str">
        <x:v>23 Jan 2025</x:v>
      </x:c>
      <x:c r="D170" s="12" t="str">
        <x:v>CUST-9756</x:v>
      </x:c>
      <x:c r="E170" s="12" t="str">
        <x:v>Kabir Singh</x:v>
      </x:c>
      <x:c r="F170" s="12" t="str">
        <x:v>Consumer</x:v>
      </x:c>
      <x:c r="G170" s="12" t="str">
        <x:v>West</x:v>
      </x:c>
      <x:c r="H170" s="12" t="str">
        <x:v>Maharashtra</x:v>
      </x:c>
      <x:c r="I170" s="12" t="str">
        <x:v>Mumbai</x:v>
      </x:c>
      <x:c r="J170" s="12" t="str">
        <x:v>Technology</x:v>
      </x:c>
      <x:c r="K170" s="12" t="str">
        <x:v>Accessories</x:v>
      </x:c>
      <x:c r="L170" s="12" t="str">
        <x:v>Eco Accessories 590</x:v>
      </x:c>
      <x:c r="M170" s="12" t="str">
        <x:v>Same Day</x:v>
      </x:c>
      <x:c r="N170" s="12" t="n">
        <x:v>5</x:v>
      </x:c>
      <x:c r="O170" s="12" t="n">
        <x:v>639.27</x:v>
      </x:c>
      <x:c r="P170" s="12" t="n">
        <x:v>0.2</x:v>
      </x:c>
      <x:c r="Q170" s="12" t="n">
        <x:v>2557.08</x:v>
      </x:c>
      <x:c r="R170" s="12" t="n">
        <x:v>2025.69</x:v>
      </x:c>
      <x:c r="S170" s="12" t="n">
        <x:v>531.39</x:v>
      </x:c>
      <x:c r="T170" s="12" t="str">
        <x:v>Paid</x:v>
      </x:c>
      <x:c r="U170" s="12" t="str">
        <x:v>Cancelled</x:v>
      </x:c>
    </x:row>
    <x:row r="171">
      <x:c r="A171" s="12" t="str">
        <x:v>ORD-2025-10170</x:v>
      </x:c>
      <x:c r="B171" s="12" t="str">
        <x:v>2025-09-13</x:v>
      </x:c>
      <x:c r="C171" s="12" t="str">
        <x:v>09/13/2025</x:v>
      </x:c>
      <x:c r="D171" s="12" t="str">
        <x:v>CUST-2261</x:v>
      </x:c>
      <x:c r="E171" s="12" t="str">
        <x:v>Diya Patel</x:v>
      </x:c>
      <x:c r="F171" s="12" t="str">
        <x:v>Consumer</x:v>
      </x:c>
      <x:c r="G171" s="12" t="str">
        <x:v>East</x:v>
      </x:c>
      <x:c r="H171" s="12" t="str">
        <x:v>Assam</x:v>
      </x:c>
      <x:c r="I171" s="12" t="str">
        <x:v>Guwahati</x:v>
      </x:c>
      <x:c r="J171" s="12" t="str">
        <x:v>Office Supplies</x:v>
      </x:c>
      <x:c r="K171" s="12" t="str">
        <x:v>Art</x:v>
      </x:c>
      <x:c r="L171" s="12" t="str">
        <x:v>Pro Art 734</x:v>
      </x:c>
      <x:c r="M171" s="12" t="str">
        <x:v>Standard Class</x:v>
      </x:c>
      <x:c r="N171" s="12" t="n">
        <x:v>8</x:v>
      </x:c>
      <x:c r="O171" s="12" t="n">
        <x:v>733.9</x:v>
      </x:c>
      <x:c r="P171" s="12" t="n">
        <x:v>0.05</x:v>
      </x:c>
      <x:c r="Q171" s="12" t="n">
        <x:v>5577.64</x:v>
      </x:c>
      <x:c r="R171" s="12" t="n">
        <x:v>3541.29</x:v>
      </x:c>
      <x:c r="S171" s="12" t="n">
        <x:v>2036.35</x:v>
      </x:c>
      <x:c r="T171" s="12" t="str">
        <x:v>Pending</x:v>
      </x:c>
      <x:c r="U171" s="12" t="str">
        <x:v>Returned</x:v>
      </x:c>
    </x:row>
    <x:row r="172">
      <x:c r="A172" s="12" t="str">
        <x:v>ORD-2025-10171</x:v>
      </x:c>
      <x:c r="B172" s="12" t="str">
        <x:v>07-09-2025</x:v>
      </x:c>
      <x:c r="C172" s="12" t="str">
        <x:v>09/15/2025</x:v>
      </x:c>
      <x:c r="D172" s="12" t="str">
        <x:v>CUST-3734</x:v>
      </x:c>
      <x:c r="E172" s="12" t="str">
        <x:v>Rohan Mehta</x:v>
      </x:c>
      <x:c r="F172" s="12" t="str">
        <x:v>Corporate</x:v>
      </x:c>
      <x:c r="G172" s="12" t="str">
        <x:v>East</x:v>
      </x:c>
      <x:c r="H172" s="12" t="str">
        <x:v>Bihar</x:v>
      </x:c>
      <x:c r="I172" s="12" t="str">
        <x:v>Patna</x:v>
      </x:c>
      <x:c r="J172" s="12" t="str">
        <x:v>Technology</x:v>
      </x:c>
      <x:c r="K172" s="12" t="str">
        <x:v>Copiers</x:v>
      </x:c>
      <x:c r="L172" s="12" t="str">
        <x:v>Eco Copiers 102</x:v>
      </x:c>
      <x:c r="M172" s="12" t="str">
        <x:v>Standard Class</x:v>
      </x:c>
      <x:c r="N172" s="12" t="n">
        <x:v>3</x:v>
      </x:c>
      <x:c r="O172" s="12" t="n">
        <x:v>1711.32</x:v>
      </x:c>
      <x:c r="P172" s="12" t="n">
        <x:v>0</x:v>
      </x:c>
      <x:c r="Q172" s="12" t="n">
        <x:v>5133.96</x:v>
      </x:c>
      <x:c r="R172" s="12" t="n">
        <x:v>3930</x:v>
      </x:c>
      <x:c r="S172" s="12" t="n">
        <x:v>1203.96</x:v>
      </x:c>
      <x:c r="T172" s="12" t="str">
        <x:v>Paid</x:v>
      </x:c>
      <x:c r="U172" s="12" t="str">
        <x:v>Completed</x:v>
      </x:c>
    </x:row>
    <x:row r="173">
      <x:c r="A173" s="12" t="str">
        <x:v>ORD-2025-10172</x:v>
      </x:c>
      <x:c r="B173" s="12" t="str">
        <x:v>2025-02-23</x:v>
      </x:c>
      <x:c r="C173" s="12" t="str">
        <x:v>02/25/2025</x:v>
      </x:c>
      <x:c r="D173" s="12" t="str">
        <x:v>CUST-3436</x:v>
      </x:c>
      <x:c r="E173" s="12" t="str">
        <x:v>Karan Malhotra</x:v>
      </x:c>
      <x:c r="F173" s="12" t="str">
        <x:v>Corporate</x:v>
      </x:c>
      <x:c r="G173" s="12" t="str">
        <x:v>East</x:v>
      </x:c>
      <x:c r="H173" s="12" t="str">
        <x:v>Bihar</x:v>
      </x:c>
      <x:c r="I173" s="12" t="str">
        <x:v>Patna</x:v>
      </x:c>
      <x:c r="J173" s="12" t="str">
        <x:v>Office Supplies</x:v>
      </x:c>
      <x:c r="K173" s="12" t="str">
        <x:v>Labels</x:v>
      </x:c>
      <x:c r="L173" s="12" t="str">
        <x:v>Basic Labels 876</x:v>
      </x:c>
      <x:c r="M173" s="12" t="str">
        <x:v>Same Day</x:v>
      </x:c>
      <x:c r="N173" s="12" t="n">
        <x:v>5</x:v>
      </x:c>
      <x:c r="O173" s="12" t="n">
        <x:v>4246.27</x:v>
      </x:c>
      <x:c r="P173" s="12" t="n">
        <x:v>0.25</x:v>
      </x:c>
      <x:c r="Q173" s="12" t="n">
        <x:v>15923.51</x:v>
      </x:c>
      <x:c r="R173" s="12" t="n">
        <x:v>11291.8</x:v>
      </x:c>
      <x:c r="S173" s="12" t="n">
        <x:v>4631.71</x:v>
      </x:c>
      <x:c r="T173" s="12" t="str">
        <x:v>Paid</x:v>
      </x:c>
      <x:c r="U173" s="12" t="str">
        <x:v>Completed</x:v>
      </x:c>
    </x:row>
    <x:row r="174">
      <x:c r="A174" s="12" t="str">
        <x:v>ORD-2025-10173</x:v>
      </x:c>
      <x:c r="B174" s="12" t="str">
        <x:v>02-08-2025</x:v>
      </x:c>
      <x:c r="C174" s="12" t="str">
        <x:v>10-08-2025</x:v>
      </x:c>
      <x:c r="D174" s="12" t="str">
        <x:v>CUST-4845</x:v>
      </x:c>
      <x:c r="E174" s="12" t="str">
        <x:v>Karan Malhotra</x:v>
      </x:c>
      <x:c r="F174" s="12" t="str">
        <x:v>Corporate</x:v>
      </x:c>
      <x:c r="G174" s="12" t="str">
        <x:v>North</x:v>
      </x:c>
      <x:c r="H174" s="12" t="str">
        <x:v>Delhi</x:v>
      </x:c>
      <x:c r="I174" s="12" t="str">
        <x:v>New Delhi</x:v>
      </x:c>
      <x:c r="J174" s="12" t="str">
        <x:v>Furniture</x:v>
      </x:c>
      <x:c r="K174" s="12" t="str">
        <x:v>Furnishings</x:v>
      </x:c>
      <x:c r="L174" s="12" t="str">
        <x:v>Prime Furnishings 381</x:v>
      </x:c>
      <x:c r="M174" s="12" t="str">
        <x:v>Same Day</x:v>
      </x:c>
      <x:c r="N174" s="12" t="n">
        <x:v>9</x:v>
      </x:c>
      <x:c r="O174" s="12" t="n">
        <x:v>2962.62</x:v>
      </x:c>
      <x:c r="P174" s="12" t="n">
        <x:v>0.1</x:v>
      </x:c>
      <x:c r="Q174" s="12" t="n">
        <x:v>23997.22</x:v>
      </x:c>
      <x:c r="R174" s="12" t="n">
        <x:v>16134.63</x:v>
      </x:c>
      <x:c r="S174" s="12" t="n">
        <x:v>7862.59</x:v>
      </x:c>
      <x:c r="T174" s="12" t="str">
        <x:v>Refunded</x:v>
      </x:c>
      <x:c r="U174" s="12" t="str">
        <x:v>Returned</x:v>
      </x:c>
    </x:row>
    <x:row r="175">
      <x:c r="A175" s="12" t="str">
        <x:v>ORD-2024-10174</x:v>
      </x:c>
      <x:c r="B175" s="12" t="str">
        <x:v>02-05-2024</x:v>
      </x:c>
      <x:c r="C175" s="12" t="str">
        <x:v>08 May 2024</x:v>
      </x:c>
      <x:c r="D175" s="12" t="str">
        <x:v>CUST-6153</x:v>
      </x:c>
      <x:c r="E175" s="12" t="str">
        <x:v>PRIYA MENON</x:v>
      </x:c>
      <x:c r="F175" s="12" t="str">
        <x:v>Home Office</x:v>
      </x:c>
      <x:c r="G175" s="12" t="str">
        <x:v>North</x:v>
      </x:c>
      <x:c r="H175" s="12" t="str">
        <x:v>Punjab</x:v>
      </x:c>
      <x:c r="I175" s="12" t="str">
        <x:v>Ludhiana</x:v>
      </x:c>
      <x:c r="J175" s="12" t="str">
        <x:v>Technology</x:v>
      </x:c>
      <x:c r="K175" s="12" t="str">
        <x:v>Copiers</x:v>
      </x:c>
      <x:c r="L175" s="12" t="str">
        <x:v>Prime Copiers 440</x:v>
      </x:c>
      <x:c r="M175" s="12" t="str">
        <x:v>Second Class</x:v>
      </x:c>
      <x:c r="N175" s="12" t="n">
        <x:v>1</x:v>
      </x:c>
      <x:c r="O175" s="12" t="n">
        <x:v>2312.25</x:v>
      </x:c>
      <x:c r="P175" s="12" t="n">
        <x:v>0.25</x:v>
      </x:c>
      <x:c r="Q175" s="12" t="n">
        <x:v>1734.19</x:v>
      </x:c>
      <x:c r="R175" s="12" t="n">
        <x:v>1386.07</x:v>
      </x:c>
      <x:c r="S175" s="12" t="n">
        <x:v>348.12</x:v>
      </x:c>
      <x:c r="T175" s="12" t="str">
        <x:v>Paid</x:v>
      </x:c>
      <x:c r="U175" s="12" t="str">
        <x:v>Completed</x:v>
      </x:c>
    </x:row>
    <x:row r="176">
      <x:c r="A176" s="12" t="str">
        <x:v>ORD-2025-10175</x:v>
      </x:c>
      <x:c r="B176" s="12" t="str">
        <x:v>28 Sep 2025</x:v>
      </x:c>
      <x:c r="C176" s="12" t="str">
        <x:v>04-10-2025</x:v>
      </x:c>
      <x:c r="D176" s="12" t="str">
        <x:v>CUST-5475</x:v>
      </x:c>
      <x:c r="E176" s="12" t="str">
        <x:v>Karan Malhotra</x:v>
      </x:c>
      <x:c r="F176" s="12" t="str">
        <x:v>Small Business</x:v>
      </x:c>
      <x:c r="G176" s="12" t="str">
        <x:v>South</x:v>
      </x:c>
      <x:c r="H176" s="12" t="str">
        <x:v>Karnataka</x:v>
      </x:c>
      <x:c r="I176" s="12" t="str">
        <x:v>Bengaluru</x:v>
      </x:c>
      <x:c r="J176" s="12" t="str">
        <x:v>Furniture</x:v>
      </x:c>
      <x:c r="K176" s="12" t="str">
        <x:v>Bookcases</x:v>
      </x:c>
      <x:c r="L176" s="12" t="str">
        <x:v>Pro Bookcases 319</x:v>
      </x:c>
      <x:c r="M176" s="12" t="str">
        <x:v>First Class</x:v>
      </x:c>
      <x:c r="N176" s="12" t="n">
        <x:v>6</x:v>
      </x:c>
      <x:c r="O176" s="12" t="n">
        <x:v>1620.53</x:v>
      </x:c>
      <x:c r="P176" s="12" t="n">
        <x:v>0.15</x:v>
      </x:c>
      <x:c r="Q176" s="12" t="n">
        <x:v>8264.7</x:v>
      </x:c>
      <x:c r="R176" s="12" t="n">
        <x:v>4768.75</x:v>
      </x:c>
      <x:c r="S176" s="12" t="n">
        <x:v>3495.95</x:v>
      </x:c>
      <x:c r="T176" s="12" t="str">
        <x:v>Pending</x:v>
      </x:c>
      <x:c r="U176" s="12" t="str">
        <x:v>Returned</x:v>
      </x:c>
    </x:row>
    <x:row r="177">
      <x:c r="A177" s="12" t="str">
        <x:v>ORD-2024-10176</x:v>
      </x:c>
      <x:c r="B177" s="12" t="str">
        <x:v>2024-01-27</x:v>
      </x:c>
      <x:c r="C177" s="12" t="str">
        <x:v>2024-02-03</x:v>
      </x:c>
      <x:c r="D177" s="12" t="str">
        <x:v>CUST-5580</x:v>
      </x:c>
      <x:c r="E177" s="12" t="str">
        <x:v>Arjun Bose</x:v>
      </x:c>
      <x:c r="F177" s="12" t="str">
        <x:v>Small Business</x:v>
      </x:c>
      <x:c r="G177" s="12" t="str">
        <x:v>East</x:v>
      </x:c>
      <x:c r="H177" s="12" t="str">
        <x:v>Bihar</x:v>
      </x:c>
      <x:c r="I177" s="12" t="str">
        <x:v>Patna</x:v>
      </x:c>
      <x:c r="J177" s="12" t="str">
        <x:v>Technology</x:v>
      </x:c>
      <x:c r="K177" s="12" t="str">
        <x:v>Machines</x:v>
      </x:c>
      <x:c r="L177" s="12" t="str">
        <x:v>Basic Machines 584</x:v>
      </x:c>
      <x:c r="M177" s="12" t="str">
        <x:v>Same Day</x:v>
      </x:c>
      <x:c r="N177" s="12" t="n">
        <x:v>7</x:v>
      </x:c>
      <x:c r="O177" s="12" t="n">
        <x:v>2673.42</x:v>
      </x:c>
      <x:c r="P177" s="12" t="n">
        <x:v>0.15</x:v>
      </x:c>
      <x:c r="Q177" s="12" t="n">
        <x:v>15906.85</x:v>
      </x:c>
      <x:c r="R177" s="12" t="n">
        <x:v>11014.46</x:v>
      </x:c>
      <x:c r="S177" s="12" t="n">
        <x:v>4892.39</x:v>
      </x:c>
      <x:c r="T177" s="12" t="str">
        <x:v>Paid</x:v>
      </x:c>
      <x:c r="U177" s="12" t="str">
        <x:v>Returned</x:v>
      </x:c>
    </x:row>
    <x:row r="178">
      <x:c r="A178" s="12" t="str">
        <x:v>ORD-2025-10177</x:v>
      </x:c>
      <x:c r="B178" s="12" t="str">
        <x:v>18-03-2025</x:v>
      </x:c>
      <x:c r="C178" s="12" t="str">
        <x:v>03/26/2025</x:v>
      </x:c>
      <x:c r="D178" s="12" t="str">
        <x:v>CUST-3027</x:v>
      </x:c>
      <x:c r="E178" s="12" t="str">
        <x:v>Vikram Iyer</x:v>
      </x:c>
      <x:c r="F178" s="12" t="str">
        <x:v>Corporate</x:v>
      </x:c>
      <x:c r="G178" s="12" t="str">
        <x:v>East</x:v>
      </x:c>
      <x:c r="H178" s="12" t="str">
        <x:v>Jharkhand</x:v>
      </x:c>
      <x:c r="I178" s="12" t="str">
        <x:v>Ranchi</x:v>
      </x:c>
      <x:c r="J178" s="12" t="str">
        <x:v>Furniture</x:v>
      </x:c>
      <x:c r="K178" s="12" t="str">
        <x:v>Bookcases</x:v>
      </x:c>
      <x:c r="L178" s="12" t="str">
        <x:v>Pro Bookcases 612</x:v>
      </x:c>
      <x:c r="M178" s="12" t="str">
        <x:v>Standard Class</x:v>
      </x:c>
      <x:c r="N178" s="12" t="n">
        <x:v>8</x:v>
      </x:c>
      <x:c r="O178" s="12" t="n">
        <x:v>3563.09</x:v>
      </x:c>
      <x:c r="P178" s="12" t="n">
        <x:v>0.15</x:v>
      </x:c>
      <x:c r="Q178" s="12" t="n">
        <x:v>24229.01</x:v>
      </x:c>
      <x:c r="R178" s="12" t="n">
        <x:v>13910.64</x:v>
      </x:c>
      <x:c r="S178" s="12" t="n">
        <x:v>10318.37</x:v>
      </x:c>
      <x:c r="T178" s="12" t="str">
        <x:v>Paid</x:v>
      </x:c>
      <x:c r="U178" s="12" t="str">
        <x:v>Completed</x:v>
      </x:c>
    </x:row>
    <x:row r="179">
      <x:c r="A179" s="12" t="str">
        <x:v>ORD-2024-10178</x:v>
      </x:c>
      <x:c r="B179" s="12" t="str">
        <x:v>01-06-2024</x:v>
      </x:c>
      <x:c r="C179" s="12" t="str">
        <x:v>06/03/2024</x:v>
      </x:c>
      <x:c r="D179" s="12" t="str">
        <x:v>CUST-4399</x:v>
      </x:c>
      <x:c r="E179" s="12" t="str">
        <x:v>Sneha Kapoor</x:v>
      </x:c>
      <x:c r="F179" s="12" t="str">
        <x:v>Home Office</x:v>
      </x:c>
      <x:c r="G179" s="12"/>
      <x:c r="H179" s="12" t="str">
        <x:v>Bihar</x:v>
      </x:c>
      <x:c r="I179" s="12" t="str">
        <x:v>Patna</x:v>
      </x:c>
      <x:c r="J179" s="12" t="str">
        <x:v>Office Supplies</x:v>
      </x:c>
      <x:c r="K179" s="12" t="str">
        <x:v>Art</x:v>
      </x:c>
      <x:c r="L179" s="12" t="str">
        <x:v>Classic Art 573</x:v>
      </x:c>
      <x:c r="M179" s="12" t="str">
        <x:v>Same Day</x:v>
      </x:c>
      <x:c r="N179" s="12" t="n">
        <x:v>8</x:v>
      </x:c>
      <x:c r="O179" s="12" t="n">
        <x:v>3879.95</x:v>
      </x:c>
      <x:c r="P179" s="12" t="n">
        <x:v>0</x:v>
      </x:c>
      <x:c r="Q179" s="12" t="n">
        <x:v>31039.6</x:v>
      </x:c>
      <x:c r="R179" s="12" t="n">
        <x:v>20866.72</x:v>
      </x:c>
      <x:c r="S179" s="12" t="n">
        <x:v>10172.88</x:v>
      </x:c>
      <x:c r="T179" s="12" t="str">
        <x:v>Paid</x:v>
      </x:c>
      <x:c r="U179" s="12" t="str">
        <x:v>Completed</x:v>
      </x:c>
    </x:row>
    <x:row r="180">
      <x:c r="A180" s="12" t="str">
        <x:v>ORD-2024-10179</x:v>
      </x:c>
      <x:c r="B180" s="12" t="str">
        <x:v>30-09-2024</x:v>
      </x:c>
      <x:c r="C180" s="12" t="str">
        <x:v>2024-09-30</x:v>
      </x:c>
      <x:c r="D180" s="12" t="str">
        <x:v>CUST-3092</x:v>
      </x:c>
      <x:c r="E180" s="12" t="str">
        <x:v>Isha Nair</x:v>
      </x:c>
      <x:c r="F180" s="12" t="str">
        <x:v>Corporate</x:v>
      </x:c>
      <x:c r="G180" s="12" t="str">
        <x:v>South</x:v>
      </x:c>
      <x:c r="H180" s="12" t="str">
        <x:v>Telangana</x:v>
      </x:c>
      <x:c r="I180" s="12" t="str">
        <x:v>Hyderabad</x:v>
      </x:c>
      <x:c r="J180" s="12" t="str">
        <x:v>Office Supplies</x:v>
      </x:c>
      <x:c r="K180" s="12" t="str">
        <x:v>Art</x:v>
      </x:c>
      <x:c r="L180" s="12" t="str">
        <x:v>Eco Art 854</x:v>
      </x:c>
      <x:c r="M180" s="12" t="str">
        <x:v>Standard Class</x:v>
      </x:c>
      <x:c r="N180" s="12" t="n">
        <x:v>4</x:v>
      </x:c>
      <x:c r="O180" s="12" t="n">
        <x:v>3281.74</x:v>
      </x:c>
      <x:c r="P180" s="12" t="n">
        <x:v>0</x:v>
      </x:c>
      <x:c r="Q180" s="12" t="n">
        <x:v>13126.96</x:v>
      </x:c>
      <x:c r="R180" s="12" t="n">
        <x:v>10732.44</x:v>
      </x:c>
      <x:c r="S180" s="12" t="n">
        <x:v>2394.52</x:v>
      </x:c>
      <x:c r="T180" s="12" t="str">
        <x:v>Paid</x:v>
      </x:c>
      <x:c r="U180" s="12" t="str">
        <x:v>Completed</x:v>
      </x:c>
    </x:row>
    <x:row r="181">
      <x:c r="A181" s="12" t="str">
        <x:v>ORD-2024-10180</x:v>
      </x:c>
      <x:c r="B181" s="12" t="str">
        <x:v>2024-03-15</x:v>
      </x:c>
      <x:c r="C181" s="12" t="str">
        <x:v>03/19/2024</x:v>
      </x:c>
      <x:c r="D181" s="12" t="str">
        <x:v>CUST-1778</x:v>
      </x:c>
      <x:c r="E181" s="12" t="str">
        <x:v>Ananya Rao</x:v>
      </x:c>
      <x:c r="F181" s="12" t="str">
        <x:v>Small Business</x:v>
      </x:c>
      <x:c r="G181" s="12" t="str">
        <x:v>South</x:v>
      </x:c>
      <x:c r="H181" s="12" t="str">
        <x:v>Tamil Nadu</x:v>
      </x:c>
      <x:c r="I181" s="12" t="str">
        <x:v>Chennai</x:v>
      </x:c>
      <x:c r="J181" s="12" t="str">
        <x:v>Furniture</x:v>
      </x:c>
      <x:c r="K181" s="12" t="str">
        <x:v>Furnishings</x:v>
      </x:c>
      <x:c r="L181" s="12" t="str">
        <x:v>Classic Furnishings 996</x:v>
      </x:c>
      <x:c r="M181" s="12" t="str">
        <x:v>Standard Class</x:v>
      </x:c>
      <x:c r="N181" s="12" t="n">
        <x:v>4</x:v>
      </x:c>
      <x:c r="O181" s="12" t="n">
        <x:v>3186.3</x:v>
      </x:c>
      <x:c r="P181" s="12" t="n">
        <x:v>0.25</x:v>
      </x:c>
      <x:c r="Q181" s="12" t="n">
        <x:v>9558.9</x:v>
      </x:c>
      <x:c r="R181" s="12" t="n">
        <x:v>5516.76</x:v>
      </x:c>
      <x:c r="S181" s="12" t="n">
        <x:v>4042.14</x:v>
      </x:c>
      <x:c r="T181" s="12" t="str">
        <x:v>Refunded</x:v>
      </x:c>
      <x:c r="U181" s="12" t="str">
        <x:v>Returned</x:v>
      </x:c>
    </x:row>
    <x:row r="182">
      <x:c r="A182" s="12" t="str">
        <x:v>ORD-2024-10181</x:v>
      </x:c>
      <x:c r="B182" s="12" t="str">
        <x:v>2024-08-26</x:v>
      </x:c>
      <x:c r="C182" s="12" t="str">
        <x:v>26-08-2024</x:v>
      </x:c>
      <x:c r="D182" s="12" t="str">
        <x:v>CUST-3787</x:v>
      </x:c>
      <x:c r="E182" s="12" t="str">
        <x:v>Mira Das</x:v>
      </x:c>
      <x:c r="F182" s="12" t="str">
        <x:v>Home Office</x:v>
      </x:c>
      <x:c r="G182" s="12" t="str">
        <x:v>North</x:v>
      </x:c>
      <x:c r="H182" s="12" t="str">
        <x:v>Uttar Pradesh</x:v>
      </x:c>
      <x:c r="I182" s="12" t="str">
        <x:v>Noida</x:v>
      </x:c>
      <x:c r="J182" s="12" t="str">
        <x:v>OFFICE SUPPLIES</x:v>
      </x:c>
      <x:c r="K182" s="12" t="str">
        <x:v>Binders</x:v>
      </x:c>
      <x:c r="L182" s="12" t="str">
        <x:v>Prime Binders 735</x:v>
      </x:c>
      <x:c r="M182" s="12" t="str">
        <x:v>First Class</x:v>
      </x:c>
      <x:c r="N182" s="12" t="n">
        <x:v>7</x:v>
      </x:c>
      <x:c r="O182" s="12" t="n">
        <x:v>844.59</x:v>
      </x:c>
      <x:c r="P182" s="12" t="n">
        <x:v>0.1</x:v>
      </x:c>
      <x:c r="Q182" s="12" t="n">
        <x:v>5320.92</x:v>
      </x:c>
      <x:c r="R182" s="12" t="n">
        <x:v>3041.5</x:v>
      </x:c>
      <x:c r="S182" s="12" t="n">
        <x:v>2279.42</x:v>
      </x:c>
      <x:c r="T182" s="12" t="str">
        <x:v>Paid</x:v>
      </x:c>
      <x:c r="U182" s="12" t="str">
        <x:v>Completed</x:v>
      </x:c>
    </x:row>
    <x:row r="183">
      <x:c r="A183" s="12" t="str">
        <x:v>ORD-2025-10182</x:v>
      </x:c>
      <x:c r="B183" s="12" t="str">
        <x:v>09/09/2025</x:v>
      </x:c>
      <x:c r="C183" s="12" t="str">
        <x:v>10-09-2025</x:v>
      </x:c>
      <x:c r="D183" s="12" t="str">
        <x:v>CUST-5119</x:v>
      </x:c>
      <x:c r="E183" s="12" t="str">
        <x:v>Priya Menon</x:v>
      </x:c>
      <x:c r="F183" s="12" t="str">
        <x:v>Home Office</x:v>
      </x:c>
      <x:c r="G183" s="12" t="str">
        <x:v>South</x:v>
      </x:c>
      <x:c r="H183" s="12" t="str">
        <x:v>Tamil Nadu</x:v>
      </x:c>
      <x:c r="I183" s="12" t="str">
        <x:v>Chennai</x:v>
      </x:c>
      <x:c r="J183" s="12" t="str">
        <x:v>Office Supplies</x:v>
      </x:c>
      <x:c r="K183" s="12" t="str">
        <x:v>Art</x:v>
      </x:c>
      <x:c r="L183" s="12" t="str">
        <x:v>Pro Art 587</x:v>
      </x:c>
      <x:c r="M183" s="12" t="str">
        <x:v>Second Class</x:v>
      </x:c>
      <x:c r="N183" s="12" t="n">
        <x:v>4</x:v>
      </x:c>
      <x:c r="O183" s="12" t="n">
        <x:v>2551.45</x:v>
      </x:c>
      <x:c r="P183" s="12" t="n">
        <x:v>0</x:v>
      </x:c>
      <x:c r="Q183" s="12" t="n">
        <x:v>10205.8</x:v>
      </x:c>
      <x:c r="R183" s="12" t="n">
        <x:v>5986.31</x:v>
      </x:c>
      <x:c r="S183" s="12" t="n">
        <x:v>4219.49</x:v>
      </x:c>
      <x:c r="T183" s="12" t="str">
        <x:v>Paid</x:v>
      </x:c>
      <x:c r="U183" s="12" t="str">
        <x:v>Completed</x:v>
      </x:c>
    </x:row>
    <x:row r="184">
      <x:c r="A184" s="12" t="str">
        <x:v>ORD-2024-10183</x:v>
      </x:c>
      <x:c r="B184" s="12" t="str">
        <x:v>16 Oct 2024</x:v>
      </x:c>
      <x:c r="C184" s="12" t="str">
        <x:v>16 Oct 2024</x:v>
      </x:c>
      <x:c r="D184" s="12" t="str">
        <x:v>CUST-4121</x:v>
      </x:c>
      <x:c r="E184" s="12" t="str">
        <x:v>Ananya Rao</x:v>
      </x:c>
      <x:c r="F184" s="12" t="str">
        <x:v>Home Office</x:v>
      </x:c>
      <x:c r="G184" s="12" t="str">
        <x:v>East</x:v>
      </x:c>
      <x:c r="H184" s="12" t="str">
        <x:v>Bihar</x:v>
      </x:c>
      <x:c r="I184" s="12" t="str">
        <x:v>Patna</x:v>
      </x:c>
      <x:c r="J184" s="12" t="str">
        <x:v>Technology</x:v>
      </x:c>
      <x:c r="K184" s="12" t="str">
        <x:v>Machines</x:v>
      </x:c>
      <x:c r="L184" s="12" t="str">
        <x:v>Basic Machines 575</x:v>
      </x:c>
      <x:c r="M184" s="12" t="str">
        <x:v>Standard Class</x:v>
      </x:c>
      <x:c r="N184" s="12" t="n">
        <x:v>7</x:v>
      </x:c>
      <x:c r="O184" s="12" t="n">
        <x:v>775.77</x:v>
      </x:c>
      <x:c r="P184" s="12" t="n">
        <x:v>0</x:v>
      </x:c>
      <x:c r="Q184" s="12" t="n">
        <x:v>5430.39</x:v>
      </x:c>
      <x:c r="R184" s="12" t="n">
        <x:v>3707.66</x:v>
      </x:c>
      <x:c r="S184" s="12" t="n">
        <x:v>1722.73</x:v>
      </x:c>
      <x:c r="T184" s="12" t="str">
        <x:v>Paid</x:v>
      </x:c>
      <x:c r="U184" s="12" t="str">
        <x:v>Completed</x:v>
      </x:c>
    </x:row>
    <x:row r="185">
      <x:c r="A185" s="12" t="str">
        <x:v>ORD-2025-10184</x:v>
      </x:c>
      <x:c r="B185" s="12" t="str">
        <x:v>2025-06-24</x:v>
      </x:c>
      <x:c r="C185" s="12" t="str">
        <x:v>27-06-2025</x:v>
      </x:c>
      <x:c r="D185" s="12" t="str">
        <x:v>CUST-3366</x:v>
      </x:c>
      <x:c r="E185" s="12" t="str">
        <x:v>Vikram Iyer</x:v>
      </x:c>
      <x:c r="F185" s="12" t="str">
        <x:v>Home Office</x:v>
      </x:c>
      <x:c r="G185" s="12" t="str">
        <x:v>South</x:v>
      </x:c>
      <x:c r="H185" s="12" t="str">
        <x:v>Telangana</x:v>
      </x:c>
      <x:c r="I185" s="12" t="str">
        <x:v>Hyderabad</x:v>
      </x:c>
      <x:c r="J185" s="12" t="str">
        <x:v>Technology</x:v>
      </x:c>
      <x:c r="K185" s="12" t="str">
        <x:v>Copiers</x:v>
      </x:c>
      <x:c r="L185" s="12" t="str">
        <x:v>Elite Copiers 788</x:v>
      </x:c>
      <x:c r="M185" s="12" t="str">
        <x:v>Standard Class</x:v>
      </x:c>
      <x:c r="N185" s="12" t="n">
        <x:v>7</x:v>
      </x:c>
      <x:c r="O185" s="12" t="n">
        <x:v>2304.86</x:v>
      </x:c>
      <x:c r="P185" s="12" t="n">
        <x:v>0.2</x:v>
      </x:c>
      <x:c r="Q185" s="12" t="n">
        <x:v>12907.22</x:v>
      </x:c>
      <x:c r="R185" s="12" t="n">
        <x:v>8327.89</x:v>
      </x:c>
      <x:c r="S185" s="12" t="n">
        <x:v>4579.33</x:v>
      </x:c>
      <x:c r="T185" s="12" t="str">
        <x:v>Paid</x:v>
      </x:c>
      <x:c r="U185" s="12" t="str">
        <x:v>Returned</x:v>
      </x:c>
    </x:row>
    <x:row r="186">
      <x:c r="A186" s="12" t="str">
        <x:v>ORD-2024-10185</x:v>
      </x:c>
      <x:c r="B186" s="12" t="str">
        <x:v>2024-04-02</x:v>
      </x:c>
      <x:c r="C186" s="12" t="str">
        <x:v>2024-04-06</x:v>
      </x:c>
      <x:c r="D186" s="12" t="str">
        <x:v>CUST-1358</x:v>
      </x:c>
      <x:c r="E186" s="12" t="str">
        <x:v>Vikram Iyer</x:v>
      </x:c>
      <x:c r="F186" s="12" t="str">
        <x:v>Corporate</x:v>
      </x:c>
      <x:c r="G186" s="12" t="str">
        <x:v>West</x:v>
      </x:c>
      <x:c r="H186" s="12" t="str">
        <x:v>Madhya Pradesh</x:v>
      </x:c>
      <x:c r="I186" s="12" t="str">
        <x:v>Indore</x:v>
      </x:c>
      <x:c r="J186" s="12" t="str">
        <x:v>Furniture</x:v>
      </x:c>
      <x:c r="K186" s="12" t="str">
        <x:v>Bookcases</x:v>
      </x:c>
      <x:c r="L186" s="12" t="str">
        <x:v>Max Bookcases 472</x:v>
      </x:c>
      <x:c r="M186" s="12" t="str">
        <x:v>Standard Class</x:v>
      </x:c>
      <x:c r="N186" s="12" t="n">
        <x:v>2</x:v>
      </x:c>
      <x:c r="O186" s="12" t="n">
        <x:v>888.98</x:v>
      </x:c>
      <x:c r="P186" s="12" t="n">
        <x:v>0</x:v>
      </x:c>
      <x:c r="Q186" s="12" t="n">
        <x:v>1777.96</x:v>
      </x:c>
      <x:c r="R186" s="12" t="n">
        <x:v>1021.16</x:v>
      </x:c>
      <x:c r="S186" s="12" t="n">
        <x:v>756.8</x:v>
      </x:c>
      <x:c r="T186" s="12" t="str">
        <x:v>Refunded</x:v>
      </x:c>
      <x:c r="U186" s="12" t="str">
        <x:v>Returned</x:v>
      </x:c>
    </x:row>
    <x:row r="187">
      <x:c r="A187" s="12" t="str">
        <x:v>ORD-2024-10186</x:v>
      </x:c>
      <x:c r="B187" s="12" t="str">
        <x:v>11/05/2024</x:v>
      </x:c>
      <x:c r="C187" s="12" t="str">
        <x:v>2024-11-13</x:v>
      </x:c>
      <x:c r="D187" s="12" t="str">
        <x:v>CUST-4968</x:v>
      </x:c>
      <x:c r="E187" s="12" t="str">
        <x:v>Arjun Bose</x:v>
      </x:c>
      <x:c r="F187" s="12" t="str">
        <x:v>Consumer</x:v>
      </x:c>
      <x:c r="G187" s="12"/>
      <x:c r="H187" s="12" t="str">
        <x:v>Punjab</x:v>
      </x:c>
      <x:c r="I187" s="12" t="str">
        <x:v>Ludhiana</x:v>
      </x:c>
      <x:c r="J187" s="12" t="str">
        <x:v>Office Supplies</x:v>
      </x:c>
      <x:c r="K187" s="12" t="str">
        <x:v>Labels</x:v>
      </x:c>
      <x:c r="L187" s="12" t="str">
        <x:v>Smart Labels 475</x:v>
      </x:c>
      <x:c r="M187" s="12" t="str">
        <x:v>Second Class</x:v>
      </x:c>
      <x:c r="N187" s="12" t="n">
        <x:v>2</x:v>
      </x:c>
      <x:c r="O187" s="12" t="n">
        <x:v>1003.17</x:v>
      </x:c>
      <x:c r="P187" s="12" t="n">
        <x:v>0.2</x:v>
      </x:c>
      <x:c r="Q187" s="12" t="n">
        <x:v>1605.07</x:v>
      </x:c>
      <x:c r="R187" s="12" t="n">
        <x:v>1337.28</x:v>
      </x:c>
      <x:c r="S187" s="12" t="n">
        <x:v>267.79</x:v>
      </x:c>
      <x:c r="T187" s="12" t="str">
        <x:v>Paid</x:v>
      </x:c>
      <x:c r="U187" s="12" t="str">
        <x:v>Completed</x:v>
      </x:c>
    </x:row>
    <x:row r="188">
      <x:c r="A188" s="12" t="str">
        <x:v>ORD-2024-10187</x:v>
      </x:c>
      <x:c r="B188" s="12" t="str">
        <x:v>19-07-2024</x:v>
      </x:c>
      <x:c r="C188" s="12" t="str">
        <x:v>20 Jul 2024</x:v>
      </x:c>
      <x:c r="D188" s="12" t="str">
        <x:v>CUST-2778</x:v>
      </x:c>
      <x:c r="E188" s="12" t="str">
        <x:v>Vikram Iyer</x:v>
      </x:c>
      <x:c r="F188" s="12" t="str">
        <x:v>Consumer</x:v>
      </x:c>
      <x:c r="G188" s="12" t="str">
        <x:v>South</x:v>
      </x:c>
      <x:c r="H188" s="12" t="str">
        <x:v>Tamil Nadu</x:v>
      </x:c>
      <x:c r="I188" s="12" t="str">
        <x:v>Chennai</x:v>
      </x:c>
      <x:c r="J188" s="12" t="str">
        <x:v>Furniture</x:v>
      </x:c>
      <x:c r="K188" s="12" t="str">
        <x:v>Tables</x:v>
      </x:c>
      <x:c r="L188" s="12" t="str">
        <x:v>Basic Tables 417</x:v>
      </x:c>
      <x:c r="M188" s="12" t="str">
        <x:v>First Class</x:v>
      </x:c>
      <x:c r="N188" s="12" t="n">
        <x:v>7</x:v>
      </x:c>
      <x:c r="O188" s="12" t="n">
        <x:v>3608.43</x:v>
      </x:c>
      <x:c r="P188" s="12" t="n">
        <x:v>0.05</x:v>
      </x:c>
      <x:c r="Q188" s="12" t="n">
        <x:v>23996.06</x:v>
      </x:c>
      <x:c r="R188" s="12" t="n">
        <x:v>20167.28</x:v>
      </x:c>
      <x:c r="S188" s="12" t="n">
        <x:v>3828.78</x:v>
      </x:c>
      <x:c r="T188" s="12" t="str">
        <x:v>Paid</x:v>
      </x:c>
      <x:c r="U188" s="12" t="str">
        <x:v>Completed</x:v>
      </x:c>
    </x:row>
    <x:row r="189">
      <x:c r="A189" s="12" t="str">
        <x:v>ORD-2025-10188</x:v>
      </x:c>
      <x:c r="B189" s="12" t="str">
        <x:v>2025-05-01</x:v>
      </x:c>
      <x:c r="C189" s="12" t="str">
        <x:v>02 May 2025</x:v>
      </x:c>
      <x:c r="D189" s="12" t="str">
        <x:v>CUST-3109</x:v>
      </x:c>
      <x:c r="E189" s="12" t="str">
        <x:v>Mira Das</x:v>
      </x:c>
      <x:c r="F189" s="12" t="str">
        <x:v>Consumer</x:v>
      </x:c>
      <x:c r="G189" s="12" t="str">
        <x:v>West</x:v>
      </x:c>
      <x:c r="H189" s="12" t="str">
        <x:v>Madhya Pradesh</x:v>
      </x:c>
      <x:c r="I189" s="12" t="str">
        <x:v>Indore</x:v>
      </x:c>
      <x:c r="J189" s="12" t="str">
        <x:v>Furniture</x:v>
      </x:c>
      <x:c r="K189" s="12" t="str">
        <x:v>Chairs</x:v>
      </x:c>
      <x:c r="L189" s="12" t="str">
        <x:v>Pro Chairs 844</x:v>
      </x:c>
      <x:c r="M189" s="12" t="str">
        <x:v>Same Day</x:v>
      </x:c>
      <x:c r="N189" s="12" t="n">
        <x:v>3</x:v>
      </x:c>
      <x:c r="O189" s="12" t="n">
        <x:v>2905.74</x:v>
      </x:c>
      <x:c r="P189" s="12" t="n">
        <x:v>0</x:v>
      </x:c>
      <x:c r="Q189" s="12" t="n">
        <x:v>8717.22</x:v>
      </x:c>
      <x:c r="R189" s="12" t="n">
        <x:v>6215.96</x:v>
      </x:c>
      <x:c r="S189" s="12" t="n">
        <x:v>2501.26</x:v>
      </x:c>
      <x:c r="T189" s="12" t="str">
        <x:v>Paid</x:v>
      </x:c>
      <x:c r="U189" s="12" t="str">
        <x:v>Returned</x:v>
      </x:c>
    </x:row>
    <x:row r="190">
      <x:c r="A190" s="12" t="str">
        <x:v>ORD-2025-10189</x:v>
      </x:c>
      <x:c r="B190" s="12" t="str">
        <x:v>2025-05-21</x:v>
      </x:c>
      <x:c r="C190" s="12" t="str">
        <x:v>28 May 2025</x:v>
      </x:c>
      <x:c r="D190" s="12" t="str">
        <x:v>CUST-3422</x:v>
      </x:c>
      <x:c r="E190" s="12" t="str">
        <x:v>Priya Menon</x:v>
      </x:c>
      <x:c r="F190" s="12" t="str">
        <x:v>Corporate</x:v>
      </x:c>
      <x:c r="G190" s="12" t="str">
        <x:v>East</x:v>
      </x:c>
      <x:c r="H190" s="12" t="str">
        <x:v>West Bengal</x:v>
      </x:c>
      <x:c r="I190" s="12" t="str">
        <x:v>Kolkata</x:v>
      </x:c>
      <x:c r="J190" s="12" t="str">
        <x:v>Furniture</x:v>
      </x:c>
      <x:c r="K190" s="12" t="str">
        <x:v>Bookcases</x:v>
      </x:c>
      <x:c r="L190" s="12" t="str">
        <x:v>Elite Bookcases 883</x:v>
      </x:c>
      <x:c r="M190" s="12" t="str">
        <x:v>Same Day</x:v>
      </x:c>
      <x:c r="N190" s="12" t="n">
        <x:v>2</x:v>
      </x:c>
      <x:c r="O190" s="12" t="n">
        <x:v>3559.57</x:v>
      </x:c>
      <x:c r="P190" s="12" t="n">
        <x:v>0.1</x:v>
      </x:c>
      <x:c r="Q190" s="12" t="n">
        <x:v>6553.95</x:v>
      </x:c>
      <x:c r="R190" s="12" t="n">
        <x:v>4923.09</x:v>
      </x:c>
      <x:c r="S190" s="12" t="n">
        <x:v>1484.14</x:v>
      </x:c>
      <x:c r="T190" s="12" t="str">
        <x:v>Paid</x:v>
      </x:c>
      <x:c r="U190" s="12" t="str">
        <x:v>Completed</x:v>
      </x:c>
    </x:row>
    <x:row r="191">
      <x:c r="A191" s="12" t="str">
        <x:v>ORD-2025-10190</x:v>
      </x:c>
      <x:c r="B191" s="12" t="str">
        <x:v>2025-05-06</x:v>
      </x:c>
      <x:c r="C191" s="12" t="str">
        <x:v>07 May 2025</x:v>
      </x:c>
      <x:c r="D191" s="12" t="str">
        <x:v>CUST-3375</x:v>
      </x:c>
      <x:c r="E191" s="12" t="str">
        <x:v>Arjun Bose</x:v>
      </x:c>
      <x:c r="F191" s="12" t="str">
        <x:v>Consumer</x:v>
      </x:c>
      <x:c r="G191" s="12" t="str">
        <x:v>West</x:v>
      </x:c>
      <x:c r="H191" s="12" t="str">
        <x:v>Rajasthan</x:v>
      </x:c>
      <x:c r="I191" s="12" t="str">
        <x:v>Udaipur</x:v>
      </x:c>
      <x:c r="J191" s="12" t="str">
        <x:v>Furniture</x:v>
      </x:c>
      <x:c r="K191" s="12" t="str">
        <x:v>Bookcases</x:v>
      </x:c>
      <x:c r="L191" s="12" t="str">
        <x:v>Basic Bookcases 754</x:v>
      </x:c>
      <x:c r="M191" s="12" t="str">
        <x:v>First Class</x:v>
      </x:c>
      <x:c r="N191" s="12" t="n">
        <x:v>9</x:v>
      </x:c>
      <x:c r="O191" s="12" t="n">
        <x:v>3318.24</x:v>
      </x:c>
      <x:c r="P191" s="12"/>
      <x:c r="Q191" s="12" t="n">
        <x:v>25384.54</x:v>
      </x:c>
      <x:c r="R191" s="12" t="n">
        <x:v>16872.39</x:v>
      </x:c>
      <x:c r="S191" s="12" t="n">
        <x:v>8512.15</x:v>
      </x:c>
      <x:c r="T191" s="12" t="str">
        <x:v>Paid</x:v>
      </x:c>
      <x:c r="U191" s="12" t="str">
        <x:v>completed</x:v>
      </x:c>
    </x:row>
    <x:row r="192">
      <x:c r="A192" s="12" t="str">
        <x:v>ORD-2025-10191</x:v>
      </x:c>
      <x:c r="B192" s="12" t="str">
        <x:v>20-04-2025</x:v>
      </x:c>
      <x:c r="C192" s="12" t="str">
        <x:v>04/21/2025</x:v>
      </x:c>
      <x:c r="D192" s="12" t="str">
        <x:v>CUST-5138</x:v>
      </x:c>
      <x:c r="E192" s="12" t="str">
        <x:v>Aditi Sen</x:v>
      </x:c>
      <x:c r="F192" s="12" t="str">
        <x:v>Consumer</x:v>
      </x:c>
      <x:c r="G192" s="12" t="str">
        <x:v>South</x:v>
      </x:c>
      <x:c r="H192" s="12" t="str">
        <x:v>Tamil Nadu</x:v>
      </x:c>
      <x:c r="I192" s="12" t="str">
        <x:v>Chennai</x:v>
      </x:c>
      <x:c r="J192" s="12" t="str">
        <x:v>Office Supplies</x:v>
      </x:c>
      <x:c r="K192" s="12" t="str">
        <x:v>Storage</x:v>
      </x:c>
      <x:c r="L192" s="12" t="str">
        <x:v>Eco Storage 158</x:v>
      </x:c>
      <x:c r="M192" s="12" t="str">
        <x:v>First Class</x:v>
      </x:c>
      <x:c r="N192" s="12" t="n">
        <x:v>3</x:v>
      </x:c>
      <x:c r="O192" s="12" t="n">
        <x:v>540.09</x:v>
      </x:c>
      <x:c r="P192" s="12" t="n">
        <x:v>0.1</x:v>
      </x:c>
      <x:c r="Q192" s="12" t="n">
        <x:v>1458.24</x:v>
      </x:c>
      <x:c r="R192" s="12" t="n">
        <x:v>943.32</x:v>
      </x:c>
      <x:c r="S192" s="12" t="n">
        <x:v>514.92</x:v>
      </x:c>
      <x:c r="T192" s="12" t="str">
        <x:v>Paid</x:v>
      </x:c>
      <x:c r="U192" s="12" t="str">
        <x:v>  Completed </x:v>
      </x:c>
    </x:row>
    <x:row r="193">
      <x:c r="A193" s="12" t="str">
        <x:v>ORD-2024-10192</x:v>
      </x:c>
      <x:c r="B193" s="12" t="str">
        <x:v>19-10-2024</x:v>
      </x:c>
      <x:c r="C193" s="12" t="str">
        <x:v>2024-10-24</x:v>
      </x:c>
      <x:c r="D193" s="12" t="str">
        <x:v>CUST-7410</x:v>
      </x:c>
      <x:c r="E193" s="12" t="str">
        <x:v>Sneha Kapoor</x:v>
      </x:c>
      <x:c r="F193" s="12" t="str">
        <x:v>Small Business</x:v>
      </x:c>
      <x:c r="G193" s="12" t="str">
        <x:v>South</x:v>
      </x:c>
      <x:c r="H193" s="12" t="str">
        <x:v>Tamil Nadu</x:v>
      </x:c>
      <x:c r="I193" s="12" t="str">
        <x:v>Chennai</x:v>
      </x:c>
      <x:c r="J193" s="12" t="str">
        <x:v>Furniture</x:v>
      </x:c>
      <x:c r="K193" s="12" t="str">
        <x:v>Bookcases</x:v>
      </x:c>
      <x:c r="L193" s="12" t="str">
        <x:v>Prime Bookcases 602</x:v>
      </x:c>
      <x:c r="M193" s="12" t="str">
        <x:v>Second Class</x:v>
      </x:c>
      <x:c r="N193" s="12" t="n">
        <x:v>6</x:v>
      </x:c>
      <x:c r="O193" s="12" t="n">
        <x:v>4308.4</x:v>
      </x:c>
      <x:c r="P193" s="12" t="n">
        <x:v>0.65</x:v>
      </x:c>
      <x:c r="Q193" s="12" t="n">
        <x:v>25850.4</x:v>
      </x:c>
      <x:c r="R193" s="12" t="n">
        <x:v>19397.68</x:v>
      </x:c>
      <x:c r="S193" s="12" t="n">
        <x:v>6452.72</x:v>
      </x:c>
      <x:c r="T193" s="12" t="str">
        <x:v>Paid</x:v>
      </x:c>
      <x:c r="U193" s="12" t="str">
        <x:v>Completed</x:v>
      </x:c>
    </x:row>
    <x:row r="194">
      <x:c r="A194" s="12" t="str">
        <x:v>ORD-2024-10193</x:v>
      </x:c>
      <x:c r="B194" s="12" t="str">
        <x:v>2024-12-09</x:v>
      </x:c>
      <x:c r="C194" s="12" t="str">
        <x:v>12/16/2024</x:v>
      </x:c>
      <x:c r="D194" s="12" t="str">
        <x:v>CUST-7115</x:v>
      </x:c>
      <x:c r="E194" s="12" t="str">
        <x:v>Isha Nair</x:v>
      </x:c>
      <x:c r="F194" s="12" t="str">
        <x:v>Home Office</x:v>
      </x:c>
      <x:c r="G194" s="12" t="str">
        <x:v>West</x:v>
      </x:c>
      <x:c r="H194" s="12" t="str">
        <x:v>Gujarat</x:v>
      </x:c>
      <x:c r="I194" s="12" t="str">
        <x:v>Ahmedabad</x:v>
      </x:c>
      <x:c r="J194" s="12" t="str">
        <x:v>Furniture</x:v>
      </x:c>
      <x:c r="K194" s="12" t="str">
        <x:v>Chairs</x:v>
      </x:c>
      <x:c r="L194" s="12" t="str">
        <x:v>Eco Chairs 438</x:v>
      </x:c>
      <x:c r="M194" s="12" t="str">
        <x:v>First Class</x:v>
      </x:c>
      <x:c r="N194" s="12" t="n">
        <x:v>4</x:v>
      </x:c>
      <x:c r="O194" s="12" t="n">
        <x:v>2191.03</x:v>
      </x:c>
      <x:c r="P194" s="12" t="n">
        <x:v>0</x:v>
      </x:c>
      <x:c r="Q194" s="12" t="n">
        <x:v>8764.12</x:v>
      </x:c>
      <x:c r="R194" s="12" t="n">
        <x:v>7220.05</x:v>
      </x:c>
      <x:c r="S194" s="12" t="n">
        <x:v>1544.07</x:v>
      </x:c>
      <x:c r="T194" s="12" t="str">
        <x:v>Paid</x:v>
      </x:c>
      <x:c r="U194" s="12" t="str">
        <x:v>Completed</x:v>
      </x:c>
    </x:row>
    <x:row r="195">
      <x:c r="A195" s="12" t="str">
        <x:v>ORD-2024-10194</x:v>
      </x:c>
      <x:c r="B195" s="12" t="str">
        <x:v>2024-06-23</x:v>
      </x:c>
      <x:c r="C195" s="12" t="str">
        <x:v>28-06-2024</x:v>
      </x:c>
      <x:c r="D195" s="12" t="str">
        <x:v>CUST-9853</x:v>
      </x:c>
      <x:c r="E195" s="12" t="str">
        <x:v>Priya Menon</x:v>
      </x:c>
      <x:c r="F195" s="12" t="str">
        <x:v>Small Business</x:v>
      </x:c>
      <x:c r="G195" s="12" t="str">
        <x:v>North</x:v>
      </x:c>
      <x:c r="H195" s="12" t="str">
        <x:v>Punjab</x:v>
      </x:c>
      <x:c r="I195" s="12" t="str">
        <x:v>Ludhiana</x:v>
      </x:c>
      <x:c r="J195" s="12" t="str">
        <x:v>Technology</x:v>
      </x:c>
      <x:c r="K195" s="12" t="str">
        <x:v>Copiers</x:v>
      </x:c>
      <x:c r="L195" s="12" t="str">
        <x:v>Prime Copiers 142</x:v>
      </x:c>
      <x:c r="M195" s="12" t="str">
        <x:v>Same Day</x:v>
      </x:c>
      <x:c r="N195" s="12" t="n">
        <x:v>6</x:v>
      </x:c>
      <x:c r="O195" s="12" t="n">
        <x:v>1956.63</x:v>
      </x:c>
      <x:c r="P195" s="12" t="n">
        <x:v>0.2</x:v>
      </x:c>
      <x:c r="Q195" s="12" t="n">
        <x:v>9391.82</x:v>
      </x:c>
      <x:c r="R195" s="12" t="n">
        <x:v>6013.22</x:v>
      </x:c>
      <x:c r="S195" s="12" t="n">
        <x:v>3378.6</x:v>
      </x:c>
      <x:c r="T195" s="12" t="str">
        <x:v>Refunded</x:v>
      </x:c>
      <x:c r="U195" s="12" t="str">
        <x:v>Returned</x:v>
      </x:c>
    </x:row>
    <x:row r="196">
      <x:c r="A196" s="12" t="str">
        <x:v>ORD-2025-10195</x:v>
      </x:c>
      <x:c r="B196" s="12" t="str">
        <x:v>2025-01-28</x:v>
      </x:c>
      <x:c r="C196" s="12" t="str">
        <x:v>01/31/2025</x:v>
      </x:c>
      <x:c r="D196" s="12" t="str">
        <x:v>CUST-3637</x:v>
      </x:c>
      <x:c r="E196" s="12" t="str">
        <x:v>Priya Menon</x:v>
      </x:c>
      <x:c r="F196" s="12" t="str">
        <x:v>Consumer</x:v>
      </x:c>
      <x:c r="G196" s="12" t="str">
        <x:v>WEST</x:v>
      </x:c>
      <x:c r="H196" s="12" t="str">
        <x:v>Maharashtra</x:v>
      </x:c>
      <x:c r="I196" s="12" t="str">
        <x:v>Mumbai</x:v>
      </x:c>
      <x:c r="J196" s="12" t="str">
        <x:v>Furniture</x:v>
      </x:c>
      <x:c r="K196" s="12" t="str">
        <x:v>Furnishings</x:v>
      </x:c>
      <x:c r="L196" s="12" t="str">
        <x:v>Prime Furnishings 433</x:v>
      </x:c>
      <x:c r="M196" s="12" t="str">
        <x:v>First Class</x:v>
      </x:c>
      <x:c r="N196" s="12" t="n">
        <x:v>9</x:v>
      </x:c>
      <x:c r="O196" s="12" t="n">
        <x:v>858.39</x:v>
      </x:c>
      <x:c r="P196" s="12" t="n">
        <x:v>0.05</x:v>
      </x:c>
      <x:c r="Q196" s="12" t="n">
        <x:v>7339.23</x:v>
      </x:c>
      <x:c r="R196" s="12" t="n">
        <x:v>5434.12</x:v>
      </x:c>
      <x:c r="S196" s="12" t="n">
        <x:v>1905.11</x:v>
      </x:c>
      <x:c r="T196" s="12" t="str">
        <x:v>Pending</x:v>
      </x:c>
      <x:c r="U196" s="12" t="str">
        <x:v>Returned</x:v>
      </x:c>
    </x:row>
    <x:row r="197">
      <x:c r="A197" s="12" t="str">
        <x:v>ORD-2025-10196</x:v>
      </x:c>
      <x:c r="B197" s="12" t="str">
        <x:v>22 Jul 2025</x:v>
      </x:c>
      <x:c r="C197" s="12" t="str">
        <x:v>07/24/2025</x:v>
      </x:c>
      <x:c r="D197" s="12" t="str">
        <x:v>CUST-4328</x:v>
      </x:c>
      <x:c r="E197" s="12" t="str">
        <x:v>Neha Gupta</x:v>
      </x:c>
      <x:c r="F197" s="12" t="str">
        <x:v>Home Office</x:v>
      </x:c>
      <x:c r="G197" s="12" t="str">
        <x:v>South</x:v>
      </x:c>
      <x:c r="H197" s="12" t="str">
        <x:v>Andhra Pradesh</x:v>
      </x:c>
      <x:c r="I197" s="12" t="str">
        <x:v>Vijayawada</x:v>
      </x:c>
      <x:c r="J197" s="12" t="str">
        <x:v>Furniture</x:v>
      </x:c>
      <x:c r="K197" s="12" t="str">
        <x:v>Furnishings</x:v>
      </x:c>
      <x:c r="L197" s="12" t="str">
        <x:v>Smart Furnishings 685</x:v>
      </x:c>
      <x:c r="M197" s="12" t="str">
        <x:v>Same Day</x:v>
      </x:c>
      <x:c r="N197" s="12" t="n">
        <x:v>5</x:v>
      </x:c>
      <x:c r="O197" s="12" t="n">
        <x:v>1922.83</x:v>
      </x:c>
      <x:c r="P197" s="12" t="n">
        <x:v>0</x:v>
      </x:c>
      <x:c r="Q197" s="12" t="n">
        <x:v>9614.15</x:v>
      </x:c>
      <x:c r="R197" s="12" t="n">
        <x:v>7576.84</x:v>
      </x:c>
      <x:c r="S197" s="12" t="n">
        <x:v>2037.31</x:v>
      </x:c>
      <x:c r="T197" s="12" t="str">
        <x:v>Paid</x:v>
      </x:c>
      <x:c r="U197" s="12" t="str">
        <x:v>Completed</x:v>
      </x:c>
    </x:row>
    <x:row r="198">
      <x:c r="A198" s="12" t="str">
        <x:v>ORD-2024-10197</x:v>
      </x:c>
      <x:c r="B198" s="12" t="str">
        <x:v>22-01-2024</x:v>
      </x:c>
      <x:c r="C198" s="12" t="str">
        <x:v>25 Jan 2024</x:v>
      </x:c>
      <x:c r="D198" s="12" t="str">
        <x:v>CUST-8028</x:v>
      </x:c>
      <x:c r="E198" s="12" t="str">
        <x:v>Kabir Singh</x:v>
      </x:c>
      <x:c r="F198" s="12" t="str">
        <x:v>Home Office</x:v>
      </x:c>
      <x:c r="G198" s="12" t="str">
        <x:v>North</x:v>
      </x:c>
      <x:c r="H198" s="12" t="str">
        <x:v>Uttar Pradesh</x:v>
      </x:c>
      <x:c r="I198" s="12" t="str">
        <x:v>Noida</x:v>
      </x:c>
      <x:c r="J198" s="12" t="str">
        <x:v>Office Supplies</x:v>
      </x:c>
      <x:c r="K198" s="12" t="str">
        <x:v>Storage</x:v>
      </x:c>
      <x:c r="L198" s="12" t="str">
        <x:v>Elite Storage 915</x:v>
      </x:c>
      <x:c r="M198" s="12" t="str">
        <x:v>First Class</x:v>
      </x:c>
      <x:c r="N198" s="12" t="n">
        <x:v>3</x:v>
      </x:c>
      <x:c r="O198" s="12" t="n">
        <x:v>1212.03</x:v>
      </x:c>
      <x:c r="P198" s="12" t="n">
        <x:v>0.1</x:v>
      </x:c>
      <x:c r="Q198" s="12" t="n">
        <x:v>3272.48</x:v>
      </x:c>
      <x:c r="R198" s="12" t="n">
        <x:v>2517.44</x:v>
      </x:c>
      <x:c r="S198" s="12" t="n">
        <x:v>755.04</x:v>
      </x:c>
      <x:c r="T198" s="12" t="str">
        <x:v>Paid</x:v>
      </x:c>
      <x:c r="U198" s="12" t="str">
        <x:v>Completed</x:v>
      </x:c>
    </x:row>
    <x:row r="199">
      <x:c r="A199" s="12" t="str">
        <x:v>ORD-2025-10198</x:v>
      </x:c>
      <x:c r="B199" s="12" t="str">
        <x:v>31 Mar 2025</x:v>
      </x:c>
      <x:c r="C199" s="12" t="str">
        <x:v>07-04-2025</x:v>
      </x:c>
      <x:c r="D199" s="12" t="str">
        <x:v>CUST-6106</x:v>
      </x:c>
      <x:c r="E199" s="12" t="str">
        <x:v>Rahul Verma</x:v>
      </x:c>
      <x:c r="F199" s="12" t="str">
        <x:v>Small  Business</x:v>
      </x:c>
      <x:c r="G199" s="12" t="str">
        <x:v>East</x:v>
      </x:c>
      <x:c r="H199" s="12" t="str">
        <x:v>Bihar</x:v>
      </x:c>
      <x:c r="I199" s="12" t="str">
        <x:v>Patna</x:v>
      </x:c>
      <x:c r="J199" s="12" t="str">
        <x:v>Office Supplies</x:v>
      </x:c>
      <x:c r="K199" s="12" t="str">
        <x:v>Storage</x:v>
      </x:c>
      <x:c r="L199" s="12" t="str">
        <x:v>Basic Storage 961</x:v>
      </x:c>
      <x:c r="M199" s="12" t="str">
        <x:v>Second Class</x:v>
      </x:c>
      <x:c r="N199" s="12" t="n">
        <x:v>5</x:v>
      </x:c>
      <x:c r="O199" s="12" t="n">
        <x:v>4096.44</x:v>
      </x:c>
      <x:c r="P199" s="12" t="n">
        <x:v>0.15</x:v>
      </x:c>
      <x:c r="Q199" s="12" t="n">
        <x:v>17409.87</x:v>
      </x:c>
      <x:c r="R199" s="12" t="n">
        <x:v>14076.25</x:v>
      </x:c>
      <x:c r="S199" s="12" t="n">
        <x:v>3333.62</x:v>
      </x:c>
      <x:c r="T199" s="12" t="str">
        <x:v>Paid</x:v>
      </x:c>
      <x:c r="U199" s="12" t="str">
        <x:v>Completed</x:v>
      </x:c>
    </x:row>
    <x:row r="200">
      <x:c r="A200" s="12" t="str">
        <x:v>ORD-2024-10199</x:v>
      </x:c>
      <x:c r="B200" s="12" t="str">
        <x:v>05-06-2024</x:v>
      </x:c>
      <x:c r="C200" s="12" t="str">
        <x:v>06/06/2024</x:v>
      </x:c>
      <x:c r="D200" s="12" t="str">
        <x:v>CUST-7820</x:v>
      </x:c>
      <x:c r="E200" s="12" t="str">
        <x:v>Sneha Kapoor</x:v>
      </x:c>
      <x:c r="F200" s="12" t="str">
        <x:v>Consumer</x:v>
      </x:c>
      <x:c r="G200" s="12" t="str">
        <x:v>West</x:v>
      </x:c>
      <x:c r="H200" s="12" t="str">
        <x:v>Gujarat</x:v>
      </x:c>
      <x:c r="I200" s="12" t="str">
        <x:v>Ahmedabad</x:v>
      </x:c>
      <x:c r="J200" s="12" t="str">
        <x:v>Office Supplies</x:v>
      </x:c>
      <x:c r="K200" s="12" t="str">
        <x:v>Art</x:v>
      </x:c>
      <x:c r="L200" s="12" t="str">
        <x:v>Classic Art 968</x:v>
      </x:c>
      <x:c r="M200" s="12" t="str">
        <x:v>Second Class</x:v>
      </x:c>
      <x:c r="N200" s="12" t="n">
        <x:v>1</x:v>
      </x:c>
      <x:c r="O200" s="12" t="n">
        <x:v>1184.58</x:v>
      </x:c>
      <x:c r="P200" s="12" t="n">
        <x:v>0.05</x:v>
      </x:c>
      <x:c r="Q200" s="12" t="n">
        <x:v>1125.35</x:v>
      </x:c>
      <x:c r="R200" s="12" t="n">
        <x:v>676.97</x:v>
      </x:c>
      <x:c r="S200" s="12" t="n">
        <x:v>448.38</x:v>
      </x:c>
      <x:c r="T200" s="12" t="str">
        <x:v>Failed</x:v>
      </x:c>
      <x:c r="U200" s="12" t="str">
        <x:v>Cancelled</x:v>
      </x:c>
    </x:row>
    <x:row r="201">
      <x:c r="A201" s="12" t="str">
        <x:v>ORD-2024-10200</x:v>
      </x:c>
      <x:c r="B201" s="12" t="str">
        <x:v>03/12/2024</x:v>
      </x:c>
      <x:c r="C201" s="12" t="str">
        <x:v>12-03-2024</x:v>
      </x:c>
      <x:c r="D201" s="12" t="str">
        <x:v>CUST-4536</x:v>
      </x:c>
      <x:c r="E201" s="12" t="str">
        <x:v>Rahul Verma</x:v>
      </x:c>
      <x:c r="F201" s="12" t="str">
        <x:v>Home Office</x:v>
      </x:c>
      <x:c r="G201" s="12" t="str">
        <x:v>East</x:v>
      </x:c>
      <x:c r="H201" s="12" t="str">
        <x:v>Bihar</x:v>
      </x:c>
      <x:c r="I201" s="12" t="str">
        <x:v>Patna</x:v>
      </x:c>
      <x:c r="J201" s="12" t="str">
        <x:v>Technology</x:v>
      </x:c>
      <x:c r="K201" s="12" t="str">
        <x:v>Machines</x:v>
      </x:c>
      <x:c r="L201" s="12" t="str">
        <x:v>Prime Machines 806</x:v>
      </x:c>
      <x:c r="M201" s="12"/>
      <x:c r="N201" s="12" t="n">
        <x:v>6</x:v>
      </x:c>
      <x:c r="O201" s="12" t="n">
        <x:v>2185.58</x:v>
      </x:c>
      <x:c r="P201" s="12" t="n">
        <x:v>0.25</x:v>
      </x:c>
      <x:c r="Q201" s="12" t="n">
        <x:v>9835.11</x:v>
      </x:c>
      <x:c r="R201" s="12" t="n">
        <x:v>5437.64</x:v>
      </x:c>
      <x:c r="S201" s="12" t="n">
        <x:v>4397.47</x:v>
      </x:c>
      <x:c r="T201" s="12" t="str">
        <x:v>Paid</x:v>
      </x:c>
      <x:c r="U201" s="12" t="str">
        <x:v>Completed</x:v>
      </x:c>
    </x:row>
    <x:row r="202">
      <x:c r="A202" s="12" t="str">
        <x:v>ORD-2025-10201</x:v>
      </x:c>
      <x:c r="B202" s="12" t="str">
        <x:v>27-06-2025</x:v>
      </x:c>
      <x:c r="C202" s="12" t="str">
        <x:v>05 Jul 2025</x:v>
      </x:c>
      <x:c r="D202" s="12" t="str">
        <x:v>CUST-7047</x:v>
      </x:c>
      <x:c r="E202" s="12" t="str">
        <x:v>Priya Menon</x:v>
      </x:c>
      <x:c r="F202" s="12" t="str">
        <x:v>Small Business</x:v>
      </x:c>
      <x:c r="G202" s="12" t="str">
        <x:v>North</x:v>
      </x:c>
      <x:c r="H202" s="12" t="str">
        <x:v>Rajasthan</x:v>
      </x:c>
      <x:c r="I202" s="12" t="str">
        <x:v>Jaipur</x:v>
      </x:c>
      <x:c r="J202" s="12" t="str">
        <x:v>Technology</x:v>
      </x:c>
      <x:c r="K202" s="12" t="str">
        <x:v>Copiers</x:v>
      </x:c>
      <x:c r="L202" s="12" t="str">
        <x:v>Classic Copiers 479</x:v>
      </x:c>
      <x:c r="M202" s="12" t="str">
        <x:v>First Class</x:v>
      </x:c>
      <x:c r="N202" s="12" t="n">
        <x:v>5</x:v>
      </x:c>
      <x:c r="O202" s="12" t="n">
        <x:v>2868.44</x:v>
      </x:c>
      <x:c r="P202" s="12" t="n">
        <x:v>0.1</x:v>
      </x:c>
      <x:c r="Q202" s="12" t="n">
        <x:v>12907.98</x:v>
      </x:c>
      <x:c r="R202" s="12" t="n">
        <x:v>9197.08</x:v>
      </x:c>
      <x:c r="S202" s="12" t="n">
        <x:v>3710.9</x:v>
      </x:c>
      <x:c r="T202" s="12" t="str">
        <x:v>Pending</x:v>
      </x:c>
      <x:c r="U202" s="12" t="str">
        <x:v>Cancelled</x:v>
      </x:c>
    </x:row>
    <x:row r="203">
      <x:c r="A203" s="12" t="str">
        <x:v>ORD-2025-10202</x:v>
      </x:c>
      <x:c r="B203" s="12" t="str">
        <x:v>26-07-2025</x:v>
      </x:c>
      <x:c r="C203" s="12" t="str">
        <x:v>08/03/2025</x:v>
      </x:c>
      <x:c r="D203" s="12" t="str">
        <x:v>CUST-8005</x:v>
      </x:c>
      <x:c r="E203" s="12" t="str">
        <x:v>Vikram Iyer</x:v>
      </x:c>
      <x:c r="F203" s="12" t="str">
        <x:v>Consumer</x:v>
      </x:c>
      <x:c r="G203" s="12" t="str">
        <x:v>West</x:v>
      </x:c>
      <x:c r="H203" s="12" t="str">
        <x:v>Madhya Pradesh</x:v>
      </x:c>
      <x:c r="I203" s="12" t="str">
        <x:v>Indore</x:v>
      </x:c>
      <x:c r="J203" s="12" t="str">
        <x:v>Office Supplies</x:v>
      </x:c>
      <x:c r="K203" s="12" t="str">
        <x:v>Labels</x:v>
      </x:c>
      <x:c r="L203" s="12" t="str">
        <x:v>Basic Labels 511</x:v>
      </x:c>
      <x:c r="M203" s="12" t="str">
        <x:v>Second Class</x:v>
      </x:c>
      <x:c r="N203" s="12" t="n">
        <x:v>2</x:v>
      </x:c>
      <x:c r="O203" s="12" t="n">
        <x:v>2503.53</x:v>
      </x:c>
      <x:c r="P203" s="12" t="n">
        <x:v>-0.16</x:v>
      </x:c>
      <x:c r="Q203" s="12" t="n">
        <x:v>4756.71</x:v>
      </x:c>
      <x:c r="R203" s="12" t="n">
        <x:v>2954.86</x:v>
      </x:c>
      <x:c r="S203" s="12" t="n">
        <x:v>1801.85</x:v>
      </x:c>
      <x:c r="T203" s="12" t="str">
        <x:v>Refunded</x:v>
      </x:c>
      <x:c r="U203" s="12" t="str">
        <x:v>Cancelled</x:v>
      </x:c>
    </x:row>
    <x:row r="204">
      <x:c r="A204" s="12" t="str">
        <x:v>ORD-2025-10203</x:v>
      </x:c>
      <x:c r="B204" s="12" t="str">
        <x:v>2025-03-28</x:v>
      </x:c>
      <x:c r="C204" s="12" t="str">
        <x:v>28 Mar 2025</x:v>
      </x:c>
      <x:c r="D204" s="12" t="str">
        <x:v>CUST-9378</x:v>
      </x:c>
      <x:c r="E204" s="12" t="str">
        <x:v>Sneha Kapoor</x:v>
      </x:c>
      <x:c r="F204" s="12" t="str">
        <x:v>Corporate</x:v>
      </x:c>
      <x:c r="G204" s="12" t="str">
        <x:v>West</x:v>
      </x:c>
      <x:c r="H204" s="12" t="str">
        <x:v>Goa</x:v>
      </x:c>
      <x:c r="I204" s="12" t="str">
        <x:v>Panaji</x:v>
      </x:c>
      <x:c r="J204" s="12" t="str">
        <x:v>Technology</x:v>
      </x:c>
      <x:c r="K204" s="12" t="str">
        <x:v>Accessories</x:v>
      </x:c>
      <x:c r="L204" s="12" t="str">
        <x:v>Prime Accessories 733</x:v>
      </x:c>
      <x:c r="M204" s="12" t="str">
        <x:v>Standard Class</x:v>
      </x:c>
      <x:c r="N204" s="12" t="n">
        <x:v>8</x:v>
      </x:c>
      <x:c r="O204" s="12" t="n">
        <x:v>1740.94</x:v>
      </x:c>
      <x:c r="P204" s="12" t="n">
        <x:v>0.05</x:v>
      </x:c>
      <x:c r="Q204" s="12" t="n">
        <x:v>13231.14</x:v>
      </x:c>
      <x:c r="R204" s="12" t="n">
        <x:v>11290.06</x:v>
      </x:c>
      <x:c r="S204" s="12" t="n">
        <x:v>1941.08</x:v>
      </x:c>
      <x:c r="T204" s="12" t="str">
        <x:v>Paid</x:v>
      </x:c>
      <x:c r="U204" s="12" t="str">
        <x:v>Completed</x:v>
      </x:c>
    </x:row>
    <x:row r="205">
      <x:c r="A205" s="12" t="str">
        <x:v>ORD-2024-10204</x:v>
      </x:c>
      <x:c r="B205" s="12" t="str">
        <x:v>28 Mar 2024</x:v>
      </x:c>
      <x:c r="C205" s="12" t="str">
        <x:v>2024-03-30</x:v>
      </x:c>
      <x:c r="D205" s="12" t="str">
        <x:v>CUST-3384</x:v>
      </x:c>
      <x:c r="E205" s="12" t="str">
        <x:v>Sneha Kapoor</x:v>
      </x:c>
      <x:c r="F205" s="12" t="str">
        <x:v>Corporate</x:v>
      </x:c>
      <x:c r="G205" s="12" t="str">
        <x:v>West</x:v>
      </x:c>
      <x:c r="H205" s="12" t="str">
        <x:v>Rajasthan</x:v>
      </x:c>
      <x:c r="I205" s="12" t="str">
        <x:v>Udaipur</x:v>
      </x:c>
      <x:c r="J205" s="12" t="str">
        <x:v>Technology</x:v>
      </x:c>
      <x:c r="K205" s="12" t="str">
        <x:v>Accessories</x:v>
      </x:c>
      <x:c r="L205" s="12" t="str">
        <x:v>Max Accessories 186</x:v>
      </x:c>
      <x:c r="M205" s="12" t="str">
        <x:v>Second Class</x:v>
      </x:c>
      <x:c r="N205" s="12" t="n">
        <x:v>1</x:v>
      </x:c>
      <x:c r="O205" s="12" t="n">
        <x:v>570.34</x:v>
      </x:c>
      <x:c r="P205" s="12" t="n">
        <x:v>0.15</x:v>
      </x:c>
      <x:c r="Q205" s="12" t="n">
        <x:v>484.79</x:v>
      </x:c>
      <x:c r="R205" s="12" t="n">
        <x:v>333.54</x:v>
      </x:c>
      <x:c r="S205" s="12" t="n">
        <x:v>151.25</x:v>
      </x:c>
      <x:c r="T205" s="12" t="str">
        <x:v>Paid</x:v>
      </x:c>
      <x:c r="U205" s="12" t="str">
        <x:v>Completed</x:v>
      </x:c>
    </x:row>
    <x:row r="206">
      <x:c r="A206" s="12" t="str">
        <x:v>ORD-2025-10205</x:v>
      </x:c>
      <x:c r="B206" s="12" t="str">
        <x:v>20-07-2025</x:v>
      </x:c>
      <x:c r="C206" s="12" t="str">
        <x:v>2025-07-23</x:v>
      </x:c>
      <x:c r="D206" s="12" t="str">
        <x:v>CUST-1986</x:v>
      </x:c>
      <x:c r="E206" s="12" t="str">
        <x:v>Mira Das</x:v>
      </x:c>
      <x:c r="F206" s="12" t="str">
        <x:v>Home Office</x:v>
      </x:c>
      <x:c r="G206" s="12" t="str">
        <x:v>East</x:v>
      </x:c>
      <x:c r="H206" s="12" t="str">
        <x:v>West Bengal</x:v>
      </x:c>
      <x:c r="I206" s="12" t="str">
        <x:v>Kolkata</x:v>
      </x:c>
      <x:c r="J206" s="12" t="str">
        <x:v>Furniture</x:v>
      </x:c>
      <x:c r="K206" s="12" t="str">
        <x:v>Tables</x:v>
      </x:c>
      <x:c r="L206" s="12" t="str">
        <x:v>Elite Tables 318</x:v>
      </x:c>
      <x:c r="M206" s="12" t="str">
        <x:v>Second Class</x:v>
      </x:c>
      <x:c r="N206" s="12" t="n">
        <x:v>4</x:v>
      </x:c>
      <x:c r="O206" s="12" t="n">
        <x:v>477.69</x:v>
      </x:c>
      <x:c r="P206" s="12" t="n">
        <x:v>0.15</x:v>
      </x:c>
      <x:c r="Q206" s="12" t="n">
        <x:v>1624.15</x:v>
      </x:c>
      <x:c r="R206" s="12" t="n">
        <x:v>1217.99</x:v>
      </x:c>
      <x:c r="S206" s="12" t="n">
        <x:v>406.16</x:v>
      </x:c>
      <x:c r="T206" s="12" t="str">
        <x:v>Paid</x:v>
      </x:c>
      <x:c r="U206" s="12" t="str">
        <x:v>Completed</x:v>
      </x:c>
    </x:row>
    <x:row r="207">
      <x:c r="A207" s="12" t="str">
        <x:v>ORD-2025-10206</x:v>
      </x:c>
      <x:c r="B207" s="12" t="str">
        <x:v>21-04-2025</x:v>
      </x:c>
      <x:c r="C207" s="12" t="str">
        <x:v>04/26/2025</x:v>
      </x:c>
      <x:c r="D207" s="12" t="str">
        <x:v>CUST-3338</x:v>
      </x:c>
      <x:c r="E207" s="12" t="str">
        <x:v>Ananya Rao</x:v>
      </x:c>
      <x:c r="F207" s="12" t="str">
        <x:v>Consumer</x:v>
      </x:c>
      <x:c r="G207" s="12" t="str">
        <x:v>West</x:v>
      </x:c>
      <x:c r="H207" s="12" t="str">
        <x:v>Maharashtra</x:v>
      </x:c>
      <x:c r="I207" s="12" t="str">
        <x:v>Mumbai</x:v>
      </x:c>
      <x:c r="J207" s="12" t="str">
        <x:v>OFFICE SUPPLIES</x:v>
      </x:c>
      <x:c r="K207" s="12" t="str">
        <x:v>Labels</x:v>
      </x:c>
      <x:c r="L207" s="12" t="str">
        <x:v>Smart Labels 354</x:v>
      </x:c>
      <x:c r="M207" s="12" t="str">
        <x:v>Same Day</x:v>
      </x:c>
      <x:c r="N207" s="12" t="n">
        <x:v>6</x:v>
      </x:c>
      <x:c r="O207" s="12" t="n">
        <x:v>873.59</x:v>
      </x:c>
      <x:c r="P207" s="12" t="n">
        <x:v>0.2</x:v>
      </x:c>
      <x:c r="Q207" s="12" t="n">
        <x:v>4193.23</x:v>
      </x:c>
      <x:c r="R207" s="12" t="n">
        <x:v>3329.99</x:v>
      </x:c>
      <x:c r="S207" s="12" t="n">
        <x:v>863.24</x:v>
      </x:c>
      <x:c r="T207" s="12" t="str">
        <x:v>Paid</x:v>
      </x:c>
      <x:c r="U207" s="12" t="str">
        <x:v>Completed</x:v>
      </x:c>
    </x:row>
    <x:row r="208">
      <x:c r="A208" s="12" t="str">
        <x:v>ORD-2025-10207</x:v>
      </x:c>
      <x:c r="B208" s="12" t="str">
        <x:v>05/18/2025</x:v>
      </x:c>
      <x:c r="C208" s="12" t="str">
        <x:v>20 May 2025</x:v>
      </x:c>
      <x:c r="D208" s="12" t="str">
        <x:v>CUST-2343</x:v>
      </x:c>
      <x:c r="E208" s="12" t="str">
        <x:v>Diya Patel</x:v>
      </x:c>
      <x:c r="F208" s="12" t="str">
        <x:v>Small Business</x:v>
      </x:c>
      <x:c r="G208" s="12" t="str">
        <x:v>  North </x:v>
      </x:c>
      <x:c r="H208" s="12" t="str">
        <x:v>Uttar Pradesh</x:v>
      </x:c>
      <x:c r="I208" s="12" t="str">
        <x:v>Noida</x:v>
      </x:c>
      <x:c r="J208" s="12" t="str">
        <x:v>Furniture</x:v>
      </x:c>
      <x:c r="K208" s="12" t="str">
        <x:v>Furnishings</x:v>
      </x:c>
      <x:c r="L208" s="12" t="str">
        <x:v>Pro Furnishings 981</x:v>
      </x:c>
      <x:c r="M208" s="12" t="str">
        <x:v>First Class</x:v>
      </x:c>
      <x:c r="N208" s="12" t="n">
        <x:v>2</x:v>
      </x:c>
      <x:c r="O208" s="12" t="n">
        <x:v>215.13</x:v>
      </x:c>
      <x:c r="P208" s="12" t="n">
        <x:v>0</x:v>
      </x:c>
      <x:c r="Q208" s="12" t="n">
        <x:v>430.26</x:v>
      </x:c>
      <x:c r="R208" s="12" t="n">
        <x:v>286.38</x:v>
      </x:c>
      <x:c r="S208" s="12" t="n">
        <x:v>143.88</x:v>
      </x:c>
      <x:c r="T208" s="12" t="str">
        <x:v>Paid</x:v>
      </x:c>
      <x:c r="U208" s="12" t="str">
        <x:v>Completed</x:v>
      </x:c>
    </x:row>
    <x:row r="209">
      <x:c r="A209" s="12" t="str">
        <x:v>ORD-2024-10208</x:v>
      </x:c>
      <x:c r="B209" s="12" t="str">
        <x:v>10 Jul 2024</x:v>
      </x:c>
      <x:c r="C209" s="12" t="str">
        <x:v>2024-07-16</x:v>
      </x:c>
      <x:c r="D209" s="12" t="str">
        <x:v>CUST-3362</x:v>
      </x:c>
      <x:c r="E209" s="12" t="str">
        <x:v>Aarav Sharma</x:v>
      </x:c>
      <x:c r="F209" s="12" t="str">
        <x:v>Home Office</x:v>
      </x:c>
      <x:c r="G209" s="12" t="str">
        <x:v>West</x:v>
      </x:c>
      <x:c r="H209" s="12" t="str">
        <x:v>Goa</x:v>
      </x:c>
      <x:c r="I209" s="12" t="str">
        <x:v>Panaji</x:v>
      </x:c>
      <x:c r="J209" s="12" t="str">
        <x:v>Furniture</x:v>
      </x:c>
      <x:c r="K209" s="12" t="str">
        <x:v>Bookcases</x:v>
      </x:c>
      <x:c r="L209" s="12" t="str">
        <x:v>Eco Bookcases 671</x:v>
      </x:c>
      <x:c r="M209" s="12" t="str">
        <x:v>Second Class</x:v>
      </x:c>
      <x:c r="N209" s="12" t="n">
        <x:v>2</x:v>
      </x:c>
      <x:c r="O209" s="12" t="n">
        <x:v>1095.45</x:v>
      </x:c>
      <x:c r="P209" s="12" t="n">
        <x:v>0.2</x:v>
      </x:c>
      <x:c r="Q209" s="12" t="n">
        <x:v>1752.72</x:v>
      </x:c>
      <x:c r="R209" s="12" t="n">
        <x:v>996.41</x:v>
      </x:c>
      <x:c r="S209" s="12" t="n">
        <x:v>756.31</x:v>
      </x:c>
      <x:c r="T209" s="12" t="str">
        <x:v>Paid</x:v>
      </x:c>
      <x:c r="U209" s="12" t="str">
        <x:v>Completed</x:v>
      </x:c>
    </x:row>
    <x:row r="210">
      <x:c r="A210" s="12" t="str">
        <x:v>ORD-2025-10209</x:v>
      </x:c>
      <x:c r="B210" s="12" t="str">
        <x:v>06/29/2025</x:v>
      </x:c>
      <x:c r="C210" s="12" t="str">
        <x:v>05-07-2025</x:v>
      </x:c>
      <x:c r="D210" s="12" t="str">
        <x:v>CUST-3662</x:v>
      </x:c>
      <x:c r="E210" s="12" t="str">
        <x:v>Diya Patel</x:v>
      </x:c>
      <x:c r="F210" s="12" t="str">
        <x:v>Consumer</x:v>
      </x:c>
      <x:c r="G210" s="12" t="str">
        <x:v>North</x:v>
      </x:c>
      <x:c r="H210" s="12" t="str">
        <x:v>Punjab</x:v>
      </x:c>
      <x:c r="I210" s="12" t="str">
        <x:v>Ludhiana</x:v>
      </x:c>
      <x:c r="J210" s="12" t="str">
        <x:v>Furniture</x:v>
      </x:c>
      <x:c r="K210" s="12" t="str">
        <x:v>Chairs</x:v>
      </x:c>
      <x:c r="L210" s="12" t="str">
        <x:v>Max Chairs 151</x:v>
      </x:c>
      <x:c r="M210" s="12" t="str">
        <x:v>Same Day</x:v>
      </x:c>
      <x:c r="N210" s="12" t="n">
        <x:v>1</x:v>
      </x:c>
      <x:c r="O210" s="12" t="n">
        <x:v>999.83</x:v>
      </x:c>
      <x:c r="P210" s="12" t="n">
        <x:v>0</x:v>
      </x:c>
      <x:c r="Q210" s="12" t="n">
        <x:v>999.83</x:v>
      </x:c>
      <x:c r="R210" s="12" t="n">
        <x:v>634.91</x:v>
      </x:c>
      <x:c r="S210" s="12" t="n">
        <x:v>364.92</x:v>
      </x:c>
      <x:c r="T210" s="12" t="str">
        <x:v>Paid</x:v>
      </x:c>
      <x:c r="U210" s="12" t="str">
        <x:v>Completed</x:v>
      </x:c>
    </x:row>
    <x:row r="211">
      <x:c r="A211" s="12" t="str">
        <x:v>ORD-2025-10210</x:v>
      </x:c>
      <x:c r="B211" s="12" t="str">
        <x:v>08/13/2025</x:v>
      </x:c>
      <x:c r="C211" s="12" t="str">
        <x:v>08/14/2025</x:v>
      </x:c>
      <x:c r="D211" s="12" t="str">
        <x:v>CUST-4947</x:v>
      </x:c>
      <x:c r="E211" s="12" t="str">
        <x:v>Rohan Mehta</x:v>
      </x:c>
      <x:c r="F211" s="12" t="str">
        <x:v>Small Business</x:v>
      </x:c>
      <x:c r="G211" s="12" t="str">
        <x:v>South</x:v>
      </x:c>
      <x:c r="H211" s="12" t="str">
        <x:v>Andhra Pradesh</x:v>
      </x:c>
      <x:c r="I211" s="12" t="str">
        <x:v>Vijayawada</x:v>
      </x:c>
      <x:c r="J211" s="12" t="str">
        <x:v>Office Supplies</x:v>
      </x:c>
      <x:c r="K211" s="12" t="str">
        <x:v>Paper</x:v>
      </x:c>
      <x:c r="L211" s="12" t="str">
        <x:v>Prime Paper 903</x:v>
      </x:c>
      <x:c r="M211" s="12" t="str">
        <x:v>First Class</x:v>
      </x:c>
      <x:c r="N211" s="12" t="n">
        <x:v>9</x:v>
      </x:c>
      <x:c r="O211" s="12" t="n">
        <x:v>864.98</x:v>
      </x:c>
      <x:c r="P211" s="12" t="n">
        <x:v>0.1</x:v>
      </x:c>
      <x:c r="Q211" s="12" t="n">
        <x:v>7006.34</x:v>
      </x:c>
      <x:c r="R211" s="12" t="n">
        <x:v>4640.88</x:v>
      </x:c>
      <x:c r="S211" s="12" t="n">
        <x:v>2365.46</x:v>
      </x:c>
      <x:c r="T211" s="12" t="str">
        <x:v>Paid</x:v>
      </x:c>
      <x:c r="U211" s="12" t="str">
        <x:v>Completed</x:v>
      </x:c>
    </x:row>
    <x:row r="212">
      <x:c r="A212" s="12" t="str">
        <x:v>ORD-2024-10211</x:v>
      </x:c>
      <x:c r="B212" s="12" t="str">
        <x:v>03/15/2024</x:v>
      </x:c>
      <x:c r="C212" s="12" t="str">
        <x:v>18-03-2024</x:v>
      </x:c>
      <x:c r="D212" s="12" t="str">
        <x:v>CUST-3076</x:v>
      </x:c>
      <x:c r="E212" s="12" t="str">
        <x:v>Kabir Singh</x:v>
      </x:c>
      <x:c r="F212" s="12" t="str">
        <x:v>Home Office</x:v>
      </x:c>
      <x:c r="G212" s="12" t="str">
        <x:v>South</x:v>
      </x:c>
      <x:c r="H212" s="12" t="str">
        <x:v>Karnataka</x:v>
      </x:c>
      <x:c r="I212" s="12" t="str">
        <x:v>Bengaluru</x:v>
      </x:c>
      <x:c r="J212" s="12" t="str">
        <x:v>Technology</x:v>
      </x:c>
      <x:c r="K212" s="12" t="str">
        <x:v>Machines</x:v>
      </x:c>
      <x:c r="L212" s="12" t="str">
        <x:v>Classic Machines 944</x:v>
      </x:c>
      <x:c r="M212" s="12" t="str">
        <x:v>Second Class</x:v>
      </x:c>
      <x:c r="N212" s="12" t="n">
        <x:v>1</x:v>
      </x:c>
      <x:c r="O212" s="12" t="n">
        <x:v>4131.36</x:v>
      </x:c>
      <x:c r="P212" s="12" t="n">
        <x:v>0</x:v>
      </x:c>
      <x:c r="Q212" s="12" t="n">
        <x:v>4131.36</x:v>
      </x:c>
      <x:c r="R212" s="12" t="n">
        <x:v>2937.07</x:v>
      </x:c>
      <x:c r="S212" s="12" t="n">
        <x:v>1194.29</x:v>
      </x:c>
      <x:c r="T212" s="12" t="str">
        <x:v>Failed</x:v>
      </x:c>
      <x:c r="U212" s="12" t="str">
        <x:v>Returned</x:v>
      </x:c>
    </x:row>
    <x:row r="213">
      <x:c r="A213" s="12" t="str">
        <x:v>ORD-2024-10212</x:v>
      </x:c>
      <x:c r="B213" s="12" t="str">
        <x:v>05/16/2024</x:v>
      </x:c>
      <x:c r="C213" s="12" t="str">
        <x:v>05/17/2024</x:v>
      </x:c>
      <x:c r="D213" s="12" t="str">
        <x:v>CUST-2222</x:v>
      </x:c>
      <x:c r="E213" s="12" t="str">
        <x:v>Rohan Mehta</x:v>
      </x:c>
      <x:c r="F213" s="12" t="str">
        <x:v>Corporate</x:v>
      </x:c>
      <x:c r="G213" s="12" t="str">
        <x:v>EAST</x:v>
      </x:c>
      <x:c r="H213" s="12" t="str">
        <x:v>West Bengal</x:v>
      </x:c>
      <x:c r="I213" s="12" t="str">
        <x:v>Kolkata</x:v>
      </x:c>
      <x:c r="J213" s="12" t="str">
        <x:v>Technology</x:v>
      </x:c>
      <x:c r="K213" s="12" t="str">
        <x:v>Copiers</x:v>
      </x:c>
      <x:c r="L213" s="12" t="str">
        <x:v>Basic Copiers 222</x:v>
      </x:c>
      <x:c r="M213" s="12" t="str">
        <x:v>Second Class</x:v>
      </x:c>
      <x:c r="N213" s="12" t="n">
        <x:v>8</x:v>
      </x:c>
      <x:c r="O213" s="12" t="n">
        <x:v>4221.95</x:v>
      </x:c>
      <x:c r="P213" s="12" t="n">
        <x:v>0.2</x:v>
      </x:c>
      <x:c r="Q213" s="12" t="n">
        <x:v>27020.48</x:v>
      </x:c>
      <x:c r="R213" s="12" t="n">
        <x:v>22885.24</x:v>
      </x:c>
      <x:c r="S213" s="12" t="n">
        <x:v>4135.24</x:v>
      </x:c>
      <x:c r="T213" s="12" t="str">
        <x:v>Paid</x:v>
      </x:c>
      <x:c r="U213" s="12" t="str">
        <x:v>Completed</x:v>
      </x:c>
    </x:row>
    <x:row r="214">
      <x:c r="A214" s="12" t="str">
        <x:v>ORD-2024-10213</x:v>
      </x:c>
      <x:c r="B214" s="12" t="str">
        <x:v>09/21/2024</x:v>
      </x:c>
      <x:c r="C214" s="12" t="str">
        <x:v>2024-09-21</x:v>
      </x:c>
      <x:c r="D214" s="12" t="str">
        <x:v>CUST-3610</x:v>
      </x:c>
      <x:c r="E214" s="12" t="str">
        <x:v>Ananya Rao</x:v>
      </x:c>
      <x:c r="F214" s="12" t="str">
        <x:v>Small Business</x:v>
      </x:c>
      <x:c r="G214" s="12" t="str">
        <x:v>East</x:v>
      </x:c>
      <x:c r="H214" s="12" t="str">
        <x:v>Odisha</x:v>
      </x:c>
      <x:c r="I214" s="12" t="str">
        <x:v>Bhubaneswar</x:v>
      </x:c>
      <x:c r="J214" s="12" t="str">
        <x:v>Technology</x:v>
      </x:c>
      <x:c r="K214" s="12" t="str">
        <x:v>Phones</x:v>
      </x:c>
      <x:c r="L214" s="12" t="str">
        <x:v>Max Phones 329</x:v>
      </x:c>
      <x:c r="M214" s="12" t="str">
        <x:v>Same Day</x:v>
      </x:c>
      <x:c r="N214" s="12" t="n">
        <x:v>2</x:v>
      </x:c>
      <x:c r="O214" s="12" t="n">
        <x:v>214.5</x:v>
      </x:c>
      <x:c r="P214" s="12" t="n">
        <x:v>0.15</x:v>
      </x:c>
      <x:c r="Q214" s="12" t="n">
        <x:v>364.65</x:v>
      </x:c>
      <x:c r="R214" s="12" t="n">
        <x:v>280.74</x:v>
      </x:c>
      <x:c r="S214" s="12" t="n">
        <x:v>83.91</x:v>
      </x:c>
      <x:c r="T214" s="12" t="str">
        <x:v>Paid</x:v>
      </x:c>
      <x:c r="U214" s="12" t="str">
        <x:v>Completed</x:v>
      </x:c>
    </x:row>
    <x:row r="215">
      <x:c r="A215" s="12" t="str">
        <x:v>ORD-2024-10214</x:v>
      </x:c>
      <x:c r="B215" s="12" t="str">
        <x:v>15 May 2024</x:v>
      </x:c>
      <x:c r="C215" s="12" t="str">
        <x:v>21-05-2024</x:v>
      </x:c>
      <x:c r="D215" s="12" t="str">
        <x:v>CUST-9136</x:v>
      </x:c>
      <x:c r="E215" s="12" t="str">
        <x:v>Isha Nair</x:v>
      </x:c>
      <x:c r="F215" s="12" t="str">
        <x:v>Small Business</x:v>
      </x:c>
      <x:c r="G215" s="12" t="str">
        <x:v>East</x:v>
      </x:c>
      <x:c r="H215" s="12" t="str">
        <x:v>Bihar</x:v>
      </x:c>
      <x:c r="I215" s="12" t="str">
        <x:v>Patna</x:v>
      </x:c>
      <x:c r="J215" s="12" t="str">
        <x:v>Technology</x:v>
      </x:c>
      <x:c r="K215" s="12" t="str">
        <x:v>Accessories</x:v>
      </x:c>
      <x:c r="L215" s="12" t="str">
        <x:v>Classic Accessories 840</x:v>
      </x:c>
      <x:c r="M215" s="12" t="str">
        <x:v>  Second Class </x:v>
      </x:c>
      <x:c r="N215" s="12" t="n">
        <x:v>4</x:v>
      </x:c>
      <x:c r="O215" s="12" t="n">
        <x:v>4332.73</x:v>
      </x:c>
      <x:c r="P215" s="12" t="n">
        <x:v>0.2</x:v>
      </x:c>
      <x:c r="Q215" s="12" t="n">
        <x:v>13864.74</x:v>
      </x:c>
      <x:c r="R215" s="12" t="n">
        <x:v>11294.06</x:v>
      </x:c>
      <x:c r="S215" s="12" t="n">
        <x:v>2570.68</x:v>
      </x:c>
      <x:c r="T215" s="12" t="str">
        <x:v>Paid</x:v>
      </x:c>
      <x:c r="U215" s="12" t="str">
        <x:v>Completed</x:v>
      </x:c>
    </x:row>
    <x:row r="216">
      <x:c r="A216" s="12" t="str">
        <x:v>ORD-2024-10215</x:v>
      </x:c>
      <x:c r="B216" s="12" t="str">
        <x:v>17 Mar 2024</x:v>
      </x:c>
      <x:c r="C216" s="12" t="str">
        <x:v>23-03-2024</x:v>
      </x:c>
      <x:c r="D216" s="12" t="str">
        <x:v>CUST-1301</x:v>
      </x:c>
      <x:c r="E216" s="12" t="str">
        <x:v>Rahul Verma</x:v>
      </x:c>
      <x:c r="F216" s="12" t="str">
        <x:v>Consumer</x:v>
      </x:c>
      <x:c r="G216" s="12" t="str">
        <x:v>North</x:v>
      </x:c>
      <x:c r="H216" s="12" t="str">
        <x:v>Haryana</x:v>
      </x:c>
      <x:c r="I216" s="12" t="str">
        <x:v>Gurugram</x:v>
      </x:c>
      <x:c r="J216" s="12" t="str">
        <x:v>Technology</x:v>
      </x:c>
      <x:c r="K216" s="12" t="str">
        <x:v>Accessories</x:v>
      </x:c>
      <x:c r="L216" s="12" t="str">
        <x:v>Classic Accessories 757</x:v>
      </x:c>
      <x:c r="M216" s="12" t="str">
        <x:v>  First Class </x:v>
      </x:c>
      <x:c r="N216" s="12" t="n">
        <x:v>3</x:v>
      </x:c>
      <x:c r="O216" s="12" t="n">
        <x:v>248.18</x:v>
      </x:c>
      <x:c r="P216" s="12" t="n">
        <x:v>0.05</x:v>
      </x:c>
      <x:c r="Q216" s="12" t="n">
        <x:v>707.31</x:v>
      </x:c>
      <x:c r="R216" s="12" t="n">
        <x:v>569</x:v>
      </x:c>
      <x:c r="S216" s="12" t="n">
        <x:v>138.31</x:v>
      </x:c>
      <x:c r="T216" s="12" t="str">
        <x:v>Paid</x:v>
      </x:c>
      <x:c r="U216" s="12" t="str">
        <x:v>Completed</x:v>
      </x:c>
    </x:row>
    <x:row r="217">
      <x:c r="A217" s="12" t="str">
        <x:v>ORD-2024-10216</x:v>
      </x:c>
      <x:c r="B217" s="12" t="str">
        <x:v>01-03-2024</x:v>
      </x:c>
      <x:c r="C217" s="12" t="str">
        <x:v>2024-03-04</x:v>
      </x:c>
      <x:c r="D217" s="12" t="str">
        <x:v>CUST-8603</x:v>
      </x:c>
      <x:c r="E217" s="12" t="str">
        <x:v>Mira Das</x:v>
      </x:c>
      <x:c r="F217" s="12" t="str">
        <x:v>Consumer</x:v>
      </x:c>
      <x:c r="G217" s="12" t="str">
        <x:v>West</x:v>
      </x:c>
      <x:c r="H217" s="12" t="str">
        <x:v>Madhya Pradesh</x:v>
      </x:c>
      <x:c r="I217" s="12" t="str">
        <x:v>Indore</x:v>
      </x:c>
      <x:c r="J217" s="12" t="str">
        <x:v>Office Supplies</x:v>
      </x:c>
      <x:c r="K217" s="12" t="str">
        <x:v>Paper</x:v>
      </x:c>
      <x:c r="L217" s="12" t="str">
        <x:v>Prime Paper 286</x:v>
      </x:c>
      <x:c r="M217" s="12" t="str">
        <x:v>First Class</x:v>
      </x:c>
      <x:c r="N217" s="12" t="n">
        <x:v>8</x:v>
      </x:c>
      <x:c r="O217" s="12" t="n">
        <x:v>3202.4</x:v>
      </x:c>
      <x:c r="P217" s="12" t="n">
        <x:v>0.25</x:v>
      </x:c>
      <x:c r="Q217" s="12" t="n">
        <x:v>19214.4</x:v>
      </x:c>
      <x:c r="R217" s="12" t="n">
        <x:v>10916.01</x:v>
      </x:c>
      <x:c r="S217" s="12" t="n">
        <x:v>8298.39</x:v>
      </x:c>
      <x:c r="T217" s="12" t="str">
        <x:v>Paid</x:v>
      </x:c>
      <x:c r="U217" s="12" t="str">
        <x:v>Completed</x:v>
      </x:c>
    </x:row>
    <x:row r="218">
      <x:c r="A218" s="12" t="str">
        <x:v>ORD-2025-10217</x:v>
      </x:c>
      <x:c r="B218" s="12" t="str">
        <x:v>04/10/2025</x:v>
      </x:c>
      <x:c r="C218" s="12" t="str">
        <x:v>15 Apr 2025</x:v>
      </x:c>
      <x:c r="D218" s="12" t="str">
        <x:v>CUST-4330</x:v>
      </x:c>
      <x:c r="E218" s="12" t="str">
        <x:v>Isha Nair</x:v>
      </x:c>
      <x:c r="F218" s="12" t="str">
        <x:v>Consumer</x:v>
      </x:c>
      <x:c r="G218" s="12" t="str">
        <x:v>West</x:v>
      </x:c>
      <x:c r="H218" s="12" t="str">
        <x:v>Gujarat</x:v>
      </x:c>
      <x:c r="I218" s="12" t="str">
        <x:v>Ahmedabad</x:v>
      </x:c>
      <x:c r="J218" s="12" t="str">
        <x:v>Furniture</x:v>
      </x:c>
      <x:c r="K218" s="12" t="str">
        <x:v>Tables</x:v>
      </x:c>
      <x:c r="L218" s="12" t="str">
        <x:v>Basic Tables 400</x:v>
      </x:c>
      <x:c r="M218" s="12" t="str">
        <x:v>Standard Class</x:v>
      </x:c>
      <x:c r="N218" s="12" t="n">
        <x:v>8</x:v>
      </x:c>
      <x:c r="O218" s="12" t="n">
        <x:v>1839.87</x:v>
      </x:c>
      <x:c r="P218" s="12" t="n">
        <x:v>0.25</x:v>
      </x:c>
      <x:c r="Q218" s="12" t="n">
        <x:v>11039.22</x:v>
      </x:c>
      <x:c r="R218" s="12" t="n">
        <x:v>7642.91</x:v>
      </x:c>
      <x:c r="S218" s="12" t="n">
        <x:v>3396.31</x:v>
      </x:c>
      <x:c r="T218" s="12" t="str">
        <x:v>Failed</x:v>
      </x:c>
      <x:c r="U218" s="12" t="str">
        <x:v>Returned</x:v>
      </x:c>
    </x:row>
    <x:row r="219">
      <x:c r="A219" s="12" t="str">
        <x:v>ORD-2025-10218</x:v>
      </x:c>
      <x:c r="B219" s="12" t="str">
        <x:v>01-04-2025</x:v>
      </x:c>
      <x:c r="C219" s="12" t="str">
        <x:v>04/08/2025</x:v>
      </x:c>
      <x:c r="D219" s="12" t="str">
        <x:v>CUST-4533</x:v>
      </x:c>
      <x:c r="E219" s="12" t="str">
        <x:v>Aditi Sen</x:v>
      </x:c>
      <x:c r="F219" s="12" t="str">
        <x:v>Consumer</x:v>
      </x:c>
      <x:c r="G219" s="12" t="str">
        <x:v>East</x:v>
      </x:c>
      <x:c r="H219" s="12" t="str">
        <x:v>Odisha</x:v>
      </x:c>
      <x:c r="I219" s="12" t="str">
        <x:v>Bhubaneswar</x:v>
      </x:c>
      <x:c r="J219" s="12" t="str">
        <x:v>Furniture</x:v>
      </x:c>
      <x:c r="K219" s="12" t="str">
        <x:v>Bookcases</x:v>
      </x:c>
      <x:c r="L219" s="12" t="str">
        <x:v>Basic Bookcases 405</x:v>
      </x:c>
      <x:c r="M219" s="12" t="str">
        <x:v>Second Class</x:v>
      </x:c>
      <x:c r="N219" s="12" t="n">
        <x:v>5</x:v>
      </x:c>
      <x:c r="O219" s="12" t="n">
        <x:v>1021.28</x:v>
      </x:c>
      <x:c r="P219" s="12" t="n">
        <x:v>0.1</x:v>
      </x:c>
      <x:c r="Q219" s="12" t="n">
        <x:v>4595.76</x:v>
      </x:c>
      <x:c r="R219" s="12" t="n">
        <x:v>3396.8</x:v>
      </x:c>
      <x:c r="S219" s="12" t="n">
        <x:v>1198.96</x:v>
      </x:c>
      <x:c r="T219" s="12" t="str">
        <x:v>Refunded</x:v>
      </x:c>
      <x:c r="U219" s="12" t="str">
        <x:v>Cancelled</x:v>
      </x:c>
    </x:row>
    <x:row r="220">
      <x:c r="A220" s="12" t="str">
        <x:v>ORD-2025-10219</x:v>
      </x:c>
      <x:c r="B220" s="12" t="str">
        <x:v>26 Feb 2025</x:v>
      </x:c>
      <x:c r="C220" s="12" t="str">
        <x:v>27-02-2025</x:v>
      </x:c>
      <x:c r="D220" s="12" t="str">
        <x:v>CUST-8270</x:v>
      </x:c>
      <x:c r="E220" s="12" t="str">
        <x:v>Priya Menon</x:v>
      </x:c>
      <x:c r="F220" s="12" t="str">
        <x:v>Corporate</x:v>
      </x:c>
      <x:c r="G220" s="12" t="str">
        <x:v>West</x:v>
      </x:c>
      <x:c r="H220" s="12" t="str">
        <x:v>Gujarat</x:v>
      </x:c>
      <x:c r="I220" s="12" t="str">
        <x:v>Ahmedabad</x:v>
      </x:c>
      <x:c r="J220" s="12" t="str">
        <x:v>Furniture</x:v>
      </x:c>
      <x:c r="K220" s="12" t="str">
        <x:v>Bookcases</x:v>
      </x:c>
      <x:c r="L220" s="12" t="str">
        <x:v>Classic Bookcases 139</x:v>
      </x:c>
      <x:c r="M220" s="12" t="str">
        <x:v>Standard Class</x:v>
      </x:c>
      <x:c r="N220" s="12" t="n">
        <x:v>5</x:v>
      </x:c>
      <x:c r="O220" s="12" t="n">
        <x:v>258.28</x:v>
      </x:c>
      <x:c r="P220" s="12" t="n">
        <x:v>0</x:v>
      </x:c>
      <x:c r="Q220" s="12" t="n">
        <x:v>1291.4</x:v>
      </x:c>
      <x:c r="R220" s="12" t="n">
        <x:v>756.93</x:v>
      </x:c>
      <x:c r="S220" s="12" t="n">
        <x:v>534.47</x:v>
      </x:c>
      <x:c r="T220" s="12" t="str">
        <x:v>Paid</x:v>
      </x:c>
      <x:c r="U220" s="12" t="str">
        <x:v>Completed</x:v>
      </x:c>
    </x:row>
    <x:row r="221">
      <x:c r="A221" s="12" t="str">
        <x:v>ORD-2024-10220</x:v>
      </x:c>
      <x:c r="B221" s="12" t="str">
        <x:v>2024-06-18</x:v>
      </x:c>
      <x:c r="C221" s="12" t="str">
        <x:v>06/19/2024</x:v>
      </x:c>
      <x:c r="D221" s="12" t="str">
        <x:v>CUST-1472</x:v>
      </x:c>
      <x:c r="E221" s="12" t="str">
        <x:v>Rahul Verma</x:v>
      </x:c>
      <x:c r="F221" s="12" t="str">
        <x:v>Consumer</x:v>
      </x:c>
      <x:c r="G221" s="12" t="str">
        <x:v>East</x:v>
      </x:c>
      <x:c r="H221" s="12" t="str">
        <x:v>Bihar</x:v>
      </x:c>
      <x:c r="I221" s="12" t="str">
        <x:v>Patna</x:v>
      </x:c>
      <x:c r="J221" s="12" t="str">
        <x:v>Technology</x:v>
      </x:c>
      <x:c r="K221" s="12" t="str">
        <x:v>Machines</x:v>
      </x:c>
      <x:c r="L221" s="12" t="str">
        <x:v>Elite Machines 290</x:v>
      </x:c>
      <x:c r="M221" s="12" t="str">
        <x:v>First Class</x:v>
      </x:c>
      <x:c r="N221" s="12" t="n">
        <x:v>2</x:v>
      </x:c>
      <x:c r="O221" s="12" t="n">
        <x:v>121.49</x:v>
      </x:c>
      <x:c r="P221" s="12" t="str">
        <x:v>85%</x:v>
      </x:c>
      <x:c r="Q221" s="12" t="n">
        <x:v>242.98</x:v>
      </x:c>
      <x:c r="R221" s="12" t="n">
        <x:v>161.42</x:v>
      </x:c>
      <x:c r="S221" s="12" t="n">
        <x:v>81.56</x:v>
      </x:c>
      <x:c r="T221" s="12" t="str">
        <x:v>Paid</x:v>
      </x:c>
      <x:c r="U221" s="12" t="str">
        <x:v>Completed</x:v>
      </x:c>
    </x:row>
    <x:row r="222">
      <x:c r="A222" s="12" t="str">
        <x:v>ORD-2024-10221</x:v>
      </x:c>
      <x:c r="B222" s="12" t="str">
        <x:v>09/03/2024</x:v>
      </x:c>
      <x:c r="C222" s="12" t="str">
        <x:v>09/03/2024</x:v>
      </x:c>
      <x:c r="D222" s="12" t="str">
        <x:v>CUST-1031</x:v>
      </x:c>
      <x:c r="E222" s="12" t="str">
        <x:v>Sneha Kapoor</x:v>
      </x:c>
      <x:c r="F222" s="12" t="str">
        <x:v>Consumer</x:v>
      </x:c>
      <x:c r="G222" s="12" t="str">
        <x:v>South</x:v>
      </x:c>
      <x:c r="H222" s="12" t="str">
        <x:v>Kerala</x:v>
      </x:c>
      <x:c r="I222" s="12" t="str">
        <x:v>Kochi</x:v>
      </x:c>
      <x:c r="J222" s="12" t="str">
        <x:v>Office Supplies</x:v>
      </x:c>
      <x:c r="K222" s="12" t="str">
        <x:v>Storage</x:v>
      </x:c>
      <x:c r="L222" s="12" t="str">
        <x:v>Elite Storage 925</x:v>
      </x:c>
      <x:c r="M222" s="12" t="str">
        <x:v>First Class</x:v>
      </x:c>
      <x:c r="N222" s="12" t="n">
        <x:v>4</x:v>
      </x:c>
      <x:c r="O222" s="12" t="n">
        <x:v>2810.17</x:v>
      </x:c>
      <x:c r="P222" s="12" t="n">
        <x:v>0.15</x:v>
      </x:c>
      <x:c r="Q222" s="12" t="n">
        <x:v>9554.58</x:v>
      </x:c>
      <x:c r="R222" s="12" t="n">
        <x:v>6068.47</x:v>
      </x:c>
      <x:c r="S222" s="12" t="n">
        <x:v>3486.11</x:v>
      </x:c>
      <x:c r="T222" s="12" t="str">
        <x:v>Refunded</x:v>
      </x:c>
      <x:c r="U222" s="12" t="str">
        <x:v>Cancelled</x:v>
      </x:c>
    </x:row>
    <x:row r="223">
      <x:c r="A223" s="12" t="str">
        <x:v>ORD-2025-10222</x:v>
      </x:c>
      <x:c r="B223" s="12" t="str">
        <x:v>12-01-2025</x:v>
      </x:c>
      <x:c r="C223" s="12" t="str">
        <x:v>2025-01-15</x:v>
      </x:c>
      <x:c r="D223" s="12" t="str">
        <x:v>CUST-2495</x:v>
      </x:c>
      <x:c r="E223" s="12" t="str">
        <x:v>Mira Das</x:v>
      </x:c>
      <x:c r="F223" s="12" t="str">
        <x:v>Corporate</x:v>
      </x:c>
      <x:c r="G223" s="12" t="str">
        <x:v>South</x:v>
      </x:c>
      <x:c r="H223" s="12" t="str">
        <x:v>Karnataka</x:v>
      </x:c>
      <x:c r="I223" s="12" t="str">
        <x:v>Bengaluru</x:v>
      </x:c>
      <x:c r="J223" s="12" t="str">
        <x:v>Furniture</x:v>
      </x:c>
      <x:c r="K223" s="12" t="str">
        <x:v>Chairs</x:v>
      </x:c>
      <x:c r="L223" s="12" t="str">
        <x:v>Classic Chairs 231</x:v>
      </x:c>
      <x:c r="M223" s="12" t="str">
        <x:v>Same Day</x:v>
      </x:c>
      <x:c r="N223" s="12" t="n">
        <x:v>4</x:v>
      </x:c>
      <x:c r="O223" s="12" t="n">
        <x:v>1531.53</x:v>
      </x:c>
      <x:c r="P223" s="12" t="n">
        <x:v>0.2</x:v>
      </x:c>
      <x:c r="Q223" s="12" t="n">
        <x:v>4900.9</x:v>
      </x:c>
      <x:c r="R223" s="12" t="n">
        <x:v>3552.69</x:v>
      </x:c>
      <x:c r="S223" s="12" t="n">
        <x:v>1348.21</x:v>
      </x:c>
      <x:c r="T223" s="12" t="str">
        <x:v>Paid</x:v>
      </x:c>
      <x:c r="U223" s="12" t="str">
        <x:v>Completed</x:v>
      </x:c>
    </x:row>
    <x:row r="224">
      <x:c r="A224" s="12" t="str">
        <x:v>ORD-2025-10223</x:v>
      </x:c>
      <x:c r="B224" s="12" t="str">
        <x:v>04/29/2025</x:v>
      </x:c>
      <x:c r="C224" s="12" t="str">
        <x:v>02 May 2025</x:v>
      </x:c>
      <x:c r="D224" s="12" t="str">
        <x:v>CUST-4583</x:v>
      </x:c>
      <x:c r="E224" s="12" t="str">
        <x:v>Vikram Iyer</x:v>
      </x:c>
      <x:c r="F224" s="12" t="str">
        <x:v>Small Business</x:v>
      </x:c>
      <x:c r="G224" s="12" t="str">
        <x:v>West</x:v>
      </x:c>
      <x:c r="H224" s="12" t="str">
        <x:v>Goa</x:v>
      </x:c>
      <x:c r="I224" s="12" t="str">
        <x:v>Panaji</x:v>
      </x:c>
      <x:c r="J224" s="12" t="str">
        <x:v>Office Supplies</x:v>
      </x:c>
      <x:c r="K224" s="12" t="str">
        <x:v>Storage</x:v>
      </x:c>
      <x:c r="L224" s="12" t="str">
        <x:v>Prime Storage 818</x:v>
      </x:c>
      <x:c r="M224" s="12" t="str">
        <x:v>First Class</x:v>
      </x:c>
      <x:c r="N224" s="12" t="n">
        <x:v>6</x:v>
      </x:c>
      <x:c r="O224" s="12" t="n">
        <x:v>4308.09</x:v>
      </x:c>
      <x:c r="P224" s="12" t="n">
        <x:v>0</x:v>
      </x:c>
      <x:c r="Q224" s="12" t="n">
        <x:v>25848.54</x:v>
      </x:c>
      <x:c r="R224" s="12" t="n">
        <x:v>17729.09</x:v>
      </x:c>
      <x:c r="S224" s="12" t="n">
        <x:v>8119.45</x:v>
      </x:c>
      <x:c r="T224" s="12" t="str">
        <x:v>Paid</x:v>
      </x:c>
      <x:c r="U224" s="12" t="str">
        <x:v>Completed</x:v>
      </x:c>
    </x:row>
    <x:row r="225">
      <x:c r="A225" s="12" t="str">
        <x:v>ORD-2025-10224</x:v>
      </x:c>
      <x:c r="B225" s="12" t="str">
        <x:v>19-02-2025</x:v>
      </x:c>
      <x:c r="C225" s="12" t="str">
        <x:v>02/26/2025</x:v>
      </x:c>
      <x:c r="D225" s="12" t="str">
        <x:v>CUST-5319</x:v>
      </x:c>
      <x:c r="E225" s="12" t="str">
        <x:v>Mira Das</x:v>
      </x:c>
      <x:c r="F225" s="12" t="str">
        <x:v>Corporate</x:v>
      </x:c>
      <x:c r="G225" s="12" t="str">
        <x:v>West</x:v>
      </x:c>
      <x:c r="H225" s="12" t="str">
        <x:v>Maharashtra</x:v>
      </x:c>
      <x:c r="I225" s="12" t="str">
        <x:v>Mumbai</x:v>
      </x:c>
      <x:c r="J225" s="12" t="str">
        <x:v>Furniture</x:v>
      </x:c>
      <x:c r="K225" s="12" t="str">
        <x:v>Furnishings</x:v>
      </x:c>
      <x:c r="L225" s="12" t="str">
        <x:v>Elite Furnishings 449</x:v>
      </x:c>
      <x:c r="M225" s="12" t="str">
        <x:v>First Class</x:v>
      </x:c>
      <x:c r="N225" s="12" t="n">
        <x:v>3</x:v>
      </x:c>
      <x:c r="O225" s="12" t="n">
        <x:v>490.3</x:v>
      </x:c>
      <x:c r="P225" s="12" t="n">
        <x:v>0.2</x:v>
      </x:c>
      <x:c r="Q225" s="12" t="n">
        <x:v>1176.72</x:v>
      </x:c>
      <x:c r="R225" s="12" t="n">
        <x:v>654.33</x:v>
      </x:c>
      <x:c r="S225" s="12" t="n">
        <x:v>522.39</x:v>
      </x:c>
      <x:c r="T225" s="12" t="str">
        <x:v>Pending</x:v>
      </x:c>
      <x:c r="U225" s="12" t="str">
        <x:v>Returned</x:v>
      </x:c>
    </x:row>
    <x:row r="226">
      <x:c r="A226" s="12" t="str">
        <x:v>ORD-2025-10225</x:v>
      </x:c>
      <x:c r="B226" s="12" t="str">
        <x:v>10/02/2025</x:v>
      </x:c>
      <x:c r="C226" s="12" t="str">
        <x:v>08 Oct 2025</x:v>
      </x:c>
      <x:c r="D226" s="12" t="str">
        <x:v>CUST-9871</x:v>
      </x:c>
      <x:c r="E226" s="12" t="str">
        <x:v>Isha Nair</x:v>
      </x:c>
      <x:c r="F226" s="12" t="str">
        <x:v>Small Business</x:v>
      </x:c>
      <x:c r="G226" s="12" t="str">
        <x:v>North</x:v>
      </x:c>
      <x:c r="H226" s="12" t="str">
        <x:v>Punjab</x:v>
      </x:c>
      <x:c r="I226" s="12" t="str">
        <x:v>Ludhiana</x:v>
      </x:c>
      <x:c r="J226" s="12" t="str">
        <x:v>Furniture</x:v>
      </x:c>
      <x:c r="K226" s="12" t="str">
        <x:v>Furnishings</x:v>
      </x:c>
      <x:c r="L226" s="12" t="str">
        <x:v>Classic Furnishings 109</x:v>
      </x:c>
      <x:c r="M226" s="12" t="str">
        <x:v>Standard Class</x:v>
      </x:c>
      <x:c r="N226" s="12" t="n">
        <x:v>4</x:v>
      </x:c>
      <x:c r="O226" s="12" t="n">
        <x:v>3944.64</x:v>
      </x:c>
      <x:c r="P226" s="12" t="n">
        <x:v>0.25</x:v>
      </x:c>
      <x:c r="Q226" s="12" t="n">
        <x:v>11833.92</x:v>
      </x:c>
      <x:c r="R226" s="12" t="n">
        <x:v>6682.92</x:v>
      </x:c>
      <x:c r="S226" s="12" t="n">
        <x:v>5151</x:v>
      </x:c>
      <x:c r="T226" s="12" t="str">
        <x:v>Paid</x:v>
      </x:c>
      <x:c r="U226" s="12" t="str">
        <x:v>Cancelled</x:v>
      </x:c>
    </x:row>
    <x:row r="227">
      <x:c r="A227" s="12" t="str">
        <x:v>ORD-2024-10226</x:v>
      </x:c>
      <x:c r="B227" s="12" t="str">
        <x:v>02 Sep 2024</x:v>
      </x:c>
      <x:c r="C227" s="12" t="str">
        <x:v>2024-09-10</x:v>
      </x:c>
      <x:c r="D227" s="12" t="str">
        <x:v>CUST-1266</x:v>
      </x:c>
      <x:c r="E227" s="12" t="str">
        <x:v>Mira Das</x:v>
      </x:c>
      <x:c r="F227" s="12" t="str">
        <x:v>Corporate</x:v>
      </x:c>
      <x:c r="G227" s="12" t="str">
        <x:v>West</x:v>
      </x:c>
      <x:c r="H227" s="12" t="str">
        <x:v>Goa</x:v>
      </x:c>
      <x:c r="I227" s="12" t="str">
        <x:v>Panaji</x:v>
      </x:c>
      <x:c r="J227" s="12" t="str">
        <x:v>Technology</x:v>
      </x:c>
      <x:c r="K227" s="12" t="str">
        <x:v>Phones</x:v>
      </x:c>
      <x:c r="L227" s="12" t="str">
        <x:v>Classic Phones 548</x:v>
      </x:c>
      <x:c r="M227" s="12" t="str">
        <x:v>Standard Class</x:v>
      </x:c>
      <x:c r="N227" s="12" t="n">
        <x:v>6</x:v>
      </x:c>
      <x:c r="O227" s="12" t="n">
        <x:v>1032.47</x:v>
      </x:c>
      <x:c r="P227" s="12" t="n">
        <x:v>0.15</x:v>
      </x:c>
      <x:c r="Q227" s="12" t="n">
        <x:v>5265.6</x:v>
      </x:c>
      <x:c r="R227" s="12" t="n">
        <x:v>4293.11</x:v>
      </x:c>
      <x:c r="S227" s="12" t="n">
        <x:v>787.57</x:v>
      </x:c>
      <x:c r="T227" s="12" t="str">
        <x:v>Paid</x:v>
      </x:c>
      <x:c r="U227" s="12" t="str">
        <x:v>Completed</x:v>
      </x:c>
    </x:row>
    <x:row r="228">
      <x:c r="A228" s="12" t="str">
        <x:v>ORD-2025-10227</x:v>
      </x:c>
      <x:c r="B228" s="12" t="str">
        <x:v>10-04-2025</x:v>
      </x:c>
      <x:c r="C228" s="12" t="str">
        <x:v>15 Apr 2025</x:v>
      </x:c>
      <x:c r="D228" s="12" t="str">
        <x:v>CUST-2545</x:v>
      </x:c>
      <x:c r="E228" s="12" t="str">
        <x:v>Diya Patel</x:v>
      </x:c>
      <x:c r="F228" s="12" t="str">
        <x:v>Home Office</x:v>
      </x:c>
      <x:c r="G228" s="12"/>
      <x:c r="H228" s="12" t="str">
        <x:v>Kerala</x:v>
      </x:c>
      <x:c r="I228" s="12" t="str">
        <x:v>Kochi</x:v>
      </x:c>
      <x:c r="J228" s="12" t="str">
        <x:v>Technology</x:v>
      </x:c>
      <x:c r="K228" s="12" t="str">
        <x:v>Copiers</x:v>
      </x:c>
      <x:c r="L228" s="12" t="str">
        <x:v>Max Copiers 363</x:v>
      </x:c>
      <x:c r="M228" s="12" t="str">
        <x:v>Same Day</x:v>
      </x:c>
      <x:c r="N228" s="12" t="n">
        <x:v>1</x:v>
      </x:c>
      <x:c r="O228" s="12" t="n">
        <x:v>2208.27</x:v>
      </x:c>
      <x:c r="P228" s="12" t="n">
        <x:v>0.1</x:v>
      </x:c>
      <x:c r="Q228" s="12" t="n">
        <x:v>1987.44</x:v>
      </x:c>
      <x:c r="R228" s="12" t="n">
        <x:v>1110.23</x:v>
      </x:c>
      <x:c r="S228" s="12" t="n">
        <x:v>877.21</x:v>
      </x:c>
      <x:c r="T228" s="12" t="str">
        <x:v>Paid</x:v>
      </x:c>
      <x:c r="U228" s="12" t="str">
        <x:v>Completed</x:v>
      </x:c>
    </x:row>
    <x:row r="229">
      <x:c r="A229" s="12" t="str">
        <x:v>ORD-2024-10228</x:v>
      </x:c>
      <x:c r="B229" s="12" t="str">
        <x:v>2024-07-05</x:v>
      </x:c>
      <x:c r="C229" s="12" t="str">
        <x:v>12 Jul 2024</x:v>
      </x:c>
      <x:c r="D229" s="12" t="str">
        <x:v>CUST-2819</x:v>
      </x:c>
      <x:c r="E229" s="12" t="str">
        <x:v>Ananya Rao</x:v>
      </x:c>
      <x:c r="F229" s="12" t="str">
        <x:v>SMALL BUSINESS</x:v>
      </x:c>
      <x:c r="G229" s="12" t="str">
        <x:v>West</x:v>
      </x:c>
      <x:c r="H229" s="12" t="str">
        <x:v>Goa</x:v>
      </x:c>
      <x:c r="I229" s="12" t="str">
        <x:v>Panaji</x:v>
      </x:c>
      <x:c r="J229" s="12" t="str">
        <x:v>Office Supplies</x:v>
      </x:c>
      <x:c r="K229" s="12" t="str">
        <x:v>Binders</x:v>
      </x:c>
      <x:c r="L229" s="12" t="str">
        <x:v>Prime Binders 507</x:v>
      </x:c>
      <x:c r="M229" s="12" t="str">
        <x:v>First Class</x:v>
      </x:c>
      <x:c r="N229" s="12" t="n">
        <x:v>3</x:v>
      </x:c>
      <x:c r="O229" s="12" t="n">
        <x:v>577.75</x:v>
      </x:c>
      <x:c r="P229" s="12" t="n">
        <x:v>0.15</x:v>
      </x:c>
      <x:c r="Q229" s="12" t="n">
        <x:v>1473.26</x:v>
      </x:c>
      <x:c r="R229" s="12" t="n">
        <x:v>899.86</x:v>
      </x:c>
      <x:c r="S229" s="12" t="n">
        <x:v>573.4</x:v>
      </x:c>
      <x:c r="T229" s="12" t="str">
        <x:v>Paid</x:v>
      </x:c>
      <x:c r="U229" s="12" t="str">
        <x:v>Completed</x:v>
      </x:c>
    </x:row>
    <x:row r="230">
      <x:c r="A230" s="12" t="str">
        <x:v>ORD-2024-10229</x:v>
      </x:c>
      <x:c r="B230" s="12" t="str">
        <x:v>24-04-2024</x:v>
      </x:c>
      <x:c r="C230" s="12" t="str">
        <x:v>28 Apr 2024</x:v>
      </x:c>
      <x:c r="D230" s="12" t="str">
        <x:v>CUST-1076</x:v>
      </x:c>
      <x:c r="E230" s="12" t="str">
        <x:v>Karan Malhotra</x:v>
      </x:c>
      <x:c r="F230" s="12" t="str">
        <x:v>Small Business</x:v>
      </x:c>
      <x:c r="G230" s="12" t="str">
        <x:v>South</x:v>
      </x:c>
      <x:c r="H230" s="12" t="str">
        <x:v>Telangana</x:v>
      </x:c>
      <x:c r="I230" s="12" t="str">
        <x:v>Hyderabad</x:v>
      </x:c>
      <x:c r="J230" s="12" t="str">
        <x:v>Office Supplies</x:v>
      </x:c>
      <x:c r="K230" s="12" t="str">
        <x:v>Labels</x:v>
      </x:c>
      <x:c r="L230" s="12" t="str">
        <x:v>Smart Labels 914</x:v>
      </x:c>
      <x:c r="M230" s="12" t="str">
        <x:v>Second Class</x:v>
      </x:c>
      <x:c r="N230" s="12" t="n">
        <x:v>1</x:v>
      </x:c>
      <x:c r="O230" s="12" t="n">
        <x:v>3194.37</x:v>
      </x:c>
      <x:c r="P230" s="12" t="n">
        <x:v>0.15</x:v>
      </x:c>
      <x:c r="Q230" s="12" t="n">
        <x:v>2715.21</x:v>
      </x:c>
      <x:c r="R230" s="12" t="n">
        <x:v>1551.55</x:v>
      </x:c>
      <x:c r="S230" s="12" t="n">
        <x:v>1163.66</x:v>
      </x:c>
      <x:c r="T230" s="12" t="str">
        <x:v>Paid</x:v>
      </x:c>
      <x:c r="U230" s="12" t="str">
        <x:v>Completed</x:v>
      </x:c>
    </x:row>
    <x:row r="231">
      <x:c r="A231" s="12" t="str">
        <x:v>ORD-2025-10230</x:v>
      </x:c>
      <x:c r="B231" s="12" t="str">
        <x:v>2025-06-28</x:v>
      </x:c>
      <x:c r="C231" s="12" t="str">
        <x:v>07/04/2025</x:v>
      </x:c>
      <x:c r="D231" s="12" t="str">
        <x:v>CUST-1943</x:v>
      </x:c>
      <x:c r="E231" s="12" t="str">
        <x:v>Rohan Mehta</x:v>
      </x:c>
      <x:c r="F231" s="12" t="str">
        <x:v>Consumer</x:v>
      </x:c>
      <x:c r="G231" s="12" t="str">
        <x:v>South</x:v>
      </x:c>
      <x:c r="H231" s="12" t="str">
        <x:v>Telangana</x:v>
      </x:c>
      <x:c r="I231" s="12" t="str">
        <x:v>Hyderabad</x:v>
      </x:c>
      <x:c r="J231" s="12" t="str">
        <x:v>Furniture</x:v>
      </x:c>
      <x:c r="K231" s="12" t="str">
        <x:v>Bookcases</x:v>
      </x:c>
      <x:c r="L231" s="12" t="str">
        <x:v>Smart Bookcases 662</x:v>
      </x:c>
      <x:c r="M231" s="12" t="str">
        <x:v>First Class</x:v>
      </x:c>
      <x:c r="N231" s="12" t="n">
        <x:v>3</x:v>
      </x:c>
      <x:c r="O231" s="12" t="n">
        <x:v>2886.23</x:v>
      </x:c>
      <x:c r="P231" s="12" t="n">
        <x:v>0</x:v>
      </x:c>
      <x:c r="Q231" s="12" t="n">
        <x:v>8658.69</x:v>
      </x:c>
      <x:c r="R231" s="12" t="n">
        <x:v>5535.94</x:v>
      </x:c>
      <x:c r="S231" s="12" t="n">
        <x:v>3122.75</x:v>
      </x:c>
      <x:c r="T231" s="12" t="str">
        <x:v>Refunded</x:v>
      </x:c>
      <x:c r="U231" s="12" t="str">
        <x:v>Returned</x:v>
      </x:c>
    </x:row>
    <x:row r="232">
      <x:c r="A232" s="12" t="str">
        <x:v>ORD-2024-10231</x:v>
      </x:c>
      <x:c r="B232" s="12" t="str">
        <x:v>28-05-2024</x:v>
      </x:c>
      <x:c r="C232" s="12" t="str">
        <x:v>03-06-2024</x:v>
      </x:c>
      <x:c r="D232" s="12" t="str">
        <x:v>CUST-3434</x:v>
      </x:c>
      <x:c r="E232" s="12" t="str">
        <x:v>Neha Gupta</x:v>
      </x:c>
      <x:c r="F232" s="12" t="str">
        <x:v>Small Business</x:v>
      </x:c>
      <x:c r="G232" s="12" t="str">
        <x:v>North</x:v>
      </x:c>
      <x:c r="H232" s="12" t="str">
        <x:v>Rajasthan</x:v>
      </x:c>
      <x:c r="I232" s="12" t="str">
        <x:v>Jaipur</x:v>
      </x:c>
      <x:c r="J232" s="12" t="str">
        <x:v>Office Supplies</x:v>
      </x:c>
      <x:c r="K232" s="12" t="str">
        <x:v>Paper</x:v>
      </x:c>
      <x:c r="L232" s="12" t="str">
        <x:v>Eco Paper 937</x:v>
      </x:c>
      <x:c r="M232" s="12" t="str">
        <x:v>Standard Class</x:v>
      </x:c>
      <x:c r="N232" s="12" t="n">
        <x:v>8</x:v>
      </x:c>
      <x:c r="O232" s="12" t="n">
        <x:v>1540.33</x:v>
      </x:c>
      <x:c r="P232" s="12" t="n">
        <x:v>0.1</x:v>
      </x:c>
      <x:c r="Q232" s="12" t="n">
        <x:v>11090.38</x:v>
      </x:c>
      <x:c r="R232" s="12" t="n">
        <x:v>8840.95</x:v>
      </x:c>
      <x:c r="S232" s="12" t="n">
        <x:v>2249.43</x:v>
      </x:c>
      <x:c r="T232" s="12" t="str">
        <x:v>Paid</x:v>
      </x:c>
      <x:c r="U232" s="12" t="str">
        <x:v>Completed</x:v>
      </x:c>
    </x:row>
    <x:row r="233">
      <x:c r="A233" s="12" t="str">
        <x:v>ORD-2024-10232</x:v>
      </x:c>
      <x:c r="B233" s="12" t="str">
        <x:v>2024-05-02</x:v>
      </x:c>
      <x:c r="C233" s="12" t="str">
        <x:v>05/02/2024</x:v>
      </x:c>
      <x:c r="D233" s="12" t="str">
        <x:v>CUST-9139</x:v>
      </x:c>
      <x:c r="E233" s="12" t="str">
        <x:v>Ananya Rao</x:v>
      </x:c>
      <x:c r="F233" s="12" t="str">
        <x:v>Corporate</x:v>
      </x:c>
      <x:c r="G233" s="12" t="str">
        <x:v>North</x:v>
      </x:c>
      <x:c r="H233" s="12" t="str">
        <x:v>Rajasthan</x:v>
      </x:c>
      <x:c r="I233" s="12" t="str">
        <x:v>Jaipur</x:v>
      </x:c>
      <x:c r="J233" s="12" t="str">
        <x:v>Office  Supplies</x:v>
      </x:c>
      <x:c r="K233" s="12" t="str">
        <x:v>Labels</x:v>
      </x:c>
      <x:c r="L233" s="12" t="str">
        <x:v>Max Labels 370</x:v>
      </x:c>
      <x:c r="M233" s="12" t="str">
        <x:v>First Class</x:v>
      </x:c>
      <x:c r="N233" s="12" t="n">
        <x:v>7</x:v>
      </x:c>
      <x:c r="O233" s="12" t="n">
        <x:v>2183.38</x:v>
      </x:c>
      <x:c r="P233" s="12" t="n">
        <x:v>0.25</x:v>
      </x:c>
      <x:c r="Q233" s="12" t="n">
        <x:v>11462.74</x:v>
      </x:c>
      <x:c r="R233" s="12" t="n">
        <x:v>7163.54</x:v>
      </x:c>
      <x:c r="S233" s="12" t="n">
        <x:v>4299.2</x:v>
      </x:c>
      <x:c r="T233" s="12" t="str">
        <x:v>Refunded</x:v>
      </x:c>
      <x:c r="U233" s="12" t="str">
        <x:v>Cancelled</x:v>
      </x:c>
    </x:row>
    <x:row r="234">
      <x:c r="A234" s="12" t="str">
        <x:v>ORD-2025-10233</x:v>
      </x:c>
      <x:c r="B234" s="12" t="str">
        <x:v>2025-06-04</x:v>
      </x:c>
      <x:c r="C234" s="12" t="str">
        <x:v>2025-06-10</x:v>
      </x:c>
      <x:c r="D234" s="12" t="str">
        <x:v>CUST-5341</x:v>
      </x:c>
      <x:c r="E234" s="12" t="str">
        <x:v>Rahul Verma</x:v>
      </x:c>
      <x:c r="F234" s="12" t="str">
        <x:v>Consumer</x:v>
      </x:c>
      <x:c r="G234" s="12" t="str">
        <x:v>South</x:v>
      </x:c>
      <x:c r="H234" s="12" t="str">
        <x:v>Andhra Pradesh</x:v>
      </x:c>
      <x:c r="I234" s="12" t="str">
        <x:v>Vijayawada</x:v>
      </x:c>
      <x:c r="J234" s="12" t="str">
        <x:v>Technology</x:v>
      </x:c>
      <x:c r="K234" s="12" t="str">
        <x:v>Phones</x:v>
      </x:c>
      <x:c r="L234" s="12" t="str">
        <x:v>Classic Phones 530</x:v>
      </x:c>
      <x:c r="M234" s="12" t="str">
        <x:v>Standard Class</x:v>
      </x:c>
      <x:c r="N234" s="12" t="n">
        <x:v>4</x:v>
      </x:c>
      <x:c r="O234" s="12" t="n">
        <x:v>223.37</x:v>
      </x:c>
      <x:c r="P234" s="12" t="n">
        <x:v>0.25</x:v>
      </x:c>
      <x:c r="Q234" s="12" t="n">
        <x:v>670.11</x:v>
      </x:c>
      <x:c r="R234" s="12" t="n">
        <x:v>559.57</x:v>
      </x:c>
      <x:c r="S234" s="12" t="n">
        <x:v>110.54</x:v>
      </x:c>
      <x:c r="T234" s="12" t="str">
        <x:v>Paid</x:v>
      </x:c>
      <x:c r="U234" s="12" t="str">
        <x:v>Completed</x:v>
      </x:c>
    </x:row>
    <x:row r="235">
      <x:c r="A235" s="12" t="str">
        <x:v>ORD-2024-10234</x:v>
      </x:c>
      <x:c r="B235" s="12" t="str">
        <x:v>14-10-2024</x:v>
      </x:c>
      <x:c r="C235" s="12" t="str">
        <x:v>10/14/2024</x:v>
      </x:c>
      <x:c r="D235" s="12" t="str">
        <x:v>CUST-3710</x:v>
      </x:c>
      <x:c r="E235" s="12" t="str">
        <x:v>Vikram Iyer</x:v>
      </x:c>
      <x:c r="F235" s="12" t="str">
        <x:v>Corporate</x:v>
      </x:c>
      <x:c r="G235" s="12" t="str">
        <x:v>South</x:v>
      </x:c>
      <x:c r="H235" s="12" t="str">
        <x:v>Karnataka</x:v>
      </x:c>
      <x:c r="I235" s="12" t="str">
        <x:v>Bengaluru</x:v>
      </x:c>
      <x:c r="J235" s="12" t="str">
        <x:v>Furniture</x:v>
      </x:c>
      <x:c r="K235" s="12" t="str">
        <x:v>Bookcases</x:v>
      </x:c>
      <x:c r="L235" s="12" t="str">
        <x:v>Smart Bookcases 328</x:v>
      </x:c>
      <x:c r="M235" s="12"/>
      <x:c r="N235" s="12" t="n">
        <x:v>8</x:v>
      </x:c>
      <x:c r="O235" s="12" t="n">
        <x:v>3904.59</x:v>
      </x:c>
      <x:c r="P235" s="12" t="n">
        <x:v>0</x:v>
      </x:c>
      <x:c r="Q235" s="12" t="n">
        <x:v>31236.72</x:v>
      </x:c>
      <x:c r="R235" s="12" t="n">
        <x:v>26377.7</x:v>
      </x:c>
      <x:c r="S235" s="12" t="n">
        <x:v>4859.02</x:v>
      </x:c>
      <x:c r="T235" s="12" t="str">
        <x:v>Paid</x:v>
      </x:c>
      <x:c r="U235" s="12" t="str">
        <x:v>Completed</x:v>
      </x:c>
    </x:row>
    <x:row r="236">
      <x:c r="A236" s="12" t="str">
        <x:v>ORD-2024-10235</x:v>
      </x:c>
      <x:c r="B236" s="12" t="str">
        <x:v>09/02/2024</x:v>
      </x:c>
      <x:c r="C236" s="12" t="str">
        <x:v>03 Sep 2024</x:v>
      </x:c>
      <x:c r="D236" s="12" t="str">
        <x:v>CUST-9754</x:v>
      </x:c>
      <x:c r="E236" s="12" t="str">
        <x:v>Kabir Singh</x:v>
      </x:c>
      <x:c r="F236" s="12" t="str">
        <x:v>Home Office</x:v>
      </x:c>
      <x:c r="G236" s="12" t="str">
        <x:v>North</x:v>
      </x:c>
      <x:c r="H236" s="12" t="str">
        <x:v>Delhi</x:v>
      </x:c>
      <x:c r="I236" s="12" t="str">
        <x:v>New Delhi</x:v>
      </x:c>
      <x:c r="J236" s="12" t="str">
        <x:v>Furniture</x:v>
      </x:c>
      <x:c r="K236" s="12" t="str">
        <x:v>Furnishings</x:v>
      </x:c>
      <x:c r="L236" s="12" t="str">
        <x:v>Eco Furnishings 981</x:v>
      </x:c>
      <x:c r="M236" s="12" t="str">
        <x:v>First Class</x:v>
      </x:c>
      <x:c r="N236" s="12" t="n">
        <x:v>9</x:v>
      </x:c>
      <x:c r="O236" s="12" t="n">
        <x:v>1353.61</x:v>
      </x:c>
      <x:c r="P236" s="12" t="n">
        <x:v>0.1</x:v>
      </x:c>
      <x:c r="Q236" s="12" t="n">
        <x:v>10964.24</x:v>
      </x:c>
      <x:c r="R236" s="12" t="n">
        <x:v>9262.47</x:v>
      </x:c>
      <x:c r="S236" s="12" t="n">
        <x:v>1701.77</x:v>
      </x:c>
      <x:c r="T236" s="12" t="str">
        <x:v>Paid</x:v>
      </x:c>
      <x:c r="U236" s="12" t="str">
        <x:v>Completed</x:v>
      </x:c>
    </x:row>
    <x:row r="237">
      <x:c r="A237" s="12" t="str">
        <x:v>ORD-2024-10236</x:v>
      </x:c>
      <x:c r="B237" s="12" t="str">
        <x:v>11/02/2024</x:v>
      </x:c>
      <x:c r="C237" s="12" t="str">
        <x:v>11/03/2024</x:v>
      </x:c>
      <x:c r="D237" s="12" t="str">
        <x:v>CUST-6256</x:v>
      </x:c>
      <x:c r="E237" s="12" t="str">
        <x:v>Rahul Verma</x:v>
      </x:c>
      <x:c r="F237" s="12" t="str">
        <x:v>Small Business</x:v>
      </x:c>
      <x:c r="G237" s="12" t="str">
        <x:v>West</x:v>
      </x:c>
      <x:c r="H237" s="12" t="str">
        <x:v>Rajasthan</x:v>
      </x:c>
      <x:c r="I237" s="12" t="str">
        <x:v>Udaipur</x:v>
      </x:c>
      <x:c r="J237" s="12" t="str">
        <x:v>Office Supplies</x:v>
      </x:c>
      <x:c r="K237" s="12" t="str">
        <x:v>Storage</x:v>
      </x:c>
      <x:c r="L237" s="12" t="str">
        <x:v>Basic Storage 195</x:v>
      </x:c>
      <x:c r="M237" s="12" t="str">
        <x:v>Standard Class</x:v>
      </x:c>
      <x:c r="N237" s="12" t="n">
        <x:v>6</x:v>
      </x:c>
      <x:c r="O237" s="12" t="n">
        <x:v>2671.29</x:v>
      </x:c>
      <x:c r="P237" s="12" t="n">
        <x:v>0.05</x:v>
      </x:c>
      <x:c r="Q237" s="12" t="n">
        <x:v>15226.35</x:v>
      </x:c>
      <x:c r="R237" s="12" t="n">
        <x:v>11145.28</x:v>
      </x:c>
      <x:c r="S237" s="12" t="n">
        <x:v>4081.07</x:v>
      </x:c>
      <x:c r="T237" s="12" t="str">
        <x:v>Paid</x:v>
      </x:c>
      <x:c r="U237" s="12" t="str">
        <x:v>Completed</x:v>
      </x:c>
    </x:row>
    <x:row r="238">
      <x:c r="A238" s="12" t="str">
        <x:v>ORD-2024-10237</x:v>
      </x:c>
      <x:c r="B238" s="12" t="str">
        <x:v>10/14/2024</x:v>
      </x:c>
      <x:c r="C238" s="12" t="str">
        <x:v>21 Oct 2024</x:v>
      </x:c>
      <x:c r="D238" s="12" t="str">
        <x:v>CUST-7113</x:v>
      </x:c>
      <x:c r="E238" s="12" t="str">
        <x:v>Priya Menon</x:v>
      </x:c>
      <x:c r="F238" s="12" t="str">
        <x:v>Corporate</x:v>
      </x:c>
      <x:c r="G238" s="12" t="str">
        <x:v>North</x:v>
      </x:c>
      <x:c r="H238" s="12" t="str">
        <x:v>Uttar Pradesh</x:v>
      </x:c>
      <x:c r="I238" s="12" t="str">
        <x:v>Noida</x:v>
      </x:c>
      <x:c r="J238" s="12" t="str">
        <x:v>Furniture</x:v>
      </x:c>
      <x:c r="K238" s="12" t="str">
        <x:v>Bookcases</x:v>
      </x:c>
      <x:c r="L238" s="12" t="str">
        <x:v>Elite Bookcases 907</x:v>
      </x:c>
      <x:c r="M238" s="12" t="str">
        <x:v>First Class</x:v>
      </x:c>
      <x:c r="N238" s="12" t="n">
        <x:v>6</x:v>
      </x:c>
      <x:c r="O238" s="12" t="n">
        <x:v>4062.78</x:v>
      </x:c>
      <x:c r="P238" s="12" t="n">
        <x:v>0</x:v>
      </x:c>
      <x:c r="Q238" s="12" t="n">
        <x:v>24376.68</x:v>
      </x:c>
      <x:c r="R238" s="12" t="n">
        <x:v>18533.39</x:v>
      </x:c>
      <x:c r="S238" s="12" t="n">
        <x:v>5843.29</x:v>
      </x:c>
      <x:c r="T238" s="12" t="str">
        <x:v>Paid</x:v>
      </x:c>
      <x:c r="U238" s="12" t="str">
        <x:v>Completed</x:v>
      </x:c>
    </x:row>
    <x:row r="239">
      <x:c r="A239" s="12" t="str">
        <x:v>ORD-2024-10238</x:v>
      </x:c>
      <x:c r="B239" s="12" t="str">
        <x:v>2024-08-27</x:v>
      </x:c>
      <x:c r="C239" s="12" t="str">
        <x:v>2024-08-27</x:v>
      </x:c>
      <x:c r="D239" s="12" t="str">
        <x:v>CUST-3827</x:v>
      </x:c>
      <x:c r="E239" s="12" t="str">
        <x:v>Mira Das</x:v>
      </x:c>
      <x:c r="F239" s="12" t="str">
        <x:v>Consumer</x:v>
      </x:c>
      <x:c r="G239" s="12" t="str">
        <x:v>North</x:v>
      </x:c>
      <x:c r="H239" s="12" t="str">
        <x:v>Haryana</x:v>
      </x:c>
      <x:c r="I239" s="12" t="str">
        <x:v>Gurugram</x:v>
      </x:c>
      <x:c r="J239" s="12" t="str">
        <x:v>Technology</x:v>
      </x:c>
      <x:c r="K239" s="12" t="str">
        <x:v>Copiers</x:v>
      </x:c>
      <x:c r="L239" s="12" t="str">
        <x:v>Smart Copiers 471</x:v>
      </x:c>
      <x:c r="M239" s="12" t="str">
        <x:v>Standard Class</x:v>
      </x:c>
      <x:c r="N239" s="12" t="n">
        <x:v>9</x:v>
      </x:c>
      <x:c r="O239" s="12" t="n">
        <x:v>2330.3</x:v>
      </x:c>
      <x:c r="P239" s="12" t="n">
        <x:v>0</x:v>
      </x:c>
      <x:c r="Q239" s="12" t="n">
        <x:v>20972.7</x:v>
      </x:c>
      <x:c r="R239" s="12" t="n">
        <x:v>13504.88</x:v>
      </x:c>
      <x:c r="S239" s="12" t="n">
        <x:v>7467.82</x:v>
      </x:c>
      <x:c r="T239" s="12" t="str">
        <x:v>Paid</x:v>
      </x:c>
      <x:c r="U239" s="12" t="str">
        <x:v>Completed</x:v>
      </x:c>
    </x:row>
    <x:row r="240">
      <x:c r="A240" s="12" t="str">
        <x:v>ORD-2024-10239</x:v>
      </x:c>
      <x:c r="B240" s="12" t="str">
        <x:v>01/12/2024</x:v>
      </x:c>
      <x:c r="C240" s="12" t="str">
        <x:v>01/17/2024</x:v>
      </x:c>
      <x:c r="D240" s="12" t="str">
        <x:v>CUST-2375</x:v>
      </x:c>
      <x:c r="E240" s="12" t="str">
        <x:v>Arjun Bose</x:v>
      </x:c>
      <x:c r="F240" s="12" t="str">
        <x:v>Consumer</x:v>
      </x:c>
      <x:c r="G240" s="12" t="str">
        <x:v>South</x:v>
      </x:c>
      <x:c r="H240" s="12" t="str">
        <x:v>Andhra Pradesh</x:v>
      </x:c>
      <x:c r="I240" s="12" t="str">
        <x:v>Vijayawada</x:v>
      </x:c>
      <x:c r="J240" s="12" t="str">
        <x:v>Office Supplies</x:v>
      </x:c>
      <x:c r="K240" s="12" t="str">
        <x:v>Storage</x:v>
      </x:c>
      <x:c r="L240" s="12" t="str">
        <x:v>Prime Storage 625</x:v>
      </x:c>
      <x:c r="M240" s="12" t="str">
        <x:v>First Class</x:v>
      </x:c>
      <x:c r="N240" s="12" t="n">
        <x:v>7</x:v>
      </x:c>
      <x:c r="O240" s="12" t="n">
        <x:v>4005.05</x:v>
      </x:c>
      <x:c r="P240" s="12" t="n">
        <x:v>0.55</x:v>
      </x:c>
      <x:c r="Q240" s="12" t="n">
        <x:v>26633.58</x:v>
      </x:c>
      <x:c r="R240" s="12" t="n">
        <x:v>18838.75</x:v>
      </x:c>
      <x:c r="S240" s="12" t="n">
        <x:v>7794.83</x:v>
      </x:c>
      <x:c r="T240" s="12" t="str">
        <x:v>Paid</x:v>
      </x:c>
      <x:c r="U240" s="12" t="str">
        <x:v>Completed</x:v>
      </x:c>
    </x:row>
    <x:row r="241">
      <x:c r="A241" s="12" t="str">
        <x:v>ORD-2024-10240</x:v>
      </x:c>
      <x:c r="B241" s="12" t="str">
        <x:v>21-09-2024</x:v>
      </x:c>
      <x:c r="C241" s="12" t="str">
        <x:v>09/21/2024</x:v>
      </x:c>
      <x:c r="D241" s="12" t="str">
        <x:v>CUST-2233</x:v>
      </x:c>
      <x:c r="E241" s="12" t="str">
        <x:v>Kabir Singh</x:v>
      </x:c>
      <x:c r="F241" s="12" t="str">
        <x:v>Corporate</x:v>
      </x:c>
      <x:c r="G241" s="12" t="str">
        <x:v>South</x:v>
      </x:c>
      <x:c r="H241" s="12" t="str">
        <x:v>Karnataka</x:v>
      </x:c>
      <x:c r="I241" s="12" t="str">
        <x:v>Bengaluru</x:v>
      </x:c>
      <x:c r="J241" s="12" t="str">
        <x:v>Technology</x:v>
      </x:c>
      <x:c r="K241" s="12" t="str">
        <x:v>Machines</x:v>
      </x:c>
      <x:c r="L241" s="12" t="str">
        <x:v>Smart Machines 801</x:v>
      </x:c>
      <x:c r="M241" s="12" t="str">
        <x:v>First Class</x:v>
      </x:c>
      <x:c r="N241" s="12" t="n">
        <x:v>2</x:v>
      </x:c>
      <x:c r="O241" s="12" t="n">
        <x:v>1960.06</x:v>
      </x:c>
      <x:c r="P241" s="12" t="n">
        <x:v>0.2</x:v>
      </x:c>
      <x:c r="Q241" s="12" t="n">
        <x:v>3136.1</x:v>
      </x:c>
      <x:c r="R241" s="12" t="n">
        <x:v>2279.49</x:v>
      </x:c>
      <x:c r="S241" s="12" t="n">
        <x:v>856.61</x:v>
      </x:c>
      <x:c r="T241" s="12" t="str">
        <x:v>Paid</x:v>
      </x:c>
      <x:c r="U241" s="12" t="str">
        <x:v>Completed</x:v>
      </x:c>
    </x:row>
    <x:row r="242">
      <x:c r="A242" s="12" t="str">
        <x:v>ORD-2024-10241</x:v>
      </x:c>
      <x:c r="B242" s="12" t="str">
        <x:v>17 Dec 2024</x:v>
      </x:c>
      <x:c r="C242" s="12" t="str">
        <x:v>23-12-2024</x:v>
      </x:c>
      <x:c r="D242" s="12" t="str">
        <x:v>CUST-9778</x:v>
      </x:c>
      <x:c r="E242" s="12" t="str">
        <x:v>Aarav Sharma</x:v>
      </x:c>
      <x:c r="F242" s="12" t="str">
        <x:v>Corporate</x:v>
      </x:c>
      <x:c r="G242" s="12" t="str">
        <x:v>South</x:v>
      </x:c>
      <x:c r="H242" s="12" t="str">
        <x:v>Telangana</x:v>
      </x:c>
      <x:c r="I242" s="12" t="str">
        <x:v>Hyderabad</x:v>
      </x:c>
      <x:c r="J242" s="12" t="str">
        <x:v>Office Supplies</x:v>
      </x:c>
      <x:c r="K242" s="12" t="str">
        <x:v>Binders</x:v>
      </x:c>
      <x:c r="L242" s="12" t="str">
        <x:v>Max Binders 170</x:v>
      </x:c>
      <x:c r="M242" s="12" t="str">
        <x:v>First Class</x:v>
      </x:c>
      <x:c r="N242" s="12" t="n">
        <x:v>9</x:v>
      </x:c>
      <x:c r="O242" s="12" t="n">
        <x:v>2315.1</x:v>
      </x:c>
      <x:c r="P242" s="12" t="n">
        <x:v>0</x:v>
      </x:c>
      <x:c r="Q242" s="12" t="n">
        <x:v>20835.9</x:v>
      </x:c>
      <x:c r="R242" s="12" t="n">
        <x:v>13928.19</x:v>
      </x:c>
      <x:c r="S242" s="12" t="n">
        <x:v>6907.71</x:v>
      </x:c>
      <x:c r="T242" s="12" t="str">
        <x:v>Paid</x:v>
      </x:c>
      <x:c r="U242" s="12" t="str">
        <x:v>Completed</x:v>
      </x:c>
    </x:row>
    <x:row r="243">
      <x:c r="A243" s="12" t="str">
        <x:v>ORD-2025-10242</x:v>
      </x:c>
      <x:c r="B243" s="12" t="str">
        <x:v>07/06/2025</x:v>
      </x:c>
      <x:c r="C243" s="12" t="str">
        <x:v>06-07-2025</x:v>
      </x:c>
      <x:c r="D243" s="12" t="str">
        <x:v>CUST-6949</x:v>
      </x:c>
      <x:c r="E243" s="12" t="str">
        <x:v>Sneha Kapoor</x:v>
      </x:c>
      <x:c r="F243" s="12" t="str">
        <x:v>Corporate</x:v>
      </x:c>
      <x:c r="G243" s="12" t="str">
        <x:v>North</x:v>
      </x:c>
      <x:c r="H243" s="12" t="str">
        <x:v>Haryana</x:v>
      </x:c>
      <x:c r="I243" s="12" t="str">
        <x:v>Gurugram</x:v>
      </x:c>
      <x:c r="J243" s="12" t="str">
        <x:v>Office Supplies</x:v>
      </x:c>
      <x:c r="K243" s="12" t="str">
        <x:v>Storage</x:v>
      </x:c>
      <x:c r="L243" s="12" t="str">
        <x:v>Basic Storage 737</x:v>
      </x:c>
      <x:c r="M243" s="12" t="str">
        <x:v>Standard Class</x:v>
      </x:c>
      <x:c r="N243" s="12" t="n">
        <x:v>1</x:v>
      </x:c>
      <x:c r="O243" s="12" t="n">
        <x:v>1617.2</x:v>
      </x:c>
      <x:c r="P243" s="12" t="n">
        <x:v>0.25</x:v>
      </x:c>
      <x:c r="Q243" s="12" t="n">
        <x:v>1212.9</x:v>
      </x:c>
      <x:c r="R243" s="12" t="n">
        <x:v>690.52</x:v>
      </x:c>
      <x:c r="S243" s="12" t="n">
        <x:v>522.38</x:v>
      </x:c>
      <x:c r="T243" s="12" t="str">
        <x:v>Pending</x:v>
      </x:c>
      <x:c r="U243" s="12" t="str">
        <x:v>Returned</x:v>
      </x:c>
    </x:row>
    <x:row r="244">
      <x:c r="A244" s="12" t="str">
        <x:v>ORD-2025-10243</x:v>
      </x:c>
      <x:c r="B244" s="12" t="str">
        <x:v>07 Feb 2025</x:v>
      </x:c>
      <x:c r="C244" s="12" t="str">
        <x:v>2025-02-07</x:v>
      </x:c>
      <x:c r="D244" s="12" t="str">
        <x:v>CUST-3430</x:v>
      </x:c>
      <x:c r="E244" s="12" t="str">
        <x:v>Arjun Bose</x:v>
      </x:c>
      <x:c r="F244" s="12" t="str">
        <x:v>Consumer</x:v>
      </x:c>
      <x:c r="G244" s="12" t="str">
        <x:v>North</x:v>
      </x:c>
      <x:c r="H244" s="12" t="str">
        <x:v>Uttar Pradesh</x:v>
      </x:c>
      <x:c r="I244" s="12" t="str">
        <x:v>Noida</x:v>
      </x:c>
      <x:c r="J244" s="12" t="str">
        <x:v>Office Supplies</x:v>
      </x:c>
      <x:c r="K244" s="12" t="str">
        <x:v>Art</x:v>
      </x:c>
      <x:c r="L244" s="12" t="str">
        <x:v>Classic Art 126</x:v>
      </x:c>
      <x:c r="M244" s="12" t="str">
        <x:v>Second Class</x:v>
      </x:c>
      <x:c r="N244" s="12" t="n">
        <x:v>3</x:v>
      </x:c>
      <x:c r="O244" s="12" t="n">
        <x:v>1999.24</x:v>
      </x:c>
      <x:c r="P244" s="12" t="n">
        <x:v>0.05</x:v>
      </x:c>
      <x:c r="Q244" s="12" t="n">
        <x:v>5697.83</x:v>
      </x:c>
      <x:c r="R244" s="12" t="n">
        <x:v>4251.5</x:v>
      </x:c>
      <x:c r="S244" s="12" t="n">
        <x:v>1446.33</x:v>
      </x:c>
      <x:c r="T244" s="12" t="str">
        <x:v>Paid</x:v>
      </x:c>
      <x:c r="U244" s="12" t="str">
        <x:v>Completed</x:v>
      </x:c>
    </x:row>
    <x:row r="245">
      <x:c r="A245" s="12" t="str">
        <x:v>ORD-2025-10244</x:v>
      </x:c>
      <x:c r="B245" s="12" t="str">
        <x:v>29-07-2025</x:v>
      </x:c>
      <x:c r="C245" s="12" t="str">
        <x:v>02 Aug 2025</x:v>
      </x:c>
      <x:c r="D245" s="12" t="str">
        <x:v>CUST-6310</x:v>
      </x:c>
      <x:c r="E245" s="12" t="str">
        <x:v>Sneha Kapoor</x:v>
      </x:c>
      <x:c r="F245" s="12" t="str">
        <x:v>Small Business</x:v>
      </x:c>
      <x:c r="G245" s="12"/>
      <x:c r="H245" s="12" t="str">
        <x:v>Madhya Pradesh</x:v>
      </x:c>
      <x:c r="I245" s="12" t="str">
        <x:v>Indore</x:v>
      </x:c>
      <x:c r="J245" s="12" t="str">
        <x:v>Technology</x:v>
      </x:c>
      <x:c r="K245" s="12" t="str">
        <x:v>Accessories</x:v>
      </x:c>
      <x:c r="L245" s="12" t="str">
        <x:v>Prime Accessories 243</x:v>
      </x:c>
      <x:c r="M245" s="12" t="str">
        <x:v>First Class</x:v>
      </x:c>
      <x:c r="N245" s="12" t="n">
        <x:v>1</x:v>
      </x:c>
      <x:c r="O245" s="12" t="n">
        <x:v>4499.46</x:v>
      </x:c>
      <x:c r="P245" s="12" t="n">
        <x:v>0.1</x:v>
      </x:c>
      <x:c r="Q245" s="12" t="n">
        <x:v>4049.51</x:v>
      </x:c>
      <x:c r="R245" s="12" t="n">
        <x:v>2509.2</x:v>
      </x:c>
      <x:c r="S245" s="12" t="n">
        <x:v>1540.31</x:v>
      </x:c>
      <x:c r="T245" s="12" t="str">
        <x:v>Paid</x:v>
      </x:c>
      <x:c r="U245" s="12" t="str">
        <x:v>completed</x:v>
      </x:c>
    </x:row>
    <x:row r="246">
      <x:c r="A246" s="12" t="str">
        <x:v>ORD-2024-10245</x:v>
      </x:c>
      <x:c r="B246" s="12" t="str">
        <x:v>08/23/2024</x:v>
      </x:c>
      <x:c r="C246" s="12" t="str">
        <x:v>2024-08-24</x:v>
      </x:c>
      <x:c r="D246" s="12" t="str">
        <x:v>CUST-6008</x:v>
      </x:c>
      <x:c r="E246" s="12" t="str">
        <x:v>Neha Gupta</x:v>
      </x:c>
      <x:c r="F246" s="12" t="str">
        <x:v>Consumer</x:v>
      </x:c>
      <x:c r="G246" s="12" t="str">
        <x:v>South</x:v>
      </x:c>
      <x:c r="H246" s="12" t="str">
        <x:v>Telangana</x:v>
      </x:c>
      <x:c r="I246" s="12" t="str">
        <x:v>Hyderabad</x:v>
      </x:c>
      <x:c r="J246" s="12" t="str">
        <x:v>Furniture</x:v>
      </x:c>
      <x:c r="K246" s="12" t="str">
        <x:v>Bookcases</x:v>
      </x:c>
      <x:c r="L246" s="12" t="str">
        <x:v>Eco Bookcases 768</x:v>
      </x:c>
      <x:c r="M246" s="12" t="str">
        <x:v>Same Day</x:v>
      </x:c>
      <x:c r="N246" s="12" t="n">
        <x:v>6</x:v>
      </x:c>
      <x:c r="O246" s="12" t="n">
        <x:v>1021.89</x:v>
      </x:c>
      <x:c r="P246" s="12" t="n">
        <x:v>0</x:v>
      </x:c>
      <x:c r="Q246" s="12" t="n">
        <x:v>6131.34</x:v>
      </x:c>
      <x:c r="R246" s="12" t="n">
        <x:v>4060.88</x:v>
      </x:c>
      <x:c r="S246" s="12" t="n">
        <x:v>2070.46</x:v>
      </x:c>
      <x:c r="T246" s="12" t="str">
        <x:v>Paid</x:v>
      </x:c>
      <x:c r="U246" s="12" t="str">
        <x:v>Completed</x:v>
      </x:c>
    </x:row>
    <x:row r="247">
      <x:c r="A247" s="12" t="str">
        <x:v>ORD-2024-10246</x:v>
      </x:c>
      <x:c r="B247" s="12" t="str">
        <x:v>10/18/2024</x:v>
      </x:c>
      <x:c r="C247" s="12" t="str">
        <x:v>24-10-2024</x:v>
      </x:c>
      <x:c r="D247" s="12" t="str">
        <x:v>CUST-1704</x:v>
      </x:c>
      <x:c r="E247" s="12" t="str">
        <x:v>Neha Gupta</x:v>
      </x:c>
      <x:c r="F247" s="12" t="str">
        <x:v>Home Office</x:v>
      </x:c>
      <x:c r="G247" s="12" t="str">
        <x:v>South</x:v>
      </x:c>
      <x:c r="H247" s="12" t="str">
        <x:v>Kerala</x:v>
      </x:c>
      <x:c r="I247" s="12" t="str">
        <x:v>Kochi</x:v>
      </x:c>
      <x:c r="J247" s="12" t="str">
        <x:v>FURNITURE</x:v>
      </x:c>
      <x:c r="K247" s="12" t="str">
        <x:v>Chairs</x:v>
      </x:c>
      <x:c r="L247" s="12" t="str">
        <x:v>Pro Chairs 316</x:v>
      </x:c>
      <x:c r="M247" s="12" t="str">
        <x:v>Second Class</x:v>
      </x:c>
      <x:c r="N247" s="12" t="n">
        <x:v>3</x:v>
      </x:c>
      <x:c r="O247" s="12" t="n">
        <x:v>3275.93</x:v>
      </x:c>
      <x:c r="P247" s="12" t="n">
        <x:v>0</x:v>
      </x:c>
      <x:c r="Q247" s="12" t="n">
        <x:v>9827.79</x:v>
      </x:c>
      <x:c r="R247" s="12" t="n">
        <x:v>5478.28</x:v>
      </x:c>
      <x:c r="S247" s="12" t="n">
        <x:v>4349.51</x:v>
      </x:c>
      <x:c r="T247" s="12" t="str">
        <x:v>Paid</x:v>
      </x:c>
      <x:c r="U247" s="12" t="str">
        <x:v>Completed</x:v>
      </x:c>
    </x:row>
    <x:row r="248">
      <x:c r="A248" s="12" t="str">
        <x:v>ORD-2024-10247</x:v>
      </x:c>
      <x:c r="B248" s="12" t="str">
        <x:v>04 May 2024</x:v>
      </x:c>
      <x:c r="C248" s="12" t="str">
        <x:v>09 May 2024</x:v>
      </x:c>
      <x:c r="D248" s="12" t="str">
        <x:v>CUST-1827</x:v>
      </x:c>
      <x:c r="E248" s="12" t="str">
        <x:v>Ananya Rao</x:v>
      </x:c>
      <x:c r="F248" s="12" t="str">
        <x:v>Corporate</x:v>
      </x:c>
      <x:c r="G248" s="12" t="str">
        <x:v>North</x:v>
      </x:c>
      <x:c r="H248" s="12" t="str">
        <x:v>Punjab</x:v>
      </x:c>
      <x:c r="I248" s="12" t="str">
        <x:v>Ludhiana</x:v>
      </x:c>
      <x:c r="J248" s="12" t="str">
        <x:v>Technology</x:v>
      </x:c>
      <x:c r="K248" s="12" t="str">
        <x:v>Machines</x:v>
      </x:c>
      <x:c r="L248" s="12" t="str">
        <x:v>Classic Machines 819</x:v>
      </x:c>
      <x:c r="M248" s="12" t="str">
        <x:v>Same Day</x:v>
      </x:c>
      <x:c r="N248" s="12" t="n">
        <x:v>3</x:v>
      </x:c>
      <x:c r="O248" s="12" t="n">
        <x:v>231.95</x:v>
      </x:c>
      <x:c r="P248" s="12" t="n">
        <x:v>0.25</x:v>
      </x:c>
      <x:c r="Q248" s="12" t="n">
        <x:v>521.89</x:v>
      </x:c>
      <x:c r="R248" s="12" t="n">
        <x:v>444.52</x:v>
      </x:c>
      <x:c r="S248" s="12" t="n">
        <x:v>77.37</x:v>
      </x:c>
      <x:c r="T248" s="12" t="str">
        <x:v>Refunded</x:v>
      </x:c>
      <x:c r="U248" s="12" t="str">
        <x:v>Cancelled</x:v>
      </x:c>
    </x:row>
    <x:row r="249">
      <x:c r="A249" s="12" t="str">
        <x:v>ORD-2024-10248</x:v>
      </x:c>
      <x:c r="B249" s="12" t="str">
        <x:v>07/25/2024</x:v>
      </x:c>
      <x:c r="C249" s="12" t="str">
        <x:v>01 Aug 2024</x:v>
      </x:c>
      <x:c r="D249" s="12" t="str">
        <x:v>CUST-6663</x:v>
      </x:c>
      <x:c r="E249" s="12" t="str">
        <x:v>Rahul Verma</x:v>
      </x:c>
      <x:c r="F249" s="12" t="str">
        <x:v>Corporate</x:v>
      </x:c>
      <x:c r="G249" s="12" t="str">
        <x:v>North</x:v>
      </x:c>
      <x:c r="H249" s="12" t="str">
        <x:v>Rajasthan</x:v>
      </x:c>
      <x:c r="I249" s="12" t="str">
        <x:v>Jaipur</x:v>
      </x:c>
      <x:c r="J249" s="12" t="str">
        <x:v>Technology</x:v>
      </x:c>
      <x:c r="K249" s="12" t="str">
        <x:v>Accessories</x:v>
      </x:c>
      <x:c r="L249" s="12" t="str">
        <x:v>Smart Accessories 572</x:v>
      </x:c>
      <x:c r="M249" s="12" t="str">
        <x:v>Second Class</x:v>
      </x:c>
      <x:c r="N249" s="12" t="n">
        <x:v>8</x:v>
      </x:c>
      <x:c r="O249" s="12" t="n">
        <x:v>2493.4</x:v>
      </x:c>
      <x:c r="P249" s="12" t="n">
        <x:v>0.25</x:v>
      </x:c>
      <x:c r="Q249" s="12" t="n">
        <x:v>14960.4</x:v>
      </x:c>
      <x:c r="R249" s="12" t="n">
        <x:v>12500.84</x:v>
      </x:c>
      <x:c r="S249" s="12" t="n">
        <x:v>2459.56</x:v>
      </x:c>
      <x:c r="T249" s="12" t="str">
        <x:v>Paid</x:v>
      </x:c>
      <x:c r="U249" s="12" t="str">
        <x:v>Completed</x:v>
      </x:c>
    </x:row>
    <x:row r="250">
      <x:c r="A250" s="12" t="str">
        <x:v>ORD-2024-10249</x:v>
      </x:c>
      <x:c r="B250" s="12" t="str">
        <x:v>06/02/2024</x:v>
      </x:c>
      <x:c r="C250" s="12" t="str">
        <x:v>07-06-2024</x:v>
      </x:c>
      <x:c r="D250" s="12" t="str">
        <x:v>CUST-6278</x:v>
      </x:c>
      <x:c r="E250" s="12" t="str">
        <x:v>Rohan Mehta</x:v>
      </x:c>
      <x:c r="F250" s="12" t="str">
        <x:v>Home Office</x:v>
      </x:c>
      <x:c r="G250" s="12" t="str">
        <x:v>East</x:v>
      </x:c>
      <x:c r="H250" s="12" t="str">
        <x:v>Odisha</x:v>
      </x:c>
      <x:c r="I250" s="12" t="str">
        <x:v>Bhubaneswar</x:v>
      </x:c>
      <x:c r="J250" s="12" t="str">
        <x:v>Office Supplies</x:v>
      </x:c>
      <x:c r="K250" s="12" t="str">
        <x:v>Labels</x:v>
      </x:c>
      <x:c r="L250" s="12" t="str">
        <x:v>Basic Labels 432</x:v>
      </x:c>
      <x:c r="M250" s="12" t="str">
        <x:v>Second Class</x:v>
      </x:c>
      <x:c r="N250" s="12" t="n">
        <x:v>9</x:v>
      </x:c>
      <x:c r="O250" s="12" t="n">
        <x:v>787.91</x:v>
      </x:c>
      <x:c r="P250" s="12" t="n">
        <x:v>0.15</x:v>
      </x:c>
      <x:c r="Q250" s="12" t="n">
        <x:v>6027.51</x:v>
      </x:c>
      <x:c r="R250" s="12" t="n">
        <x:v>4883.82</x:v>
      </x:c>
      <x:c r="S250" s="12" t="n">
        <x:v>1143.69</x:v>
      </x:c>
      <x:c r="T250" s="12" t="str">
        <x:v>Paid</x:v>
      </x:c>
      <x:c r="U250" s="12" t="str">
        <x:v>Completed</x:v>
      </x:c>
    </x:row>
    <x:row r="251">
      <x:c r="A251" s="12" t="str">
        <x:v>ORD-2025-10250</x:v>
      </x:c>
      <x:c r="B251" s="12" t="str">
        <x:v>08/01/2025</x:v>
      </x:c>
      <x:c r="C251" s="12" t="str">
        <x:v>08/02/2025</x:v>
      </x:c>
      <x:c r="D251" s="12" t="str">
        <x:v>CUST-2305</x:v>
      </x:c>
      <x:c r="E251" s="12" t="str">
        <x:v>Mira Das</x:v>
      </x:c>
      <x:c r="F251" s="12" t="str">
        <x:v>Corporate</x:v>
      </x:c>
      <x:c r="G251" s="12" t="str">
        <x:v>North</x:v>
      </x:c>
      <x:c r="H251" s="12" t="str">
        <x:v>Rajasthan</x:v>
      </x:c>
      <x:c r="I251" s="12" t="str">
        <x:v>Jaipur</x:v>
      </x:c>
      <x:c r="J251" s="12" t="str">
        <x:v>Furniture</x:v>
      </x:c>
      <x:c r="K251" s="12" t="str">
        <x:v>Furnishings</x:v>
      </x:c>
      <x:c r="L251" s="12" t="str">
        <x:v>Classic Furnishings 378</x:v>
      </x:c>
      <x:c r="M251" s="12" t="str">
        <x:v>First Class</x:v>
      </x:c>
      <x:c r="N251" s="12" t="n">
        <x:v>4</x:v>
      </x:c>
      <x:c r="O251" s="12" t="n">
        <x:v>2790.29</x:v>
      </x:c>
      <x:c r="P251" s="12" t="n">
        <x:v>0.2</x:v>
      </x:c>
      <x:c r="Q251" s="12" t="n">
        <x:v>8928.93</x:v>
      </x:c>
      <x:c r="R251" s="12" t="n">
        <x:v>5634.38</x:v>
      </x:c>
      <x:c r="S251" s="12" t="n">
        <x:v>3294.55</x:v>
      </x:c>
      <x:c r="T251" s="12" t="str">
        <x:v>Paid</x:v>
      </x:c>
      <x:c r="U251" s="12" t="str">
        <x:v>Completed</x:v>
      </x:c>
    </x:row>
    <x:row r="252">
      <x:c r="A252" s="12" t="str">
        <x:v>ORD-2024-10251</x:v>
      </x:c>
      <x:c r="B252" s="12" t="str">
        <x:v>02/21/2024</x:v>
      </x:c>
      <x:c r="C252" s="12" t="str">
        <x:v>02/27/2024</x:v>
      </x:c>
      <x:c r="D252" s="12" t="str">
        <x:v>CUST-5351</x:v>
      </x:c>
      <x:c r="E252" s="12" t="str">
        <x:v>Arjun Bose</x:v>
      </x:c>
      <x:c r="F252" s="12" t="str">
        <x:v>Small Business</x:v>
      </x:c>
      <x:c r="G252" s="12" t="str">
        <x:v>East</x:v>
      </x:c>
      <x:c r="H252" s="12" t="str">
        <x:v>West Bengal</x:v>
      </x:c>
      <x:c r="I252" s="12" t="str">
        <x:v>Kolkata</x:v>
      </x:c>
      <x:c r="J252" s="12" t="str">
        <x:v>Furniture</x:v>
      </x:c>
      <x:c r="K252" s="12" t="str">
        <x:v>Furnishings</x:v>
      </x:c>
      <x:c r="L252" s="12" t="str">
        <x:v>Prime Furnishings 781</x:v>
      </x:c>
      <x:c r="M252" s="12" t="str">
        <x:v>Standard Class</x:v>
      </x:c>
      <x:c r="N252" s="12" t="n">
        <x:v>5</x:v>
      </x:c>
      <x:c r="O252" s="12" t="n">
        <x:v>3373.86</x:v>
      </x:c>
      <x:c r="P252" s="12" t="n">
        <x:v>0.15</x:v>
      </x:c>
      <x:c r="Q252" s="12" t="n">
        <x:v>14338.9</x:v>
      </x:c>
      <x:c r="R252" s="12" t="n">
        <x:v>11897.65</x:v>
      </x:c>
      <x:c r="S252" s="12" t="n">
        <x:v>2441.25</x:v>
      </x:c>
      <x:c r="T252" s="12" t="str">
        <x:v>Pending</x:v>
      </x:c>
      <x:c r="U252" s="12" t="str">
        <x:v>Returned</x:v>
      </x:c>
    </x:row>
    <x:row r="253">
      <x:c r="A253" s="12" t="str">
        <x:v>ORD-2025-10252</x:v>
      </x:c>
      <x:c r="B253" s="12" t="str">
        <x:v>2025-04-06</x:v>
      </x:c>
      <x:c r="C253" s="12" t="str">
        <x:v>04/10/2025</x:v>
      </x:c>
      <x:c r="D253" s="12" t="str">
        <x:v>CUST-6268</x:v>
      </x:c>
      <x:c r="E253" s="12" t="str">
        <x:v>Ananya Rao</x:v>
      </x:c>
      <x:c r="F253" s="12" t="str">
        <x:v>Corporate</x:v>
      </x:c>
      <x:c r="G253" s="12" t="str">
        <x:v>West</x:v>
      </x:c>
      <x:c r="H253" s="12" t="str">
        <x:v>Gujarat</x:v>
      </x:c>
      <x:c r="I253" s="12" t="str">
        <x:v>Ahmedabad</x:v>
      </x:c>
      <x:c r="J253" s="12" t="str">
        <x:v>Furniture</x:v>
      </x:c>
      <x:c r="K253" s="12" t="str">
        <x:v>Tables</x:v>
      </x:c>
      <x:c r="L253" s="12" t="str">
        <x:v>Prime Tables 263</x:v>
      </x:c>
      <x:c r="M253" s="12" t="str">
        <x:v>Second Class</x:v>
      </x:c>
      <x:c r="N253" s="12" t="n">
        <x:v>6</x:v>
      </x:c>
      <x:c r="O253" s="12" t="n">
        <x:v>1022.16</x:v>
      </x:c>
      <x:c r="P253" s="12" t="n">
        <x:v>0</x:v>
      </x:c>
      <x:c r="Q253" s="12" t="n">
        <x:v>6132.96</x:v>
      </x:c>
      <x:c r="R253" s="12" t="n">
        <x:v>4881.1</x:v>
      </x:c>
      <x:c r="S253" s="12" t="n">
        <x:v>1251.86</x:v>
      </x:c>
      <x:c r="T253" s="12" t="str">
        <x:v>Paid</x:v>
      </x:c>
      <x:c r="U253" s="12" t="str">
        <x:v>Completed</x:v>
      </x:c>
    </x:row>
    <x:row r="254">
      <x:c r="A254" s="12" t="str">
        <x:v>ORD-2025-10253</x:v>
      </x:c>
      <x:c r="B254" s="12" t="str">
        <x:v>25-06-2025</x:v>
      </x:c>
      <x:c r="C254" s="12" t="str">
        <x:v>2025-06-28</x:v>
      </x:c>
      <x:c r="D254" s="12" t="str">
        <x:v>CUST-2103</x:v>
      </x:c>
      <x:c r="E254" s="12" t="str">
        <x:v>Arjun Bose</x:v>
      </x:c>
      <x:c r="F254" s="12" t="str">
        <x:v>Corporate</x:v>
      </x:c>
      <x:c r="G254" s="12" t="str">
        <x:v>North</x:v>
      </x:c>
      <x:c r="H254" s="12" t="str">
        <x:v>Haryana</x:v>
      </x:c>
      <x:c r="I254" s="12" t="str">
        <x:v>Gurugram</x:v>
      </x:c>
      <x:c r="J254" s="12" t="str">
        <x:v>Office Supplies</x:v>
      </x:c>
      <x:c r="K254" s="12" t="str">
        <x:v>Storage</x:v>
      </x:c>
      <x:c r="L254" s="12" t="str">
        <x:v>Basic Storage 269</x:v>
      </x:c>
      <x:c r="M254" s="12" t="str">
        <x:v>First Class</x:v>
      </x:c>
      <x:c r="N254" s="12" t="n">
        <x:v>2</x:v>
      </x:c>
      <x:c r="O254" s="12" t="n">
        <x:v>1455.92</x:v>
      </x:c>
      <x:c r="P254" s="12" t="n">
        <x:v>0.2</x:v>
      </x:c>
      <x:c r="Q254" s="12" t="n">
        <x:v>2329.47</x:v>
      </x:c>
      <x:c r="R254" s="12" t="n">
        <x:v>1603.62</x:v>
      </x:c>
      <x:c r="S254" s="12" t="n">
        <x:v>725.85</x:v>
      </x:c>
      <x:c r="T254" s="12" t="str">
        <x:v>Pending</x:v>
      </x:c>
      <x:c r="U254" s="12" t="str">
        <x:v>Returned</x:v>
      </x:c>
    </x:row>
    <x:row r="255">
      <x:c r="A255" s="12" t="str">
        <x:v>ORD-2024-10254</x:v>
      </x:c>
      <x:c r="B255" s="12" t="str">
        <x:v>2024-09-12</x:v>
      </x:c>
      <x:c r="C255" s="12" t="str">
        <x:v>09/13/2024</x:v>
      </x:c>
      <x:c r="D255" s="12" t="str">
        <x:v>CUST-5394</x:v>
      </x:c>
      <x:c r="E255" s="12" t="str">
        <x:v>Priya Menon</x:v>
      </x:c>
      <x:c r="F255" s="12" t="str">
        <x:v>Small Business</x:v>
      </x:c>
      <x:c r="G255" s="12" t="str">
        <x:v>North</x:v>
      </x:c>
      <x:c r="H255" s="12" t="str">
        <x:v>Rajasthan</x:v>
      </x:c>
      <x:c r="I255" s="12" t="str">
        <x:v>Jaipur</x:v>
      </x:c>
      <x:c r="J255" s="12" t="str">
        <x:v>Technology</x:v>
      </x:c>
      <x:c r="K255" s="12" t="str">
        <x:v>Phones</x:v>
      </x:c>
      <x:c r="L255" s="12" t="str">
        <x:v>Classic Phones 442</x:v>
      </x:c>
      <x:c r="M255" s="12" t="str">
        <x:v>Same Day</x:v>
      </x:c>
      <x:c r="N255" s="12" t="n">
        <x:v>6</x:v>
      </x:c>
      <x:c r="O255" s="12" t="n">
        <x:v>832.79</x:v>
      </x:c>
      <x:c r="P255" s="12" t="n">
        <x:v>0.05</x:v>
      </x:c>
      <x:c r="Q255" s="12" t="n">
        <x:v>4746.9</x:v>
      </x:c>
      <x:c r="R255" s="12" t="n">
        <x:v>2825.38</x:v>
      </x:c>
      <x:c r="S255" s="12" t="n">
        <x:v>1472.89</x:v>
      </x:c>
      <x:c r="T255" s="12" t="str">
        <x:v>Refunded</x:v>
      </x:c>
      <x:c r="U255" s="12" t="str">
        <x:v>Cancelled</x:v>
      </x:c>
    </x:row>
    <x:row r="256">
      <x:c r="A256" s="12" t="str">
        <x:v>ORD-2025-10255</x:v>
      </x:c>
      <x:c r="B256" s="12" t="str">
        <x:v>01/01/2025</x:v>
      </x:c>
      <x:c r="C256" s="12" t="str">
        <x:v>03-01-2025</x:v>
      </x:c>
      <x:c r="D256" s="12" t="str">
        <x:v>CUST-6853</x:v>
      </x:c>
      <x:c r="E256" s="12" t="str">
        <x:v>Ananya Rao</x:v>
      </x:c>
      <x:c r="F256" s="12" t="str">
        <x:v>Consumer</x:v>
      </x:c>
      <x:c r="G256" s="12" t="str">
        <x:v>West</x:v>
      </x:c>
      <x:c r="H256" s="12" t="str">
        <x:v>Madhya Pradesh</x:v>
      </x:c>
      <x:c r="I256" s="12" t="str">
        <x:v>Indore</x:v>
      </x:c>
      <x:c r="J256" s="12" t="str">
        <x:v>Technology</x:v>
      </x:c>
      <x:c r="K256" s="12" t="str">
        <x:v>Accessories</x:v>
      </x:c>
      <x:c r="L256" s="12" t="str">
        <x:v>Elite Accessories 978</x:v>
      </x:c>
      <x:c r="M256" s="12" t="str">
        <x:v>Same Day</x:v>
      </x:c>
      <x:c r="N256" s="12" t="n">
        <x:v>7</x:v>
      </x:c>
      <x:c r="O256" s="12" t="n">
        <x:v>1000.55</x:v>
      </x:c>
      <x:c r="P256" s="12" t="n">
        <x:v>0.2</x:v>
      </x:c>
      <x:c r="Q256" s="12" t="n">
        <x:v>5603.08</x:v>
      </x:c>
      <x:c r="R256" s="12" t="n">
        <x:v>3132.52</x:v>
      </x:c>
      <x:c r="S256" s="12" t="n">
        <x:v>2470.56</x:v>
      </x:c>
      <x:c r="T256" s="12" t="str">
        <x:v>Paid</x:v>
      </x:c>
      <x:c r="U256" s="12" t="str">
        <x:v>Returned</x:v>
      </x:c>
    </x:row>
    <x:row r="257">
      <x:c r="A257" s="12" t="str">
        <x:v>ORD-2025-10256</x:v>
      </x:c>
      <x:c r="B257" s="12" t="str">
        <x:v>2025-02-04</x:v>
      </x:c>
      <x:c r="C257" s="12" t="str">
        <x:v>02/10/2025</x:v>
      </x:c>
      <x:c r="D257" s="12" t="str">
        <x:v>CUST-1549</x:v>
      </x:c>
      <x:c r="E257" s="12" t="str">
        <x:v>Isha Nair</x:v>
      </x:c>
      <x:c r="F257" s="12" t="str">
        <x:v>Corporate</x:v>
      </x:c>
      <x:c r="G257" s="12" t="str">
        <x:v>West</x:v>
      </x:c>
      <x:c r="H257" s="12" t="str">
        <x:v>Maharashtra</x:v>
      </x:c>
      <x:c r="I257" s="12" t="str">
        <x:v>Mumbai</x:v>
      </x:c>
      <x:c r="J257" s="12" t="str">
        <x:v>Technology</x:v>
      </x:c>
      <x:c r="K257" s="12" t="str">
        <x:v>Phones</x:v>
      </x:c>
      <x:c r="L257" s="12" t="str">
        <x:v>Eco Phones 132</x:v>
      </x:c>
      <x:c r="M257" s="12" t="str">
        <x:v>First Class</x:v>
      </x:c>
      <x:c r="N257" s="12" t="n">
        <x:v>7</x:v>
      </x:c>
      <x:c r="O257" s="12" t="n">
        <x:v>1830</x:v>
      </x:c>
      <x:c r="P257" s="12" t="n">
        <x:v>0</x:v>
      </x:c>
      <x:c r="Q257" s="12" t="n">
        <x:v>12810</x:v>
      </x:c>
      <x:c r="R257" s="12" t="n">
        <x:v>9334.12</x:v>
      </x:c>
      <x:c r="S257" s="12" t="n">
        <x:v>3475.88</x:v>
      </x:c>
      <x:c r="T257" s="12" t="str">
        <x:v>Paid</x:v>
      </x:c>
      <x:c r="U257" s="12" t="str">
        <x:v>Completed</x:v>
      </x:c>
    </x:row>
    <x:row r="258">
      <x:c r="A258" s="12" t="str">
        <x:v>ORD-2024-10257</x:v>
      </x:c>
      <x:c r="B258" s="12" t="str">
        <x:v>2024-11-05</x:v>
      </x:c>
      <x:c r="C258" s="12" t="str">
        <x:v>03 Nov 2024</x:v>
      </x:c>
      <x:c r="D258" s="12" t="str">
        <x:v>CUST-8411</x:v>
      </x:c>
      <x:c r="E258" s="12" t="str">
        <x:v>Ananya Rao</x:v>
      </x:c>
      <x:c r="F258" s="12" t="str">
        <x:v>Consumer</x:v>
      </x:c>
      <x:c r="G258" s="12" t="str">
        <x:v>East</x:v>
      </x:c>
      <x:c r="H258" s="12" t="str">
        <x:v>West Bengal</x:v>
      </x:c>
      <x:c r="I258" s="12" t="str">
        <x:v>Kolkata</x:v>
      </x:c>
      <x:c r="J258" s="12" t="str">
        <x:v>Furniture</x:v>
      </x:c>
      <x:c r="K258" s="12" t="str">
        <x:v>Tables</x:v>
      </x:c>
      <x:c r="L258" s="12" t="str">
        <x:v>Prime Tables 481</x:v>
      </x:c>
      <x:c r="M258" s="12" t="str">
        <x:v>First Class</x:v>
      </x:c>
      <x:c r="N258" s="12" t="n">
        <x:v>9</x:v>
      </x:c>
      <x:c r="O258" s="12" t="n">
        <x:v>2260.61</x:v>
      </x:c>
      <x:c r="P258" s="12" t="n">
        <x:v>0.05</x:v>
      </x:c>
      <x:c r="Q258" s="12" t="n">
        <x:v>19328.22</x:v>
      </x:c>
      <x:c r="R258" s="12" t="n">
        <x:v>12039.5</x:v>
      </x:c>
      <x:c r="S258" s="12" t="n">
        <x:v>7288.72</x:v>
      </x:c>
      <x:c r="T258" s="12" t="str">
        <x:v>Paid</x:v>
      </x:c>
      <x:c r="U258" s="12" t="str">
        <x:v>Completed</x:v>
      </x:c>
    </x:row>
    <x:row r="259">
      <x:c r="A259" s="12" t="str">
        <x:v>ORD-2025-10258</x:v>
      </x:c>
      <x:c r="B259" s="12" t="str">
        <x:v>2025-08-09</x:v>
      </x:c>
      <x:c r="C259" s="12" t="str">
        <x:v>2025-08-12</x:v>
      </x:c>
      <x:c r="D259" s="12" t="str">
        <x:v>CUST-5615</x:v>
      </x:c>
      <x:c r="E259" s="12" t="str">
        <x:v>Diya Patel</x:v>
      </x:c>
      <x:c r="F259" s="12" t="str">
        <x:v>Corporate</x:v>
      </x:c>
      <x:c r="G259" s="12" t="str">
        <x:v>South</x:v>
      </x:c>
      <x:c r="H259" s="12" t="str">
        <x:v>Karnataka</x:v>
      </x:c>
      <x:c r="I259" s="12" t="str">
        <x:v>Bengaluru</x:v>
      </x:c>
      <x:c r="J259" s="12" t="str">
        <x:v>Technology</x:v>
      </x:c>
      <x:c r="K259" s="12" t="str">
        <x:v>Accessories</x:v>
      </x:c>
      <x:c r="L259" s="12" t="str">
        <x:v>Smart Accessories 180</x:v>
      </x:c>
      <x:c r="M259" s="12" t="str">
        <x:v>Second Class</x:v>
      </x:c>
      <x:c r="N259" s="12" t="n">
        <x:v>2</x:v>
      </x:c>
      <x:c r="O259" s="12" t="n">
        <x:v>3237.27</x:v>
      </x:c>
      <x:c r="P259" s="12" t="n">
        <x:v>0</x:v>
      </x:c>
      <x:c r="Q259" s="12" t="n">
        <x:v>6474.54</x:v>
      </x:c>
      <x:c r="R259" s="12" t="n">
        <x:v>5095.91</x:v>
      </x:c>
      <x:c r="S259" s="12" t="n">
        <x:v>1378.63</x:v>
      </x:c>
      <x:c r="T259" s="12" t="str">
        <x:v>Paid</x:v>
      </x:c>
      <x:c r="U259" s="12" t="str">
        <x:v>Cancelled</x:v>
      </x:c>
    </x:row>
    <x:row r="260">
      <x:c r="A260" s="12" t="str">
        <x:v>ORD-2024-10259</x:v>
      </x:c>
      <x:c r="B260" s="12" t="str">
        <x:v>2024-12-30</x:v>
      </x:c>
      <x:c r="C260" s="12" t="str">
        <x:v>2025-01-04</x:v>
      </x:c>
      <x:c r="D260" s="12" t="str">
        <x:v>CUST-8467</x:v>
      </x:c>
      <x:c r="E260" s="12" t="str">
        <x:v>Sneha Kapoor</x:v>
      </x:c>
      <x:c r="F260" s="12" t="str">
        <x:v>Corporate</x:v>
      </x:c>
      <x:c r="G260" s="12" t="str">
        <x:v>South</x:v>
      </x:c>
      <x:c r="H260" s="12" t="str">
        <x:v>Tamil Nadu</x:v>
      </x:c>
      <x:c r="I260" s="12" t="str">
        <x:v>Chennai</x:v>
      </x:c>
      <x:c r="J260" s="12" t="str">
        <x:v>Furniture</x:v>
      </x:c>
      <x:c r="K260" s="12" t="str">
        <x:v>Tables</x:v>
      </x:c>
      <x:c r="L260" s="12" t="str">
        <x:v>Smart Tables 774</x:v>
      </x:c>
      <x:c r="M260" s="12" t="str">
        <x:v>Same Day</x:v>
      </x:c>
      <x:c r="N260" s="12" t="n">
        <x:v>2</x:v>
      </x:c>
      <x:c r="O260" s="12" t="n">
        <x:v>3720.07</x:v>
      </x:c>
      <x:c r="P260" s="12" t="n">
        <x:v>0.25</x:v>
      </x:c>
      <x:c r="Q260" s="12" t="n">
        <x:v>5580.11</x:v>
      </x:c>
      <x:c r="R260" s="12" t="n">
        <x:v>4307.01</x:v>
      </x:c>
      <x:c r="S260" s="12" t="n">
        <x:v>1273.1</x:v>
      </x:c>
      <x:c r="T260" s="12" t="str">
        <x:v>Paid</x:v>
      </x:c>
      <x:c r="U260" s="12" t="str">
        <x:v>Completed</x:v>
      </x:c>
    </x:row>
    <x:row r="261">
      <x:c r="A261" s="12" t="str">
        <x:v>ORD-2024-10260</x:v>
      </x:c>
      <x:c r="B261" s="12" t="str">
        <x:v>06/21/2024</x:v>
      </x:c>
      <x:c r="C261" s="12" t="str">
        <x:v>29 Jun 2024</x:v>
      </x:c>
      <x:c r="D261" s="12" t="str">
        <x:v>CUST-5174</x:v>
      </x:c>
      <x:c r="E261" s="12" t="str">
        <x:v>Neha Gupta</x:v>
      </x:c>
      <x:c r="F261" s="12" t="str">
        <x:v>Consumer</x:v>
      </x:c>
      <x:c r="G261" s="12" t="str">
        <x:v>South</x:v>
      </x:c>
      <x:c r="H261" s="12" t="str">
        <x:v>Tamil Nadu</x:v>
      </x:c>
      <x:c r="I261" s="12" t="str">
        <x:v>Chennai</x:v>
      </x:c>
      <x:c r="J261" s="12" t="str">
        <x:v>Technology</x:v>
      </x:c>
      <x:c r="K261" s="12" t="str">
        <x:v>Machines</x:v>
      </x:c>
      <x:c r="L261" s="12" t="str">
        <x:v>Prime Machines 793</x:v>
      </x:c>
      <x:c r="M261" s="12" t="str">
        <x:v>Standard Class</x:v>
      </x:c>
      <x:c r="N261" s="12" t="n">
        <x:v>8</x:v>
      </x:c>
      <x:c r="O261" s="12" t="n">
        <x:v>2853.92</x:v>
      </x:c>
      <x:c r="P261" s="12" t="n">
        <x:v>0.2</x:v>
      </x:c>
      <x:c r="Q261" s="12" t="n">
        <x:v>18265.09</x:v>
      </x:c>
      <x:c r="R261" s="12" t="n">
        <x:v>10437.14</x:v>
      </x:c>
      <x:c r="S261" s="12" t="n">
        <x:v>7827.95</x:v>
      </x:c>
      <x:c r="T261" s="12" t="str">
        <x:v>Paid</x:v>
      </x:c>
      <x:c r="U261" s="12" t="str">
        <x:v>Completed</x:v>
      </x:c>
    </x:row>
    <x:row r="262">
      <x:c r="A262" s="12" t="str">
        <x:v>ORD-2025-10261</x:v>
      </x:c>
      <x:c r="B262" s="12" t="str">
        <x:v>2025-09-23</x:v>
      </x:c>
      <x:c r="C262" s="12" t="str">
        <x:v>09/27/2025</x:v>
      </x:c>
      <x:c r="D262" s="12" t="str">
        <x:v>CUST-3543</x:v>
      </x:c>
      <x:c r="E262" s="12" t="str">
        <x:v>Aditi Sen</x:v>
      </x:c>
      <x:c r="F262" s="12" t="str">
        <x:v>Corporate</x:v>
      </x:c>
      <x:c r="G262" s="12" t="str">
        <x:v>East</x:v>
      </x:c>
      <x:c r="H262" s="12" t="str">
        <x:v>West Bengal</x:v>
      </x:c>
      <x:c r="I262" s="12" t="str">
        <x:v>Kolkata</x:v>
      </x:c>
      <x:c r="J262" s="12" t="str">
        <x:v>Office Supplies</x:v>
      </x:c>
      <x:c r="K262" s="12" t="str">
        <x:v>Binders</x:v>
      </x:c>
      <x:c r="L262" s="12" t="str">
        <x:v>Elite Binders 827</x:v>
      </x:c>
      <x:c r="M262" s="12" t="str">
        <x:v>Same Day</x:v>
      </x:c>
      <x:c r="N262" s="12" t="n">
        <x:v>7</x:v>
      </x:c>
      <x:c r="O262" s="12" t="n">
        <x:v>2897.12</x:v>
      </x:c>
      <x:c r="P262" s="12" t="n">
        <x:v>0.25</x:v>
      </x:c>
      <x:c r="Q262" s="12" t="n">
        <x:v>15209.88</x:v>
      </x:c>
      <x:c r="R262" s="12" t="n">
        <x:v>10891.15</x:v>
      </x:c>
      <x:c r="S262" s="12" t="n">
        <x:v>4318.73</x:v>
      </x:c>
      <x:c r="T262" s="12" t="str">
        <x:v>Failed</x:v>
      </x:c>
      <x:c r="U262" s="12" t="str">
        <x:v>Returned</x:v>
      </x:c>
    </x:row>
    <x:row r="263">
      <x:c r="A263" s="12" t="str">
        <x:v>ORD-2025-10262</x:v>
      </x:c>
      <x:c r="B263" s="12" t="str">
        <x:v>06/18/2025</x:v>
      </x:c>
      <x:c r="C263" s="12" t="str">
        <x:v>06/24/2025</x:v>
      </x:c>
      <x:c r="D263" s="12" t="str">
        <x:v>CUST-7623</x:v>
      </x:c>
      <x:c r="E263" s="12" t="str">
        <x:v>Sneha Kapoor</x:v>
      </x:c>
      <x:c r="F263" s="12" t="str">
        <x:v>Corporate</x:v>
      </x:c>
      <x:c r="G263" s="12" t="str">
        <x:v>North</x:v>
      </x:c>
      <x:c r="H263" s="12" t="str">
        <x:v>Rajasthan</x:v>
      </x:c>
      <x:c r="I263" s="12" t="str">
        <x:v>Jaipur</x:v>
      </x:c>
      <x:c r="J263" s="12" t="str">
        <x:v>Office Supplies</x:v>
      </x:c>
      <x:c r="K263" s="12" t="str">
        <x:v>Labels</x:v>
      </x:c>
      <x:c r="L263" s="12" t="str">
        <x:v>Prime Labels 326</x:v>
      </x:c>
      <x:c r="M263" s="12" t="str">
        <x:v>Standard Class</x:v>
      </x:c>
      <x:c r="N263" s="12" t="n">
        <x:v>3</x:v>
      </x:c>
      <x:c r="O263" s="12" t="n">
        <x:v>686.74</x:v>
      </x:c>
      <x:c r="P263" s="12" t="n">
        <x:v>0.2</x:v>
      </x:c>
      <x:c r="Q263" s="12" t="n">
        <x:v>1648.18</x:v>
      </x:c>
      <x:c r="R263" s="12" t="n">
        <x:v>987.91</x:v>
      </x:c>
      <x:c r="S263" s="12" t="n">
        <x:v>660.27</x:v>
      </x:c>
      <x:c r="T263" s="12" t="str">
        <x:v>Failed</x:v>
      </x:c>
      <x:c r="U263" s="12" t="str">
        <x:v>Cancelled</x:v>
      </x:c>
    </x:row>
    <x:row r="264">
      <x:c r="A264" s="12" t="str">
        <x:v>ORD-2025-10263</x:v>
      </x:c>
      <x:c r="B264" s="12" t="str">
        <x:v>2025-05-26</x:v>
      </x:c>
      <x:c r="C264" s="12" t="str">
        <x:v>01 Jun 2025</x:v>
      </x:c>
      <x:c r="D264" s="12" t="str">
        <x:v>CUST-6153</x:v>
      </x:c>
      <x:c r="E264" s="12" t="str">
        <x:v>Arjun Bose</x:v>
      </x:c>
      <x:c r="F264" s="12" t="str">
        <x:v>Small Business</x:v>
      </x:c>
      <x:c r="G264" s="12" t="str">
        <x:v>North</x:v>
      </x:c>
      <x:c r="H264" s="12" t="str">
        <x:v>Delhi</x:v>
      </x:c>
      <x:c r="I264" s="12" t="str">
        <x:v>New Delhi</x:v>
      </x:c>
      <x:c r="J264" s="12" t="str">
        <x:v>Technology</x:v>
      </x:c>
      <x:c r="K264" s="12" t="str">
        <x:v>Phones</x:v>
      </x:c>
      <x:c r="L264" s="12" t="str">
        <x:v>Eco Phones 245</x:v>
      </x:c>
      <x:c r="M264" s="12" t="str">
        <x:v>Same Day</x:v>
      </x:c>
      <x:c r="N264" s="12" t="n">
        <x:v>4</x:v>
      </x:c>
      <x:c r="O264" s="12" t="n">
        <x:v>3349.86</x:v>
      </x:c>
      <x:c r="P264" s="12" t="n">
        <x:v>0</x:v>
      </x:c>
      <x:c r="Q264" s="12" t="n">
        <x:v>13399.44</x:v>
      </x:c>
      <x:c r="R264" s="12" t="n">
        <x:v>8581.35</x:v>
      </x:c>
      <x:c r="S264" s="12" t="n">
        <x:v>4818.09</x:v>
      </x:c>
      <x:c r="T264" s="12" t="str">
        <x:v>Pending</x:v>
      </x:c>
      <x:c r="U264" s="12" t="str">
        <x:v>Returned</x:v>
      </x:c>
    </x:row>
    <x:row r="265">
      <x:c r="A265" s="12" t="str">
        <x:v>ORD-2025-10264</x:v>
      </x:c>
      <x:c r="B265" s="12" t="str">
        <x:v>06 Aug 2025</x:v>
      </x:c>
      <x:c r="C265" s="12" t="str">
        <x:v>10-08-2025</x:v>
      </x:c>
      <x:c r="D265" s="12" t="str">
        <x:v>CUST-8265</x:v>
      </x:c>
      <x:c r="E265" s="12" t="str">
        <x:v>Rohan Mehta</x:v>
      </x:c>
      <x:c r="F265" s="12" t="str">
        <x:v>Small Business</x:v>
      </x:c>
      <x:c r="G265" s="12" t="str">
        <x:v>North</x:v>
      </x:c>
      <x:c r="H265" s="12" t="str">
        <x:v>Delhi</x:v>
      </x:c>
      <x:c r="I265" s="12" t="str">
        <x:v>New Delhi</x:v>
      </x:c>
      <x:c r="J265" s="12" t="str">
        <x:v>Office Supplies</x:v>
      </x:c>
      <x:c r="K265" s="12" t="str">
        <x:v>Binders</x:v>
      </x:c>
      <x:c r="L265" s="12" t="str">
        <x:v>Smart Binders 905</x:v>
      </x:c>
      <x:c r="M265" s="12" t="str">
        <x:v>Second Class</x:v>
      </x:c>
      <x:c r="N265" s="12" t="n">
        <x:v>9</x:v>
      </x:c>
      <x:c r="O265" s="12" t="n">
        <x:v>4042.45</x:v>
      </x:c>
      <x:c r="P265" s="12" t="n">
        <x:v>0.1</x:v>
      </x:c>
      <x:c r="Q265" s="12" t="n">
        <x:v>32743.84</x:v>
      </x:c>
      <x:c r="R265" s="12" t="n">
        <x:v>22452.05</x:v>
      </x:c>
      <x:c r="S265" s="12" t="n">
        <x:v>10291.79</x:v>
      </x:c>
      <x:c r="T265" s="12" t="str">
        <x:v>Pending</x:v>
      </x:c>
      <x:c r="U265" s="12" t="str">
        <x:v>Returned</x:v>
      </x:c>
    </x:row>
    <x:row r="266">
      <x:c r="A266" s="12" t="str">
        <x:v>ORD-2024-10265</x:v>
      </x:c>
      <x:c r="B266" s="12" t="str">
        <x:v>16-05-2024</x:v>
      </x:c>
      <x:c r="C266" s="12" t="str">
        <x:v>05/21/2024</x:v>
      </x:c>
      <x:c r="D266" s="12" t="str">
        <x:v>CUST-4750</x:v>
      </x:c>
      <x:c r="E266" s="12" t="str">
        <x:v>Diya Patel</x:v>
      </x:c>
      <x:c r="F266" s="12" t="str">
        <x:v>Small Business</x:v>
      </x:c>
      <x:c r="G266" s="12" t="str">
        <x:v>East</x:v>
      </x:c>
      <x:c r="H266" s="12" t="str">
        <x:v>Bihar</x:v>
      </x:c>
      <x:c r="I266" s="12" t="str">
        <x:v>Patna</x:v>
      </x:c>
      <x:c r="J266" s="12" t="str">
        <x:v>Technology</x:v>
      </x:c>
      <x:c r="K266" s="12" t="str">
        <x:v>Copiers</x:v>
      </x:c>
      <x:c r="L266" s="12" t="str">
        <x:v>Pro Copiers 599</x:v>
      </x:c>
      <x:c r="M266" s="12" t="str">
        <x:v>Standard Class</x:v>
      </x:c>
      <x:c r="N266" s="12" t="n">
        <x:v>4</x:v>
      </x:c>
      <x:c r="O266" s="12" t="n">
        <x:v>1503.07</x:v>
      </x:c>
      <x:c r="P266" s="12" t="n">
        <x:v>0</x:v>
      </x:c>
      <x:c r="Q266" s="12" t="n">
        <x:v>6012.28</x:v>
      </x:c>
      <x:c r="R266" s="12" t="n">
        <x:v>3927.64</x:v>
      </x:c>
      <x:c r="S266" s="12" t="n">
        <x:v>2084.64</x:v>
      </x:c>
      <x:c r="T266" s="12" t="str">
        <x:v>Paid</x:v>
      </x:c>
      <x:c r="U266" s="12" t="str">
        <x:v>Completed</x:v>
      </x:c>
    </x:row>
    <x:row r="267">
      <x:c r="A267" s="12" t="str">
        <x:v>ORD-2024-10266</x:v>
      </x:c>
      <x:c r="B267" s="12" t="str">
        <x:v>14 Nov 2024</x:v>
      </x:c>
      <x:c r="C267" s="12" t="str">
        <x:v>11/22/2024</x:v>
      </x:c>
      <x:c r="D267" s="12" t="str">
        <x:v>CUST-3974</x:v>
      </x:c>
      <x:c r="E267" s="12" t="str">
        <x:v>Priya Menon</x:v>
      </x:c>
      <x:c r="F267" s="12" t="str">
        <x:v>Corporate</x:v>
      </x:c>
      <x:c r="G267" s="12" t="str">
        <x:v>East</x:v>
      </x:c>
      <x:c r="H267" s="12" t="str">
        <x:v>Bihar</x:v>
      </x:c>
      <x:c r="I267" s="12" t="str">
        <x:v>Patna</x:v>
      </x:c>
      <x:c r="J267" s="12" t="str">
        <x:v>Furniture</x:v>
      </x:c>
      <x:c r="K267" s="12" t="str">
        <x:v>Bookcases</x:v>
      </x:c>
      <x:c r="L267" s="12" t="str">
        <x:v>Basic Bookcases 570</x:v>
      </x:c>
      <x:c r="M267" s="12" t="str">
        <x:v>Same Day</x:v>
      </x:c>
      <x:c r="N267" s="12" t="n">
        <x:v>1</x:v>
      </x:c>
      <x:c r="O267" s="12" t="n">
        <x:v>582.37</x:v>
      </x:c>
      <x:c r="P267" s="12" t="n">
        <x:v>0.15</x:v>
      </x:c>
      <x:c r="Q267" s="12" t="n">
        <x:v>495.01</x:v>
      </x:c>
      <x:c r="R267" s="12" t="n">
        <x:v>285.13</x:v>
      </x:c>
      <x:c r="S267" s="12" t="n">
        <x:v>209.88</x:v>
      </x:c>
      <x:c r="T267" s="12" t="str">
        <x:v>Refunded</x:v>
      </x:c>
      <x:c r="U267" s="12" t="str">
        <x:v>  Cancelled </x:v>
      </x:c>
    </x:row>
    <x:row r="268">
      <x:c r="A268" s="12" t="str">
        <x:v>ORD-2025-10267</x:v>
      </x:c>
      <x:c r="B268" s="12" t="str">
        <x:v>2025-05-03</x:v>
      </x:c>
      <x:c r="C268" s="12" t="str">
        <x:v>2025-05-10</x:v>
      </x:c>
      <x:c r="D268" s="12" t="str">
        <x:v>CUST-7114</x:v>
      </x:c>
      <x:c r="E268" s="12" t="str">
        <x:v>Neha Gupta</x:v>
      </x:c>
      <x:c r="F268" s="12" t="str">
        <x:v>Home Office</x:v>
      </x:c>
      <x:c r="G268" s="12" t="str">
        <x:v>West</x:v>
      </x:c>
      <x:c r="H268" s="12" t="str">
        <x:v>Maharashtra</x:v>
      </x:c>
      <x:c r="I268" s="12" t="str">
        <x:v>Mumbai</x:v>
      </x:c>
      <x:c r="J268" s="12" t="str">
        <x:v>Office Supplies</x:v>
      </x:c>
      <x:c r="K268" s="12" t="str">
        <x:v>Storage</x:v>
      </x:c>
      <x:c r="L268" s="12" t="str">
        <x:v>Classic Storage 926</x:v>
      </x:c>
      <x:c r="M268" s="12" t="str">
        <x:v>Second Class</x:v>
      </x:c>
      <x:c r="N268" s="12" t="n">
        <x:v>3</x:v>
      </x:c>
      <x:c r="O268" s="12" t="n">
        <x:v>4339.24</x:v>
      </x:c>
      <x:c r="P268" s="12" t="n">
        <x:v>0</x:v>
      </x:c>
      <x:c r="Q268" s="12" t="n">
        <x:v>13017.72</x:v>
      </x:c>
      <x:c r="R268" s="12" t="n">
        <x:v>10170.57</x:v>
      </x:c>
      <x:c r="S268" s="12" t="n">
        <x:v>2847.15</x:v>
      </x:c>
      <x:c r="T268" s="12" t="str">
        <x:v>Paid</x:v>
      </x:c>
      <x:c r="U268" s="12" t="str">
        <x:v>Completed</x:v>
      </x:c>
    </x:row>
    <x:row r="269">
      <x:c r="A269" s="12" t="str">
        <x:v>ORD-2025-10268</x:v>
      </x:c>
      <x:c r="B269" s="12" t="str">
        <x:v>28 May 2025</x:v>
      </x:c>
      <x:c r="C269" s="12" t="str">
        <x:v>04-06-2025</x:v>
      </x:c>
      <x:c r="D269" s="12" t="str">
        <x:v>CUST-4431</x:v>
      </x:c>
      <x:c r="E269" s="12" t="str">
        <x:v>Diya Patel</x:v>
      </x:c>
      <x:c r="F269" s="12" t="str">
        <x:v>Corporate</x:v>
      </x:c>
      <x:c r="G269" s="12" t="str">
        <x:v>East</x:v>
      </x:c>
      <x:c r="H269" s="12" t="str">
        <x:v>Jharkhand</x:v>
      </x:c>
      <x:c r="I269" s="12" t="str">
        <x:v>Ranchi</x:v>
      </x:c>
      <x:c r="J269" s="12" t="str">
        <x:v>Furniture</x:v>
      </x:c>
      <x:c r="K269" s="12" t="str">
        <x:v>Furnishings</x:v>
      </x:c>
      <x:c r="L269" s="12" t="str">
        <x:v>Basic Furnishings 372</x:v>
      </x:c>
      <x:c r="M269" s="12" t="str">
        <x:v>First Class</x:v>
      </x:c>
      <x:c r="N269" s="12" t="n">
        <x:v>4</x:v>
      </x:c>
      <x:c r="O269" s="12" t="n">
        <x:v>261.8</x:v>
      </x:c>
      <x:c r="P269" s="12" t="n">
        <x:v>0.25</x:v>
      </x:c>
      <x:c r="Q269" s="12" t="n">
        <x:v>785.4</x:v>
      </x:c>
      <x:c r="R269" s="12" t="n">
        <x:v>557.22</x:v>
      </x:c>
      <x:c r="S269" s="12" t="n">
        <x:v>228.18</x:v>
      </x:c>
      <x:c r="T269" s="12" t="str">
        <x:v>Paid</x:v>
      </x:c>
      <x:c r="U269" s="12" t="str">
        <x:v>Completed</x:v>
      </x:c>
    </x:row>
    <x:row r="270">
      <x:c r="A270" s="12" t="str">
        <x:v>ORD-2025-10269</x:v>
      </x:c>
      <x:c r="B270" s="12" t="str">
        <x:v>08/17/2025</x:v>
      </x:c>
      <x:c r="C270" s="12" t="str">
        <x:v>08/17/2025</x:v>
      </x:c>
      <x:c r="D270" s="12" t="str">
        <x:v>CUST-1488</x:v>
      </x:c>
      <x:c r="E270" s="12" t="str">
        <x:v>Aarav Sharma</x:v>
      </x:c>
      <x:c r="F270" s="12" t="str">
        <x:v>Home Office</x:v>
      </x:c>
      <x:c r="G270" s="12" t="str">
        <x:v>North</x:v>
      </x:c>
      <x:c r="H270" s="12" t="str">
        <x:v>Punjab</x:v>
      </x:c>
      <x:c r="I270" s="12" t="str">
        <x:v>Ludhiana</x:v>
      </x:c>
      <x:c r="J270" s="12" t="str">
        <x:v>Technology</x:v>
      </x:c>
      <x:c r="K270" s="12" t="str">
        <x:v>Accessories</x:v>
      </x:c>
      <x:c r="L270" s="12" t="str">
        <x:v>Prime Accessories 367</x:v>
      </x:c>
      <x:c r="M270" s="12" t="str">
        <x:v>First Class</x:v>
      </x:c>
      <x:c r="N270" s="12" t="n">
        <x:v>7</x:v>
      </x:c>
      <x:c r="O270" s="12" t="n">
        <x:v>632.2</x:v>
      </x:c>
      <x:c r="P270" s="12" t="n">
        <x:v>0.25</x:v>
      </x:c>
      <x:c r="Q270" s="12" t="n">
        <x:v>3319.05</x:v>
      </x:c>
      <x:c r="R270" s="12" t="n">
        <x:v>2124.6</x:v>
      </x:c>
      <x:c r="S270" s="12" t="n">
        <x:v>1194.45</x:v>
      </x:c>
      <x:c r="T270" s="12" t="str">
        <x:v>Paid</x:v>
      </x:c>
      <x:c r="U270" s="12" t="str">
        <x:v>Completed</x:v>
      </x:c>
    </x:row>
    <x:row r="271">
      <x:c r="A271" s="12" t="str">
        <x:v>ORD-2025-10270</x:v>
      </x:c>
      <x:c r="B271" s="12" t="str">
        <x:v>02/10/2025</x:v>
      </x:c>
      <x:c r="C271" s="12" t="str">
        <x:v>02/12/2025</x:v>
      </x:c>
      <x:c r="D271" s="12" t="str">
        <x:v>CUST-1586</x:v>
      </x:c>
      <x:c r="E271" s="12" t="str">
        <x:v>Rahul Verma</x:v>
      </x:c>
      <x:c r="F271" s="12" t="str">
        <x:v>Small Business</x:v>
      </x:c>
      <x:c r="G271" s="12" t="str">
        <x:v>West</x:v>
      </x:c>
      <x:c r="H271" s="12" t="str">
        <x:v>Rajasthan</x:v>
      </x:c>
      <x:c r="I271" s="12" t="str">
        <x:v>Udaipur</x:v>
      </x:c>
      <x:c r="J271" s="12" t="str">
        <x:v>  Furniture </x:v>
      </x:c>
      <x:c r="K271" s="12" t="str">
        <x:v>Tables</x:v>
      </x:c>
      <x:c r="L271" s="12" t="str">
        <x:v>Max Tables 526</x:v>
      </x:c>
      <x:c r="M271" s="12" t="str">
        <x:v>Same Day</x:v>
      </x:c>
      <x:c r="N271" s="12" t="n">
        <x:v>1</x:v>
      </x:c>
      <x:c r="O271" s="12" t="n">
        <x:v>1925.86</x:v>
      </x:c>
      <x:c r="P271" s="12" t="n">
        <x:v>0</x:v>
      </x:c>
      <x:c r="Q271" s="12" t="n">
        <x:v>1925.86</x:v>
      </x:c>
      <x:c r="R271" s="12" t="n">
        <x:v>1321.89</x:v>
      </x:c>
      <x:c r="S271" s="12" t="n">
        <x:v>603.97</x:v>
      </x:c>
      <x:c r="T271" s="12" t="str">
        <x:v>Paid</x:v>
      </x:c>
      <x:c r="U271" s="12" t="str">
        <x:v>Completed</x:v>
      </x:c>
    </x:row>
    <x:row r="272">
      <x:c r="A272" s="12" t="str">
        <x:v>ORD-2024-10271</x:v>
      </x:c>
      <x:c r="B272" s="12" t="str">
        <x:v>01/12/2024</x:v>
      </x:c>
      <x:c r="C272" s="12" t="str">
        <x:v>13-01-2024</x:v>
      </x:c>
      <x:c r="D272" s="12" t="str">
        <x:v>CUST-2487</x:v>
      </x:c>
      <x:c r="E272" s="12" t="str">
        <x:v>Aditi Sen</x:v>
      </x:c>
      <x:c r="F272" s="12" t="str">
        <x:v>Corporate</x:v>
      </x:c>
      <x:c r="G272" s="12" t="str">
        <x:v>North</x:v>
      </x:c>
      <x:c r="H272" s="12" t="str">
        <x:v>Uttar Pradesh</x:v>
      </x:c>
      <x:c r="I272" s="12" t="str">
        <x:v>Noida</x:v>
      </x:c>
      <x:c r="J272" s="12" t="str">
        <x:v>Technology</x:v>
      </x:c>
      <x:c r="K272" s="12" t="str">
        <x:v>Machines</x:v>
      </x:c>
      <x:c r="L272" s="12" t="str">
        <x:v>Prime Machines 794</x:v>
      </x:c>
      <x:c r="M272" s="12" t="str">
        <x:v>Same Day</x:v>
      </x:c>
      <x:c r="N272" s="12" t="n">
        <x:v>3</x:v>
      </x:c>
      <x:c r="O272" s="12" t="n">
        <x:v>827.44</x:v>
      </x:c>
      <x:c r="P272" s="12" t="n">
        <x:v>0</x:v>
      </x:c>
      <x:c r="Q272" s="12" t="n">
        <x:v>2482.32</x:v>
      </x:c>
      <x:c r="R272" s="12" t="n">
        <x:v>1520.21</x:v>
      </x:c>
      <x:c r="S272" s="12" t="n">
        <x:v>962.11</x:v>
      </x:c>
      <x:c r="T272" s="12" t="str">
        <x:v>Paid</x:v>
      </x:c>
      <x:c r="U272" s="12" t="str">
        <x:v>Completed</x:v>
      </x:c>
    </x:row>
    <x:row r="273">
      <x:c r="A273" s="12" t="str">
        <x:v>ORD-2024-10272</x:v>
      </x:c>
      <x:c r="B273" s="12" t="str">
        <x:v>21 Dec 2024</x:v>
      </x:c>
      <x:c r="C273" s="12" t="str">
        <x:v>25 Dec 2024</x:v>
      </x:c>
      <x:c r="D273" s="12" t="str">
        <x:v>CUST-8009</x:v>
      </x:c>
      <x:c r="E273" s="12" t="str">
        <x:v>Aditi Sen</x:v>
      </x:c>
      <x:c r="F273" s="12" t="str">
        <x:v>Consumer</x:v>
      </x:c>
      <x:c r="G273" s="12" t="str">
        <x:v>South</x:v>
      </x:c>
      <x:c r="H273" s="12" t="str">
        <x:v>Telangana</x:v>
      </x:c>
      <x:c r="I273" s="12" t="str">
        <x:v>Hyderabad</x:v>
      </x:c>
      <x:c r="J273" s="12" t="str">
        <x:v>Office Supplies</x:v>
      </x:c>
      <x:c r="K273" s="12" t="str">
        <x:v>Binders</x:v>
      </x:c>
      <x:c r="L273" s="12" t="str">
        <x:v>Max Binders 927</x:v>
      </x:c>
      <x:c r="M273" s="12" t="str">
        <x:v>Standard Class</x:v>
      </x:c>
      <x:c r="N273" s="12" t="n">
        <x:v>7</x:v>
      </x:c>
      <x:c r="O273" s="12" t="n">
        <x:v>1667.75</x:v>
      </x:c>
      <x:c r="P273" s="12" t="n">
        <x:v>0</x:v>
      </x:c>
      <x:c r="Q273" s="12" t="n">
        <x:v>11674.25</x:v>
      </x:c>
      <x:c r="R273" s="12" t="n">
        <x:v>9621.19</x:v>
      </x:c>
      <x:c r="S273" s="12" t="n">
        <x:v>2053.06</x:v>
      </x:c>
      <x:c r="T273" s="12" t="str">
        <x:v>Failed</x:v>
      </x:c>
      <x:c r="U273" s="12" t="str">
        <x:v>Cancelled</x:v>
      </x:c>
    </x:row>
    <x:row r="274">
      <x:c r="A274" s="12" t="str">
        <x:v>ORD-2024-10273</x:v>
      </x:c>
      <x:c r="B274" s="12" t="str">
        <x:v>08/18/2024</x:v>
      </x:c>
      <x:c r="C274" s="12" t="str">
        <x:v>24 Aug 2024</x:v>
      </x:c>
      <x:c r="D274" s="12" t="str">
        <x:v>CUST-7389</x:v>
      </x:c>
      <x:c r="E274" s="12" t="str">
        <x:v>Arjun Bose</x:v>
      </x:c>
      <x:c r="F274" s="12" t="str">
        <x:v>Consumer</x:v>
      </x:c>
      <x:c r="G274" s="12" t="str">
        <x:v>South</x:v>
      </x:c>
      <x:c r="H274" s="12" t="str">
        <x:v>Andhra Pradesh</x:v>
      </x:c>
      <x:c r="I274" s="12" t="str">
        <x:v>Vijayawada</x:v>
      </x:c>
      <x:c r="J274" s="12" t="str">
        <x:v>Furniture</x:v>
      </x:c>
      <x:c r="K274" s="12" t="str">
        <x:v>Chairs</x:v>
      </x:c>
      <x:c r="L274" s="12" t="str">
        <x:v>Eco Chairs 314</x:v>
      </x:c>
      <x:c r="M274" s="12" t="str">
        <x:v>First Class</x:v>
      </x:c>
      <x:c r="N274" s="12" t="n">
        <x:v>7</x:v>
      </x:c>
      <x:c r="O274" s="12" t="n">
        <x:v>557.21</x:v>
      </x:c>
      <x:c r="P274" s="12" t="n">
        <x:v>0.1</x:v>
      </x:c>
      <x:c r="Q274" s="12" t="n">
        <x:v>3510.42</x:v>
      </x:c>
      <x:c r="R274" s="12" t="n">
        <x:v>2191.5</x:v>
      </x:c>
      <x:c r="S274" s="12" t="n">
        <x:v>1213.48</x:v>
      </x:c>
      <x:c r="T274" s="12" t="str">
        <x:v>Paid</x:v>
      </x:c>
      <x:c r="U274" s="12" t="str">
        <x:v>Completed</x:v>
      </x:c>
    </x:row>
    <x:row r="275">
      <x:c r="A275" s="12" t="str">
        <x:v>ORD-2025-10274</x:v>
      </x:c>
      <x:c r="B275" s="12" t="str">
        <x:v>02/13/2025</x:v>
      </x:c>
      <x:c r="C275" s="12" t="str">
        <x:v>13 Feb 2025</x:v>
      </x:c>
      <x:c r="D275" s="12" t="str">
        <x:v>CUST-8249</x:v>
      </x:c>
      <x:c r="E275" s="12" t="str">
        <x:v>Isha Nair</x:v>
      </x:c>
      <x:c r="F275" s="12" t="str">
        <x:v>Consumer</x:v>
      </x:c>
      <x:c r="G275" s="12" t="str">
        <x:v>East</x:v>
      </x:c>
      <x:c r="H275" s="12" t="str">
        <x:v>Bihar</x:v>
      </x:c>
      <x:c r="I275" s="12" t="str">
        <x:v>Patna</x:v>
      </x:c>
      <x:c r="J275" s="12" t="str">
        <x:v>Office Supplies</x:v>
      </x:c>
      <x:c r="K275" s="12" t="str">
        <x:v>Paper</x:v>
      </x:c>
      <x:c r="L275" s="12" t="str">
        <x:v>Basic Paper 657</x:v>
      </x:c>
      <x:c r="M275" s="12" t="str">
        <x:v>Second Class</x:v>
      </x:c>
      <x:c r="N275" s="12" t="n">
        <x:v>9</x:v>
      </x:c>
      <x:c r="O275" s="12" t="n">
        <x:v>2521.63</x:v>
      </x:c>
      <x:c r="P275" s="12" t="n">
        <x:v>0</x:v>
      </x:c>
      <x:c r="Q275" s="12" t="n">
        <x:v>22694.67</x:v>
      </x:c>
      <x:c r="R275" s="12" t="n">
        <x:v>15405.36</x:v>
      </x:c>
      <x:c r="S275" s="12" t="n">
        <x:v>7289.31</x:v>
      </x:c>
      <x:c r="T275" s="12" t="str">
        <x:v>Paid</x:v>
      </x:c>
      <x:c r="U275" s="12" t="str">
        <x:v>Returned</x:v>
      </x:c>
    </x:row>
    <x:row r="276">
      <x:c r="A276" s="12" t="str">
        <x:v>ORD-2024-10275</x:v>
      </x:c>
      <x:c r="B276" s="12" t="str">
        <x:v>07-04-2024</x:v>
      </x:c>
      <x:c r="C276" s="12" t="str">
        <x:v>14-04-2024</x:v>
      </x:c>
      <x:c r="D276" s="12" t="str">
        <x:v>CUST-4202</x:v>
      </x:c>
      <x:c r="E276" s="12" t="str">
        <x:v>Rohan Mehta</x:v>
      </x:c>
      <x:c r="F276" s="12" t="str">
        <x:v>Consumer</x:v>
      </x:c>
      <x:c r="G276" s="12" t="str">
        <x:v>South</x:v>
      </x:c>
      <x:c r="H276" s="12" t="str">
        <x:v>Kerala</x:v>
      </x:c>
      <x:c r="I276" s="12" t="str">
        <x:v>Kochi</x:v>
      </x:c>
      <x:c r="J276" s="12" t="str">
        <x:v>Technology</x:v>
      </x:c>
      <x:c r="K276" s="12" t="str">
        <x:v>Copiers</x:v>
      </x:c>
      <x:c r="L276" s="12" t="str">
        <x:v>Pro Copiers 406</x:v>
      </x:c>
      <x:c r="M276" s="12" t="str">
        <x:v>Standard Class</x:v>
      </x:c>
      <x:c r="N276" s="12" t="n">
        <x:v>6</x:v>
      </x:c>
      <x:c r="O276" s="12" t="n">
        <x:v>4246.71</x:v>
      </x:c>
      <x:c r="P276" s="12" t="n">
        <x:v>0.15</x:v>
      </x:c>
      <x:c r="Q276" s="12" t="n">
        <x:v>21658.22</x:v>
      </x:c>
      <x:c r="R276" s="12" t="n">
        <x:v>15490.69</x:v>
      </x:c>
      <x:c r="S276" s="12" t="n">
        <x:v>6167.53</x:v>
      </x:c>
      <x:c r="T276" s="12" t="str">
        <x:v>Failed</x:v>
      </x:c>
      <x:c r="U276" s="12" t="str">
        <x:v>Returned</x:v>
      </x:c>
    </x:row>
    <x:row r="277">
      <x:c r="A277" s="12" t="str">
        <x:v>ORD-2024-10276</x:v>
      </x:c>
      <x:c r="B277" s="12" t="str">
        <x:v>2024-02-15</x:v>
      </x:c>
      <x:c r="C277" s="12" t="str">
        <x:v>02/22/2024</x:v>
      </x:c>
      <x:c r="D277" s="12" t="str">
        <x:v>CUST-2875</x:v>
      </x:c>
      <x:c r="E277" s="12" t="str">
        <x:v>Priya Menon</x:v>
      </x:c>
      <x:c r="F277" s="12" t="str">
        <x:v>Small Business</x:v>
      </x:c>
      <x:c r="G277" s="12" t="str">
        <x:v>East</x:v>
      </x:c>
      <x:c r="H277" s="12" t="str">
        <x:v>West Bengal</x:v>
      </x:c>
      <x:c r="I277" s="12" t="str">
        <x:v>Kolkata</x:v>
      </x:c>
      <x:c r="J277" s="12" t="str">
        <x:v>Furniture</x:v>
      </x:c>
      <x:c r="K277" s="12" t="str">
        <x:v>Furnishings</x:v>
      </x:c>
      <x:c r="L277" s="12" t="str">
        <x:v>Eco Furnishings 678</x:v>
      </x:c>
      <x:c r="M277" s="12" t="str">
        <x:v>Same Day</x:v>
      </x:c>
      <x:c r="N277" s="12" t="n">
        <x:v>1</x:v>
      </x:c>
      <x:c r="O277" s="12" t="n">
        <x:v>980.51</x:v>
      </x:c>
      <x:c r="P277" s="12" t="n">
        <x:v>0</x:v>
      </x:c>
      <x:c r="Q277" s="12" t="n">
        <x:v>980.51</x:v>
      </x:c>
      <x:c r="R277" s="12" t="n">
        <x:v>660.92</x:v>
      </x:c>
      <x:c r="S277" s="12" t="n">
        <x:v>319.59</x:v>
      </x:c>
      <x:c r="T277" s="12" t="str">
        <x:v>Paid</x:v>
      </x:c>
      <x:c r="U277" s="12" t="str">
        <x:v>Completed</x:v>
      </x:c>
    </x:row>
    <x:row r="278">
      <x:c r="A278" s="12" t="str">
        <x:v>ORD-2024-10277</x:v>
      </x:c>
      <x:c r="B278" s="12" t="str">
        <x:v>22-01-2024</x:v>
      </x:c>
      <x:c r="C278" s="12" t="str">
        <x:v>23-01-2024</x:v>
      </x:c>
      <x:c r="D278" s="12" t="str">
        <x:v>CUST-7039</x:v>
      </x:c>
      <x:c r="E278" s="12" t="str">
        <x:v>Aarav Sharma</x:v>
      </x:c>
      <x:c r="F278" s="12" t="str">
        <x:v>Small Business</x:v>
      </x:c>
      <x:c r="G278" s="12"/>
      <x:c r="H278" s="12" t="str">
        <x:v>Assam</x:v>
      </x:c>
      <x:c r="I278" s="12" t="str">
        <x:v>Guwahati</x:v>
      </x:c>
      <x:c r="J278" s="12" t="str">
        <x:v>Furniture</x:v>
      </x:c>
      <x:c r="K278" s="12" t="str">
        <x:v>Chairs</x:v>
      </x:c>
      <x:c r="L278" s="12" t="str">
        <x:v>Basic Chairs 141</x:v>
      </x:c>
      <x:c r="M278" s="12" t="str">
        <x:v>Second Class</x:v>
      </x:c>
      <x:c r="N278" s="12" t="n">
        <x:v>6</x:v>
      </x:c>
      <x:c r="O278" s="12" t="n">
        <x:v>3391.53</x:v>
      </x:c>
      <x:c r="P278" s="12" t="n">
        <x:v>-0.14</x:v>
      </x:c>
      <x:c r="Q278" s="12" t="n">
        <x:v>15261.89</x:v>
      </x:c>
      <x:c r="R278" s="12" t="n">
        <x:v>8413.53</x:v>
      </x:c>
      <x:c r="S278" s="12" t="n">
        <x:v>6848.36</x:v>
      </x:c>
      <x:c r="T278" s="12" t="str">
        <x:v>Paid</x:v>
      </x:c>
      <x:c r="U278" s="12" t="str">
        <x:v>Completed</x:v>
      </x:c>
    </x:row>
    <x:row r="279">
      <x:c r="A279" s="12" t="str">
        <x:v>ORD-2025-10278</x:v>
      </x:c>
      <x:c r="B279" s="12" t="str">
        <x:v>04 Jun 2025</x:v>
      </x:c>
      <x:c r="C279" s="12" t="str">
        <x:v>04 Jun 2025</x:v>
      </x:c>
      <x:c r="D279" s="12" t="str">
        <x:v>CUST-2819</x:v>
      </x:c>
      <x:c r="E279" s="12" t="str">
        <x:v>Isha Nair</x:v>
      </x:c>
      <x:c r="F279" s="12" t="str">
        <x:v>Corporate</x:v>
      </x:c>
      <x:c r="G279" s="12" t="str">
        <x:v>North</x:v>
      </x:c>
      <x:c r="H279" s="12" t="str">
        <x:v>Haryana</x:v>
      </x:c>
      <x:c r="I279" s="12" t="str">
        <x:v>Gurugram</x:v>
      </x:c>
      <x:c r="J279" s="12" t="str">
        <x:v>Technology</x:v>
      </x:c>
      <x:c r="K279" s="12" t="str">
        <x:v>Accessories</x:v>
      </x:c>
      <x:c r="L279" s="12" t="str">
        <x:v>Elite Accessories 291</x:v>
      </x:c>
      <x:c r="M279" s="12" t="str">
        <x:v>Second Class</x:v>
      </x:c>
      <x:c r="N279" s="12" t="n">
        <x:v>1</x:v>
      </x:c>
      <x:c r="O279" s="12" t="n">
        <x:v>2133.73</x:v>
      </x:c>
      <x:c r="P279" s="12" t="n">
        <x:v>0.15</x:v>
      </x:c>
      <x:c r="Q279" s="12" t="n">
        <x:v>2008.39</x:v>
      </x:c>
      <x:c r="R279" s="12" t="n">
        <x:v>1002.57</x:v>
      </x:c>
      <x:c r="S279" s="12" t="n">
        <x:v>811.1</x:v>
      </x:c>
      <x:c r="T279" s="12" t="str">
        <x:v>Pending</x:v>
      </x:c>
      <x:c r="U279" s="12" t="str">
        <x:v>Cancelled</x:v>
      </x:c>
    </x:row>
    <x:row r="280">
      <x:c r="A280" s="12" t="str">
        <x:v>ORD-2025-10279</x:v>
      </x:c>
      <x:c r="B280" s="12" t="str">
        <x:v>07-03-2025</x:v>
      </x:c>
      <x:c r="C280" s="12" t="str">
        <x:v>2025-03-14</x:v>
      </x:c>
      <x:c r="D280" s="12" t="str">
        <x:v>CUST-8242</x:v>
      </x:c>
      <x:c r="E280" s="12" t="str">
        <x:v>Priya Menon </x:v>
      </x:c>
      <x:c r="F280" s="12" t="str">
        <x:v>Small Business</x:v>
      </x:c>
      <x:c r="G280" s="12" t="str">
        <x:v>North</x:v>
      </x:c>
      <x:c r="H280" s="12" t="str">
        <x:v>Delhi</x:v>
      </x:c>
      <x:c r="I280" s="12" t="str">
        <x:v>New Delhi</x:v>
      </x:c>
      <x:c r="J280" s="12" t="str">
        <x:v>Technology</x:v>
      </x:c>
      <x:c r="K280" s="12" t="str">
        <x:v>Accessories</x:v>
      </x:c>
      <x:c r="L280" s="12" t="str">
        <x:v>Pro Accessories 207</x:v>
      </x:c>
      <x:c r="M280" s="12" t="str">
        <x:v>Same Day</x:v>
      </x:c>
      <x:c r="N280" s="12" t="n">
        <x:v>1</x:v>
      </x:c>
      <x:c r="O280" s="12" t="n">
        <x:v>3979.64</x:v>
      </x:c>
      <x:c r="P280" s="12" t="n">
        <x:v>0.05</x:v>
      </x:c>
      <x:c r="Q280" s="12" t="n">
        <x:v>3780.66</x:v>
      </x:c>
      <x:c r="R280" s="12" t="n">
        <x:v>2148.31</x:v>
      </x:c>
      <x:c r="S280" s="12" t="n">
        <x:v>1632.35</x:v>
      </x:c>
      <x:c r="T280" s="12" t="str">
        <x:v>Paid</x:v>
      </x:c>
      <x:c r="U280" s="12" t="str">
        <x:v>Returned</x:v>
      </x:c>
    </x:row>
    <x:row r="281">
      <x:c r="A281" s="12" t="str">
        <x:v>ORD-2024-10280</x:v>
      </x:c>
      <x:c r="B281" s="12" t="str">
        <x:v>04/09/2024</x:v>
      </x:c>
      <x:c r="C281" s="12" t="str">
        <x:v>10 Apr 2024</x:v>
      </x:c>
      <x:c r="D281" s="12" t="str">
        <x:v>CUST-4571</x:v>
      </x:c>
      <x:c r="E281" s="12" t="str">
        <x:v>Rohan Mehta</x:v>
      </x:c>
      <x:c r="F281" s="12" t="str">
        <x:v>Small Business</x:v>
      </x:c>
      <x:c r="G281" s="12" t="str">
        <x:v>West</x:v>
      </x:c>
      <x:c r="H281" s="12" t="str">
        <x:v>Maharashtra</x:v>
      </x:c>
      <x:c r="I281" s="12" t="str">
        <x:v>Mumbai</x:v>
      </x:c>
      <x:c r="J281" s="12" t="str">
        <x:v>Office Supplies</x:v>
      </x:c>
      <x:c r="K281" s="12" t="str">
        <x:v>Storage</x:v>
      </x:c>
      <x:c r="L281" s="12" t="str">
        <x:v>Max Storage 564</x:v>
      </x:c>
      <x:c r="M281" s="12" t="str">
        <x:v>First Class</x:v>
      </x:c>
      <x:c r="N281" s="12" t="n">
        <x:v>1</x:v>
      </x:c>
      <x:c r="O281" s="12" t="n">
        <x:v>4359.12</x:v>
      </x:c>
      <x:c r="P281" s="12" t="n">
        <x:v>0.05</x:v>
      </x:c>
      <x:c r="Q281" s="12" t="n">
        <x:v>4141.16</x:v>
      </x:c>
      <x:c r="R281" s="12" t="n">
        <x:v>2754.17</x:v>
      </x:c>
      <x:c r="S281" s="12" t="n">
        <x:v>1386.99</x:v>
      </x:c>
      <x:c r="T281" s="12" t="str">
        <x:v>Paid</x:v>
      </x:c>
      <x:c r="U281" s="12" t="str">
        <x:v>Completed</x:v>
      </x:c>
    </x:row>
    <x:row r="282">
      <x:c r="A282" s="12" t="str">
        <x:v>ORD-2024-10281</x:v>
      </x:c>
      <x:c r="B282" s="12" t="str">
        <x:v>12/23/2024</x:v>
      </x:c>
      <x:c r="C282" s="12" t="str">
        <x:v>26-12-2024</x:v>
      </x:c>
      <x:c r="D282" s="12" t="str">
        <x:v>CUST-4098</x:v>
      </x:c>
      <x:c r="E282" s="12" t="str">
        <x:v>Aditi Sen</x:v>
      </x:c>
      <x:c r="F282" s="12" t="str">
        <x:v>Consumer</x:v>
      </x:c>
      <x:c r="G282" s="12" t="str">
        <x:v>South</x:v>
      </x:c>
      <x:c r="H282" s="12" t="str">
        <x:v>Karnataka</x:v>
      </x:c>
      <x:c r="I282" s="12" t="str">
        <x:v>Bengaluru</x:v>
      </x:c>
      <x:c r="J282" s="12" t="str">
        <x:v>Technology</x:v>
      </x:c>
      <x:c r="K282" s="12" t="str">
        <x:v>Copiers</x:v>
      </x:c>
      <x:c r="L282" s="12" t="str">
        <x:v>Prime Copiers 961</x:v>
      </x:c>
      <x:c r="M282" s="12" t="str">
        <x:v>Standard Class</x:v>
      </x:c>
      <x:c r="N282" s="12" t="n">
        <x:v>9</x:v>
      </x:c>
      <x:c r="O282" s="12" t="n">
        <x:v>993.67</x:v>
      </x:c>
      <x:c r="P282" s="12" t="n">
        <x:v>0</x:v>
      </x:c>
      <x:c r="Q282" s="12" t="n">
        <x:v>8943.03</x:v>
      </x:c>
      <x:c r="R282" s="12" t="n">
        <x:v>5165.38</x:v>
      </x:c>
      <x:c r="S282" s="12" t="n">
        <x:v>3777.65</x:v>
      </x:c>
      <x:c r="T282" s="12" t="str">
        <x:v>Paid</x:v>
      </x:c>
      <x:c r="U282" s="12" t="str">
        <x:v>Completed</x:v>
      </x:c>
    </x:row>
    <x:row r="283">
      <x:c r="A283" s="12" t="str">
        <x:v>ORD-2025-10282</x:v>
      </x:c>
      <x:c r="B283" s="12" t="str">
        <x:v>25-07-2025</x:v>
      </x:c>
      <x:c r="C283" s="12" t="str">
        <x:v>07/27/2025</x:v>
      </x:c>
      <x:c r="D283" s="12" t="str">
        <x:v>CUST-2052</x:v>
      </x:c>
      <x:c r="E283" s="12" t="str">
        <x:v>Kabir Singh</x:v>
      </x:c>
      <x:c r="F283" s="12" t="str">
        <x:v>Consumer</x:v>
      </x:c>
      <x:c r="G283" s="12" t="str">
        <x:v>East</x:v>
      </x:c>
      <x:c r="H283" s="12" t="str">
        <x:v>Jharkhand</x:v>
      </x:c>
      <x:c r="I283" s="12" t="str">
        <x:v>Ranchi</x:v>
      </x:c>
      <x:c r="J283" s="12" t="str">
        <x:v>Office Supplies</x:v>
      </x:c>
      <x:c r="K283" s="12" t="str">
        <x:v>Binders</x:v>
      </x:c>
      <x:c r="L283" s="12" t="str">
        <x:v>Basic Binders 637</x:v>
      </x:c>
      <x:c r="M283" s="12" t="str">
        <x:v>Second Class</x:v>
      </x:c>
      <x:c r="N283" s="12" t="n">
        <x:v>6</x:v>
      </x:c>
      <x:c r="O283" s="12" t="n">
        <x:v>3438.38</x:v>
      </x:c>
      <x:c r="P283" s="12" t="n">
        <x:v>0.2</x:v>
      </x:c>
      <x:c r="Q283" s="12" t="n">
        <x:v>16504.22</x:v>
      </x:c>
      <x:c r="R283" s="12" t="n">
        <x:v>11262.71</x:v>
      </x:c>
      <x:c r="S283" s="12" t="n">
        <x:v>5241.51</x:v>
      </x:c>
      <x:c r="T283" s="12" t="str">
        <x:v>Paid</x:v>
      </x:c>
      <x:c r="U283" s="12" t="str">
        <x:v>Completed</x:v>
      </x:c>
    </x:row>
    <x:row r="284">
      <x:c r="A284" s="12" t="str">
        <x:v>ORD-2024-10283</x:v>
      </x:c>
      <x:c r="B284" s="12" t="str">
        <x:v>2024-10-01</x:v>
      </x:c>
      <x:c r="C284" s="12" t="str">
        <x:v>10/02/2024</x:v>
      </x:c>
      <x:c r="D284" s="12" t="str">
        <x:v>CUST-9445</x:v>
      </x:c>
      <x:c r="E284" s="12" t="str">
        <x:v>Karan Malhotra</x:v>
      </x:c>
      <x:c r="F284" s="12" t="str">
        <x:v>Home Office</x:v>
      </x:c>
      <x:c r="G284" s="12" t="str">
        <x:v>East</x:v>
      </x:c>
      <x:c r="H284" s="12" t="str">
        <x:v>Assam</x:v>
      </x:c>
      <x:c r="I284" s="12" t="str">
        <x:v>Guwahati</x:v>
      </x:c>
      <x:c r="J284" s="12" t="str">
        <x:v>Furniture</x:v>
      </x:c>
      <x:c r="K284" s="12" t="str">
        <x:v>Tables</x:v>
      </x:c>
      <x:c r="L284" s="12" t="str">
        <x:v>Classic Tables 811</x:v>
      </x:c>
      <x:c r="M284" s="12" t="str">
        <x:v>Second Class</x:v>
      </x:c>
      <x:c r="N284" s="12" t="n">
        <x:v>2</x:v>
      </x:c>
      <x:c r="O284" s="12" t="n">
        <x:v>2298</x:v>
      </x:c>
      <x:c r="P284" s="12" t="n">
        <x:v>0</x:v>
      </x:c>
      <x:c r="Q284" s="12" t="n">
        <x:v>4596</x:v>
      </x:c>
      <x:c r="R284" s="12" t="n">
        <x:v>3220.33</x:v>
      </x:c>
      <x:c r="S284" s="12" t="n">
        <x:v>1375.67</x:v>
      </x:c>
      <x:c r="T284" s="12" t="str">
        <x:v>Paid</x:v>
      </x:c>
      <x:c r="U284" s="12" t="str">
        <x:v>Completed</x:v>
      </x:c>
    </x:row>
    <x:row r="285">
      <x:c r="A285" s="12" t="str">
        <x:v>ORD-2025-10284</x:v>
      </x:c>
      <x:c r="B285" s="12" t="str">
        <x:v>03/13/2025</x:v>
      </x:c>
      <x:c r="C285" s="12" t="str">
        <x:v>20-03-2025</x:v>
      </x:c>
      <x:c r="D285" s="12" t="str">
        <x:v>CUST-6568</x:v>
      </x:c>
      <x:c r="E285" s="12" t="str">
        <x:v>Vikram Iyer</x:v>
      </x:c>
      <x:c r="F285" s="12" t="str">
        <x:v>Consumer</x:v>
      </x:c>
      <x:c r="G285" s="12" t="str">
        <x:v>West</x:v>
      </x:c>
      <x:c r="H285" s="12" t="str">
        <x:v>Maharashtra</x:v>
      </x:c>
      <x:c r="I285" s="12" t="str">
        <x:v>Mumbai</x:v>
      </x:c>
      <x:c r="J285" s="12" t="str">
        <x:v>Furniture</x:v>
      </x:c>
      <x:c r="K285" s="12" t="str">
        <x:v>Furnishings</x:v>
      </x:c>
      <x:c r="L285" s="12" t="str">
        <x:v>Classic Furnishings 819</x:v>
      </x:c>
      <x:c r="M285" s="12" t="str">
        <x:v>First Class</x:v>
      </x:c>
      <x:c r="N285" s="12" t="n">
        <x:v>1</x:v>
      </x:c>
      <x:c r="O285" s="12" t="n">
        <x:v>1814.01</x:v>
      </x:c>
      <x:c r="P285" s="12" t="n">
        <x:v>0</x:v>
      </x:c>
      <x:c r="Q285" s="12" t="n">
        <x:v>1814.01</x:v>
      </x:c>
      <x:c r="R285" s="12" t="n">
        <x:v>1033.47</x:v>
      </x:c>
      <x:c r="S285" s="12" t="n">
        <x:v>780.54</x:v>
      </x:c>
      <x:c r="T285" s="12" t="str">
        <x:v>Paid</x:v>
      </x:c>
      <x:c r="U285" s="12" t="str">
        <x:v>Completed</x:v>
      </x:c>
    </x:row>
    <x:row r="286">
      <x:c r="A286" s="12" t="str">
        <x:v>ORD-2024-10285</x:v>
      </x:c>
      <x:c r="B286" s="12" t="str">
        <x:v>12/08/2024</x:v>
      </x:c>
      <x:c r="C286" s="12" t="str">
        <x:v>12/14/2024</x:v>
      </x:c>
      <x:c r="D286" s="12" t="str">
        <x:v>CUST-2076</x:v>
      </x:c>
      <x:c r="E286" s="12" t="str">
        <x:v>Karan Malhotra</x:v>
      </x:c>
      <x:c r="F286" s="12" t="str">
        <x:v>Consumer</x:v>
      </x:c>
      <x:c r="G286" s="12" t="str">
        <x:v>East</x:v>
      </x:c>
      <x:c r="H286" s="12" t="str">
        <x:v>Odisha</x:v>
      </x:c>
      <x:c r="I286" s="12" t="str">
        <x:v>Bhubaneswar</x:v>
      </x:c>
      <x:c r="J286" s="12" t="str">
        <x:v>Furniture</x:v>
      </x:c>
      <x:c r="K286" s="12" t="str">
        <x:v>Tables</x:v>
      </x:c>
      <x:c r="L286" s="12" t="str">
        <x:v>Prime Tables 542</x:v>
      </x:c>
      <x:c r="M286" s="12" t="str">
        <x:v>Same Day</x:v>
      </x:c>
      <x:c r="N286" s="12" t="n">
        <x:v>3</x:v>
      </x:c>
      <x:c r="O286" s="12" t="n">
        <x:v>1576.92</x:v>
      </x:c>
      <x:c r="P286" s="12" t="n">
        <x:v>0</x:v>
      </x:c>
      <x:c r="Q286" s="12" t="n">
        <x:v>4730.76</x:v>
      </x:c>
      <x:c r="R286" s="12" t="n">
        <x:v>3139.73</x:v>
      </x:c>
      <x:c r="S286" s="12" t="n">
        <x:v>1591.03</x:v>
      </x:c>
      <x:c r="T286" s="12" t="str">
        <x:v>Paid</x:v>
      </x:c>
      <x:c r="U286" s="12" t="str">
        <x:v>Returned</x:v>
      </x:c>
    </x:row>
    <x:row r="287">
      <x:c r="A287" s="12" t="str">
        <x:v>ORD-2025-10286</x:v>
      </x:c>
      <x:c r="B287" s="12" t="str">
        <x:v>2025-08-15</x:v>
      </x:c>
      <x:c r="C287" s="12" t="str">
        <x:v>2025-08-20</x:v>
      </x:c>
      <x:c r="D287" s="12" t="str">
        <x:v>CUST-5610</x:v>
      </x:c>
      <x:c r="E287" s="12" t="str">
        <x:v>Neha Gupta</x:v>
      </x:c>
      <x:c r="F287" s="12" t="str">
        <x:v>Home Office</x:v>
      </x:c>
      <x:c r="G287" s="12" t="str">
        <x:v>North</x:v>
      </x:c>
      <x:c r="H287" s="12" t="str">
        <x:v>Rajasthan</x:v>
      </x:c>
      <x:c r="I287" s="12" t="str">
        <x:v>Jaipur</x:v>
      </x:c>
      <x:c r="J287" s="12" t="str">
        <x:v>Office Supplies</x:v>
      </x:c>
      <x:c r="K287" s="12" t="str">
        <x:v>Storage</x:v>
      </x:c>
      <x:c r="L287" s="12" t="str">
        <x:v>Basic Storage 771</x:v>
      </x:c>
      <x:c r="M287" s="12" t="str">
        <x:v>Standard Class</x:v>
      </x:c>
      <x:c r="N287" s="12" t="n">
        <x:v>9</x:v>
      </x:c>
      <x:c r="O287" s="12" t="n">
        <x:v>4081.77</x:v>
      </x:c>
      <x:c r="P287" s="12" t="n">
        <x:v>0</x:v>
      </x:c>
      <x:c r="Q287" s="12" t="n">
        <x:v>36735.93</x:v>
      </x:c>
      <x:c r="R287" s="12" t="n">
        <x:v>30820.84</x:v>
      </x:c>
      <x:c r="S287" s="12" t="n">
        <x:v>5915.09</x:v>
      </x:c>
      <x:c r="T287" s="12" t="str">
        <x:v>Paid</x:v>
      </x:c>
      <x:c r="U287" s="12" t="str">
        <x:v>Completed</x:v>
      </x:c>
    </x:row>
    <x:row r="288">
      <x:c r="A288" s="12" t="str">
        <x:v>ORD-2024-10287</x:v>
      </x:c>
      <x:c r="B288" s="12" t="str">
        <x:v>28-02-2024</x:v>
      </x:c>
      <x:c r="C288" s="12" t="str">
        <x:v>03/02/2024</x:v>
      </x:c>
      <x:c r="D288" s="12" t="str">
        <x:v>CUST-5823</x:v>
      </x:c>
      <x:c r="E288" s="12" t="str">
        <x:v>Priya Menon</x:v>
      </x:c>
      <x:c r="F288" s="12" t="str">
        <x:v>Small Business</x:v>
      </x:c>
      <x:c r="G288" s="12" t="str">
        <x:v>North</x:v>
      </x:c>
      <x:c r="H288" s="12" t="str">
        <x:v>Delhi</x:v>
      </x:c>
      <x:c r="I288" s="12" t="str">
        <x:v>New Delhi</x:v>
      </x:c>
      <x:c r="J288" s="12" t="str">
        <x:v>Furniture</x:v>
      </x:c>
      <x:c r="K288" s="12" t="str">
        <x:v>Furnishings</x:v>
      </x:c>
      <x:c r="L288" s="12" t="str">
        <x:v>Pro Furnishings 848</x:v>
      </x:c>
      <x:c r="M288" s="12" t="str">
        <x:v>First Class</x:v>
      </x:c>
      <x:c r="N288" s="12" t="n">
        <x:v>7</x:v>
      </x:c>
      <x:c r="O288" s="12" t="n">
        <x:v>701.8</x:v>
      </x:c>
      <x:c r="P288" s="12" t="n">
        <x:v>0.1</x:v>
      </x:c>
      <x:c r="Q288" s="12" t="n">
        <x:v>4421.34</x:v>
      </x:c>
      <x:c r="R288" s="12" t="n">
        <x:v>2489.98</x:v>
      </x:c>
      <x:c r="S288" s="12" t="n">
        <x:v>1931.36</x:v>
      </x:c>
      <x:c r="T288" s="12" t="str">
        <x:v>Pending</x:v>
      </x:c>
      <x:c r="U288" s="12" t="str">
        <x:v>Returned</x:v>
      </x:c>
    </x:row>
    <x:row r="289">
      <x:c r="A289" s="12" t="str">
        <x:v>ORD-2024-10288</x:v>
      </x:c>
      <x:c r="B289" s="12" t="str">
        <x:v>09/05/2024</x:v>
      </x:c>
      <x:c r="C289" s="12" t="str">
        <x:v>07-09-2024</x:v>
      </x:c>
      <x:c r="D289" s="12" t="str">
        <x:v>CUST-7095</x:v>
      </x:c>
      <x:c r="E289" s="12" t="str">
        <x:v>Neha Gupta</x:v>
      </x:c>
      <x:c r="F289" s="12" t="str">
        <x:v>Small Business</x:v>
      </x:c>
      <x:c r="G289" s="12" t="str">
        <x:v>South</x:v>
      </x:c>
      <x:c r="H289" s="12" t="str">
        <x:v>Tamil Nadu</x:v>
      </x:c>
      <x:c r="I289" s="12" t="str">
        <x:v>Chennai</x:v>
      </x:c>
      <x:c r="J289" s="12" t="str">
        <x:v>Technology</x:v>
      </x:c>
      <x:c r="K289" s="12" t="str">
        <x:v>Copiers</x:v>
      </x:c>
      <x:c r="L289" s="12" t="str">
        <x:v>Prime Copiers 924</x:v>
      </x:c>
      <x:c r="M289" s="12" t="str">
        <x:v>Standard Class</x:v>
      </x:c>
      <x:c r="N289" s="12" t="n">
        <x:v>3</x:v>
      </x:c>
      <x:c r="O289" s="12" t="n">
        <x:v>2555.66</x:v>
      </x:c>
      <x:c r="P289" s="12" t="n">
        <x:v>0.15</x:v>
      </x:c>
      <x:c r="Q289" s="12" t="n">
        <x:v>6516.93</x:v>
      </x:c>
      <x:c r="R289" s="12" t="n">
        <x:v>4511.54</x:v>
      </x:c>
      <x:c r="S289" s="12" t="n">
        <x:v>2005.39</x:v>
      </x:c>
      <x:c r="T289" s="12" t="str">
        <x:v>Paid</x:v>
      </x:c>
      <x:c r="U289" s="12" t="str">
        <x:v>Cancelled</x:v>
      </x:c>
    </x:row>
    <x:row r="290">
      <x:c r="A290" s="12" t="str">
        <x:v>ORD-2024-10289</x:v>
      </x:c>
      <x:c r="B290" s="12" t="str">
        <x:v>2024-06-24</x:v>
      </x:c>
      <x:c r="C290" s="12" t="str">
        <x:v>2024-06-24</x:v>
      </x:c>
      <x:c r="D290" s="12" t="str">
        <x:v>CUST-4805</x:v>
      </x:c>
      <x:c r="E290" s="12" t="str">
        <x:v>Rohan Mehta</x:v>
      </x:c>
      <x:c r="F290" s="12" t="str">
        <x:v>Small Business</x:v>
      </x:c>
      <x:c r="G290" s="12" t="str">
        <x:v>East</x:v>
      </x:c>
      <x:c r="H290" s="12" t="str">
        <x:v>Bihar</x:v>
      </x:c>
      <x:c r="I290" s="12" t="str">
        <x:v>Patna</x:v>
      </x:c>
      <x:c r="J290" s="12" t="str">
        <x:v>Office Supplies</x:v>
      </x:c>
      <x:c r="K290" s="12" t="str">
        <x:v>Binders</x:v>
      </x:c>
      <x:c r="L290" s="12" t="str">
        <x:v>Classic Binders 721</x:v>
      </x:c>
      <x:c r="M290" s="12" t="str">
        <x:v>Same Day</x:v>
      </x:c>
      <x:c r="N290" s="12" t="n">
        <x:v>2</x:v>
      </x:c>
      <x:c r="O290" s="12" t="n">
        <x:v>4359.9</x:v>
      </x:c>
      <x:c r="P290" s="12" t="n">
        <x:v>0.15</x:v>
      </x:c>
      <x:c r="Q290" s="12" t="n">
        <x:v>7411.83</x:v>
      </x:c>
      <x:c r="R290" s="12" t="n">
        <x:v>4904.63</x:v>
      </x:c>
      <x:c r="S290" s="12" t="n">
        <x:v>2507.2</x:v>
      </x:c>
      <x:c r="T290" s="12" t="str">
        <x:v>Paid</x:v>
      </x:c>
      <x:c r="U290" s="12" t="str">
        <x:v>Completed</x:v>
      </x:c>
    </x:row>
    <x:row r="291">
      <x:c r="A291" s="12" t="str">
        <x:v>ORD-2025-10290</x:v>
      </x:c>
      <x:c r="B291" s="12" t="str">
        <x:v>19-06-2025</x:v>
      </x:c>
      <x:c r="C291" s="12" t="str">
        <x:v>06/27/2025</x:v>
      </x:c>
      <x:c r="D291" s="12" t="str">
        <x:v>CUST-9114</x:v>
      </x:c>
      <x:c r="E291" s="12" t="str">
        <x:v>Karan Malhotra</x:v>
      </x:c>
      <x:c r="F291" s="12" t="str">
        <x:v>Home Office</x:v>
      </x:c>
      <x:c r="G291" s="12" t="str">
        <x:v>South</x:v>
      </x:c>
      <x:c r="H291" s="12" t="str">
        <x:v>Tamil Nadu</x:v>
      </x:c>
      <x:c r="I291" s="12" t="str">
        <x:v>Chennai</x:v>
      </x:c>
      <x:c r="J291" s="12" t="str">
        <x:v>Furniture</x:v>
      </x:c>
      <x:c r="K291" s="12" t="str">
        <x:v>Bookcases</x:v>
      </x:c>
      <x:c r="L291" s="12" t="str">
        <x:v>Basic Bookcases 823</x:v>
      </x:c>
      <x:c r="M291" s="12" t="str">
        <x:v>First Class</x:v>
      </x:c>
      <x:c r="N291" s="12" t="n">
        <x:v>2</x:v>
      </x:c>
      <x:c r="O291" s="12" t="n">
        <x:v>4346.69</x:v>
      </x:c>
      <x:c r="P291" s="12" t="n">
        <x:v>0.05</x:v>
      </x:c>
      <x:c r="Q291" s="12" t="n">
        <x:v>8258.71</x:v>
      </x:c>
      <x:c r="R291" s="12" t="n">
        <x:v>7018.97</x:v>
      </x:c>
      <x:c r="S291" s="12" t="n">
        <x:v>1239.74</x:v>
      </x:c>
      <x:c r="T291" s="12" t="str">
        <x:v>Paid</x:v>
      </x:c>
      <x:c r="U291" s="12" t="str">
        <x:v>Completed</x:v>
      </x:c>
    </x:row>
    <x:row r="292">
      <x:c r="A292" s="12" t="str">
        <x:v>ORD-2025-10291</x:v>
      </x:c>
      <x:c r="B292" s="12" t="str">
        <x:v>22 Aug 2025</x:v>
      </x:c>
      <x:c r="C292" s="12" t="str">
        <x:v>2025-08-26</x:v>
      </x:c>
      <x:c r="D292" s="12" t="str">
        <x:v>CUST-8557</x:v>
      </x:c>
      <x:c r="E292" s="12" t="str">
        <x:v>Diya Patel</x:v>
      </x:c>
      <x:c r="F292" s="12" t="str">
        <x:v>Home Office</x:v>
      </x:c>
      <x:c r="G292" s="12" t="str">
        <x:v>East</x:v>
      </x:c>
      <x:c r="H292" s="12" t="str">
        <x:v>Jharkhand</x:v>
      </x:c>
      <x:c r="I292" s="12" t="str">
        <x:v>Ranchi</x:v>
      </x:c>
      <x:c r="J292" s="12" t="str">
        <x:v>Furniture</x:v>
      </x:c>
      <x:c r="K292" s="12" t="str">
        <x:v>Tables</x:v>
      </x:c>
      <x:c r="L292" s="12" t="str">
        <x:v>Classic Tables 178</x:v>
      </x:c>
      <x:c r="M292" s="12" t="str">
        <x:v>Standard Class</x:v>
      </x:c>
      <x:c r="N292" s="12" t="n">
        <x:v>1</x:v>
      </x:c>
      <x:c r="O292" s="12" t="n">
        <x:v>1842.63</x:v>
      </x:c>
      <x:c r="P292" s="12" t="n">
        <x:v>0.1</x:v>
      </x:c>
      <x:c r="Q292" s="12" t="n">
        <x:v>1658.37</x:v>
      </x:c>
      <x:c r="R292" s="12" t="n">
        <x:v>971.12</x:v>
      </x:c>
      <x:c r="S292" s="12" t="n">
        <x:v>687.25</x:v>
      </x:c>
      <x:c r="T292" s="12" t="str">
        <x:v>Paid</x:v>
      </x:c>
      <x:c r="U292" s="12" t="str">
        <x:v>Completed</x:v>
      </x:c>
    </x:row>
    <x:row r="293">
      <x:c r="A293" s="12" t="str">
        <x:v>ORD-2024-10292</x:v>
      </x:c>
      <x:c r="B293" s="12" t="str">
        <x:v>04/05/2024</x:v>
      </x:c>
      <x:c r="C293" s="12" t="str">
        <x:v>2024-04-10</x:v>
      </x:c>
      <x:c r="D293" s="12" t="str">
        <x:v>CUST-2860</x:v>
      </x:c>
      <x:c r="E293" s="12" t="str">
        <x:v>Priya Menon</x:v>
      </x:c>
      <x:c r="F293" s="12" t="str">
        <x:v>Home Office</x:v>
      </x:c>
      <x:c r="G293" s="12" t="str">
        <x:v>North</x:v>
      </x:c>
      <x:c r="H293" s="12" t="str">
        <x:v>Rajasthan</x:v>
      </x:c>
      <x:c r="I293" s="12" t="str">
        <x:v>Jaipur</x:v>
      </x:c>
      <x:c r="J293" s="12" t="str">
        <x:v>Office Supplies</x:v>
      </x:c>
      <x:c r="K293" s="12" t="str">
        <x:v>Binders</x:v>
      </x:c>
      <x:c r="L293" s="12" t="str">
        <x:v>Eco Binders 153</x:v>
      </x:c>
      <x:c r="M293" s="12" t="str">
        <x:v>Standard Class</x:v>
      </x:c>
      <x:c r="N293" s="12" t="n">
        <x:v>4</x:v>
      </x:c>
      <x:c r="O293" s="12" t="n">
        <x:v>3228.66</x:v>
      </x:c>
      <x:c r="P293" s="12" t="n">
        <x:v>0.25</x:v>
      </x:c>
      <x:c r="Q293" s="12" t="n">
        <x:v>9685.98</x:v>
      </x:c>
      <x:c r="R293" s="12" t="n">
        <x:v>7730.04</x:v>
      </x:c>
      <x:c r="S293" s="12" t="n">
        <x:v>1955.94</x:v>
      </x:c>
      <x:c r="T293" s="12" t="str">
        <x:v>Paid</x:v>
      </x:c>
      <x:c r="U293" s="12" t="str">
        <x:v>Completed</x:v>
      </x:c>
    </x:row>
    <x:row r="294">
      <x:c r="A294" s="12" t="str">
        <x:v>ORD-2025-10293</x:v>
      </x:c>
      <x:c r="B294" s="12" t="str">
        <x:v>28 Feb 2025</x:v>
      </x:c>
      <x:c r="C294" s="12" t="str">
        <x:v>03-03-2025</x:v>
      </x:c>
      <x:c r="D294" s="12" t="str">
        <x:v>CUST-7837</x:v>
      </x:c>
      <x:c r="E294" s="12" t="str">
        <x:v>Kabir Singh</x:v>
      </x:c>
      <x:c r="F294" s="12" t="str">
        <x:v>Home Office</x:v>
      </x:c>
      <x:c r="G294" s="12" t="str">
        <x:v>North</x:v>
      </x:c>
      <x:c r="H294" s="12" t="str">
        <x:v>Haryana</x:v>
      </x:c>
      <x:c r="I294" s="12" t="str">
        <x:v>Gurugram</x:v>
      </x:c>
      <x:c r="J294" s="12" t="str">
        <x:v>Office Supplies</x:v>
      </x:c>
      <x:c r="K294" s="12" t="str">
        <x:v>Art</x:v>
      </x:c>
      <x:c r="L294" s="12" t="str">
        <x:v>Classic Art 183</x:v>
      </x:c>
      <x:c r="M294" s="12" t="str">
        <x:v>Same Day</x:v>
      </x:c>
      <x:c r="N294" s="12" t="n">
        <x:v>9</x:v>
      </x:c>
      <x:c r="O294" s="12" t="n">
        <x:v>3748.95</x:v>
      </x:c>
      <x:c r="P294" s="12" t="n">
        <x:v>0</x:v>
      </x:c>
      <x:c r="Q294" s="12" t="n">
        <x:v>33740.55</x:v>
      </x:c>
      <x:c r="R294" s="12" t="n">
        <x:v>24621.89</x:v>
      </x:c>
      <x:c r="S294" s="12" t="n">
        <x:v>9118.66</x:v>
      </x:c>
      <x:c r="T294" s="12" t="str">
        <x:v>Pending</x:v>
      </x:c>
      <x:c r="U294" s="12" t="str">
        <x:v>Cancelled</x:v>
      </x:c>
    </x:row>
    <x:row r="295">
      <x:c r="A295" s="12" t="str">
        <x:v>ORD-2024-10294</x:v>
      </x:c>
      <x:c r="B295" s="12" t="str">
        <x:v>03/07/2024</x:v>
      </x:c>
      <x:c r="C295" s="12" t="str">
        <x:v>11-03-2024</x:v>
      </x:c>
      <x:c r="D295" s="12" t="str">
        <x:v>CUST-7010</x:v>
      </x:c>
      <x:c r="E295" s="12" t="str">
        <x:v>Arjun Bose</x:v>
      </x:c>
      <x:c r="F295" s="12" t="str">
        <x:v>Home Office</x:v>
      </x:c>
      <x:c r="G295" s="12" t="str">
        <x:v>South</x:v>
      </x:c>
      <x:c r="H295" s="12" t="str">
        <x:v>Telangana</x:v>
      </x:c>
      <x:c r="I295" s="12" t="str">
        <x:v>Hyderabad</x:v>
      </x:c>
      <x:c r="J295" s="12" t="str">
        <x:v>Technology</x:v>
      </x:c>
      <x:c r="K295" s="12" t="str">
        <x:v>Phones</x:v>
      </x:c>
      <x:c r="L295" s="12" t="str">
        <x:v>Pro Phones 455</x:v>
      </x:c>
      <x:c r="M295" s="12" t="str">
        <x:v>First Class</x:v>
      </x:c>
      <x:c r="N295" s="12" t="n">
        <x:v>2</x:v>
      </x:c>
      <x:c r="O295" s="12" t="n">
        <x:v>4401.51</x:v>
      </x:c>
      <x:c r="P295" s="12" t="n">
        <x:v>0.65</x:v>
      </x:c>
      <x:c r="Q295" s="12" t="n">
        <x:v>8362.87</x:v>
      </x:c>
      <x:c r="R295" s="12" t="n">
        <x:v>6541.04</x:v>
      </x:c>
      <x:c r="S295" s="12" t="n">
        <x:v>1821.83</x:v>
      </x:c>
      <x:c r="T295" s="12" t="str">
        <x:v>Paid</x:v>
      </x:c>
      <x:c r="U295" s="12" t="str">
        <x:v>Completed</x:v>
      </x:c>
    </x:row>
    <x:row r="296">
      <x:c r="A296" s="12" t="str">
        <x:v>ORD-2025-10295</x:v>
      </x:c>
      <x:c r="B296" s="12" t="str">
        <x:v>16 Jul 2025</x:v>
      </x:c>
      <x:c r="C296" s="12" t="str">
        <x:v>07/22/2025</x:v>
      </x:c>
      <x:c r="D296" s="12" t="str">
        <x:v>CUST-4755</x:v>
      </x:c>
      <x:c r="E296" s="12" t="str">
        <x:v>Priya Menon</x:v>
      </x:c>
      <x:c r="F296" s="12" t="str">
        <x:v>Consumer</x:v>
      </x:c>
      <x:c r="G296" s="12" t="str">
        <x:v>East</x:v>
      </x:c>
      <x:c r="H296" s="12" t="str">
        <x:v>Odisha</x:v>
      </x:c>
      <x:c r="I296" s="12" t="str">
        <x:v>Bhubaneswar</x:v>
      </x:c>
      <x:c r="J296" s="12" t="str">
        <x:v>Technology</x:v>
      </x:c>
      <x:c r="K296" s="12" t="str">
        <x:v>Phones</x:v>
      </x:c>
      <x:c r="L296" s="12" t="str">
        <x:v>Basic Phones 326</x:v>
      </x:c>
      <x:c r="M296" s="12" t="str">
        <x:v>Second Class</x:v>
      </x:c>
      <x:c r="N296" s="12" t="n">
        <x:v>6</x:v>
      </x:c>
      <x:c r="O296" s="12" t="n">
        <x:v>4159.33</x:v>
      </x:c>
      <x:c r="P296" s="12" t="n">
        <x:v>0.25</x:v>
      </x:c>
      <x:c r="Q296" s="12" t="n">
        <x:v>18716.99</x:v>
      </x:c>
      <x:c r="R296" s="12" t="n">
        <x:v>12282.43</x:v>
      </x:c>
      <x:c r="S296" s="12" t="n">
        <x:v>6434.56</x:v>
      </x:c>
      <x:c r="T296" s="12" t="str">
        <x:v>Paid</x:v>
      </x:c>
      <x:c r="U296" s="12" t="str">
        <x:v>Returned</x:v>
      </x:c>
    </x:row>
    <x:row r="297">
      <x:c r="A297" s="12" t="str">
        <x:v>ORD-2025-10296</x:v>
      </x:c>
      <x:c r="B297" s="12" t="str">
        <x:v>25 Jun 2025</x:v>
      </x:c>
      <x:c r="C297" s="12" t="str">
        <x:v>28 Jun 2025</x:v>
      </x:c>
      <x:c r="D297" s="12" t="str">
        <x:v>CUST-6778</x:v>
      </x:c>
      <x:c r="E297" s="12" t="str">
        <x:v>Aditi Sen</x:v>
      </x:c>
      <x:c r="F297" s="12" t="str">
        <x:v>Small Business</x:v>
      </x:c>
      <x:c r="G297" s="12" t="str">
        <x:v>East</x:v>
      </x:c>
      <x:c r="H297" s="12" t="str">
        <x:v>Assam</x:v>
      </x:c>
      <x:c r="I297" s="12" t="str">
        <x:v>Guwahati</x:v>
      </x:c>
      <x:c r="J297" s="12" t="str">
        <x:v>Office Supplies</x:v>
      </x:c>
      <x:c r="K297" s="12" t="str">
        <x:v>Binders</x:v>
      </x:c>
      <x:c r="L297" s="12" t="str">
        <x:v>Max Binders 587</x:v>
      </x:c>
      <x:c r="M297" s="12" t="str">
        <x:v>Standard Class</x:v>
      </x:c>
      <x:c r="N297" s="12" t="n">
        <x:v>3</x:v>
      </x:c>
      <x:c r="O297" s="12" t="n">
        <x:v>3476.05</x:v>
      </x:c>
      <x:c r="P297" s="12" t="n">
        <x:v>0.1</x:v>
      </x:c>
      <x:c r="Q297" s="12" t="n">
        <x:v>9385.34</x:v>
      </x:c>
      <x:c r="R297" s="12" t="n">
        <x:v>5828.54</x:v>
      </x:c>
      <x:c r="S297" s="12" t="n">
        <x:v>3556.8</x:v>
      </x:c>
      <x:c r="T297" s="12" t="str">
        <x:v>Paid</x:v>
      </x:c>
      <x:c r="U297" s="12" t="str">
        <x:v>Completed</x:v>
      </x:c>
    </x:row>
    <x:row r="298">
      <x:c r="A298" s="12" t="str">
        <x:v>ORD-2025-10297</x:v>
      </x:c>
      <x:c r="B298" s="12" t="str">
        <x:v>24 May 2025</x:v>
      </x:c>
      <x:c r="C298" s="12" t="str">
        <x:v>05/26/2025</x:v>
      </x:c>
      <x:c r="D298" s="12" t="str">
        <x:v>CUST-7629</x:v>
      </x:c>
      <x:c r="E298" s="12" t="str">
        <x:v>Aditi Sen</x:v>
      </x:c>
      <x:c r="F298" s="12" t="str">
        <x:v>Home Office</x:v>
      </x:c>
      <x:c r="G298" s="12" t="str">
        <x:v>North</x:v>
      </x:c>
      <x:c r="H298" s="12" t="str">
        <x:v>Haryana</x:v>
      </x:c>
      <x:c r="I298" s="12" t="str">
        <x:v>Gurugram</x:v>
      </x:c>
      <x:c r="J298" s="12" t="str">
        <x:v>Furniture</x:v>
      </x:c>
      <x:c r="K298" s="12" t="str">
        <x:v>Furnishings</x:v>
      </x:c>
      <x:c r="L298" s="12" t="str">
        <x:v>Basic Furnishings 617</x:v>
      </x:c>
      <x:c r="M298" s="12" t="str">
        <x:v>Same Day</x:v>
      </x:c>
      <x:c r="N298" s="12" t="n">
        <x:v>6</x:v>
      </x:c>
      <x:c r="O298" s="12" t="n">
        <x:v>3495.41</x:v>
      </x:c>
      <x:c r="P298" s="12" t="n">
        <x:v>0.15</x:v>
      </x:c>
      <x:c r="Q298" s="12" t="n">
        <x:v>17826.59</x:v>
      </x:c>
      <x:c r="R298" s="12" t="n">
        <x:v>10855.35</x:v>
      </x:c>
      <x:c r="S298" s="12" t="n">
        <x:v>6971.24</x:v>
      </x:c>
      <x:c r="T298" s="12" t="str">
        <x:v>Paid</x:v>
      </x:c>
      <x:c r="U298" s="12" t="str">
        <x:v>Completed</x:v>
      </x:c>
    </x:row>
    <x:row r="299">
      <x:c r="A299" s="12" t="str">
        <x:v>ORD-2024-10298</x:v>
      </x:c>
      <x:c r="B299" s="12" t="str">
        <x:v>2024-10-29</x:v>
      </x:c>
      <x:c r="C299" s="12" t="str">
        <x:v>06-11-2024</x:v>
      </x:c>
      <x:c r="D299" s="12" t="str">
        <x:v>CUST-6724</x:v>
      </x:c>
      <x:c r="E299" s="12" t="str">
        <x:v>Sneha Kapoor</x:v>
      </x:c>
      <x:c r="F299" s="12" t="str">
        <x:v>Corporate</x:v>
      </x:c>
      <x:c r="G299" s="12" t="str">
        <x:v>South</x:v>
      </x:c>
      <x:c r="H299" s="12" t="str">
        <x:v>Tamil Nadu</x:v>
      </x:c>
      <x:c r="I299" s="12" t="str">
        <x:v>Chennai</x:v>
      </x:c>
      <x:c r="J299" s="12" t="str">
        <x:v>Technology</x:v>
      </x:c>
      <x:c r="K299" s="12" t="str">
        <x:v>Copiers</x:v>
      </x:c>
      <x:c r="L299" s="12" t="str">
        <x:v>Prime Copiers 669</x:v>
      </x:c>
      <x:c r="M299" s="12" t="str">
        <x:v>Same Day</x:v>
      </x:c>
      <x:c r="N299" s="12" t="n">
        <x:v>6</x:v>
      </x:c>
      <x:c r="O299" s="12" t="n">
        <x:v>1169.92</x:v>
      </x:c>
      <x:c r="P299" s="12" t="n">
        <x:v>0.15</x:v>
      </x:c>
      <x:c r="Q299" s="12" t="n">
        <x:v>5966.59</x:v>
      </x:c>
      <x:c r="R299" s="12" t="n">
        <x:v>3994.72</x:v>
      </x:c>
      <x:c r="S299" s="12" t="n">
        <x:v>1971.87</x:v>
      </x:c>
      <x:c r="T299" s="12" t="str">
        <x:v>Paid</x:v>
      </x:c>
      <x:c r="U299" s="12" t="str">
        <x:v>Completed</x:v>
      </x:c>
    </x:row>
    <x:row r="300">
      <x:c r="A300" s="12" t="str">
        <x:v>ORD-2025-10299</x:v>
      </x:c>
      <x:c r="B300" s="12" t="str">
        <x:v>23-01-2025</x:v>
      </x:c>
      <x:c r="C300" s="12" t="str">
        <x:v>2025-01-26</x:v>
      </x:c>
      <x:c r="D300" s="12" t="str">
        <x:v>CUST-2141</x:v>
      </x:c>
      <x:c r="E300" s="12" t="str">
        <x:v>Isha Nair</x:v>
      </x:c>
      <x:c r="F300" s="12" t="str">
        <x:v>Consumer</x:v>
      </x:c>
      <x:c r="G300" s="12" t="str">
        <x:v>South</x:v>
      </x:c>
      <x:c r="H300" s="12" t="str">
        <x:v>Kerala</x:v>
      </x:c>
      <x:c r="I300" s="12" t="str">
        <x:v>Kochi</x:v>
      </x:c>
      <x:c r="J300" s="12" t="str">
        <x:v>Technology</x:v>
      </x:c>
      <x:c r="K300" s="12" t="str">
        <x:v>Copiers</x:v>
      </x:c>
      <x:c r="L300" s="12" t="str">
        <x:v>Eco Copiers 894</x:v>
      </x:c>
      <x:c r="M300" s="12" t="str">
        <x:v>First Class</x:v>
      </x:c>
      <x:c r="N300" s="12" t="n">
        <x:v>7</x:v>
      </x:c>
      <x:c r="O300" s="12" t="n">
        <x:v>348.49</x:v>
      </x:c>
      <x:c r="P300" s="12" t="n">
        <x:v>0.2</x:v>
      </x:c>
      <x:c r="Q300" s="12" t="n">
        <x:v>1951.54</x:v>
      </x:c>
      <x:c r="R300" s="12" t="n">
        <x:v>1609.95</x:v>
      </x:c>
      <x:c r="S300" s="12" t="n">
        <x:v>341.59</x:v>
      </x:c>
      <x:c r="T300" s="12" t="str">
        <x:v>Failed</x:v>
      </x:c>
      <x:c r="U300" s="12" t="str">
        <x:v>Returned</x:v>
      </x:c>
    </x:row>
    <x:row r="301">
      <x:c r="A301" s="12" t="str">
        <x:v>ORD-2024-10300</x:v>
      </x:c>
      <x:c r="B301" s="12" t="str">
        <x:v>06-11-2024</x:v>
      </x:c>
      <x:c r="C301" s="12" t="str">
        <x:v>2024-11-12</x:v>
      </x:c>
      <x:c r="D301" s="12" t="str">
        <x:v>CUST-7264</x:v>
      </x:c>
      <x:c r="E301" s="12" t="str">
        <x:v>Rahul Verma</x:v>
      </x:c>
      <x:c r="F301" s="12" t="str">
        <x:v>Small Business</x:v>
      </x:c>
      <x:c r="G301" s="12" t="str">
        <x:v>West</x:v>
      </x:c>
      <x:c r="H301" s="12" t="str">
        <x:v>Gujarat</x:v>
      </x:c>
      <x:c r="I301" s="12" t="str">
        <x:v>Ahmedabad</x:v>
      </x:c>
      <x:c r="J301" s="12" t="str">
        <x:v>Technology</x:v>
      </x:c>
      <x:c r="K301" s="12" t="str">
        <x:v>Accessories</x:v>
      </x:c>
      <x:c r="L301" s="12" t="str">
        <x:v>Max Accessories 145</x:v>
      </x:c>
      <x:c r="M301" s="12" t="str">
        <x:v>Standard Class</x:v>
      </x:c>
      <x:c r="N301" s="12" t="n">
        <x:v>7</x:v>
      </x:c>
      <x:c r="O301" s="12" t="n">
        <x:v>1719.05</x:v>
      </x:c>
      <x:c r="P301" s="12" t="n">
        <x:v>0.1</x:v>
      </x:c>
      <x:c r="Q301" s="12" t="n">
        <x:v>10830.02</x:v>
      </x:c>
      <x:c r="R301" s="12" t="n">
        <x:v>7055.31</x:v>
      </x:c>
      <x:c r="S301" s="12" t="n">
        <x:v>3774.71</x:v>
      </x:c>
      <x:c r="T301" s="12" t="str">
        <x:v>Paid</x:v>
      </x:c>
      <x:c r="U301" s="12" t="str">
        <x:v>Completed</x:v>
      </x:c>
    </x:row>
    <x:row r="302">
      <x:c r="A302" s="12" t="str">
        <x:v>ORD-2024-10301</x:v>
      </x:c>
      <x:c r="B302" s="12" t="str">
        <x:v>15-04-2024</x:v>
      </x:c>
      <x:c r="C302" s="12" t="str">
        <x:v>04/23/2024</x:v>
      </x:c>
      <x:c r="D302" s="12" t="str">
        <x:v>CUST-2668</x:v>
      </x:c>
      <x:c r="E302" s="12" t="str">
        <x:v>Diya Patel</x:v>
      </x:c>
      <x:c r="F302" s="12" t="str">
        <x:v>Small Business</x:v>
      </x:c>
      <x:c r="G302" s="12" t="str">
        <x:v>North</x:v>
      </x:c>
      <x:c r="H302" s="12" t="str">
        <x:v>Punjab</x:v>
      </x:c>
      <x:c r="I302" s="12" t="str">
        <x:v>Ludhiana</x:v>
      </x:c>
      <x:c r="J302" s="12" t="str">
        <x:v>Technology</x:v>
      </x:c>
      <x:c r="K302" s="12" t="str">
        <x:v>Accessories</x:v>
      </x:c>
      <x:c r="L302" s="12" t="str">
        <x:v>Classic Accessories 126</x:v>
      </x:c>
      <x:c r="M302" s="12" t="str">
        <x:v>Second Class </x:v>
      </x:c>
      <x:c r="N302" s="12" t="n">
        <x:v>9</x:v>
      </x:c>
      <x:c r="O302" s="12" t="n">
        <x:v>3893.74</x:v>
      </x:c>
      <x:c r="P302" s="12" t="n">
        <x:v>0.1</x:v>
      </x:c>
      <x:c r="Q302" s="12" t="n">
        <x:v>31539.29</x:v>
      </x:c>
      <x:c r="R302" s="12" t="n">
        <x:v>22100.14</x:v>
      </x:c>
      <x:c r="S302" s="12" t="n">
        <x:v>9439.15</x:v>
      </x:c>
      <x:c r="T302" s="12" t="str">
        <x:v>Paid</x:v>
      </x:c>
      <x:c r="U302" s="12" t="str">
        <x:v>Completed</x:v>
      </x:c>
    </x:row>
    <x:row r="303">
      <x:c r="A303" s="12" t="str">
        <x:v>ORD-2025-10302</x:v>
      </x:c>
      <x:c r="B303" s="12" t="str">
        <x:v>28 May 2025</x:v>
      </x:c>
      <x:c r="C303" s="12" t="str">
        <x:v>01-06-2025</x:v>
      </x:c>
      <x:c r="D303" s="12" t="str">
        <x:v>CUST-5599</x:v>
      </x:c>
      <x:c r="E303" s="12" t="str">
        <x:v>Isha Nair</x:v>
      </x:c>
      <x:c r="F303" s="12" t="str">
        <x:v>Home Office</x:v>
      </x:c>
      <x:c r="G303" s="12" t="str">
        <x:v>East</x:v>
      </x:c>
      <x:c r="H303" s="12" t="str">
        <x:v>Bihar</x:v>
      </x:c>
      <x:c r="I303" s="12" t="str">
        <x:v>Patna</x:v>
      </x:c>
      <x:c r="J303" s="12" t="str">
        <x:v>Technology</x:v>
      </x:c>
      <x:c r="K303" s="12" t="str">
        <x:v>Phones</x:v>
      </x:c>
      <x:c r="L303" s="12" t="str">
        <x:v>Elite Phones 202</x:v>
      </x:c>
      <x:c r="M303" s="12" t="str">
        <x:v>Same Day</x:v>
      </x:c>
      <x:c r="N303" s="12" t="n">
        <x:v>4</x:v>
      </x:c>
      <x:c r="O303" s="12" t="n">
        <x:v>1654.11</x:v>
      </x:c>
      <x:c r="P303" s="12" t="n">
        <x:v>0.05</x:v>
      </x:c>
      <x:c r="Q303" s="12" t="n">
        <x:v>6285.62</x:v>
      </x:c>
      <x:c r="R303" s="12" t="n">
        <x:v>3705.38</x:v>
      </x:c>
      <x:c r="S303" s="12" t="n">
        <x:v>2580.24</x:v>
      </x:c>
      <x:c r="T303" s="12" t="str">
        <x:v>Paid</x:v>
      </x:c>
      <x:c r="U303" s="12" t="str">
        <x:v>Completed</x:v>
      </x:c>
    </x:row>
    <x:row r="304">
      <x:c r="A304" s="12" t="str">
        <x:v>ORD-2025-10303</x:v>
      </x:c>
      <x:c r="B304" s="12" t="str">
        <x:v>04-06-2025</x:v>
      </x:c>
      <x:c r="C304" s="12" t="str">
        <x:v>2025-06-12</x:v>
      </x:c>
      <x:c r="D304" s="12" t="str">
        <x:v>CUST-1623</x:v>
      </x:c>
      <x:c r="E304" s="12" t="str">
        <x:v>Neha Gupta</x:v>
      </x:c>
      <x:c r="F304" s="12" t="str">
        <x:v>Consumer</x:v>
      </x:c>
      <x:c r="G304" s="12" t="str">
        <x:v>West</x:v>
      </x:c>
      <x:c r="H304" s="12" t="str">
        <x:v>Goa</x:v>
      </x:c>
      <x:c r="I304" s="12" t="str">
        <x:v>Panaji</x:v>
      </x:c>
      <x:c r="J304" s="12" t="str">
        <x:v>OFFICE SUPPLIES</x:v>
      </x:c>
      <x:c r="K304" s="12" t="str">
        <x:v>Storage</x:v>
      </x:c>
      <x:c r="L304" s="12" t="str">
        <x:v>Elite Storage 535</x:v>
      </x:c>
      <x:c r="M304" s="12" t="str">
        <x:v>Same Day</x:v>
      </x:c>
      <x:c r="N304" s="12" t="n">
        <x:v>2</x:v>
      </x:c>
      <x:c r="O304" s="12" t="n">
        <x:v>2703.28</x:v>
      </x:c>
      <x:c r="P304" s="12" t="n">
        <x:v>0.25</x:v>
      </x:c>
      <x:c r="Q304" s="12" t="n">
        <x:v>4054.92</x:v>
      </x:c>
      <x:c r="R304" s="12" t="n">
        <x:v>2424.83</x:v>
      </x:c>
      <x:c r="S304" s="12" t="n">
        <x:v>1630.09</x:v>
      </x:c>
      <x:c r="T304" s="12" t="str">
        <x:v>Paid</x:v>
      </x:c>
      <x:c r="U304" s="12" t="str">
        <x:v>Completed</x:v>
      </x:c>
    </x:row>
    <x:row r="305">
      <x:c r="A305" s="12" t="str">
        <x:v>ORD-2024-10304</x:v>
      </x:c>
      <x:c r="B305" s="12" t="str">
        <x:v>23 Jun 2024</x:v>
      </x:c>
      <x:c r="C305" s="12" t="str">
        <x:v>28-06-2024</x:v>
      </x:c>
      <x:c r="D305" s="12" t="str">
        <x:v>CUST-9035</x:v>
      </x:c>
      <x:c r="E305" s="12" t="str">
        <x:v>Diya Patel</x:v>
      </x:c>
      <x:c r="F305" s="12" t="str">
        <x:v>Home Office</x:v>
      </x:c>
      <x:c r="G305" s="12" t="str">
        <x:v>West</x:v>
      </x:c>
      <x:c r="H305" s="12" t="str">
        <x:v>Gujarat</x:v>
      </x:c>
      <x:c r="I305" s="12" t="str">
        <x:v>Ahmedabad</x:v>
      </x:c>
      <x:c r="J305" s="12" t="str">
        <x:v>Furniture</x:v>
      </x:c>
      <x:c r="K305" s="12" t="str">
        <x:v>Chairs</x:v>
      </x:c>
      <x:c r="L305" s="12" t="str">
        <x:v>Elite Chairs 107</x:v>
      </x:c>
      <x:c r="M305" s="12" t="str">
        <x:v>Standard Class</x:v>
      </x:c>
      <x:c r="N305" s="12" t="n">
        <x:v>2</x:v>
      </x:c>
      <x:c r="O305" s="12" t="n">
        <x:v>1313.14</x:v>
      </x:c>
      <x:c r="P305" s="12" t="n">
        <x:v>0.1</x:v>
      </x:c>
      <x:c r="Q305" s="12" t="n">
        <x:v>2363.65</x:v>
      </x:c>
      <x:c r="R305" s="12" t="n">
        <x:v>1876.1</x:v>
      </x:c>
      <x:c r="S305" s="12" t="n">
        <x:v>487.55</x:v>
      </x:c>
      <x:c r="T305" s="12" t="str">
        <x:v>Pending</x:v>
      </x:c>
      <x:c r="U305" s="12" t="str">
        <x:v>Returned</x:v>
      </x:c>
    </x:row>
    <x:row r="306">
      <x:c r="A306" s="12" t="str">
        <x:v>ORD-2024-10305</x:v>
      </x:c>
      <x:c r="B306" s="12" t="str">
        <x:v>03/06/2024</x:v>
      </x:c>
      <x:c r="C306" s="12" t="str">
        <x:v>2024-03-13</x:v>
      </x:c>
      <x:c r="D306" s="12" t="str">
        <x:v>CUST-6286</x:v>
      </x:c>
      <x:c r="E306" s="12" t="str">
        <x:v>Karan Malhotra</x:v>
      </x:c>
      <x:c r="F306" s="12" t="str">
        <x:v>Consumer</x:v>
      </x:c>
      <x:c r="G306" s="12" t="str">
        <x:v>North</x:v>
      </x:c>
      <x:c r="H306" s="12" t="str">
        <x:v>Punjab</x:v>
      </x:c>
      <x:c r="I306" s="12" t="str">
        <x:v>Ludhiana</x:v>
      </x:c>
      <x:c r="J306" s="12" t="str">
        <x:v>Furniture</x:v>
      </x:c>
      <x:c r="K306" s="12" t="str">
        <x:v>Furnishings</x:v>
      </x:c>
      <x:c r="L306" s="12" t="str">
        <x:v>Pro Furnishings 991</x:v>
      </x:c>
      <x:c r="M306" s="12" t="str">
        <x:v>Standard Class</x:v>
      </x:c>
      <x:c r="N306" s="12" t="n">
        <x:v>6</x:v>
      </x:c>
      <x:c r="O306" s="12" t="n">
        <x:v>2403.05</x:v>
      </x:c>
      <x:c r="P306" s="12" t="n">
        <x:v>0.1</x:v>
      </x:c>
      <x:c r="Q306" s="12" t="n">
        <x:v>12976.47</x:v>
      </x:c>
      <x:c r="R306" s="12" t="n">
        <x:v>10019.98</x:v>
      </x:c>
      <x:c r="S306" s="12" t="n">
        <x:v>2956.49</x:v>
      </x:c>
      <x:c r="T306" s="12" t="str">
        <x:v>Paid</x:v>
      </x:c>
      <x:c r="U306" s="12" t="str">
        <x:v>Completed</x:v>
      </x:c>
    </x:row>
    <x:row r="307">
      <x:c r="A307" s="12" t="str">
        <x:v>ORD-2024-10306</x:v>
      </x:c>
      <x:c r="B307" s="12" t="str">
        <x:v>01 May 2024</x:v>
      </x:c>
      <x:c r="C307" s="12" t="str">
        <x:v>05/02/2024</x:v>
      </x:c>
      <x:c r="D307" s="12" t="str">
        <x:v>CUST-7246</x:v>
      </x:c>
      <x:c r="E307" s="12" t="str">
        <x:v>Ananya Rao</x:v>
      </x:c>
      <x:c r="F307" s="12" t="str">
        <x:v>Consumer</x:v>
      </x:c>
      <x:c r="G307" s="12" t="str">
        <x:v>East</x:v>
      </x:c>
      <x:c r="H307" s="12" t="str">
        <x:v>Assam</x:v>
      </x:c>
      <x:c r="I307" s="12" t="str">
        <x:v>Guwahati</x:v>
      </x:c>
      <x:c r="J307" s="12" t="str">
        <x:v>Furniture</x:v>
      </x:c>
      <x:c r="K307" s="12" t="str">
        <x:v>Chairs</x:v>
      </x:c>
      <x:c r="L307" s="12" t="str">
        <x:v>Eco Chairs 105</x:v>
      </x:c>
      <x:c r="M307" s="12" t="str">
        <x:v>First Class</x:v>
      </x:c>
      <x:c r="N307" s="12" t="n">
        <x:v>4</x:v>
      </x:c>
      <x:c r="O307" s="12" t="n">
        <x:v>4156.06</x:v>
      </x:c>
      <x:c r="P307" s="12" t="n">
        <x:v>0.55</x:v>
      </x:c>
      <x:c r="Q307" s="12" t="n">
        <x:v>13299.39</x:v>
      </x:c>
      <x:c r="R307" s="12" t="n">
        <x:v>9851.91</x:v>
      </x:c>
      <x:c r="S307" s="12" t="n">
        <x:v>3447.48</x:v>
      </x:c>
      <x:c r="T307" s="12" t="str">
        <x:v>Paid</x:v>
      </x:c>
      <x:c r="U307" s="12" t="str">
        <x:v>Cancelled</x:v>
      </x:c>
    </x:row>
    <x:row r="308">
      <x:c r="A308" s="12" t="str">
        <x:v>ORD-2025-10307</x:v>
      </x:c>
      <x:c r="B308" s="12" t="str">
        <x:v>20 Feb 2025</x:v>
      </x:c>
      <x:c r="C308" s="12" t="str">
        <x:v>2025-02-23</x:v>
      </x:c>
      <x:c r="D308" s="12" t="str">
        <x:v>CUST-2589</x:v>
      </x:c>
      <x:c r="E308" s="12" t="str">
        <x:v>Aarav Sharma</x:v>
      </x:c>
      <x:c r="F308" s="12" t="str">
        <x:v>Consumer</x:v>
      </x:c>
      <x:c r="G308" s="12" t="str">
        <x:v>North</x:v>
      </x:c>
      <x:c r="H308" s="12" t="str">
        <x:v>Rajasthan</x:v>
      </x:c>
      <x:c r="I308" s="12" t="str">
        <x:v>Jaipur</x:v>
      </x:c>
      <x:c r="J308" s="12" t="str">
        <x:v>Technology</x:v>
      </x:c>
      <x:c r="K308" s="12" t="str">
        <x:v>Phones</x:v>
      </x:c>
      <x:c r="L308" s="12" t="str">
        <x:v>Pro Phones 530</x:v>
      </x:c>
      <x:c r="M308" s="12" t="str">
        <x:v>Second Class</x:v>
      </x:c>
      <x:c r="N308" s="12" t="n">
        <x:v>4</x:v>
      </x:c>
      <x:c r="O308" s="12" t="n">
        <x:v>3673.11</x:v>
      </x:c>
      <x:c r="P308" s="12" t="n">
        <x:v>0</x:v>
      </x:c>
      <x:c r="Q308" s="12" t="n">
        <x:v>14692.44</x:v>
      </x:c>
      <x:c r="R308" s="12" t="n">
        <x:v>10082.19</x:v>
      </x:c>
      <x:c r="S308" s="12" t="n">
        <x:v>4610.25</x:v>
      </x:c>
      <x:c r="T308" s="12" t="str">
        <x:v>Paid</x:v>
      </x:c>
      <x:c r="U308" s="12" t="str">
        <x:v>Completed</x:v>
      </x:c>
    </x:row>
    <x:row r="309">
      <x:c r="A309" s="12" t="str">
        <x:v>ORD-2025-10308</x:v>
      </x:c>
      <x:c r="B309" s="12" t="str">
        <x:v>2025-07-12</x:v>
      </x:c>
      <x:c r="C309" s="12" t="str">
        <x:v>19 Jul 2025</x:v>
      </x:c>
      <x:c r="D309" s="12" t="str">
        <x:v>CUST-4153</x:v>
      </x:c>
      <x:c r="E309" s="12" t="str">
        <x:v>Ananya Rao</x:v>
      </x:c>
      <x:c r="F309" s="12" t="str">
        <x:v>Corporate</x:v>
      </x:c>
      <x:c r="G309" s="12" t="str">
        <x:v>North</x:v>
      </x:c>
      <x:c r="H309" s="12" t="str">
        <x:v>Uttar Pradesh</x:v>
      </x:c>
      <x:c r="I309" s="12" t="str">
        <x:v>Noida</x:v>
      </x:c>
      <x:c r="J309" s="12" t="str">
        <x:v>Furniture</x:v>
      </x:c>
      <x:c r="K309" s="12" t="str">
        <x:v>Tables</x:v>
      </x:c>
      <x:c r="L309" s="12" t="str">
        <x:v>Basic Tables 911</x:v>
      </x:c>
      <x:c r="M309" s="12" t="str">
        <x:v>First Class</x:v>
      </x:c>
      <x:c r="N309" s="12" t="n">
        <x:v>9</x:v>
      </x:c>
      <x:c r="O309" s="12" t="n">
        <x:v>4093.04</x:v>
      </x:c>
      <x:c r="P309" s="12" t="n">
        <x:v>0.2</x:v>
      </x:c>
      <x:c r="Q309" s="12" t="n">
        <x:v>29469.89</x:v>
      </x:c>
      <x:c r="R309" s="12" t="n">
        <x:v>18935.51</x:v>
      </x:c>
      <x:c r="S309" s="12" t="n">
        <x:v>10534.38</x:v>
      </x:c>
      <x:c r="T309" s="12" t="str">
        <x:v>PENDING</x:v>
      </x:c>
      <x:c r="U309" s="12" t="str">
        <x:v>Cancelled</x:v>
      </x:c>
    </x:row>
    <x:row r="310">
      <x:c r="A310" s="12" t="str">
        <x:v>ORD-2025-10309</x:v>
      </x:c>
      <x:c r="B310" s="12" t="str">
        <x:v>2025-06-13</x:v>
      </x:c>
      <x:c r="C310" s="12" t="str">
        <x:v>2025-06-19</x:v>
      </x:c>
      <x:c r="D310" s="12" t="str">
        <x:v>CUST-6727</x:v>
      </x:c>
      <x:c r="E310" s="12" t="str">
        <x:v>Rohan Mehta</x:v>
      </x:c>
      <x:c r="F310" s="12" t="str">
        <x:v>Consumer</x:v>
      </x:c>
      <x:c r="G310" s="12" t="str">
        <x:v>North</x:v>
      </x:c>
      <x:c r="H310" s="12" t="str">
        <x:v>Rajasthan</x:v>
      </x:c>
      <x:c r="I310" s="12" t="str">
        <x:v>Jaipur</x:v>
      </x:c>
      <x:c r="J310" s="12" t="str">
        <x:v>Furniture</x:v>
      </x:c>
      <x:c r="K310" s="12" t="str">
        <x:v>Tables</x:v>
      </x:c>
      <x:c r="L310" s="12" t="str">
        <x:v>Classic Tables 224</x:v>
      </x:c>
      <x:c r="M310" s="12" t="str">
        <x:v>First Class</x:v>
      </x:c>
      <x:c r="N310" s="12" t="n">
        <x:v>4</x:v>
      </x:c>
      <x:c r="O310" s="12" t="n">
        <x:v>731.57</x:v>
      </x:c>
      <x:c r="P310" s="12" t="n">
        <x:v>0.2</x:v>
      </x:c>
      <x:c r="Q310" s="12" t="n">
        <x:v>2341.02</x:v>
      </x:c>
      <x:c r="R310" s="12" t="n">
        <x:v>1565.49</x:v>
      </x:c>
      <x:c r="S310" s="12" t="n">
        <x:v>775.53</x:v>
      </x:c>
      <x:c r="T310" s="12" t="str">
        <x:v>Paid</x:v>
      </x:c>
      <x:c r="U310" s="12" t="str">
        <x:v>Completed</x:v>
      </x:c>
    </x:row>
    <x:row r="311">
      <x:c r="A311" s="12" t="str">
        <x:v>ORD-2024-10310</x:v>
      </x:c>
      <x:c r="B311" s="12" t="str">
        <x:v>07/20/2024</x:v>
      </x:c>
      <x:c r="C311" s="12" t="str">
        <x:v>2024-07-22</x:v>
      </x:c>
      <x:c r="D311" s="12" t="str">
        <x:v>CUST-8860</x:v>
      </x:c>
      <x:c r="E311" s="12" t="str">
        <x:v>Ananya Rao</x:v>
      </x:c>
      <x:c r="F311" s="12" t="str">
        <x:v>Consumer</x:v>
      </x:c>
      <x:c r="G311" s="12" t="str">
        <x:v>South</x:v>
      </x:c>
      <x:c r="H311" s="12" t="str">
        <x:v>Tamil Nadu</x:v>
      </x:c>
      <x:c r="I311" s="12" t="str">
        <x:v>Chennai</x:v>
      </x:c>
      <x:c r="J311" s="12" t="str">
        <x:v>Furniture</x:v>
      </x:c>
      <x:c r="K311" s="12" t="str">
        <x:v>Tables</x:v>
      </x:c>
      <x:c r="L311" s="12" t="str">
        <x:v>Prime Tables 214</x:v>
      </x:c>
      <x:c r="M311" s="12" t="str">
        <x:v>First Class</x:v>
      </x:c>
      <x:c r="N311" s="12" t="n">
        <x:v>7</x:v>
      </x:c>
      <x:c r="O311" s="12" t="n">
        <x:v>2060.73</x:v>
      </x:c>
      <x:c r="P311" s="12" t="n">
        <x:v>0.1</x:v>
      </x:c>
      <x:c r="Q311" s="12" t="n">
        <x:v>12982.6</x:v>
      </x:c>
      <x:c r="R311" s="12" t="n">
        <x:v>7246.36</x:v>
      </x:c>
      <x:c r="S311" s="12" t="n">
        <x:v>5736.24</x:v>
      </x:c>
      <x:c r="T311" s="12" t="str">
        <x:v>Paid</x:v>
      </x:c>
      <x:c r="U311" s="12" t="str">
        <x:v>Cancelled</x:v>
      </x:c>
    </x:row>
    <x:row r="312">
      <x:c r="A312" s="12" t="str">
        <x:v>ORD-2024-10311</x:v>
      </x:c>
      <x:c r="B312" s="12" t="str">
        <x:v>04-07-2024</x:v>
      </x:c>
      <x:c r="C312" s="12" t="str">
        <x:v>08-07-2024</x:v>
      </x:c>
      <x:c r="D312" s="12" t="str">
        <x:v>CUST-3784</x:v>
      </x:c>
      <x:c r="E312" s="12" t="str">
        <x:v>Rohan Mehta</x:v>
      </x:c>
      <x:c r="F312" s="12" t="str">
        <x:v>Small Business</x:v>
      </x:c>
      <x:c r="G312" s="12" t="str">
        <x:v>South</x:v>
      </x:c>
      <x:c r="H312" s="12" t="str">
        <x:v>Tamil Nadu</x:v>
      </x:c>
      <x:c r="I312" s="12" t="str">
        <x:v>Chennai</x:v>
      </x:c>
      <x:c r="J312" s="12" t="str">
        <x:v>Technology</x:v>
      </x:c>
      <x:c r="K312" s="12" t="str">
        <x:v>Machines</x:v>
      </x:c>
      <x:c r="L312" s="12" t="str">
        <x:v>Max Machines 988</x:v>
      </x:c>
      <x:c r="M312" s="12" t="str">
        <x:v>First Class</x:v>
      </x:c>
      <x:c r="N312" s="12" t="n">
        <x:v>8</x:v>
      </x:c>
      <x:c r="O312" s="12" t="n">
        <x:v>2034.25</x:v>
      </x:c>
      <x:c r="P312" s="12" t="n">
        <x:v>0</x:v>
      </x:c>
      <x:c r="Q312" s="12" t="n">
        <x:v>16274</x:v>
      </x:c>
      <x:c r="R312" s="12" t="n">
        <x:v>9424.25</x:v>
      </x:c>
      <x:c r="S312" s="12" t="n">
        <x:v>6849.75</x:v>
      </x:c>
      <x:c r="T312" s="12" t="str">
        <x:v>Paid</x:v>
      </x:c>
      <x:c r="U312" s="12" t="str">
        <x:v>Completed</x:v>
      </x:c>
    </x:row>
    <x:row r="313">
      <x:c r="A313" s="12" t="str">
        <x:v>ORD-2024-10312</x:v>
      </x:c>
      <x:c r="B313" s="12" t="str">
        <x:v>27-04-2024</x:v>
      </x:c>
      <x:c r="C313" s="12" t="str">
        <x:v>02-05-2024</x:v>
      </x:c>
      <x:c r="D313" s="12" t="str">
        <x:v>CUST-3545</x:v>
      </x:c>
      <x:c r="E313" s="12" t="str">
        <x:v>Mira Das</x:v>
      </x:c>
      <x:c r="F313" s="12" t="str">
        <x:v>Corporate</x:v>
      </x:c>
      <x:c r="G313" s="12" t="str">
        <x:v>South</x:v>
      </x:c>
      <x:c r="H313" s="12" t="str">
        <x:v>Karnataka</x:v>
      </x:c>
      <x:c r="I313" s="12" t="str">
        <x:v>Bengaluru</x:v>
      </x:c>
      <x:c r="J313" s="12" t="str">
        <x:v>Office Supplies</x:v>
      </x:c>
      <x:c r="K313" s="12" t="str">
        <x:v>Binders</x:v>
      </x:c>
      <x:c r="L313" s="12" t="str">
        <x:v>Max Binders 425</x:v>
      </x:c>
      <x:c r="M313" s="12" t="str">
        <x:v>Second Class</x:v>
      </x:c>
      <x:c r="N313" s="12" t="n">
        <x:v>5</x:v>
      </x:c>
      <x:c r="O313" s="12" t="n">
        <x:v>554.04</x:v>
      </x:c>
      <x:c r="P313" s="12" t="n">
        <x:v>0.1</x:v>
      </x:c>
      <x:c r="Q313" s="12" t="n">
        <x:v>2493.18</x:v>
      </x:c>
      <x:c r="R313" s="12" t="n">
        <x:v>1764</x:v>
      </x:c>
      <x:c r="S313" s="12" t="n">
        <x:v>729.18</x:v>
      </x:c>
      <x:c r="T313" s="12" t="str">
        <x:v>Paid</x:v>
      </x:c>
      <x:c r="U313" s="12" t="str">
        <x:v>Completed</x:v>
      </x:c>
    </x:row>
    <x:row r="314">
      <x:c r="A314" s="12" t="str">
        <x:v>ORD-2024-10313</x:v>
      </x:c>
      <x:c r="B314" s="12" t="str">
        <x:v>07/31/2024</x:v>
      </x:c>
      <x:c r="C314" s="12" t="str">
        <x:v>04-08-2024</x:v>
      </x:c>
      <x:c r="D314" s="12" t="str">
        <x:v>CUST-4851</x:v>
      </x:c>
      <x:c r="E314" s="12" t="str">
        <x:v>Karan Malhotra</x:v>
      </x:c>
      <x:c r="F314" s="12" t="str">
        <x:v>Small Business</x:v>
      </x:c>
      <x:c r="G314" s="12" t="str">
        <x:v>East</x:v>
      </x:c>
      <x:c r="H314" s="12" t="str">
        <x:v>Assam</x:v>
      </x:c>
      <x:c r="I314" s="12" t="str">
        <x:v>Guwahati</x:v>
      </x:c>
      <x:c r="J314" s="12" t="str">
        <x:v>Technology</x:v>
      </x:c>
      <x:c r="K314" s="12" t="str">
        <x:v>Phones</x:v>
      </x:c>
      <x:c r="L314" s="12" t="str">
        <x:v>Elite Phones 679</x:v>
      </x:c>
      <x:c r="M314" s="12" t="str">
        <x:v>Standard Class</x:v>
      </x:c>
      <x:c r="N314" s="12" t="n">
        <x:v>8</x:v>
      </x:c>
      <x:c r="O314" s="12" t="n">
        <x:v>2614.74</x:v>
      </x:c>
      <x:c r="P314" s="12"/>
      <x:c r="Q314" s="12" t="n">
        <x:v>15688.44</x:v>
      </x:c>
      <x:c r="R314" s="12" t="n">
        <x:v>10047.33</x:v>
      </x:c>
      <x:c r="S314" s="12" t="n">
        <x:v>5641.11</x:v>
      </x:c>
      <x:c r="T314" s="12" t="str">
        <x:v>Paid</x:v>
      </x:c>
      <x:c r="U314" s="12" t="str">
        <x:v>Cancelled</x:v>
      </x:c>
    </x:row>
    <x:row r="315">
      <x:c r="A315" s="12" t="str">
        <x:v>ORD-2025-10314</x:v>
      </x:c>
      <x:c r="B315" s="12" t="str">
        <x:v>2025-05-30</x:v>
      </x:c>
      <x:c r="C315" s="12" t="str">
        <x:v>31-05-2025</x:v>
      </x:c>
      <x:c r="D315" s="12" t="str">
        <x:v>CUST-4770</x:v>
      </x:c>
      <x:c r="E315" s="12" t="str">
        <x:v>Rahul Verma</x:v>
      </x:c>
      <x:c r="F315" s="12" t="str">
        <x:v>Corporate</x:v>
      </x:c>
      <x:c r="G315" s="12" t="str">
        <x:v>North</x:v>
      </x:c>
      <x:c r="H315" s="12" t="str">
        <x:v>Uttar Pradesh</x:v>
      </x:c>
      <x:c r="I315" s="12" t="str">
        <x:v>Noida</x:v>
      </x:c>
      <x:c r="J315" s="12" t="str">
        <x:v>Technology</x:v>
      </x:c>
      <x:c r="K315" s="12" t="str">
        <x:v>Phones</x:v>
      </x:c>
      <x:c r="L315" s="12" t="str">
        <x:v>Pro Phones 764</x:v>
      </x:c>
      <x:c r="M315" s="12" t="str">
        <x:v>First Class</x:v>
      </x:c>
      <x:c r="N315" s="12" t="n">
        <x:v>8</x:v>
      </x:c>
      <x:c r="O315" s="12" t="n">
        <x:v>2081.43</x:v>
      </x:c>
      <x:c r="P315" s="12" t="n">
        <x:v>0.25</x:v>
      </x:c>
      <x:c r="Q315" s="12" t="n">
        <x:v>12488.58</x:v>
      </x:c>
      <x:c r="R315" s="12" t="n">
        <x:v>10717.4</x:v>
      </x:c>
      <x:c r="S315" s="12" t="n">
        <x:v>1771.18</x:v>
      </x:c>
      <x:c r="T315" s="12" t="str">
        <x:v>Refunded</x:v>
      </x:c>
      <x:c r="U315" s="12" t="str">
        <x:v>Cancelled</x:v>
      </x:c>
    </x:row>
    <x:row r="316">
      <x:c r="A316" s="12" t="str">
        <x:v>ORD-2025-10315</x:v>
      </x:c>
      <x:c r="B316" s="12" t="str">
        <x:v>05/18/2025</x:v>
      </x:c>
      <x:c r="C316" s="12" t="str">
        <x:v>20 May 2025</x:v>
      </x:c>
      <x:c r="D316" s="12" t="str">
        <x:v>CUST-1945</x:v>
      </x:c>
      <x:c r="E316" s="12" t="str">
        <x:v>Isha Nair</x:v>
      </x:c>
      <x:c r="F316" s="12" t="str">
        <x:v>Corporate</x:v>
      </x:c>
      <x:c r="G316" s="12" t="str">
        <x:v>West</x:v>
      </x:c>
      <x:c r="H316" s="12" t="str">
        <x:v>Madhya Pradesh</x:v>
      </x:c>
      <x:c r="I316" s="12" t="str">
        <x:v>Indore</x:v>
      </x:c>
      <x:c r="J316" s="12" t="str">
        <x:v>Office Supplies</x:v>
      </x:c>
      <x:c r="K316" s="12" t="str">
        <x:v>Labels</x:v>
      </x:c>
      <x:c r="L316" s="12" t="str">
        <x:v>Elite Labels 544</x:v>
      </x:c>
      <x:c r="M316" s="12" t="str">
        <x:v>Standard Class</x:v>
      </x:c>
      <x:c r="N316" s="12" t="n">
        <x:v>9</x:v>
      </x:c>
      <x:c r="O316" s="12" t="n">
        <x:v>847.76</x:v>
      </x:c>
      <x:c r="P316" s="12" t="n">
        <x:v>0.15</x:v>
      </x:c>
      <x:c r="Q316" s="12" t="n">
        <x:v>6485.36</x:v>
      </x:c>
      <x:c r="R316" s="12" t="n">
        <x:v>5376.17</x:v>
      </x:c>
      <x:c r="S316" s="12" t="n">
        <x:v>1109.19</x:v>
      </x:c>
      <x:c r="T316" s="12" t="str">
        <x:v>Failed</x:v>
      </x:c>
      <x:c r="U316" s="12" t="str">
        <x:v>Returned</x:v>
      </x:c>
    </x:row>
    <x:row r="317">
      <x:c r="A317" s="12" t="str">
        <x:v>ORD-2024-10316</x:v>
      </x:c>
      <x:c r="B317" s="12" t="str">
        <x:v>2024-07-02</x:v>
      </x:c>
      <x:c r="C317" s="12" t="str">
        <x:v>2024-07-08</x:v>
      </x:c>
      <x:c r="D317" s="12" t="str">
        <x:v>CUST-7565</x:v>
      </x:c>
      <x:c r="E317" s="12" t="str">
        <x:v>Rohan Mehta</x:v>
      </x:c>
      <x:c r="F317" s="12" t="str">
        <x:v>Consumer</x:v>
      </x:c>
      <x:c r="G317" s="12" t="str">
        <x:v>North</x:v>
      </x:c>
      <x:c r="H317" s="12" t="str">
        <x:v>Delhi</x:v>
      </x:c>
      <x:c r="I317" s="12" t="str">
        <x:v>New Delhi</x:v>
      </x:c>
      <x:c r="J317" s="12" t="str">
        <x:v>Office Supplies</x:v>
      </x:c>
      <x:c r="K317" s="12" t="str">
        <x:v>Paper</x:v>
      </x:c>
      <x:c r="L317" s="12" t="str">
        <x:v>Smart Paper 817</x:v>
      </x:c>
      <x:c r="M317" s="12" t="str">
        <x:v>Standard Class</x:v>
      </x:c>
      <x:c r="N317" s="12" t="n">
        <x:v>9</x:v>
      </x:c>
      <x:c r="O317" s="12" t="n">
        <x:v>3450.4</x:v>
      </x:c>
      <x:c r="P317" s="12" t="n">
        <x:v>0.05</x:v>
      </x:c>
      <x:c r="Q317" s="12" t="n">
        <x:v>29500.92</x:v>
      </x:c>
      <x:c r="R317" s="12" t="n">
        <x:v>17989.68</x:v>
      </x:c>
      <x:c r="S317" s="12" t="n">
        <x:v>11511.24</x:v>
      </x:c>
      <x:c r="T317" s="12" t="str">
        <x:v>Pending</x:v>
      </x:c>
      <x:c r="U317" s="12" t="str">
        <x:v>Returned</x:v>
      </x:c>
    </x:row>
    <x:row r="318">
      <x:c r="A318" s="12" t="str">
        <x:v>ORD-2024-10317</x:v>
      </x:c>
      <x:c r="B318" s="12" t="str">
        <x:v>16-02-2024</x:v>
      </x:c>
      <x:c r="C318" s="12" t="str">
        <x:v>02/18/2024</x:v>
      </x:c>
      <x:c r="D318" s="12" t="str">
        <x:v>CUST-9913</x:v>
      </x:c>
      <x:c r="E318" s="12" t="str">
        <x:v>Karan Malhotra</x:v>
      </x:c>
      <x:c r="F318" s="12" t="str">
        <x:v>Corporate</x:v>
      </x:c>
      <x:c r="G318" s="12" t="str">
        <x:v>North</x:v>
      </x:c>
      <x:c r="H318" s="12" t="str">
        <x:v>Punjab</x:v>
      </x:c>
      <x:c r="I318" s="12" t="str">
        <x:v>Ludhiana</x:v>
      </x:c>
      <x:c r="J318" s="12" t="str">
        <x:v>Office Supplies</x:v>
      </x:c>
      <x:c r="K318" s="12" t="str">
        <x:v>Labels</x:v>
      </x:c>
      <x:c r="L318" s="12" t="str">
        <x:v>Classic Labels 466</x:v>
      </x:c>
      <x:c r="M318" s="12" t="str">
        <x:v>Standard Class</x:v>
      </x:c>
      <x:c r="N318" s="12" t="n">
        <x:v>2</x:v>
      </x:c>
      <x:c r="O318" s="12" t="n">
        <x:v>1947.53</x:v>
      </x:c>
      <x:c r="P318" s="12" t="n">
        <x:v>0.2</x:v>
      </x:c>
      <x:c r="Q318" s="12" t="n">
        <x:v>3116.05</x:v>
      </x:c>
      <x:c r="R318" s="12" t="n">
        <x:v>1956.63</x:v>
      </x:c>
      <x:c r="S318" s="12" t="n">
        <x:v>1159.42</x:v>
      </x:c>
      <x:c r="T318" s="12" t="str">
        <x:v>Paid</x:v>
      </x:c>
      <x:c r="U318" s="12" t="str">
        <x:v>Cancelled</x:v>
      </x:c>
    </x:row>
    <x:row r="319">
      <x:c r="A319" s="12" t="str">
        <x:v>ORD-2025-10318</x:v>
      </x:c>
      <x:c r="B319" s="12" t="str">
        <x:v>29-08-2025</x:v>
      </x:c>
      <x:c r="C319" s="12" t="str">
        <x:v>04 Sep 2025</x:v>
      </x:c>
      <x:c r="D319" s="12" t="str">
        <x:v>CUST-7992</x:v>
      </x:c>
      <x:c r="E319" s="12" t="str">
        <x:v>Neha Gupta</x:v>
      </x:c>
      <x:c r="F319" s="12" t="str">
        <x:v>Corporate</x:v>
      </x:c>
      <x:c r="G319" s="12" t="str">
        <x:v>South</x:v>
      </x:c>
      <x:c r="H319" s="12" t="str">
        <x:v>Kerala</x:v>
      </x:c>
      <x:c r="I319" s="12" t="str">
        <x:v>Kochi</x:v>
      </x:c>
      <x:c r="J319" s="12" t="str">
        <x:v>Furniture</x:v>
      </x:c>
      <x:c r="K319" s="12" t="str">
        <x:v>Tables</x:v>
      </x:c>
      <x:c r="L319" s="12" t="str">
        <x:v>Pro Tables 778</x:v>
      </x:c>
      <x:c r="M319" s="12" t="str">
        <x:v>First Class</x:v>
      </x:c>
      <x:c r="N319" s="12" t="n">
        <x:v>9</x:v>
      </x:c>
      <x:c r="O319" s="12" t="n">
        <x:v>2996.97</x:v>
      </x:c>
      <x:c r="P319" s="12" t="n">
        <x:v>0.15</x:v>
      </x:c>
      <x:c r="Q319" s="12" t="n">
        <x:v>22926.82</x:v>
      </x:c>
      <x:c r="R319" s="12" t="n">
        <x:v>14621.59</x:v>
      </x:c>
      <x:c r="S319" s="12" t="n">
        <x:v>8305.23</x:v>
      </x:c>
      <x:c r="T319" s="12" t="str">
        <x:v>Paid</x:v>
      </x:c>
      <x:c r="U319" s="12" t="str">
        <x:v>Completed</x:v>
      </x:c>
    </x:row>
    <x:row r="320">
      <x:c r="A320" s="12" t="str">
        <x:v>ORD-2024-10319</x:v>
      </x:c>
      <x:c r="B320" s="12" t="str">
        <x:v>25 Apr 2024</x:v>
      </x:c>
      <x:c r="C320" s="12" t="str">
        <x:v>30-04-2024</x:v>
      </x:c>
      <x:c r="D320" s="12" t="str">
        <x:v>CUST-8877</x:v>
      </x:c>
      <x:c r="E320" s="12" t="str">
        <x:v>Mira Das</x:v>
      </x:c>
      <x:c r="F320" s="12" t="str">
        <x:v>Small Business</x:v>
      </x:c>
      <x:c r="G320" s="12" t="str">
        <x:v>South</x:v>
      </x:c>
      <x:c r="H320" s="12" t="str">
        <x:v>Karnataka</x:v>
      </x:c>
      <x:c r="I320" s="12" t="str">
        <x:v>Bengaluru</x:v>
      </x:c>
      <x:c r="J320" s="12" t="str">
        <x:v>Technology</x:v>
      </x:c>
      <x:c r="K320" s="12" t="str">
        <x:v>Phones</x:v>
      </x:c>
      <x:c r="L320" s="12" t="str">
        <x:v>Basic Phones 789</x:v>
      </x:c>
      <x:c r="M320" s="12" t="str">
        <x:v>Standard Class</x:v>
      </x:c>
      <x:c r="N320" s="12" t="n">
        <x:v>3</x:v>
      </x:c>
      <x:c r="O320" s="12" t="n">
        <x:v>4149.46</x:v>
      </x:c>
      <x:c r="P320" s="12" t="n">
        <x:v>0.1</x:v>
      </x:c>
      <x:c r="Q320" s="12" t="n">
        <x:v>11203.54</x:v>
      </x:c>
      <x:c r="R320" s="12" t="n">
        <x:v>8452.93</x:v>
      </x:c>
      <x:c r="S320" s="12" t="n">
        <x:v>2750.61</x:v>
      </x:c>
      <x:c r="T320" s="12" t="str">
        <x:v>Paid</x:v>
      </x:c>
      <x:c r="U320" s="12" t="str">
        <x:v>Completed</x:v>
      </x:c>
    </x:row>
    <x:row r="321">
      <x:c r="A321" s="12" t="str">
        <x:v>ORD-2024-10320</x:v>
      </x:c>
      <x:c r="B321" s="12" t="str">
        <x:v>21 Aug 2024</x:v>
      </x:c>
      <x:c r="C321" s="12" t="str">
        <x:v>08/25/2024</x:v>
      </x:c>
      <x:c r="D321" s="12" t="str">
        <x:v>CUST-4589</x:v>
      </x:c>
      <x:c r="E321" s="12" t="str">
        <x:v>Diya Patel</x:v>
      </x:c>
      <x:c r="F321" s="12" t="str">
        <x:v>Consumer</x:v>
      </x:c>
      <x:c r="G321" s="12" t="str">
        <x:v>West</x:v>
      </x:c>
      <x:c r="H321" s="12" t="str">
        <x:v>Gujarat</x:v>
      </x:c>
      <x:c r="I321" s="12" t="str">
        <x:v>Ahmedabad</x:v>
      </x:c>
      <x:c r="J321" s="12" t="str">
        <x:v>Office Supplies</x:v>
      </x:c>
      <x:c r="K321" s="12" t="str">
        <x:v>Binders</x:v>
      </x:c>
      <x:c r="L321" s="12" t="str">
        <x:v>Prime Binders 554</x:v>
      </x:c>
      <x:c r="M321" s="12" t="str">
        <x:v>First Class</x:v>
      </x:c>
      <x:c r="N321" s="12" t="n">
        <x:v>1</x:v>
      </x:c>
      <x:c r="O321" s="12" t="n">
        <x:v>270.28</x:v>
      </x:c>
      <x:c r="P321" s="12" t="n">
        <x:v>0</x:v>
      </x:c>
      <x:c r="Q321" s="12" t="n">
        <x:v>270.28</x:v>
      </x:c>
      <x:c r="R321" s="12" t="n">
        <x:v>156.34</x:v>
      </x:c>
      <x:c r="S321" s="12" t="n">
        <x:v>113.94</x:v>
      </x:c>
      <x:c r="T321" s="12" t="str">
        <x:v>Paid</x:v>
      </x:c>
      <x:c r="U321" s="12" t="str">
        <x:v>Completed</x:v>
      </x:c>
    </x:row>
    <x:row r="322">
      <x:c r="A322" s="12" t="str">
        <x:v>ORD-2024-10321</x:v>
      </x:c>
      <x:c r="B322" s="12" t="str">
        <x:v>12/04/2024</x:v>
      </x:c>
      <x:c r="C322" s="12" t="str">
        <x:v>12/06/2024</x:v>
      </x:c>
      <x:c r="D322" s="12" t="str">
        <x:v>CUST-4667</x:v>
      </x:c>
      <x:c r="E322" s="12" t="str">
        <x:v>Aarav Sharma</x:v>
      </x:c>
      <x:c r="F322" s="12" t="str">
        <x:v>Home Office</x:v>
      </x:c>
      <x:c r="G322" s="12" t="str">
        <x:v>East</x:v>
      </x:c>
      <x:c r="H322" s="12" t="str">
        <x:v>West Bengal</x:v>
      </x:c>
      <x:c r="I322" s="12" t="str">
        <x:v>Kolkata</x:v>
      </x:c>
      <x:c r="J322" s="12" t="str">
        <x:v>Office Supplies</x:v>
      </x:c>
      <x:c r="K322" s="12" t="str">
        <x:v>Art</x:v>
      </x:c>
      <x:c r="L322" s="12" t="str">
        <x:v>Classic Art 299</x:v>
      </x:c>
      <x:c r="M322" s="12" t="str">
        <x:v>Second Class</x:v>
      </x:c>
      <x:c r="N322" s="12" t="n">
        <x:v>3</x:v>
      </x:c>
      <x:c r="O322" s="12" t="n">
        <x:v>876.14</x:v>
      </x:c>
      <x:c r="P322" s="12" t="str">
        <x:v>70%</x:v>
      </x:c>
      <x:c r="Q322" s="12" t="n">
        <x:v>2628.42</x:v>
      </x:c>
      <x:c r="R322" s="12" t="n">
        <x:v>1541.54</x:v>
      </x:c>
      <x:c r="S322" s="12" t="n">
        <x:v>1086.88</x:v>
      </x:c>
      <x:c r="T322" s="12" t="str">
        <x:v>Pending</x:v>
      </x:c>
      <x:c r="U322" s="12" t="str">
        <x:v>Returned</x:v>
      </x:c>
    </x:row>
    <x:row r="323">
      <x:c r="A323" s="12" t="str">
        <x:v>ORD-2024-10322</x:v>
      </x:c>
      <x:c r="B323" s="12" t="str">
        <x:v>06/23/2024</x:v>
      </x:c>
      <x:c r="C323" s="12" t="str">
        <x:v>30 Jun 2024</x:v>
      </x:c>
      <x:c r="D323" s="12" t="str">
        <x:v>CUST-7821</x:v>
      </x:c>
      <x:c r="E323" s="12" t="str">
        <x:v>Neha Gupta</x:v>
      </x:c>
      <x:c r="F323" s="12" t="str">
        <x:v>Small Business</x:v>
      </x:c>
      <x:c r="G323" s="12" t="str">
        <x:v>West</x:v>
      </x:c>
      <x:c r="H323" s="12" t="str">
        <x:v>Goa</x:v>
      </x:c>
      <x:c r="I323" s="12" t="str">
        <x:v>Panaji</x:v>
      </x:c>
      <x:c r="J323" s="12" t="str">
        <x:v>Technology</x:v>
      </x:c>
      <x:c r="K323" s="12" t="str">
        <x:v>Accessories</x:v>
      </x:c>
      <x:c r="L323" s="12" t="str">
        <x:v>Eco Accessories 220</x:v>
      </x:c>
      <x:c r="M323" s="12" t="str">
        <x:v>Same Day</x:v>
      </x:c>
      <x:c r="N323" s="12" t="n">
        <x:v>4</x:v>
      </x:c>
      <x:c r="O323" s="12" t="n">
        <x:v>674.82</x:v>
      </x:c>
      <x:c r="P323" s="12" t="n">
        <x:v>0</x:v>
      </x:c>
      <x:c r="Q323" s="12" t="n">
        <x:v>2699.28</x:v>
      </x:c>
      <x:c r="R323" s="12" t="n">
        <x:v>1759.76</x:v>
      </x:c>
      <x:c r="S323" s="12" t="n">
        <x:v>939.52</x:v>
      </x:c>
      <x:c r="T323" s="12" t="str">
        <x:v>Failed</x:v>
      </x:c>
      <x:c r="U323" s="12" t="str">
        <x:v>Cancelled</x:v>
      </x:c>
    </x:row>
    <x:row r="324">
      <x:c r="A324" s="12" t="str">
        <x:v>ORD-2024-10323</x:v>
      </x:c>
      <x:c r="B324" s="12" t="str">
        <x:v>2024-11-12</x:v>
      </x:c>
      <x:c r="C324" s="12" t="str">
        <x:v>12-11-2024</x:v>
      </x:c>
      <x:c r="D324" s="12" t="str">
        <x:v>CUST-8579</x:v>
      </x:c>
      <x:c r="E324" s="12" t="str">
        <x:v>Isha Nair</x:v>
      </x:c>
      <x:c r="F324" s="12" t="str">
        <x:v>Consumer</x:v>
      </x:c>
      <x:c r="G324" s="12" t="str">
        <x:v>North</x:v>
      </x:c>
      <x:c r="H324" s="12" t="str">
        <x:v>Uttar Pradesh</x:v>
      </x:c>
      <x:c r="I324" s="12" t="str">
        <x:v>Noida</x:v>
      </x:c>
      <x:c r="J324" s="12" t="str">
        <x:v>Technology</x:v>
      </x:c>
      <x:c r="K324" s="12" t="str">
        <x:v>Phones</x:v>
      </x:c>
      <x:c r="L324" s="12" t="str">
        <x:v>Max Phones 422</x:v>
      </x:c>
      <x:c r="M324" s="12" t="str">
        <x:v>Second Class</x:v>
      </x:c>
      <x:c r="N324" s="12" t="n">
        <x:v>6</x:v>
      </x:c>
      <x:c r="O324" s="12" t="n">
        <x:v>1369.48</x:v>
      </x:c>
      <x:c r="P324" s="12" t="n">
        <x:v>0.15</x:v>
      </x:c>
      <x:c r="Q324" s="12" t="n">
        <x:v>6984.35</x:v>
      </x:c>
      <x:c r="R324" s="12" t="n">
        <x:v>4023.63</x:v>
      </x:c>
      <x:c r="S324" s="12" t="n">
        <x:v>2960.72</x:v>
      </x:c>
      <x:c r="T324" s="12" t="str">
        <x:v>Paid</x:v>
      </x:c>
      <x:c r="U324" s="12" t="str">
        <x:v>Completed</x:v>
      </x:c>
    </x:row>
    <x:row r="325">
      <x:c r="A325" s="12" t="str">
        <x:v>ORD-2024-10324</x:v>
      </x:c>
      <x:c r="B325" s="12" t="str">
        <x:v>25-02-2024</x:v>
      </x:c>
      <x:c r="C325" s="12" t="str">
        <x:v>29 Feb 2024</x:v>
      </x:c>
      <x:c r="D325" s="12" t="str">
        <x:v>CUST-6909</x:v>
      </x:c>
      <x:c r="E325" s="12" t="str">
        <x:v>Isha Nair</x:v>
      </x:c>
      <x:c r="F325" s="12" t="str">
        <x:v>Small Business</x:v>
      </x:c>
      <x:c r="G325" s="12" t="str">
        <x:v>West</x:v>
      </x:c>
      <x:c r="H325" s="12" t="str">
        <x:v>Goa</x:v>
      </x:c>
      <x:c r="I325" s="12" t="str">
        <x:v>Panaji</x:v>
      </x:c>
      <x:c r="J325" s="12" t="str">
        <x:v>Furniture</x:v>
      </x:c>
      <x:c r="K325" s="12" t="str">
        <x:v>Furnishings</x:v>
      </x:c>
      <x:c r="L325" s="12" t="str">
        <x:v>Eco Furnishings 897</x:v>
      </x:c>
      <x:c r="M325" s="12" t="str">
        <x:v>Standard Class</x:v>
      </x:c>
      <x:c r="N325" s="12" t="n">
        <x:v>9</x:v>
      </x:c>
      <x:c r="O325" s="12" t="n">
        <x:v>1331.46</x:v>
      </x:c>
      <x:c r="P325" s="12" t="n">
        <x:v>0.15</x:v>
      </x:c>
      <x:c r="Q325" s="12" t="n">
        <x:v>10185.67</x:v>
      </x:c>
      <x:c r="R325" s="12" t="n">
        <x:v>6479.31</x:v>
      </x:c>
      <x:c r="S325" s="12" t="n">
        <x:v>3706.36</x:v>
      </x:c>
      <x:c r="T325" s="12" t="str">
        <x:v>Paid</x:v>
      </x:c>
      <x:c r="U325" s="12" t="str">
        <x:v>Completed</x:v>
      </x:c>
    </x:row>
    <x:row r="326">
      <x:c r="A326" s="12" t="str">
        <x:v>ORD-2025-10325</x:v>
      </x:c>
      <x:c r="B326" s="12" t="str">
        <x:v>31 Jul 2025</x:v>
      </x:c>
      <x:c r="C326" s="12" t="str">
        <x:v>02-08-2025</x:v>
      </x:c>
      <x:c r="D326" s="12" t="str">
        <x:v>CUST-7212</x:v>
      </x:c>
      <x:c r="E326" s="12" t="str">
        <x:v>Rohan Mehta</x:v>
      </x:c>
      <x:c r="F326" s="12" t="str">
        <x:v>Home Office</x:v>
      </x:c>
      <x:c r="G326" s="12" t="str">
        <x:v>South</x:v>
      </x:c>
      <x:c r="H326" s="12" t="str">
        <x:v>Andhra Pradesh</x:v>
      </x:c>
      <x:c r="I326" s="12" t="str">
        <x:v>Vijayawada</x:v>
      </x:c>
      <x:c r="J326" s="12" t="str">
        <x:v>Office Supplies</x:v>
      </x:c>
      <x:c r="K326" s="12" t="str">
        <x:v>Labels</x:v>
      </x:c>
      <x:c r="L326" s="12" t="str">
        <x:v>Basic Labels 102</x:v>
      </x:c>
      <x:c r="M326" s="12" t="str">
        <x:v>Same Day</x:v>
      </x:c>
      <x:c r="N326" s="12" t="n">
        <x:v>1</x:v>
      </x:c>
      <x:c r="O326" s="12" t="n">
        <x:v>1947.88</x:v>
      </x:c>
      <x:c r="P326" s="12" t="n">
        <x:v>0.15</x:v>
      </x:c>
      <x:c r="Q326" s="12" t="n">
        <x:v>1655.7</x:v>
      </x:c>
      <x:c r="R326" s="12" t="n">
        <x:v>1354.8</x:v>
      </x:c>
      <x:c r="S326" s="12" t="n">
        <x:v>300.9</x:v>
      </x:c>
      <x:c r="T326" s="12" t="str">
        <x:v>Paid</x:v>
      </x:c>
      <x:c r="U326" s="12" t="str">
        <x:v>Returned</x:v>
      </x:c>
    </x:row>
    <x:row r="327">
      <x:c r="A327" s="12" t="str">
        <x:v>ORD-2025-10326</x:v>
      </x:c>
      <x:c r="B327" s="12" t="str">
        <x:v>09/16/2025</x:v>
      </x:c>
      <x:c r="C327" s="12" t="str">
        <x:v>2025-09-22</x:v>
      </x:c>
      <x:c r="D327" s="12" t="str">
        <x:v>CUST-7980</x:v>
      </x:c>
      <x:c r="E327" s="12" t="str">
        <x:v>Sneha Kapoor</x:v>
      </x:c>
      <x:c r="F327" s="12" t="str">
        <x:v>Home Office</x:v>
      </x:c>
      <x:c r="G327" s="12" t="str">
        <x:v>East</x:v>
      </x:c>
      <x:c r="H327" s="12" t="str">
        <x:v>West Bengal</x:v>
      </x:c>
      <x:c r="I327" s="12" t="str">
        <x:v>Kolkata</x:v>
      </x:c>
      <x:c r="J327" s="12" t="str">
        <x:v>Technology</x:v>
      </x:c>
      <x:c r="K327" s="12" t="str">
        <x:v>Copiers</x:v>
      </x:c>
      <x:c r="L327" s="12" t="str">
        <x:v>Prime Copiers 170</x:v>
      </x:c>
      <x:c r="M327" s="12" t="str">
        <x:v>Second Class</x:v>
      </x:c>
      <x:c r="N327" s="12" t="n">
        <x:v>5</x:v>
      </x:c>
      <x:c r="O327" s="12" t="n">
        <x:v>3671.2</x:v>
      </x:c>
      <x:c r="P327" s="12" t="n">
        <x:v>0.15</x:v>
      </x:c>
      <x:c r="Q327" s="12" t="n">
        <x:v>15602.6</x:v>
      </x:c>
      <x:c r="R327" s="12" t="n">
        <x:v>11908.52</x:v>
      </x:c>
      <x:c r="S327" s="12" t="n">
        <x:v>3694.08</x:v>
      </x:c>
      <x:c r="T327" s="12" t="str">
        <x:v>Paid</x:v>
      </x:c>
      <x:c r="U327" s="12" t="str">
        <x:v>Completed</x:v>
      </x:c>
    </x:row>
    <x:row r="328">
      <x:c r="A328" s="12" t="str">
        <x:v>ORD-2025-10327</x:v>
      </x:c>
      <x:c r="B328" s="12" t="str">
        <x:v>2025-07-22</x:v>
      </x:c>
      <x:c r="C328" s="12" t="str">
        <x:v>07/22/2025</x:v>
      </x:c>
      <x:c r="D328" s="12" t="str">
        <x:v>CUST-1966</x:v>
      </x:c>
      <x:c r="E328" s="12" t="str">
        <x:v>Sneha Kapoor</x:v>
      </x:c>
      <x:c r="F328" s="12" t="str">
        <x:v>Corporate</x:v>
      </x:c>
      <x:c r="G328" s="12" t="str">
        <x:v>East</x:v>
      </x:c>
      <x:c r="H328" s="12" t="str">
        <x:v>Jharkhand</x:v>
      </x:c>
      <x:c r="I328" s="12" t="str">
        <x:v>Ranchi</x:v>
      </x:c>
      <x:c r="J328" s="12" t="str">
        <x:v>Furniture</x:v>
      </x:c>
      <x:c r="K328" s="12" t="str">
        <x:v>Furnishings</x:v>
      </x:c>
      <x:c r="L328" s="12" t="str">
        <x:v>Smart Furnishings 533</x:v>
      </x:c>
      <x:c r="M328" s="12" t="str">
        <x:v>Same Day</x:v>
      </x:c>
      <x:c r="N328" s="12" t="n">
        <x:v>5</x:v>
      </x:c>
      <x:c r="O328" s="12" t="n">
        <x:v>3187.05</x:v>
      </x:c>
      <x:c r="P328" s="12" t="n">
        <x:v>0.05</x:v>
      </x:c>
      <x:c r="Q328" s="12" t="n">
        <x:v>15138.49</x:v>
      </x:c>
      <x:c r="R328" s="12" t="n">
        <x:v>11235.72</x:v>
      </x:c>
      <x:c r="S328" s="12" t="n">
        <x:v>3902.77</x:v>
      </x:c>
      <x:c r="T328" s="12" t="str">
        <x:v>Paid</x:v>
      </x:c>
      <x:c r="U328" s="12" t="str">
        <x:v>Completed</x:v>
      </x:c>
    </x:row>
    <x:row r="329">
      <x:c r="A329" s="12" t="str">
        <x:v>ORD-2024-10328</x:v>
      </x:c>
      <x:c r="B329" s="12" t="str">
        <x:v>2024-07-24</x:v>
      </x:c>
      <x:c r="C329" s="12" t="str">
        <x:v>27-07-2024</x:v>
      </x:c>
      <x:c r="D329" s="12" t="str">
        <x:v>CUST-6163</x:v>
      </x:c>
      <x:c r="E329" s="12" t="str">
        <x:v>Isha Nair</x:v>
      </x:c>
      <x:c r="F329" s="12" t="str">
        <x:v>Consumer</x:v>
      </x:c>
      <x:c r="G329" s="12" t="str">
        <x:v>West</x:v>
      </x:c>
      <x:c r="H329" s="12" t="str">
        <x:v>Rajasthan</x:v>
      </x:c>
      <x:c r="I329" s="12" t="str">
        <x:v>Udaipur</x:v>
      </x:c>
      <x:c r="J329" s="12" t="str">
        <x:v>Technology</x:v>
      </x:c>
      <x:c r="K329" s="12" t="str">
        <x:v>Accessories</x:v>
      </x:c>
      <x:c r="L329" s="12" t="str">
        <x:v>Classic Accessories 489</x:v>
      </x:c>
      <x:c r="M329" s="12" t="str">
        <x:v>Second Class</x:v>
      </x:c>
      <x:c r="N329" s="12" t="n">
        <x:v>3</x:v>
      </x:c>
      <x:c r="O329" s="12" t="n">
        <x:v>1834.55</x:v>
      </x:c>
      <x:c r="P329" s="12" t="n">
        <x:v>0.2</x:v>
      </x:c>
      <x:c r="Q329" s="12" t="n">
        <x:v>4402.92</x:v>
      </x:c>
      <x:c r="R329" s="12" t="n">
        <x:v>2993.94</x:v>
      </x:c>
      <x:c r="S329" s="12" t="n">
        <x:v>1408.98</x:v>
      </x:c>
      <x:c r="T329" s="12" t="str">
        <x:v>Pending</x:v>
      </x:c>
      <x:c r="U329" s="12" t="str">
        <x:v>Cancelled</x:v>
      </x:c>
    </x:row>
    <x:row r="330">
      <x:c r="A330" s="12" t="str">
        <x:v>ORD-2025-10329</x:v>
      </x:c>
      <x:c r="B330" s="12" t="str">
        <x:v>2025-05-29</x:v>
      </x:c>
      <x:c r="C330" s="12" t="str">
        <x:v>04 Jun 2025</x:v>
      </x:c>
      <x:c r="D330" s="12" t="str">
        <x:v>CUST-7239</x:v>
      </x:c>
      <x:c r="E330" s="12" t="str">
        <x:v>Diya Patel</x:v>
      </x:c>
      <x:c r="F330" s="12" t="str">
        <x:v>Consumer</x:v>
      </x:c>
      <x:c r="G330" s="12" t="str">
        <x:v>West</x:v>
      </x:c>
      <x:c r="H330" s="12" t="str">
        <x:v>Maharashtra</x:v>
      </x:c>
      <x:c r="I330" s="12" t="str">
        <x:v>Mumbai</x:v>
      </x:c>
      <x:c r="J330" s="12" t="str">
        <x:v>Office Supplies</x:v>
      </x:c>
      <x:c r="K330" s="12" t="str">
        <x:v>Storage</x:v>
      </x:c>
      <x:c r="L330" s="12" t="str">
        <x:v>Smart Storage 439</x:v>
      </x:c>
      <x:c r="M330" s="12" t="str">
        <x:v>First Class</x:v>
      </x:c>
      <x:c r="N330" s="12" t="n">
        <x:v>6</x:v>
      </x:c>
      <x:c r="O330" s="12" t="n">
        <x:v>3100.68</x:v>
      </x:c>
      <x:c r="P330" s="12" t="n">
        <x:v>0</x:v>
      </x:c>
      <x:c r="Q330" s="12" t="n">
        <x:v>18604.08</x:v>
      </x:c>
      <x:c r="R330" s="12" t="n">
        <x:v>15834.3</x:v>
      </x:c>
      <x:c r="S330" s="12" t="n">
        <x:v>2769.78</x:v>
      </x:c>
      <x:c r="T330" s="12" t="str">
        <x:v>Paid</x:v>
      </x:c>
      <x:c r="U330" s="12" t="str">
        <x:v>Completed</x:v>
      </x:c>
    </x:row>
    <x:row r="331">
      <x:c r="A331" s="12" t="str">
        <x:v>ORD-2025-10330</x:v>
      </x:c>
      <x:c r="B331" s="12" t="str">
        <x:v>12 May 2025</x:v>
      </x:c>
      <x:c r="C331" s="12" t="str">
        <x:v>2025-05-18</x:v>
      </x:c>
      <x:c r="D331" s="12" t="str">
        <x:v>CUST-9718</x:v>
      </x:c>
      <x:c r="E331" s="12" t="str">
        <x:v>Neha Gupta</x:v>
      </x:c>
      <x:c r="F331" s="12" t="str">
        <x:v>Small Business</x:v>
      </x:c>
      <x:c r="G331" s="12" t="str">
        <x:v>West</x:v>
      </x:c>
      <x:c r="H331" s="12" t="str">
        <x:v>Maharashtra</x:v>
      </x:c>
      <x:c r="I331" s="12" t="str">
        <x:v>Mumbai</x:v>
      </x:c>
      <x:c r="J331" s="12" t="str">
        <x:v>Office Supplies</x:v>
      </x:c>
      <x:c r="K331" s="12" t="str">
        <x:v>Storage</x:v>
      </x:c>
      <x:c r="L331" s="12" t="str">
        <x:v>Prime Storage 232</x:v>
      </x:c>
      <x:c r="M331" s="12" t="str">
        <x:v>Standard Class</x:v>
      </x:c>
      <x:c r="N331" s="12" t="n">
        <x:v>4</x:v>
      </x:c>
      <x:c r="O331" s="12" t="n">
        <x:v>4053.03</x:v>
      </x:c>
      <x:c r="P331" s="12" t="n">
        <x:v>0.05</x:v>
      </x:c>
      <x:c r="Q331" s="12" t="n">
        <x:v>15401.51</x:v>
      </x:c>
      <x:c r="R331" s="12" t="n">
        <x:v>8650.42</x:v>
      </x:c>
      <x:c r="S331" s="12" t="n">
        <x:v>6751.09</x:v>
      </x:c>
      <x:c r="T331" s="12" t="str">
        <x:v>Paid</x:v>
      </x:c>
      <x:c r="U331" s="12" t="str">
        <x:v>Completed</x:v>
      </x:c>
    </x:row>
    <x:row r="332">
      <x:c r="A332" s="12" t="str">
        <x:v>ORD-2024-10331</x:v>
      </x:c>
      <x:c r="B332" s="12" t="str">
        <x:v>05/16/2024</x:v>
      </x:c>
      <x:c r="C332" s="12" t="str">
        <x:v>05/24/2024</x:v>
      </x:c>
      <x:c r="D332" s="12" t="str">
        <x:v>CUST-1116</x:v>
      </x:c>
      <x:c r="E332" s="12" t="str">
        <x:v>Arjun Bose</x:v>
      </x:c>
      <x:c r="F332" s="12" t="str">
        <x:v>Home Office</x:v>
      </x:c>
      <x:c r="G332" s="12" t="str">
        <x:v>North</x:v>
      </x:c>
      <x:c r="H332" s="12" t="str">
        <x:v>Punjab</x:v>
      </x:c>
      <x:c r="I332" s="12" t="str">
        <x:v>Ludhiana</x:v>
      </x:c>
      <x:c r="J332" s="12" t="str">
        <x:v>Technology</x:v>
      </x:c>
      <x:c r="K332" s="12" t="str">
        <x:v>Accessories</x:v>
      </x:c>
      <x:c r="L332" s="12" t="str">
        <x:v>Prime Accessories 335</x:v>
      </x:c>
      <x:c r="M332" s="12" t="str">
        <x:v>Same Day</x:v>
      </x:c>
      <x:c r="N332" s="12" t="n">
        <x:v>1</x:v>
      </x:c>
      <x:c r="O332" s="12" t="n">
        <x:v>783.09</x:v>
      </x:c>
      <x:c r="P332" s="12" t="n">
        <x:v>0</x:v>
      </x:c>
      <x:c r="Q332" s="12" t="n">
        <x:v>783.09</x:v>
      </x:c>
      <x:c r="R332" s="12" t="n">
        <x:v>503.89</x:v>
      </x:c>
      <x:c r="S332" s="12" t="n">
        <x:v>279.2</x:v>
      </x:c>
      <x:c r="T332" s="12" t="str">
        <x:v>Failed</x:v>
      </x:c>
      <x:c r="U332" s="12" t="str">
        <x:v>Cancelled</x:v>
      </x:c>
    </x:row>
    <x:row r="333">
      <x:c r="A333" s="12" t="str">
        <x:v>ORD-2024-10332</x:v>
      </x:c>
      <x:c r="B333" s="12" t="str">
        <x:v>04-12-2024</x:v>
      </x:c>
      <x:c r="C333" s="12" t="str">
        <x:v>2024-12-06</x:v>
      </x:c>
      <x:c r="D333" s="12" t="str">
        <x:v>CUST-9346</x:v>
      </x:c>
      <x:c r="E333" s="12" t="str">
        <x:v>Sneha Kapoor</x:v>
      </x:c>
      <x:c r="F333" s="12" t="str">
        <x:v>Home Office</x:v>
      </x:c>
      <x:c r="G333" s="12" t="str">
        <x:v>East</x:v>
      </x:c>
      <x:c r="H333" s="12" t="str">
        <x:v>Odisha</x:v>
      </x:c>
      <x:c r="I333" s="12" t="str">
        <x:v>Bhubaneswar</x:v>
      </x:c>
      <x:c r="J333" s="12" t="str">
        <x:v>Office Supplies</x:v>
      </x:c>
      <x:c r="K333" s="12" t="str">
        <x:v>Binders</x:v>
      </x:c>
      <x:c r="L333" s="12" t="str">
        <x:v>Smart Binders 939</x:v>
      </x:c>
      <x:c r="M333" s="12" t="str">
        <x:v>Second Class</x:v>
      </x:c>
      <x:c r="N333" s="12" t="n">
        <x:v>4</x:v>
      </x:c>
      <x:c r="O333" s="12" t="n">
        <x:v>2685.66</x:v>
      </x:c>
      <x:c r="P333" s="12" t="n">
        <x:v>0</x:v>
      </x:c>
      <x:c r="Q333" s="12" t="n">
        <x:v>10742.64</x:v>
      </x:c>
      <x:c r="R333" s="12" t="n">
        <x:v>6477.37</x:v>
      </x:c>
      <x:c r="S333" s="12" t="n">
        <x:v>4265.27</x:v>
      </x:c>
      <x:c r="T333" s="12" t="str">
        <x:v>Paid</x:v>
      </x:c>
      <x:c r="U333" s="12" t="str">
        <x:v>Returned</x:v>
      </x:c>
    </x:row>
    <x:row r="334">
      <x:c r="A334" s="12" t="str">
        <x:v>ORD-2025-10333</x:v>
      </x:c>
      <x:c r="B334" s="12" t="str">
        <x:v>27 May 2025</x:v>
      </x:c>
      <x:c r="C334" s="12" t="str">
        <x:v>2025-05-28</x:v>
      </x:c>
      <x:c r="D334" s="12" t="str">
        <x:v>CUST-5332</x:v>
      </x:c>
      <x:c r="E334" s="12" t="str">
        <x:v>Aarav Sharma</x:v>
      </x:c>
      <x:c r="F334" s="12" t="str">
        <x:v>Consumer</x:v>
      </x:c>
      <x:c r="G334" s="12" t="str">
        <x:v>South</x:v>
      </x:c>
      <x:c r="H334" s="12" t="str">
        <x:v>Andhra Pradesh</x:v>
      </x:c>
      <x:c r="I334" s="12" t="str">
        <x:v>Vijayawada</x:v>
      </x:c>
      <x:c r="J334" s="12" t="str">
        <x:v>Technology</x:v>
      </x:c>
      <x:c r="K334" s="12" t="str">
        <x:v>machines</x:v>
      </x:c>
      <x:c r="L334" s="12" t="str">
        <x:v>Basic Machines 601</x:v>
      </x:c>
      <x:c r="M334" s="12" t="str">
        <x:v>Second Class</x:v>
      </x:c>
      <x:c r="N334" s="12" t="n">
        <x:v>2</x:v>
      </x:c>
      <x:c r="O334" s="12" t="n">
        <x:v>3911.96</x:v>
      </x:c>
      <x:c r="P334" s="12" t="n">
        <x:v>0</x:v>
      </x:c>
      <x:c r="Q334" s="12" t="n">
        <x:v>7823.92</x:v>
      </x:c>
      <x:c r="R334" s="12" t="n">
        <x:v>6034.63</x:v>
      </x:c>
      <x:c r="S334" s="12" t="n">
        <x:v>1789.29</x:v>
      </x:c>
      <x:c r="T334" s="12" t="str">
        <x:v>Paid</x:v>
      </x:c>
      <x:c r="U334" s="12" t="str">
        <x:v>Completed</x:v>
      </x:c>
    </x:row>
    <x:row r="335">
      <x:c r="A335" s="12" t="str">
        <x:v>ORD-2025-10334</x:v>
      </x:c>
      <x:c r="B335" s="12" t="str">
        <x:v>22 Jun 2025</x:v>
      </x:c>
      <x:c r="C335" s="12" t="str">
        <x:v>2025-06-27</x:v>
      </x:c>
      <x:c r="D335" s="12" t="str">
        <x:v>CUST-8081</x:v>
      </x:c>
      <x:c r="E335" s="12" t="str">
        <x:v>Rohan Mehta</x:v>
      </x:c>
      <x:c r="F335" s="12" t="str">
        <x:v>Home Office</x:v>
      </x:c>
      <x:c r="G335" s="12"/>
      <x:c r="H335" s="12" t="str">
        <x:v>Delhi</x:v>
      </x:c>
      <x:c r="I335" s="12" t="str">
        <x:v>New Delhi</x:v>
      </x:c>
      <x:c r="J335" s="12" t="str">
        <x:v>Technology</x:v>
      </x:c>
      <x:c r="K335" s="12" t="str">
        <x:v>Phones</x:v>
      </x:c>
      <x:c r="L335" s="12" t="str">
        <x:v>Pro Phones 968</x:v>
      </x:c>
      <x:c r="M335" s="12" t="str">
        <x:v>First Class</x:v>
      </x:c>
      <x:c r="N335" s="12" t="n">
        <x:v>2</x:v>
      </x:c>
      <x:c r="O335" s="12" t="n">
        <x:v>1468.05</x:v>
      </x:c>
      <x:c r="P335" s="12" t="n">
        <x:v>0</x:v>
      </x:c>
      <x:c r="Q335" s="12" t="n">
        <x:v>2936.1</x:v>
      </x:c>
      <x:c r="R335" s="12" t="n">
        <x:v>1923.1</x:v>
      </x:c>
      <x:c r="S335" s="12" t="n">
        <x:v>1013</x:v>
      </x:c>
      <x:c r="T335" s="12" t="str">
        <x:v>Paid</x:v>
      </x:c>
      <x:c r="U335" s="12" t="str">
        <x:v>Completed</x:v>
      </x:c>
    </x:row>
    <x:row r="336">
      <x:c r="A336" s="12" t="str">
        <x:v>ORD-2024-10335</x:v>
      </x:c>
      <x:c r="B336" s="12" t="str">
        <x:v>12 Sep 2024</x:v>
      </x:c>
      <x:c r="C336" s="12" t="str">
        <x:v>17-09-2024</x:v>
      </x:c>
      <x:c r="D336" s="12" t="str">
        <x:v>CUST-3062</x:v>
      </x:c>
      <x:c r="E336" s="12" t="str">
        <x:v>Ananya Rao</x:v>
      </x:c>
      <x:c r="F336" s="12" t="str">
        <x:v>Consumer</x:v>
      </x:c>
      <x:c r="G336" s="12" t="str">
        <x:v>East</x:v>
      </x:c>
      <x:c r="H336" s="12" t="str">
        <x:v>Jharkhand</x:v>
      </x:c>
      <x:c r="I336" s="12" t="str">
        <x:v>Ranchi</x:v>
      </x:c>
      <x:c r="J336" s="12" t="str">
        <x:v>Office Supplies</x:v>
      </x:c>
      <x:c r="K336" s="12" t="str">
        <x:v>Storage</x:v>
      </x:c>
      <x:c r="L336" s="12" t="str">
        <x:v>Pro Storage 563</x:v>
      </x:c>
      <x:c r="M336" s="12" t="str">
        <x:v>First Class</x:v>
      </x:c>
      <x:c r="N336" s="12" t="n">
        <x:v>9</x:v>
      </x:c>
      <x:c r="O336" s="12" t="n">
        <x:v>1921.47</x:v>
      </x:c>
      <x:c r="P336" s="12" t="n">
        <x:v>0.25</x:v>
      </x:c>
      <x:c r="Q336" s="12" t="n">
        <x:v>12969.92</x:v>
      </x:c>
      <x:c r="R336" s="12" t="n">
        <x:v>9398.46</x:v>
      </x:c>
      <x:c r="S336" s="12" t="n">
        <x:v>3571.46</x:v>
      </x:c>
      <x:c r="T336" s="12" t="str">
        <x:v>Paid</x:v>
      </x:c>
      <x:c r="U336" s="12" t="str">
        <x:v>Completed</x:v>
      </x:c>
    </x:row>
    <x:row r="337">
      <x:c r="A337" s="12" t="str">
        <x:v>ORD-2025-10336</x:v>
      </x:c>
      <x:c r="B337" s="12" t="str">
        <x:v>06/16/2025</x:v>
      </x:c>
      <x:c r="C337" s="12" t="str">
        <x:v>18 Jun 2025</x:v>
      </x:c>
      <x:c r="D337" s="12" t="str">
        <x:v>CUST-3621</x:v>
      </x:c>
      <x:c r="E337" s="12" t="str">
        <x:v>Rahul Verma</x:v>
      </x:c>
      <x:c r="F337" s="12" t="str">
        <x:v>Home Office</x:v>
      </x:c>
      <x:c r="G337" s="12" t="str">
        <x:v>West</x:v>
      </x:c>
      <x:c r="H337" s="12" t="str">
        <x:v>Madhya Pradesh</x:v>
      </x:c>
      <x:c r="I337" s="12" t="str">
        <x:v>Indore</x:v>
      </x:c>
      <x:c r="J337" s="12" t="str">
        <x:v>Office Supplies</x:v>
      </x:c>
      <x:c r="K337" s="12" t="str">
        <x:v>Paper</x:v>
      </x:c>
      <x:c r="L337" s="12" t="str">
        <x:v>Prime Paper 559</x:v>
      </x:c>
      <x:c r="M337" s="12" t="str">
        <x:v>First Class</x:v>
      </x:c>
      <x:c r="N337" s="12" t="n">
        <x:v>3</x:v>
      </x:c>
      <x:c r="O337" s="12" t="n">
        <x:v>4289.37</x:v>
      </x:c>
      <x:c r="P337" s="12" t="n">
        <x:v>0.1</x:v>
      </x:c>
      <x:c r="Q337" s="12" t="n">
        <x:v>11581.3</x:v>
      </x:c>
      <x:c r="R337" s="12" t="n">
        <x:v>6829.43</x:v>
      </x:c>
      <x:c r="S337" s="12" t="n">
        <x:v>4751.87</x:v>
      </x:c>
      <x:c r="T337" s="12" t="str">
        <x:v>Paid</x:v>
      </x:c>
      <x:c r="U337" s="12" t="str">
        <x:v>Completed</x:v>
      </x:c>
    </x:row>
    <x:row r="338">
      <x:c r="A338" s="12" t="str">
        <x:v>ORD-2024-10337</x:v>
      </x:c>
      <x:c r="B338" s="12" t="str">
        <x:v>17-03-2024</x:v>
      </x:c>
      <x:c r="C338" s="12" t="str">
        <x:v>03/21/2024</x:v>
      </x:c>
      <x:c r="D338" s="12" t="str">
        <x:v>CUST-2103</x:v>
      </x:c>
      <x:c r="E338" s="12" t="str">
        <x:v>Aarav Sharma</x:v>
      </x:c>
      <x:c r="F338" s="12" t="str">
        <x:v>Consumer</x:v>
      </x:c>
      <x:c r="G338" s="12" t="str">
        <x:v>North</x:v>
      </x:c>
      <x:c r="H338" s="12" t="str">
        <x:v>Rajasthan</x:v>
      </x:c>
      <x:c r="I338" s="12" t="str">
        <x:v>Jaipur</x:v>
      </x:c>
      <x:c r="J338" s="12" t="str">
        <x:v>Technology</x:v>
      </x:c>
      <x:c r="K338" s="12" t="str">
        <x:v>Copiers</x:v>
      </x:c>
      <x:c r="L338" s="12" t="str">
        <x:v>Pro Copiers 999</x:v>
      </x:c>
      <x:c r="M338" s="12" t="str">
        <x:v>First Class</x:v>
      </x:c>
      <x:c r="N338" s="12" t="n">
        <x:v>8</x:v>
      </x:c>
      <x:c r="O338" s="12" t="n">
        <x:v>1992.57</x:v>
      </x:c>
      <x:c r="P338" s="12" t="n">
        <x:v>0</x:v>
      </x:c>
      <x:c r="Q338" s="12" t="n">
        <x:v>15940.56</x:v>
      </x:c>
      <x:c r="R338" s="12" t="n">
        <x:v>12347.15</x:v>
      </x:c>
      <x:c r="S338" s="12" t="n">
        <x:v>3593.41</x:v>
      </x:c>
      <x:c r="T338" s="12" t="str">
        <x:v>Paid</x:v>
      </x:c>
      <x:c r="U338" s="12" t="str">
        <x:v>Completed</x:v>
      </x:c>
    </x:row>
    <x:row r="339">
      <x:c r="A339" s="12" t="str">
        <x:v>ORD-2024-10338</x:v>
      </x:c>
      <x:c r="B339" s="12" t="str">
        <x:v>12 Aug 2024</x:v>
      </x:c>
      <x:c r="C339" s="12" t="str">
        <x:v>18 Aug 2024</x:v>
      </x:c>
      <x:c r="D339" s="12" t="str">
        <x:v>CUST-4599</x:v>
      </x:c>
      <x:c r="E339" s="12" t="str">
        <x:v>Ananya Rao</x:v>
      </x:c>
      <x:c r="F339" s="12" t="str">
        <x:v>Consumer</x:v>
      </x:c>
      <x:c r="G339" s="12" t="str">
        <x:v>East</x:v>
      </x:c>
      <x:c r="H339" s="12" t="str">
        <x:v>Assam</x:v>
      </x:c>
      <x:c r="I339" s="12" t="str">
        <x:v>Guwahati</x:v>
      </x:c>
      <x:c r="J339" s="12" t="str">
        <x:v>Office Supplies</x:v>
      </x:c>
      <x:c r="K339" s="12" t="str">
        <x:v>Labels</x:v>
      </x:c>
      <x:c r="L339" s="12" t="str">
        <x:v>Classic Labels 206</x:v>
      </x:c>
      <x:c r="M339" s="12" t="str">
        <x:v>Same Day</x:v>
      </x:c>
      <x:c r="N339" s="12" t="n">
        <x:v>6</x:v>
      </x:c>
      <x:c r="O339" s="12" t="n">
        <x:v>1181.74</x:v>
      </x:c>
      <x:c r="P339" s="12" t="n">
        <x:v>0</x:v>
      </x:c>
      <x:c r="Q339" s="12" t="n">
        <x:v>7090.44</x:v>
      </x:c>
      <x:c r="R339" s="12" t="n">
        <x:v>5672.27</x:v>
      </x:c>
      <x:c r="S339" s="12" t="n">
        <x:v>1262.87</x:v>
      </x:c>
      <x:c r="T339" s="12" t="str">
        <x:v>Paid</x:v>
      </x:c>
      <x:c r="U339" s="12" t="str">
        <x:v>Completed</x:v>
      </x:c>
    </x:row>
    <x:row r="340">
      <x:c r="A340" s="12" t="str">
        <x:v>ORD-2024-10339</x:v>
      </x:c>
      <x:c r="B340" s="12" t="str">
        <x:v>08-12-2024</x:v>
      </x:c>
      <x:c r="C340" s="12" t="str">
        <x:v>12/08/2024</x:v>
      </x:c>
      <x:c r="D340" s="12" t="str">
        <x:v>CUST-3066</x:v>
      </x:c>
      <x:c r="E340" s="12" t="str">
        <x:v>Arjun Bose</x:v>
      </x:c>
      <x:c r="F340" s="12" t="str">
        <x:v>Small Business</x:v>
      </x:c>
      <x:c r="G340" s="12" t="str">
        <x:v>South</x:v>
      </x:c>
      <x:c r="H340" s="12" t="str">
        <x:v>Andhra Pradesh</x:v>
      </x:c>
      <x:c r="I340" s="12" t="str">
        <x:v>Vijayawada</x:v>
      </x:c>
      <x:c r="J340" s="12" t="str">
        <x:v>Technology</x:v>
      </x:c>
      <x:c r="K340" s="12" t="str">
        <x:v>Accessories</x:v>
      </x:c>
      <x:c r="L340" s="12" t="str">
        <x:v>Eco Accessories 315</x:v>
      </x:c>
      <x:c r="M340" s="12" t="str">
        <x:v>First Class</x:v>
      </x:c>
      <x:c r="N340" s="12" t="n">
        <x:v>8</x:v>
      </x:c>
      <x:c r="O340" s="12" t="n">
        <x:v>4402.36</x:v>
      </x:c>
      <x:c r="P340" s="12" t="n">
        <x:v>0.25</x:v>
      </x:c>
      <x:c r="Q340" s="12" t="n">
        <x:v>26414.16</x:v>
      </x:c>
      <x:c r="R340" s="12" t="n">
        <x:v>21822.53</x:v>
      </x:c>
      <x:c r="S340" s="12" t="n">
        <x:v>4591.63</x:v>
      </x:c>
      <x:c r="T340" s="12" t="str">
        <x:v>Paid</x:v>
      </x:c>
      <x:c r="U340" s="12" t="str">
        <x:v>Completed</x:v>
      </x:c>
    </x:row>
    <x:row r="341">
      <x:c r="A341" s="12" t="str">
        <x:v>ORD-2025-10340</x:v>
      </x:c>
      <x:c r="B341" s="12" t="str">
        <x:v>20-02-2025</x:v>
      </x:c>
      <x:c r="C341" s="12" t="str">
        <x:v>22-02-2025</x:v>
      </x:c>
      <x:c r="D341" s="12" t="str">
        <x:v>CUST-2752</x:v>
      </x:c>
      <x:c r="E341" s="12" t="str">
        <x:v>Neha Gupta</x:v>
      </x:c>
      <x:c r="F341" s="12" t="str">
        <x:v>Corporate</x:v>
      </x:c>
      <x:c r="G341" s="12" t="str">
        <x:v>East</x:v>
      </x:c>
      <x:c r="H341" s="12" t="str">
        <x:v>Jharkhand</x:v>
      </x:c>
      <x:c r="I341" s="12" t="str">
        <x:v>Ranchi</x:v>
      </x:c>
      <x:c r="J341" s="12" t="str">
        <x:v>Furniture</x:v>
      </x:c>
      <x:c r="K341" s="12" t="str">
        <x:v>Bookcases</x:v>
      </x:c>
      <x:c r="L341" s="12" t="str">
        <x:v>Elite Bookcases 988</x:v>
      </x:c>
      <x:c r="M341" s="12" t="str">
        <x:v>Standard Class</x:v>
      </x:c>
      <x:c r="N341" s="12" t="n">
        <x:v>8</x:v>
      </x:c>
      <x:c r="O341" s="12" t="n">
        <x:v>3265.76</x:v>
      </x:c>
      <x:c r="P341" s="12" t="n">
        <x:v>0.2</x:v>
      </x:c>
      <x:c r="Q341" s="12" t="n">
        <x:v>20900.86</x:v>
      </x:c>
      <x:c r="R341" s="12" t="n">
        <x:v>12513.14</x:v>
      </x:c>
      <x:c r="S341" s="12" t="n">
        <x:v>8387.72</x:v>
      </x:c>
      <x:c r="T341" s="12" t="str">
        <x:v>Paid</x:v>
      </x:c>
      <x:c r="U341" s="12" t="str">
        <x:v>Completed</x:v>
      </x:c>
    </x:row>
    <x:row r="342">
      <x:c r="A342" s="12" t="str">
        <x:v>ORD-2024-10341</x:v>
      </x:c>
      <x:c r="B342" s="12" t="str">
        <x:v>21 Jan 2024</x:v>
      </x:c>
      <x:c r="C342" s="12" t="str">
        <x:v>01/29/2024</x:v>
      </x:c>
      <x:c r="D342" s="12" t="str">
        <x:v>CUST-6291</x:v>
      </x:c>
      <x:c r="E342" s="12" t="str">
        <x:v>Neha Gupta</x:v>
      </x:c>
      <x:c r="F342" s="12" t="str">
        <x:v>Consumer</x:v>
      </x:c>
      <x:c r="G342" s="12" t="str">
        <x:v>South</x:v>
      </x:c>
      <x:c r="H342" s="12" t="str">
        <x:v>Karnataka</x:v>
      </x:c>
      <x:c r="I342" s="12" t="str">
        <x:v>Bengaluru</x:v>
      </x:c>
      <x:c r="J342" s="12" t="str">
        <x:v>Office Supplies</x:v>
      </x:c>
      <x:c r="K342" s="12" t="str">
        <x:v>Binders</x:v>
      </x:c>
      <x:c r="L342" s="12" t="str">
        <x:v>Smart Binders 414</x:v>
      </x:c>
      <x:c r="M342" s="12" t="str">
        <x:v>Standard Class</x:v>
      </x:c>
      <x:c r="N342" s="12" t="n">
        <x:v>5</x:v>
      </x:c>
      <x:c r="O342" s="12" t="n">
        <x:v>4058.08</x:v>
      </x:c>
      <x:c r="P342" s="12" t="n">
        <x:v>0.1</x:v>
      </x:c>
      <x:c r="Q342" s="12" t="n">
        <x:v>18261.36</x:v>
      </x:c>
      <x:c r="R342" s="12" t="n">
        <x:v>11399.94</x:v>
      </x:c>
      <x:c r="S342" s="12" t="n">
        <x:v>6861.42</x:v>
      </x:c>
      <x:c r="T342" s="12" t="str">
        <x:v>Paid</x:v>
      </x:c>
      <x:c r="U342" s="12" t="str">
        <x:v>Completed</x:v>
      </x:c>
    </x:row>
    <x:row r="343">
      <x:c r="A343" s="12" t="str">
        <x:v>ORD-2025-10342</x:v>
      </x:c>
      <x:c r="B343" s="12" t="str">
        <x:v>08 Sep 2025</x:v>
      </x:c>
      <x:c r="C343" s="12" t="str">
        <x:v>2025-09-09</x:v>
      </x:c>
      <x:c r="D343" s="12" t="str">
        <x:v>CUST-9969</x:v>
      </x:c>
      <x:c r="E343" s="12" t="str">
        <x:v>Rohan Mehta</x:v>
      </x:c>
      <x:c r="F343" s="12" t="str">
        <x:v>Home Office</x:v>
      </x:c>
      <x:c r="G343" s="12" t="str">
        <x:v>West</x:v>
      </x:c>
      <x:c r="H343" s="12" t="str">
        <x:v>Gujarat</x:v>
      </x:c>
      <x:c r="I343" s="12" t="str">
        <x:v>Ahmedabad</x:v>
      </x:c>
      <x:c r="J343" s="12" t="str">
        <x:v>Furniture</x:v>
      </x:c>
      <x:c r="K343" s="12" t="str">
        <x:v>Chairs</x:v>
      </x:c>
      <x:c r="L343" s="12" t="str">
        <x:v>Eco Chairs 552</x:v>
      </x:c>
      <x:c r="M343" s="12" t="str">
        <x:v>Second Class</x:v>
      </x:c>
      <x:c r="N343" s="12" t="n">
        <x:v>2</x:v>
      </x:c>
      <x:c r="O343" s="12" t="n">
        <x:v>3960.33</x:v>
      </x:c>
      <x:c r="P343" s="12" t="n">
        <x:v>0.05</x:v>
      </x:c>
      <x:c r="Q343" s="12" t="n">
        <x:v>7524.63</x:v>
      </x:c>
      <x:c r="R343" s="12" t="n">
        <x:v>6229.6</x:v>
      </x:c>
      <x:c r="S343" s="12" t="n">
        <x:v>1295.03</x:v>
      </x:c>
      <x:c r="T343" s="12" t="str">
        <x:v>Paid</x:v>
      </x:c>
      <x:c r="U343" s="12" t="str">
        <x:v>Completed</x:v>
      </x:c>
    </x:row>
    <x:row r="344">
      <x:c r="A344" s="12" t="str">
        <x:v>ORD-2025-10343</x:v>
      </x:c>
      <x:c r="B344" s="12" t="str">
        <x:v>24-07-2025</x:v>
      </x:c>
      <x:c r="C344" s="12" t="str">
        <x:v>01-08-2025</x:v>
      </x:c>
      <x:c r="D344" s="12" t="str">
        <x:v>CUST-3335</x:v>
      </x:c>
      <x:c r="E344" s="12" t="str">
        <x:v>Kabir Singh</x:v>
      </x:c>
      <x:c r="F344" s="12" t="str">
        <x:v>Small Business</x:v>
      </x:c>
      <x:c r="G344" s="12" t="str">
        <x:v>East</x:v>
      </x:c>
      <x:c r="H344" s="12" t="str">
        <x:v>Jharkhand</x:v>
      </x:c>
      <x:c r="I344" s="12" t="str">
        <x:v>Ranchi</x:v>
      </x:c>
      <x:c r="J344" s="12" t="str">
        <x:v>Office Supplies</x:v>
      </x:c>
      <x:c r="K344" s="12" t="str">
        <x:v>Binders</x:v>
      </x:c>
      <x:c r="L344" s="12" t="str">
        <x:v>Smart Binders 574</x:v>
      </x:c>
      <x:c r="M344" s="12" t="str">
        <x:v>First Class</x:v>
      </x:c>
      <x:c r="N344" s="12" t="n">
        <x:v>8</x:v>
      </x:c>
      <x:c r="O344" s="12" t="n">
        <x:v>1528.92</x:v>
      </x:c>
      <x:c r="P344" s="12" t="n">
        <x:v>0</x:v>
      </x:c>
      <x:c r="Q344" s="12" t="n">
        <x:v>12231.36</x:v>
      </x:c>
      <x:c r="R344" s="12" t="n">
        <x:v>8766.9</x:v>
      </x:c>
      <x:c r="S344" s="12" t="n">
        <x:v>3464.46</x:v>
      </x:c>
      <x:c r="T344" s="12" t="str">
        <x:v>Paid</x:v>
      </x:c>
      <x:c r="U344" s="12" t="str">
        <x:v>Completed</x:v>
      </x:c>
    </x:row>
    <x:row r="345">
      <x:c r="A345" s="12" t="str">
        <x:v>ORD-2025-10344</x:v>
      </x:c>
      <x:c r="B345" s="12" t="str">
        <x:v>10/03/2025</x:v>
      </x:c>
      <x:c r="C345" s="12" t="str">
        <x:v>08 Oct 2025</x:v>
      </x:c>
      <x:c r="D345" s="12" t="str">
        <x:v>CUST-7358</x:v>
      </x:c>
      <x:c r="E345" s="12" t="str">
        <x:v>Aarav Sharma</x:v>
      </x:c>
      <x:c r="F345" s="12" t="str">
        <x:v>Corporate</x:v>
      </x:c>
      <x:c r="G345" s="12" t="str">
        <x:v>West</x:v>
      </x:c>
      <x:c r="H345" s="12" t="str">
        <x:v>Madhya Pradesh</x:v>
      </x:c>
      <x:c r="I345" s="12" t="str">
        <x:v>Indore</x:v>
      </x:c>
      <x:c r="J345" s="12" t="str">
        <x:v>Technology</x:v>
      </x:c>
      <x:c r="K345" s="12" t="str">
        <x:v>Machines</x:v>
      </x:c>
      <x:c r="L345" s="12" t="str">
        <x:v>Pro Machines 444</x:v>
      </x:c>
      <x:c r="M345" s="12" t="str">
        <x:v>Same Day</x:v>
      </x:c>
      <x:c r="N345" s="12" t="n">
        <x:v>9</x:v>
      </x:c>
      <x:c r="O345" s="12" t="n">
        <x:v>3837</x:v>
      </x:c>
      <x:c r="P345" s="12" t="n">
        <x:v>0.1</x:v>
      </x:c>
      <x:c r="Q345" s="12" t="n">
        <x:v>31079.7</x:v>
      </x:c>
      <x:c r="R345" s="12" t="n">
        <x:v>17758.25</x:v>
      </x:c>
      <x:c r="S345" s="12" t="n">
        <x:v>13321.45</x:v>
      </x:c>
      <x:c r="T345" s="12" t="str">
        <x:v>Paid</x:v>
      </x:c>
      <x:c r="U345" s="12" t="str">
        <x:v>Completed</x:v>
      </x:c>
    </x:row>
    <x:row r="346">
      <x:c r="A346" s="12" t="str">
        <x:v>ORD-2024-10345</x:v>
      </x:c>
      <x:c r="B346" s="12" t="str">
        <x:v>11-03-2024</x:v>
      </x:c>
      <x:c r="C346" s="12" t="str">
        <x:v>11-03-2024</x:v>
      </x:c>
      <x:c r="D346" s="12" t="str">
        <x:v>CUST-8025</x:v>
      </x:c>
      <x:c r="E346" s="12" t="str">
        <x:v>Priya Menon</x:v>
      </x:c>
      <x:c r="F346" s="12" t="str">
        <x:v>Consumer</x:v>
      </x:c>
      <x:c r="G346" s="12" t="str">
        <x:v>North</x:v>
      </x:c>
      <x:c r="H346" s="12" t="str">
        <x:v>Punjab</x:v>
      </x:c>
      <x:c r="I346" s="12" t="str">
        <x:v>Ludhiana</x:v>
      </x:c>
      <x:c r="J346" s="12" t="str">
        <x:v>Furniture</x:v>
      </x:c>
      <x:c r="K346" s="12" t="str">
        <x:v>Bookcases</x:v>
      </x:c>
      <x:c r="L346" s="12" t="str">
        <x:v>Elite Bookcases 184</x:v>
      </x:c>
      <x:c r="M346" s="12" t="str">
        <x:v>Same Day</x:v>
      </x:c>
      <x:c r="N346" s="12" t="n">
        <x:v>9</x:v>
      </x:c>
      <x:c r="O346" s="12" t="n">
        <x:v>3456.38</x:v>
      </x:c>
      <x:c r="P346" s="12" t="n">
        <x:v>0</x:v>
      </x:c>
      <x:c r="Q346" s="12" t="n">
        <x:v>31107.42</x:v>
      </x:c>
      <x:c r="R346" s="12" t="n">
        <x:v>20146.66</x:v>
      </x:c>
      <x:c r="S346" s="12" t="n">
        <x:v>10960.76</x:v>
      </x:c>
      <x:c r="T346" s="12" t="str">
        <x:v>Pending</x:v>
      </x:c>
      <x:c r="U346" s="12" t="str">
        <x:v>Returned</x:v>
      </x:c>
    </x:row>
    <x:row r="347">
      <x:c r="A347" s="12" t="str">
        <x:v>ORD-2024-10346</x:v>
      </x:c>
      <x:c r="B347" s="12" t="str">
        <x:v>2024-09-14</x:v>
      </x:c>
      <x:c r="C347" s="12" t="str">
        <x:v>2024-09-22</x:v>
      </x:c>
      <x:c r="D347" s="12" t="str">
        <x:v>CUST-4634</x:v>
      </x:c>
      <x:c r="E347" s="12" t="str">
        <x:v>Karan Malhotra</x:v>
      </x:c>
      <x:c r="F347" s="12" t="str">
        <x:v>Consumer</x:v>
      </x:c>
      <x:c r="G347" s="12" t="str">
        <x:v>West</x:v>
      </x:c>
      <x:c r="H347" s="12" t="str">
        <x:v>Madhya Pradesh</x:v>
      </x:c>
      <x:c r="I347" s="12" t="str">
        <x:v>Indore</x:v>
      </x:c>
      <x:c r="J347" s="12" t="str">
        <x:v>Furniture</x:v>
      </x:c>
      <x:c r="K347" s="12" t="str">
        <x:v>Furnishings</x:v>
      </x:c>
      <x:c r="L347" s="12" t="str">
        <x:v>Elite Furnishings 138</x:v>
      </x:c>
      <x:c r="M347" s="12" t="str">
        <x:v>Second Class</x:v>
      </x:c>
      <x:c r="N347" s="12" t="n">
        <x:v>2</x:v>
      </x:c>
      <x:c r="O347" s="12" t="n">
        <x:v>2765.3</x:v>
      </x:c>
      <x:c r="P347" s="12" t="n">
        <x:v>0</x:v>
      </x:c>
      <x:c r="Q347" s="12" t="n">
        <x:v>5530.6</x:v>
      </x:c>
      <x:c r="R347" s="12" t="n">
        <x:v>4453.11</x:v>
      </x:c>
      <x:c r="S347" s="12" t="n">
        <x:v>1077.49</x:v>
      </x:c>
      <x:c r="T347" s="12" t="str">
        <x:v>Paid</x:v>
      </x:c>
      <x:c r="U347" s="12" t="str">
        <x:v>Completed</x:v>
      </x:c>
    </x:row>
    <x:row r="348">
      <x:c r="A348" s="12" t="str">
        <x:v>ORD-2025-10347</x:v>
      </x:c>
      <x:c r="B348" s="12" t="str">
        <x:v>2025-07-22</x:v>
      </x:c>
      <x:c r="C348" s="12" t="str">
        <x:v>28-07-2025</x:v>
      </x:c>
      <x:c r="D348" s="12" t="str">
        <x:v>CUST-3400</x:v>
      </x:c>
      <x:c r="E348" s="12" t="str">
        <x:v>Rahul Verma</x:v>
      </x:c>
      <x:c r="F348" s="12" t="str">
        <x:v>Corporate</x:v>
      </x:c>
      <x:c r="G348" s="12" t="str">
        <x:v>South</x:v>
      </x:c>
      <x:c r="H348" s="12" t="str">
        <x:v>Kerala</x:v>
      </x:c>
      <x:c r="I348" s="12" t="str">
        <x:v>Kochi</x:v>
      </x:c>
      <x:c r="J348" s="12" t="str">
        <x:v>Furniture</x:v>
      </x:c>
      <x:c r="K348" s="12" t="str">
        <x:v>Chairs</x:v>
      </x:c>
      <x:c r="L348" s="12" t="str">
        <x:v>Eco Chairs 369</x:v>
      </x:c>
      <x:c r="M348" s="12" t="str">
        <x:v>Second Class</x:v>
      </x:c>
      <x:c r="N348" s="12" t="n">
        <x:v>6</x:v>
      </x:c>
      <x:c r="O348" s="12" t="n">
        <x:v>1607.46</x:v>
      </x:c>
      <x:c r="P348" s="12" t="n">
        <x:v>0.2</x:v>
      </x:c>
      <x:c r="Q348" s="12" t="n">
        <x:v>7715.81</x:v>
      </x:c>
      <x:c r="R348" s="12" t="n">
        <x:v>4258.42</x:v>
      </x:c>
      <x:c r="S348" s="12" t="n">
        <x:v>3457.39</x:v>
      </x:c>
      <x:c r="T348" s="12" t="str">
        <x:v>Paid</x:v>
      </x:c>
      <x:c r="U348" s="12" t="str">
        <x:v>Completed</x:v>
      </x:c>
    </x:row>
    <x:row r="349">
      <x:c r="A349" s="12" t="str">
        <x:v>ORD-2024-10348</x:v>
      </x:c>
      <x:c r="B349" s="12" t="str">
        <x:v>01-12-2024</x:v>
      </x:c>
      <x:c r="C349" s="12" t="str">
        <x:v>12/08/2024</x:v>
      </x:c>
      <x:c r="D349" s="12" t="str">
        <x:v>CUST-1172</x:v>
      </x:c>
      <x:c r="E349" s="12" t="str">
        <x:v>Aarav Sharma</x:v>
      </x:c>
      <x:c r="F349" s="12" t="str">
        <x:v>Small Business</x:v>
      </x:c>
      <x:c r="G349" s="12" t="str">
        <x:v>West</x:v>
      </x:c>
      <x:c r="H349" s="12" t="str">
        <x:v>Goa</x:v>
      </x:c>
      <x:c r="I349" s="12" t="str">
        <x:v>Panaji</x:v>
      </x:c>
      <x:c r="J349" s="12" t="str">
        <x:v>Furniture</x:v>
      </x:c>
      <x:c r="K349" s="12" t="str">
        <x:v>Chairs</x:v>
      </x:c>
      <x:c r="L349" s="12" t="str">
        <x:v>Max Chairs 487</x:v>
      </x:c>
      <x:c r="M349" s="12" t="str">
        <x:v>Second Class</x:v>
      </x:c>
      <x:c r="N349" s="12" t="n">
        <x:v>5</x:v>
      </x:c>
      <x:c r="O349" s="12" t="n">
        <x:v>2981.49</x:v>
      </x:c>
      <x:c r="P349" s="12" t="n">
        <x:v>0.2</x:v>
      </x:c>
      <x:c r="Q349" s="12" t="n">
        <x:v>11925.96</x:v>
      </x:c>
      <x:c r="R349" s="12" t="n">
        <x:v>10103.51</x:v>
      </x:c>
      <x:c r="S349" s="12" t="n">
        <x:v>1822.45</x:v>
      </x:c>
      <x:c r="T349" s="12" t="str">
        <x:v>Refunded</x:v>
      </x:c>
      <x:c r="U349" s="12" t="str">
        <x:v>Returned</x:v>
      </x:c>
    </x:row>
    <x:row r="350">
      <x:c r="A350" s="12" t="str">
        <x:v>ORD-2024-10349</x:v>
      </x:c>
      <x:c r="B350" s="12" t="str">
        <x:v>06/02/2024</x:v>
      </x:c>
      <x:c r="C350" s="12" t="str">
        <x:v>06/07/2024</x:v>
      </x:c>
      <x:c r="D350" s="12" t="str">
        <x:v>CUST-9517</x:v>
      </x:c>
      <x:c r="E350" s="12" t="str">
        <x:v>Aarav Sharma</x:v>
      </x:c>
      <x:c r="F350" s="12" t="str">
        <x:v>Corporate</x:v>
      </x:c>
      <x:c r="G350" s="12" t="str">
        <x:v>South</x:v>
      </x:c>
      <x:c r="H350" s="12" t="str">
        <x:v>Karnataka</x:v>
      </x:c>
      <x:c r="I350" s="12" t="str">
        <x:v>Bengaluru</x:v>
      </x:c>
      <x:c r="J350" s="12" t="str">
        <x:v>Technology</x:v>
      </x:c>
      <x:c r="K350" s="12" t="str">
        <x:v>Phones</x:v>
      </x:c>
      <x:c r="L350" s="12" t="str">
        <x:v>Classic Phones 989</x:v>
      </x:c>
      <x:c r="M350" s="12" t="str">
        <x:v>Same Day</x:v>
      </x:c>
      <x:c r="N350" s="12" t="n">
        <x:v>9</x:v>
      </x:c>
      <x:c r="O350" s="12" t="n">
        <x:v>2860.26</x:v>
      </x:c>
      <x:c r="P350" s="12" t="n">
        <x:v>0.25</x:v>
      </x:c>
      <x:c r="Q350" s="12" t="n">
        <x:v>19306.76</x:v>
      </x:c>
      <x:c r="R350" s="12" t="n">
        <x:v>14442.38</x:v>
      </x:c>
      <x:c r="S350" s="12" t="n">
        <x:v>4864.38</x:v>
      </x:c>
      <x:c r="T350" s="12" t="str">
        <x:v>Paid</x:v>
      </x:c>
      <x:c r="U350" s="12" t="str">
        <x:v>Completed</x:v>
      </x:c>
    </x:row>
    <x:row r="351">
      <x:c r="A351" s="12" t="str">
        <x:v>ORD-2025-10350</x:v>
      </x:c>
      <x:c r="B351" s="12" t="str">
        <x:v>27-09-2025</x:v>
      </x:c>
      <x:c r="C351" s="12" t="str">
        <x:v>09/29/2025</x:v>
      </x:c>
      <x:c r="D351" s="12" t="str">
        <x:v>CUST-6697</x:v>
      </x:c>
      <x:c r="E351" s="12" t="str">
        <x:v>Kabir Singh</x:v>
      </x:c>
      <x:c r="F351" s="12" t="str">
        <x:v>Home Office</x:v>
      </x:c>
      <x:c r="G351" s="12" t="str">
        <x:v>East</x:v>
      </x:c>
      <x:c r="H351" s="12" t="str">
        <x:v>Jharkhand</x:v>
      </x:c>
      <x:c r="I351" s="12" t="str">
        <x:v>Ranchi</x:v>
      </x:c>
      <x:c r="J351" s="12" t="str">
        <x:v>Furniture</x:v>
      </x:c>
      <x:c r="K351" s="12" t="str">
        <x:v>Furnishings</x:v>
      </x:c>
      <x:c r="L351" s="12" t="str">
        <x:v>Max Furnishings 628</x:v>
      </x:c>
      <x:c r="M351" s="12" t="str">
        <x:v>Second Class</x:v>
      </x:c>
      <x:c r="N351" s="12" t="n">
        <x:v>9</x:v>
      </x:c>
      <x:c r="O351" s="12" t="n">
        <x:v>2867.55</x:v>
      </x:c>
      <x:c r="P351" s="12" t="n">
        <x:v>0.25</x:v>
      </x:c>
      <x:c r="Q351" s="12" t="n">
        <x:v>19355.96</x:v>
      </x:c>
      <x:c r="R351" s="12" t="n">
        <x:v>15012.45</x:v>
      </x:c>
      <x:c r="S351" s="12" t="n">
        <x:v>4017.4</x:v>
      </x:c>
      <x:c r="T351" s="12" t="str">
        <x:v>Paid</x:v>
      </x:c>
      <x:c r="U351" s="12" t="str">
        <x:v>Completed</x:v>
      </x:c>
    </x:row>
    <x:row r="352">
      <x:c r="A352" s="12" t="str">
        <x:v>ORD-2024-10351</x:v>
      </x:c>
      <x:c r="B352" s="12" t="str">
        <x:v>07-01-2024</x:v>
      </x:c>
      <x:c r="C352" s="12" t="str">
        <x:v>14 Jan 2024</x:v>
      </x:c>
      <x:c r="D352" s="12" t="str">
        <x:v>CUST-7644</x:v>
      </x:c>
      <x:c r="E352" s="12" t="str">
        <x:v>Sneha Kapoor</x:v>
      </x:c>
      <x:c r="F352" s="12" t="str">
        <x:v>Small Business</x:v>
      </x:c>
      <x:c r="G352" s="12" t="str">
        <x:v>East</x:v>
      </x:c>
      <x:c r="H352" s="12" t="str">
        <x:v>Jharkhand</x:v>
      </x:c>
      <x:c r="I352" s="12" t="str">
        <x:v>Ranchi</x:v>
      </x:c>
      <x:c r="J352" s="12" t="str">
        <x:v>Furniture</x:v>
      </x:c>
      <x:c r="K352" s="12" t="str">
        <x:v>Furnishings</x:v>
      </x:c>
      <x:c r="L352" s="12" t="str">
        <x:v>Elite Furnishings 279</x:v>
      </x:c>
      <x:c r="M352" s="12" t="str">
        <x:v>Second Class</x:v>
      </x:c>
      <x:c r="N352" s="12" t="n">
        <x:v>4</x:v>
      </x:c>
      <x:c r="O352" s="12" t="n">
        <x:v>3309.54</x:v>
      </x:c>
      <x:c r="P352" s="12" t="n">
        <x:v>0.1</x:v>
      </x:c>
      <x:c r="Q352" s="12" t="n">
        <x:v>11914.34</x:v>
      </x:c>
      <x:c r="R352" s="12" t="n">
        <x:v>9771.24</x:v>
      </x:c>
      <x:c r="S352" s="12" t="n">
        <x:v>2143.1</x:v>
      </x:c>
      <x:c r="T352" s="12" t="str">
        <x:v>Refunded</x:v>
      </x:c>
      <x:c r="U352" s="12" t="str">
        <x:v>Returned</x:v>
      </x:c>
    </x:row>
    <x:row r="353">
      <x:c r="A353" s="12" t="str">
        <x:v>ORD-2025-10352</x:v>
      </x:c>
      <x:c r="B353" s="12" t="str">
        <x:v>23-05-2025</x:v>
      </x:c>
      <x:c r="C353" s="12" t="str">
        <x:v>27 May 2025</x:v>
      </x:c>
      <x:c r="D353" s="12" t="str">
        <x:v>CUST-9963</x:v>
      </x:c>
      <x:c r="E353" s="12" t="str">
        <x:v>Vikram Iyer</x:v>
      </x:c>
      <x:c r="F353" s="12" t="str">
        <x:v>Small Business</x:v>
      </x:c>
      <x:c r="G353" s="12" t="str">
        <x:v>South</x:v>
      </x:c>
      <x:c r="H353" s="12" t="str">
        <x:v>Telangana</x:v>
      </x:c>
      <x:c r="I353" s="12" t="str">
        <x:v>Hyderabad</x:v>
      </x:c>
      <x:c r="J353" s="12" t="str">
        <x:v>Office Supplies</x:v>
      </x:c>
      <x:c r="K353" s="12" t="str">
        <x:v>Storage</x:v>
      </x:c>
      <x:c r="L353" s="12" t="str">
        <x:v>Pro Storage 847</x:v>
      </x:c>
      <x:c r="M353" s="12" t="str">
        <x:v>First Class</x:v>
      </x:c>
      <x:c r="N353" s="12" t="n">
        <x:v>6</x:v>
      </x:c>
      <x:c r="O353" s="12" t="n">
        <x:v>719.44</x:v>
      </x:c>
      <x:c r="P353" s="12" t="n">
        <x:v>0.25</x:v>
      </x:c>
      <x:c r="Q353" s="12" t="n">
        <x:v>3237.48</x:v>
      </x:c>
      <x:c r="R353" s="12" t="n">
        <x:v>2118.34</x:v>
      </x:c>
      <x:c r="S353" s="12" t="n">
        <x:v>1119.14</x:v>
      </x:c>
      <x:c r="T353" s="12" t="str">
        <x:v>Pending</x:v>
      </x:c>
      <x:c r="U353" s="12" t="str">
        <x:v>Cancelled</x:v>
      </x:c>
    </x:row>
    <x:row r="354">
      <x:c r="A354" s="12" t="str">
        <x:v>ORD-2025-10353</x:v>
      </x:c>
      <x:c r="B354" s="12" t="str">
        <x:v>15 Aug 2025</x:v>
      </x:c>
      <x:c r="C354" s="12" t="str">
        <x:v>08/17/2025</x:v>
      </x:c>
      <x:c r="D354" s="12" t="str">
        <x:v>CUST-6382</x:v>
      </x:c>
      <x:c r="E354" s="12" t="str">
        <x:v>Diya Patel</x:v>
      </x:c>
      <x:c r="F354" s="12" t="str">
        <x:v>Small Business</x:v>
      </x:c>
      <x:c r="G354" s="12" t="str">
        <x:v>East</x:v>
      </x:c>
      <x:c r="H354" s="12" t="str">
        <x:v>Assam</x:v>
      </x:c>
      <x:c r="I354" s="12" t="str">
        <x:v>Guwahati</x:v>
      </x:c>
      <x:c r="J354" s="12" t="str">
        <x:v>Technology</x:v>
      </x:c>
      <x:c r="K354" s="12" t="str">
        <x:v>Copiers</x:v>
      </x:c>
      <x:c r="L354" s="12" t="str">
        <x:v>Elite Copiers 706</x:v>
      </x:c>
      <x:c r="M354" s="12" t="str">
        <x:v>First Class</x:v>
      </x:c>
      <x:c r="N354" s="12" t="n">
        <x:v>5</x:v>
      </x:c>
      <x:c r="O354" s="12" t="n">
        <x:v>2862.6</x:v>
      </x:c>
      <x:c r="P354" s="12" t="n">
        <x:v>0.25</x:v>
      </x:c>
      <x:c r="Q354" s="12" t="n">
        <x:v>10734.75</x:v>
      </x:c>
      <x:c r="R354" s="12" t="n">
        <x:v>6475.73</x:v>
      </x:c>
      <x:c r="S354" s="12" t="n">
        <x:v>4259.02</x:v>
      </x:c>
      <x:c r="T354" s="12" t="str">
        <x:v>Paid</x:v>
      </x:c>
      <x:c r="U354" s="12" t="str">
        <x:v>Completed</x:v>
      </x:c>
    </x:row>
    <x:row r="355">
      <x:c r="A355" s="12" t="str">
        <x:v>ORD-2025-10354</x:v>
      </x:c>
      <x:c r="B355" s="12" t="str">
        <x:v>21-02-2025</x:v>
      </x:c>
      <x:c r="C355" s="12" t="str">
        <x:v>27-02-2025</x:v>
      </x:c>
      <x:c r="D355" s="12" t="str">
        <x:v>CUST-3253</x:v>
      </x:c>
      <x:c r="E355" s="12" t="str">
        <x:v>Ananya Rao</x:v>
      </x:c>
      <x:c r="F355" s="12" t="str">
        <x:v>Consumer</x:v>
      </x:c>
      <x:c r="G355" s="12" t="str">
        <x:v>North</x:v>
      </x:c>
      <x:c r="H355" s="12" t="str">
        <x:v>Rajasthan</x:v>
      </x:c>
      <x:c r="I355" s="12" t="str">
        <x:v>Jaipur</x:v>
      </x:c>
      <x:c r="J355" s="12" t="str">
        <x:v>Office Supplies</x:v>
      </x:c>
      <x:c r="K355" s="12" t="str">
        <x:v>Art</x:v>
      </x:c>
      <x:c r="L355" s="12" t="str">
        <x:v>Prime Art 978</x:v>
      </x:c>
      <x:c r="M355" s="12" t="str">
        <x:v>Same Day</x:v>
      </x:c>
      <x:c r="N355" s="12" t="n">
        <x:v>9</x:v>
      </x:c>
      <x:c r="O355" s="12" t="n">
        <x:v>1431.67</x:v>
      </x:c>
      <x:c r="P355" s="12" t="n">
        <x:v>0.2</x:v>
      </x:c>
      <x:c r="Q355" s="12" t="n">
        <x:v>10308.02</x:v>
      </x:c>
      <x:c r="R355" s="12" t="n">
        <x:v>5822.31</x:v>
      </x:c>
      <x:c r="S355" s="12" t="n">
        <x:v>4485.71</x:v>
      </x:c>
      <x:c r="T355" s="12" t="str">
        <x:v>Paid</x:v>
      </x:c>
      <x:c r="U355" s="12" t="str">
        <x:v>Completed</x:v>
      </x:c>
    </x:row>
    <x:row r="356">
      <x:c r="A356" s="12" t="str">
        <x:v>ORD-2024-10355</x:v>
      </x:c>
      <x:c r="B356" s="12" t="str">
        <x:v>27 Dec 2024</x:v>
      </x:c>
      <x:c r="C356" s="12" t="str">
        <x:v>2024-12-31</x:v>
      </x:c>
      <x:c r="D356" s="12" t="str">
        <x:v>CUST-1058</x:v>
      </x:c>
      <x:c r="E356" s="12" t="str">
        <x:v>Kabir Singh</x:v>
      </x:c>
      <x:c r="F356" s="12" t="str">
        <x:v>corporate</x:v>
      </x:c>
      <x:c r="G356" s="12" t="str">
        <x:v>North</x:v>
      </x:c>
      <x:c r="H356" s="12" t="str">
        <x:v>Punjab</x:v>
      </x:c>
      <x:c r="I356" s="12" t="str">
        <x:v>Ludhiana</x:v>
      </x:c>
      <x:c r="J356" s="12" t="str">
        <x:v>Furniture</x:v>
      </x:c>
      <x:c r="K356" s="12" t="str">
        <x:v>Furnishings</x:v>
      </x:c>
      <x:c r="L356" s="12" t="str">
        <x:v>Classic Furnishings 498</x:v>
      </x:c>
      <x:c r="M356" s="12" t="str">
        <x:v>Standard Class</x:v>
      </x:c>
      <x:c r="N356" s="12" t="n">
        <x:v>6</x:v>
      </x:c>
      <x:c r="O356" s="12" t="n">
        <x:v>3346.78</x:v>
      </x:c>
      <x:c r="P356" s="12" t="n">
        <x:v>-0.06</x:v>
      </x:c>
      <x:c r="Q356" s="12" t="n">
        <x:v>20080.68</x:v>
      </x:c>
      <x:c r="R356" s="12" t="n">
        <x:v>12908.84</x:v>
      </x:c>
      <x:c r="S356" s="12" t="n">
        <x:v>7171.84</x:v>
      </x:c>
      <x:c r="T356" s="12" t="str">
        <x:v>Pending</x:v>
      </x:c>
      <x:c r="U356" s="12" t="str">
        <x:v>Cancelled</x:v>
      </x:c>
    </x:row>
    <x:row r="357">
      <x:c r="A357" s="12" t="str">
        <x:v>ORD-2024-10356</x:v>
      </x:c>
      <x:c r="B357" s="12" t="str">
        <x:v>12-05-2024</x:v>
      </x:c>
      <x:c r="C357" s="12" t="str">
        <x:v>2024-05-09</x:v>
      </x:c>
      <x:c r="D357" s="12" t="str">
        <x:v>CUST-6414</x:v>
      </x:c>
      <x:c r="E357" s="12" t="str">
        <x:v>Priya Menon</x:v>
      </x:c>
      <x:c r="F357" s="12" t="str">
        <x:v>Corporate</x:v>
      </x:c>
      <x:c r="G357" s="12" t="str">
        <x:v>West</x:v>
      </x:c>
      <x:c r="H357" s="12" t="str">
        <x:v>Rajasthan</x:v>
      </x:c>
      <x:c r="I357" s="12" t="str">
        <x:v>Udaipur</x:v>
      </x:c>
      <x:c r="J357" s="12" t="str">
        <x:v>Furniture</x:v>
      </x:c>
      <x:c r="K357" s="12" t="str">
        <x:v>Tables</x:v>
      </x:c>
      <x:c r="L357" s="12" t="str">
        <x:v>Max Tables 829</x:v>
      </x:c>
      <x:c r="M357" s="12" t="str">
        <x:v>Standard Class</x:v>
      </x:c>
      <x:c r="N357" s="12" t="n">
        <x:v>5</x:v>
      </x:c>
      <x:c r="O357" s="12" t="n">
        <x:v>3203.48</x:v>
      </x:c>
      <x:c r="P357" s="12" t="n">
        <x:v>0</x:v>
      </x:c>
      <x:c r="Q357" s="12" t="n">
        <x:v>16017.4</x:v>
      </x:c>
      <x:c r="R357" s="12" t="n">
        <x:v>9557.8</x:v>
      </x:c>
      <x:c r="S357" s="12" t="n">
        <x:v>6459.6</x:v>
      </x:c>
      <x:c r="T357" s="12" t="str">
        <x:v>Pending</x:v>
      </x:c>
      <x:c r="U357" s="12" t="str">
        <x:v>Cancelled</x:v>
      </x:c>
    </x:row>
    <x:row r="358">
      <x:c r="A358" s="12" t="str">
        <x:v>ORD-2025-10357</x:v>
      </x:c>
      <x:c r="B358" s="12" t="str">
        <x:v>27 Jun 2025</x:v>
      </x:c>
      <x:c r="C358" s="12" t="str">
        <x:v>29 Jun 2025</x:v>
      </x:c>
      <x:c r="D358" s="12" t="str">
        <x:v>CUST-9268</x:v>
      </x:c>
      <x:c r="E358" s="12" t="str">
        <x:v>Rohan Mehta</x:v>
      </x:c>
      <x:c r="F358" s="12" t="str">
        <x:v>Home Office</x:v>
      </x:c>
      <x:c r="G358" s="12" t="str">
        <x:v>South</x:v>
      </x:c>
      <x:c r="H358" s="12" t="str">
        <x:v>Telangana</x:v>
      </x:c>
      <x:c r="I358" s="12" t="str">
        <x:v>Hyderabad</x:v>
      </x:c>
      <x:c r="J358" s="12" t="str">
        <x:v>Furniture</x:v>
      </x:c>
      <x:c r="K358" s="12" t="str">
        <x:v>Chairs</x:v>
      </x:c>
      <x:c r="L358" s="12" t="str">
        <x:v>Eco Chairs 346</x:v>
      </x:c>
      <x:c r="M358" s="12" t="str">
        <x:v>First Class</x:v>
      </x:c>
      <x:c r="N358" s="12" t="n">
        <x:v>5</x:v>
      </x:c>
      <x:c r="O358" s="12" t="n">
        <x:v>621.7</x:v>
      </x:c>
      <x:c r="P358" s="12" t="n">
        <x:v>0.2</x:v>
      </x:c>
      <x:c r="Q358" s="12" t="n">
        <x:v>2486.8</x:v>
      </x:c>
      <x:c r="R358" s="12" t="n">
        <x:v>2131.73</x:v>
      </x:c>
      <x:c r="S358" s="12" t="n">
        <x:v>355.07</x:v>
      </x:c>
      <x:c r="T358" s="12" t="str">
        <x:v>Pending</x:v>
      </x:c>
      <x:c r="U358" s="12" t="str">
        <x:v>Returned</x:v>
      </x:c>
    </x:row>
    <x:row r="359">
      <x:c r="A359" s="12" t="str">
        <x:v>ORD-2025-10358</x:v>
      </x:c>
      <x:c r="B359" s="12" t="str">
        <x:v>2025-01-21</x:v>
      </x:c>
      <x:c r="C359" s="12" t="str">
        <x:v>01/29/2025</x:v>
      </x:c>
      <x:c r="D359" s="12" t="str">
        <x:v>CUST-1363</x:v>
      </x:c>
      <x:c r="E359" s="12" t="str">
        <x:v>Mira Das</x:v>
      </x:c>
      <x:c r="F359" s="12" t="str">
        <x:v>Home Office</x:v>
      </x:c>
      <x:c r="G359" s="12" t="str">
        <x:v>South</x:v>
      </x:c>
      <x:c r="H359" s="12" t="str">
        <x:v>Andhra Pradesh</x:v>
      </x:c>
      <x:c r="I359" s="12" t="str">
        <x:v>Vijayawada</x:v>
      </x:c>
      <x:c r="J359" s="12" t="str">
        <x:v>Technology</x:v>
      </x:c>
      <x:c r="K359" s="12" t="str">
        <x:v>Machines</x:v>
      </x:c>
      <x:c r="L359" s="12" t="str">
        <x:v>Max Machines 770</x:v>
      </x:c>
      <x:c r="M359" s="12" t="str">
        <x:v>Second Class</x:v>
      </x:c>
      <x:c r="N359" s="12" t="n">
        <x:v>8</x:v>
      </x:c>
      <x:c r="O359" s="12" t="n">
        <x:v>546.13</x:v>
      </x:c>
      <x:c r="P359" s="12" t="n">
        <x:v>0</x:v>
      </x:c>
      <x:c r="Q359" s="12" t="n">
        <x:v>4369.04</x:v>
      </x:c>
      <x:c r="R359" s="12" t="n">
        <x:v>3716.88</x:v>
      </x:c>
      <x:c r="S359" s="12" t="n">
        <x:v>652.16</x:v>
      </x:c>
      <x:c r="T359" s="12" t="str">
        <x:v>Paid</x:v>
      </x:c>
      <x:c r="U359" s="12" t="str">
        <x:v>Cancelled</x:v>
      </x:c>
    </x:row>
    <x:row r="360">
      <x:c r="A360" s="12" t="str">
        <x:v>ORD-2025-10359</x:v>
      </x:c>
      <x:c r="B360" s="12" t="str">
        <x:v>08/09/2025</x:v>
      </x:c>
      <x:c r="C360" s="12" t="str">
        <x:v>2025-08-07</x:v>
      </x:c>
      <x:c r="D360" s="12" t="str">
        <x:v>CUST-2477</x:v>
      </x:c>
      <x:c r="E360" s="12" t="str">
        <x:v>Vikram Iyer</x:v>
      </x:c>
      <x:c r="F360" s="12" t="str">
        <x:v>Home Office</x:v>
      </x:c>
      <x:c r="G360" s="12" t="str">
        <x:v>West</x:v>
      </x:c>
      <x:c r="H360" s="12" t="str">
        <x:v>Gujarat</x:v>
      </x:c>
      <x:c r="I360" s="12" t="str">
        <x:v>Ahmedabad</x:v>
      </x:c>
      <x:c r="J360" s="12" t="str">
        <x:v>Furniture</x:v>
      </x:c>
      <x:c r="K360" s="12" t="str">
        <x:v>Bookcases</x:v>
      </x:c>
      <x:c r="L360" s="12" t="str">
        <x:v>Smart Bookcases 134</x:v>
      </x:c>
      <x:c r="M360" s="12" t="str">
        <x:v>Second Class</x:v>
      </x:c>
      <x:c r="N360" s="12" t="n">
        <x:v>5</x:v>
      </x:c>
      <x:c r="O360" s="12" t="n">
        <x:v>1253.92</x:v>
      </x:c>
      <x:c r="P360" s="12" t="n">
        <x:v>0.05</x:v>
      </x:c>
      <x:c r="Q360" s="12" t="n">
        <x:v>5956.12</x:v>
      </x:c>
      <x:c r="R360" s="12" t="n">
        <x:v>4379.18</x:v>
      </x:c>
      <x:c r="S360" s="12" t="n">
        <x:v>1576.94</x:v>
      </x:c>
      <x:c r="T360" s="12" t="str">
        <x:v>Pending</x:v>
      </x:c>
      <x:c r="U360" s="12" t="str">
        <x:v>Returned</x:v>
      </x:c>
    </x:row>
    <x:row r="361">
      <x:c r="A361" s="12" t="str">
        <x:v>ORD-2024-10360</x:v>
      </x:c>
      <x:c r="B361" s="12" t="str">
        <x:v>21 Aug 2024</x:v>
      </x:c>
      <x:c r="C361" s="12" t="str">
        <x:v>22-08-2024</x:v>
      </x:c>
      <x:c r="D361" s="12" t="str">
        <x:v>CUST-9571</x:v>
      </x:c>
      <x:c r="E361" s="12" t="str">
        <x:v>Isha Nair</x:v>
      </x:c>
      <x:c r="F361" s="12" t="str">
        <x:v>Consumer</x:v>
      </x:c>
      <x:c r="G361" s="12" t="str">
        <x:v>South</x:v>
      </x:c>
      <x:c r="H361" s="12" t="str">
        <x:v>Tamil Nadu</x:v>
      </x:c>
      <x:c r="I361" s="12" t="str">
        <x:v>Chennai</x:v>
      </x:c>
      <x:c r="J361" s="12" t="str">
        <x:v>Technology</x:v>
      </x:c>
      <x:c r="K361" s="12" t="str">
        <x:v>Phones</x:v>
      </x:c>
      <x:c r="L361" s="12" t="str">
        <x:v>Classic Phones 586</x:v>
      </x:c>
      <x:c r="M361" s="12" t="str">
        <x:v>Same Day</x:v>
      </x:c>
      <x:c r="N361" s="12" t="n">
        <x:v>9</x:v>
      </x:c>
      <x:c r="O361" s="12" t="n">
        <x:v>616.96</x:v>
      </x:c>
      <x:c r="P361" s="12" t="n">
        <x:v>0.1</x:v>
      </x:c>
      <x:c r="Q361" s="12" t="n">
        <x:v>4997.38</x:v>
      </x:c>
      <x:c r="R361" s="12" t="n">
        <x:v>2971.39</x:v>
      </x:c>
      <x:c r="S361" s="12" t="n">
        <x:v>2025.99</x:v>
      </x:c>
      <x:c r="T361" s="12" t="str">
        <x:v>Paid</x:v>
      </x:c>
      <x:c r="U361" s="12" t="str">
        <x:v>Completed</x:v>
      </x:c>
    </x:row>
    <x:row r="362">
      <x:c r="A362" s="12" t="str">
        <x:v>ORD-2024-10361</x:v>
      </x:c>
      <x:c r="B362" s="12" t="str">
        <x:v>17 Jun 2024</x:v>
      </x:c>
      <x:c r="C362" s="12" t="str">
        <x:v>2024-06-20</x:v>
      </x:c>
      <x:c r="D362" s="12" t="str">
        <x:v>CUST-3690</x:v>
      </x:c>
      <x:c r="E362" s="12" t="str">
        <x:v>Sneha Kapoor</x:v>
      </x:c>
      <x:c r="F362" s="12" t="str">
        <x:v>Small Business</x:v>
      </x:c>
      <x:c r="G362" s="12" t="str">
        <x:v>West</x:v>
      </x:c>
      <x:c r="H362" s="12" t="str">
        <x:v>Gujarat</x:v>
      </x:c>
      <x:c r="I362" s="12" t="str">
        <x:v>Ahmedabad</x:v>
      </x:c>
      <x:c r="J362" s="12" t="str">
        <x:v>Furniture</x:v>
      </x:c>
      <x:c r="K362" s="12" t="str">
        <x:v>Furnishings</x:v>
      </x:c>
      <x:c r="L362" s="12" t="str">
        <x:v>Elite Furnishings 634</x:v>
      </x:c>
      <x:c r="M362" s="12" t="str">
        <x:v>Standard Class</x:v>
      </x:c>
      <x:c r="N362" s="12" t="n">
        <x:v>7</x:v>
      </x:c>
      <x:c r="O362" s="12" t="n">
        <x:v>3155.25</x:v>
      </x:c>
      <x:c r="P362" s="12" t="n">
        <x:v>0.2</x:v>
      </x:c>
      <x:c r="Q362" s="12" t="n">
        <x:v>17669.4</x:v>
      </x:c>
      <x:c r="R362" s="12" t="n">
        <x:v>13718.77</x:v>
      </x:c>
      <x:c r="S362" s="12" t="n">
        <x:v>3950.63</x:v>
      </x:c>
      <x:c r="T362" s="12" t="str">
        <x:v>Refunded</x:v>
      </x:c>
      <x:c r="U362" s="12" t="str">
        <x:v>Cancelled</x:v>
      </x:c>
    </x:row>
    <x:row r="363">
      <x:c r="A363" s="12" t="str">
        <x:v>ORD-2025-10362</x:v>
      </x:c>
      <x:c r="B363" s="12" t="str">
        <x:v>01-04-2025</x:v>
      </x:c>
      <x:c r="C363" s="12" t="str">
        <x:v>2025-04-02</x:v>
      </x:c>
      <x:c r="D363" s="12" t="str">
        <x:v>CUST-2909</x:v>
      </x:c>
      <x:c r="E363" s="12" t="str">
        <x:v>Rohan Mehta</x:v>
      </x:c>
      <x:c r="F363" s="12" t="str">
        <x:v>Corporate</x:v>
      </x:c>
      <x:c r="G363" s="12" t="str">
        <x:v>East</x:v>
      </x:c>
      <x:c r="H363" s="12" t="str">
        <x:v>Odisha</x:v>
      </x:c>
      <x:c r="I363" s="12" t="str">
        <x:v>Bhubaneswar</x:v>
      </x:c>
      <x:c r="J363" s="12" t="str">
        <x:v>Furniture</x:v>
      </x:c>
      <x:c r="K363" s="12" t="str">
        <x:v>Chairs</x:v>
      </x:c>
      <x:c r="L363" s="12" t="str">
        <x:v>Basic Chairs 113</x:v>
      </x:c>
      <x:c r="M363" s="12" t="str">
        <x:v>Second Class</x:v>
      </x:c>
      <x:c r="N363" s="12" t="n">
        <x:v>9</x:v>
      </x:c>
      <x:c r="O363" s="12" t="n">
        <x:v>4165.58</x:v>
      </x:c>
      <x:c r="P363" s="12" t="n">
        <x:v>0.05</x:v>
      </x:c>
      <x:c r="Q363" s="12" t="n">
        <x:v>35615.71</x:v>
      </x:c>
      <x:c r="R363" s="12" t="n">
        <x:v>20389.71</x:v>
      </x:c>
      <x:c r="S363" s="12" t="n">
        <x:v>15226</x:v>
      </x:c>
      <x:c r="T363" s="12" t="str">
        <x:v>Pending</x:v>
      </x:c>
      <x:c r="U363" s="12" t="str">
        <x:v>Returned</x:v>
      </x:c>
    </x:row>
    <x:row r="364">
      <x:c r="A364" s="12" t="str">
        <x:v>ORD-2024-10363</x:v>
      </x:c>
      <x:c r="B364" s="12" t="str">
        <x:v>23 Aug 2024</x:v>
      </x:c>
      <x:c r="C364" s="12" t="str">
        <x:v>25-08-2024</x:v>
      </x:c>
      <x:c r="D364" s="12" t="str">
        <x:v>CUST-6755</x:v>
      </x:c>
      <x:c r="E364" s="12" t="str">
        <x:v>Vikram Iyer</x:v>
      </x:c>
      <x:c r="F364" s="12" t="str">
        <x:v>Consumer</x:v>
      </x:c>
      <x:c r="G364" s="12" t="str">
        <x:v>West</x:v>
      </x:c>
      <x:c r="H364" s="12" t="str">
        <x:v>Goa</x:v>
      </x:c>
      <x:c r="I364" s="12" t="str">
        <x:v>Panaji</x:v>
      </x:c>
      <x:c r="J364" s="12" t="str">
        <x:v>Technology</x:v>
      </x:c>
      <x:c r="K364" s="12" t="str">
        <x:v>Machines</x:v>
      </x:c>
      <x:c r="L364" s="12" t="str">
        <x:v>Elite Machines 216</x:v>
      </x:c>
      <x:c r="M364" s="12" t="str">
        <x:v>Same Day</x:v>
      </x:c>
      <x:c r="N364" s="12" t="n">
        <x:v>4</x:v>
      </x:c>
      <x:c r="O364" s="12" t="n">
        <x:v>491.16</x:v>
      </x:c>
      <x:c r="P364" s="12" t="n">
        <x:v>0.05</x:v>
      </x:c>
      <x:c r="Q364" s="12" t="n">
        <x:v>1866.41</x:v>
      </x:c>
      <x:c r="R364" s="12" t="n">
        <x:v>1576.49</x:v>
      </x:c>
      <x:c r="S364" s="12" t="n">
        <x:v>289.92</x:v>
      </x:c>
      <x:c r="T364" s="12" t="str">
        <x:v>Paid</x:v>
      </x:c>
      <x:c r="U364" s="12" t="str">
        <x:v>Completed</x:v>
      </x:c>
    </x:row>
    <x:row r="365">
      <x:c r="A365" s="12" t="str">
        <x:v>ORD-2025-10364</x:v>
      </x:c>
      <x:c r="B365" s="12" t="str">
        <x:v>07/07/2025</x:v>
      </x:c>
      <x:c r="C365" s="12" t="str">
        <x:v>07/12/2025</x:v>
      </x:c>
      <x:c r="D365" s="12" t="str">
        <x:v>CUST-1832</x:v>
      </x:c>
      <x:c r="E365" s="12" t="str">
        <x:v>Diya Patel</x:v>
      </x:c>
      <x:c r="F365" s="12" t="str">
        <x:v>Corporate</x:v>
      </x:c>
      <x:c r="G365" s="12" t="str">
        <x:v>East</x:v>
      </x:c>
      <x:c r="H365" s="12" t="str">
        <x:v>West Bengal</x:v>
      </x:c>
      <x:c r="I365" s="12" t="str">
        <x:v>Kolkata</x:v>
      </x:c>
      <x:c r="J365" s="12" t="str">
        <x:v>Furniture</x:v>
      </x:c>
      <x:c r="K365" s="12" t="str">
        <x:v>Tables</x:v>
      </x:c>
      <x:c r="L365" s="12" t="str">
        <x:v>Smart Tables 943</x:v>
      </x:c>
      <x:c r="M365" s="12" t="str">
        <x:v>Second Class</x:v>
      </x:c>
      <x:c r="N365" s="12" t="n">
        <x:v>5</x:v>
      </x:c>
      <x:c r="O365" s="12" t="n">
        <x:v>1831.37</x:v>
      </x:c>
      <x:c r="P365" s="12" t="n">
        <x:v>0.25</x:v>
      </x:c>
      <x:c r="Q365" s="12" t="n">
        <x:v>6867.64</x:v>
      </x:c>
      <x:c r="R365" s="12" t="n">
        <x:v>5205.36</x:v>
      </x:c>
      <x:c r="S365" s="12" t="n">
        <x:v>1662.28</x:v>
      </x:c>
      <x:c r="T365" s="12" t="str">
        <x:v>Paid</x:v>
      </x:c>
      <x:c r="U365" s="12" t="str">
        <x:v>Completed</x:v>
      </x:c>
    </x:row>
    <x:row r="366">
      <x:c r="A366" s="12" t="str">
        <x:v>ORD-2025-10365</x:v>
      </x:c>
      <x:c r="B366" s="12" t="str">
        <x:v>03/21/2025</x:v>
      </x:c>
      <x:c r="C366" s="12" t="str">
        <x:v>2025-03-24</x:v>
      </x:c>
      <x:c r="D366" s="12" t="str">
        <x:v>CUST-4452</x:v>
      </x:c>
      <x:c r="E366" s="12" t="str">
        <x:v>Aarav Sharma</x:v>
      </x:c>
      <x:c r="F366" s="12" t="str">
        <x:v>Small Business</x:v>
      </x:c>
      <x:c r="G366" s="12" t="str">
        <x:v>South</x:v>
      </x:c>
      <x:c r="H366" s="12" t="str">
        <x:v>Andhra Pradesh</x:v>
      </x:c>
      <x:c r="I366" s="12" t="str">
        <x:v>Vijayawada</x:v>
      </x:c>
      <x:c r="J366" s="12" t="str">
        <x:v>Furniture</x:v>
      </x:c>
      <x:c r="K366" s="12" t="str">
        <x:v>Chairs</x:v>
      </x:c>
      <x:c r="L366" s="12" t="str">
        <x:v>Prime Chairs 101</x:v>
      </x:c>
      <x:c r="M366" s="12" t="str">
        <x:v>Second Class</x:v>
      </x:c>
      <x:c r="N366" s="12" t="n">
        <x:v>5</x:v>
      </x:c>
      <x:c r="O366" s="12" t="n">
        <x:v>1239.15</x:v>
      </x:c>
      <x:c r="P366" s="12" t="n">
        <x:v>0</x:v>
      </x:c>
      <x:c r="Q366" s="12" t="n">
        <x:v>6195.75</x:v>
      </x:c>
      <x:c r="R366" s="12" t="n">
        <x:v>3967.02</x:v>
      </x:c>
      <x:c r="S366" s="12" t="n">
        <x:v>2228.73</x:v>
      </x:c>
      <x:c r="T366" s="12" t="str">
        <x:v>Paid</x:v>
      </x:c>
      <x:c r="U366" s="12" t="str">
        <x:v>Completed</x:v>
      </x:c>
    </x:row>
    <x:row r="367">
      <x:c r="A367" s="12" t="str">
        <x:v>ORD-2024-10366</x:v>
      </x:c>
      <x:c r="B367" s="12" t="str">
        <x:v>15-06-2024</x:v>
      </x:c>
      <x:c r="C367" s="12" t="str">
        <x:v>21-06-2024</x:v>
      </x:c>
      <x:c r="D367" s="12" t="str">
        <x:v>CUST-2203</x:v>
      </x:c>
      <x:c r="E367" s="12" t="str">
        <x:v>Aditi Sen</x:v>
      </x:c>
      <x:c r="F367" s="12" t="str">
        <x:v>Corporate</x:v>
      </x:c>
      <x:c r="G367" s="12" t="str">
        <x:v>West</x:v>
      </x:c>
      <x:c r="H367" s="12" t="str">
        <x:v>Goa</x:v>
      </x:c>
      <x:c r="I367" s="12" t="str">
        <x:v>Panaji</x:v>
      </x:c>
      <x:c r="J367" s="12" t="str">
        <x:v>Technology</x:v>
      </x:c>
      <x:c r="K367" s="12" t="str">
        <x:v>Accessories</x:v>
      </x:c>
      <x:c r="L367" s="12" t="str">
        <x:v>Basic Accessories 774</x:v>
      </x:c>
      <x:c r="M367" s="12" t="str">
        <x:v>First Class</x:v>
      </x:c>
      <x:c r="N367" s="12" t="n">
        <x:v>8</x:v>
      </x:c>
      <x:c r="O367" s="12" t="n">
        <x:v>1706.4</x:v>
      </x:c>
      <x:c r="P367" s="12"/>
      <x:c r="Q367" s="12" t="n">
        <x:v>12968.64</x:v>
      </x:c>
      <x:c r="R367" s="12" t="n">
        <x:v>10119.61</x:v>
      </x:c>
      <x:c r="S367" s="12" t="n">
        <x:v>2849.03</x:v>
      </x:c>
      <x:c r="T367" s="12" t="str">
        <x:v>Paid</x:v>
      </x:c>
      <x:c r="U367" s="12" t="str">
        <x:v>Completed</x:v>
      </x:c>
    </x:row>
    <x:row r="368">
      <x:c r="A368" s="12" t="str">
        <x:v>ORD-2025-10367</x:v>
      </x:c>
      <x:c r="B368" s="12" t="str">
        <x:v>2025-01-16</x:v>
      </x:c>
      <x:c r="C368" s="12" t="str">
        <x:v>2025-01-22</x:v>
      </x:c>
      <x:c r="D368" s="12" t="str">
        <x:v>CUST-5397</x:v>
      </x:c>
      <x:c r="E368" s="12" t="str">
        <x:v>Sneha Kapoor</x:v>
      </x:c>
      <x:c r="F368" s="12" t="str">
        <x:v>Corporate</x:v>
      </x:c>
      <x:c r="G368" s="12" t="str">
        <x:v>North</x:v>
      </x:c>
      <x:c r="H368" s="12" t="str">
        <x:v>Rajasthan</x:v>
      </x:c>
      <x:c r="I368" s="12" t="str">
        <x:v>Jaipur</x:v>
      </x:c>
      <x:c r="J368" s="12" t="str">
        <x:v>Furniture</x:v>
      </x:c>
      <x:c r="K368" s="12" t="str">
        <x:v>Tables</x:v>
      </x:c>
      <x:c r="L368" s="12" t="str">
        <x:v>Max Tables 478</x:v>
      </x:c>
      <x:c r="M368" s="12" t="str">
        <x:v>Same Day</x:v>
      </x:c>
      <x:c r="N368" s="12" t="n">
        <x:v>2</x:v>
      </x:c>
      <x:c r="O368" s="12" t="n">
        <x:v>4418.28</x:v>
      </x:c>
      <x:c r="P368" s="12" t="n">
        <x:v>0</x:v>
      </x:c>
      <x:c r="Q368" s="12" t="n">
        <x:v>8836.56</x:v>
      </x:c>
      <x:c r="R368" s="12" t="n">
        <x:v>5867.75</x:v>
      </x:c>
      <x:c r="S368" s="12" t="n">
        <x:v>2968.81</x:v>
      </x:c>
      <x:c r="T368" s="12" t="str">
        <x:v>Paid</x:v>
      </x:c>
      <x:c r="U368" s="12" t="str">
        <x:v>Completed</x:v>
      </x:c>
    </x:row>
    <x:row r="369">
      <x:c r="A369" s="12" t="str">
        <x:v>ORD-2024-10368</x:v>
      </x:c>
      <x:c r="B369" s="12" t="str">
        <x:v>2024-03-15</x:v>
      </x:c>
      <x:c r="C369" s="12" t="str">
        <x:v>03/16/2024</x:v>
      </x:c>
      <x:c r="D369" s="12" t="str">
        <x:v>CUST-4696</x:v>
      </x:c>
      <x:c r="E369" s="12" t="str">
        <x:v>Rohan Mehta</x:v>
      </x:c>
      <x:c r="F369" s="12" t="str">
        <x:v>Consumer</x:v>
      </x:c>
      <x:c r="G369" s="12" t="str">
        <x:v>North</x:v>
      </x:c>
      <x:c r="H369" s="12" t="str">
        <x:v>Delhi</x:v>
      </x:c>
      <x:c r="I369" s="12" t="str">
        <x:v>New Delhi</x:v>
      </x:c>
      <x:c r="J369" s="12" t="str">
        <x:v>Office Supplies</x:v>
      </x:c>
      <x:c r="K369" s="12" t="str">
        <x:v>Art</x:v>
      </x:c>
      <x:c r="L369" s="12" t="str">
        <x:v>Eco Art 646</x:v>
      </x:c>
      <x:c r="M369" s="12" t="str">
        <x:v>Standard Class</x:v>
      </x:c>
      <x:c r="N369" s="12" t="n">
        <x:v>6</x:v>
      </x:c>
      <x:c r="O369" s="12" t="n">
        <x:v>3815.09</x:v>
      </x:c>
      <x:c r="P369" s="12" t="n">
        <x:v>0.15</x:v>
      </x:c>
      <x:c r="Q369" s="12" t="n">
        <x:v>19456.96</x:v>
      </x:c>
      <x:c r="R369" s="12" t="n">
        <x:v>14520.06</x:v>
      </x:c>
      <x:c r="S369" s="12" t="n">
        <x:v>4936.9</x:v>
      </x:c>
      <x:c r="T369" s="12" t="str">
        <x:v>Failed</x:v>
      </x:c>
      <x:c r="U369" s="12" t="str">
        <x:v>Cancelled</x:v>
      </x:c>
    </x:row>
    <x:row r="370">
      <x:c r="A370" s="12" t="str">
        <x:v>ORD-2025-10369</x:v>
      </x:c>
      <x:c r="B370" s="12" t="str">
        <x:v>06-07-2025</x:v>
      </x:c>
      <x:c r="C370" s="12" t="str">
        <x:v>06-07-2025</x:v>
      </x:c>
      <x:c r="D370" s="12" t="str">
        <x:v>CUST-8246</x:v>
      </x:c>
      <x:c r="E370" s="12" t="str">
        <x:v>Aarav Sharma</x:v>
      </x:c>
      <x:c r="F370" s="12" t="str">
        <x:v>Home Office</x:v>
      </x:c>
      <x:c r="G370" s="12" t="str">
        <x:v>North</x:v>
      </x:c>
      <x:c r="H370" s="12" t="str">
        <x:v>Rajasthan</x:v>
      </x:c>
      <x:c r="I370" s="12" t="str">
        <x:v>Jaipur</x:v>
      </x:c>
      <x:c r="J370" s="12" t="str">
        <x:v>Technology</x:v>
      </x:c>
      <x:c r="K370" s="12" t="str">
        <x:v>Accessories</x:v>
      </x:c>
      <x:c r="L370" s="12" t="str">
        <x:v>Prime Accessories 962</x:v>
      </x:c>
      <x:c r="M370" s="12" t="str">
        <x:v>Same Day</x:v>
      </x:c>
      <x:c r="N370" s="12" t="n">
        <x:v>9</x:v>
      </x:c>
      <x:c r="O370" s="12" t="n">
        <x:v>243.19</x:v>
      </x:c>
      <x:c r="P370" s="12" t="n">
        <x:v>0.05</x:v>
      </x:c>
      <x:c r="Q370" s="12" t="n">
        <x:v>2079.27</x:v>
      </x:c>
      <x:c r="R370" s="12" t="n">
        <x:v>1512.17</x:v>
      </x:c>
      <x:c r="S370" s="12" t="n">
        <x:v>567.1</x:v>
      </x:c>
      <x:c r="T370" s="12" t="str">
        <x:v>Refunded</x:v>
      </x:c>
      <x:c r="U370" s="12" t="str">
        <x:v>Returned</x:v>
      </x:c>
    </x:row>
    <x:row r="371">
      <x:c r="A371" s="12" t="str">
        <x:v>ORD-2025-10370</x:v>
      </x:c>
      <x:c r="B371" s="12" t="str">
        <x:v>23-01-2025</x:v>
      </x:c>
      <x:c r="C371" s="12" t="str">
        <x:v>01/30/2025</x:v>
      </x:c>
      <x:c r="D371" s="12" t="str">
        <x:v>CUST-5672</x:v>
      </x:c>
      <x:c r="E371" s="12" t="str">
        <x:v>Priya Menon</x:v>
      </x:c>
      <x:c r="F371" s="12" t="str">
        <x:v>Consumer</x:v>
      </x:c>
      <x:c r="G371" s="12" t="str">
        <x:v>North</x:v>
      </x:c>
      <x:c r="H371" s="12" t="str">
        <x:v>Delhi</x:v>
      </x:c>
      <x:c r="I371" s="12" t="str">
        <x:v>New Delhi</x:v>
      </x:c>
      <x:c r="J371" s="12" t="str">
        <x:v>Office Supplies</x:v>
      </x:c>
      <x:c r="K371" s="12" t="str">
        <x:v>Labels</x:v>
      </x:c>
      <x:c r="L371" s="12" t="str">
        <x:v>Eco Labels 646</x:v>
      </x:c>
      <x:c r="M371" s="12" t="str">
        <x:v>Standard Class</x:v>
      </x:c>
      <x:c r="N371" s="12" t="n">
        <x:v>9</x:v>
      </x:c>
      <x:c r="O371" s="12" t="n">
        <x:v>1169.37</x:v>
      </x:c>
      <x:c r="P371" s="12" t="n">
        <x:v>0.15</x:v>
      </x:c>
      <x:c r="Q371" s="12" t="n">
        <x:v>8945.68</x:v>
      </x:c>
      <x:c r="R371" s="12" t="n">
        <x:v>6740.35</x:v>
      </x:c>
      <x:c r="S371" s="12" t="n">
        <x:v>2205.33</x:v>
      </x:c>
      <x:c r="T371" s="12" t="str">
        <x:v>Paid</x:v>
      </x:c>
      <x:c r="U371" s="12" t="str">
        <x:v>Completed</x:v>
      </x:c>
    </x:row>
    <x:row r="372">
      <x:c r="A372" s="12" t="str">
        <x:v>ORD-2024-10371</x:v>
      </x:c>
      <x:c r="B372" s="12" t="str">
        <x:v>08/15/2024</x:v>
      </x:c>
      <x:c r="C372" s="12" t="str">
        <x:v>21 Aug 2024</x:v>
      </x:c>
      <x:c r="D372" s="12" t="str">
        <x:v>CUST-8521</x:v>
      </x:c>
      <x:c r="E372" s="12" t="str">
        <x:v>Ananya Rao</x:v>
      </x:c>
      <x:c r="F372" s="12" t="str">
        <x:v>Small Business</x:v>
      </x:c>
      <x:c r="G372" s="12" t="str">
        <x:v>West</x:v>
      </x:c>
      <x:c r="H372" s="12" t="str">
        <x:v>Rajasthan</x:v>
      </x:c>
      <x:c r="I372" s="12" t="str">
        <x:v>Udaipur</x:v>
      </x:c>
      <x:c r="J372" s="12" t="str">
        <x:v>Technology</x:v>
      </x:c>
      <x:c r="K372" s="12" t="str">
        <x:v>Copiers</x:v>
      </x:c>
      <x:c r="L372" s="12" t="str">
        <x:v>Classic Copiers 505</x:v>
      </x:c>
      <x:c r="M372" s="12" t="str">
        <x:v>First Class</x:v>
      </x:c>
      <x:c r="N372" s="12" t="n">
        <x:v>7</x:v>
      </x:c>
      <x:c r="O372" s="12" t="n">
        <x:v>2333.81</x:v>
      </x:c>
      <x:c r="P372" s="12" t="n">
        <x:v>0.2</x:v>
      </x:c>
      <x:c r="Q372" s="12" t="n">
        <x:v>13069.34</x:v>
      </x:c>
      <x:c r="R372" s="12" t="n">
        <x:v>8768.59</x:v>
      </x:c>
      <x:c r="S372" s="12" t="n">
        <x:v>4300.75</x:v>
      </x:c>
      <x:c r="T372" s="12" t="str">
        <x:v>Paid</x:v>
      </x:c>
      <x:c r="U372" s="12" t="str">
        <x:v>Completed</x:v>
      </x:c>
    </x:row>
    <x:row r="373">
      <x:c r="A373" s="12" t="str">
        <x:v>ORD-2024-10372</x:v>
      </x:c>
      <x:c r="B373" s="12" t="str">
        <x:v>22-01-2024</x:v>
      </x:c>
      <x:c r="C373" s="12" t="str">
        <x:v>2024-01-24</x:v>
      </x:c>
      <x:c r="D373" s="12" t="str">
        <x:v>CUST-2204</x:v>
      </x:c>
      <x:c r="E373" s="12" t="str">
        <x:v>Diya Patel</x:v>
      </x:c>
      <x:c r="F373" s="12" t="str">
        <x:v>Home Office</x:v>
      </x:c>
      <x:c r="G373" s="12" t="str">
        <x:v>West</x:v>
      </x:c>
      <x:c r="H373" s="12" t="str">
        <x:v>Maharashtra</x:v>
      </x:c>
      <x:c r="I373" s="12" t="str">
        <x:v>Mumbai</x:v>
      </x:c>
      <x:c r="J373" s="12" t="str">
        <x:v>Office Supplies</x:v>
      </x:c>
      <x:c r="K373" s="12" t="str">
        <x:v>Art</x:v>
      </x:c>
      <x:c r="L373" s="12" t="str">
        <x:v>Pro Art 906</x:v>
      </x:c>
      <x:c r="M373" s="12" t="str">
        <x:v>Standard Class</x:v>
      </x:c>
      <x:c r="N373" s="12" t="n">
        <x:v>6</x:v>
      </x:c>
      <x:c r="O373" s="12" t="n">
        <x:v>1026.06</x:v>
      </x:c>
      <x:c r="P373" s="12"/>
      <x:c r="Q373" s="12" t="n">
        <x:v>4617.27</x:v>
      </x:c>
      <x:c r="R373" s="12" t="n">
        <x:v>2981.94</x:v>
      </x:c>
      <x:c r="S373" s="12" t="n">
        <x:v>1635.33</x:v>
      </x:c>
      <x:c r="T373" s="12" t="str">
        <x:v>Refunded</x:v>
      </x:c>
      <x:c r="U373" s="12" t="str">
        <x:v>Cancelled</x:v>
      </x:c>
    </x:row>
    <x:row r="374">
      <x:c r="A374" s="12" t="str">
        <x:v>ORD-2025-10373</x:v>
      </x:c>
      <x:c r="B374" s="12" t="str">
        <x:v>2025-08-16</x:v>
      </x:c>
      <x:c r="C374" s="12" t="str">
        <x:v>2025-08-18</x:v>
      </x:c>
      <x:c r="D374" s="12" t="str">
        <x:v>CUST-4399</x:v>
      </x:c>
      <x:c r="E374" s="12" t="str">
        <x:v>Kabir Singh</x:v>
      </x:c>
      <x:c r="F374" s="12" t="str">
        <x:v>Consumer</x:v>
      </x:c>
      <x:c r="G374" s="12" t="str">
        <x:v>East</x:v>
      </x:c>
      <x:c r="H374" s="12" t="str">
        <x:v>Jharkhand</x:v>
      </x:c>
      <x:c r="I374" s="12" t="str">
        <x:v>Ranchi</x:v>
      </x:c>
      <x:c r="J374" s="12" t="str">
        <x:v>Furniture</x:v>
      </x:c>
      <x:c r="K374" s="12" t="str">
        <x:v>Chairs</x:v>
      </x:c>
      <x:c r="L374" s="12" t="str">
        <x:v>Max Chairs 181</x:v>
      </x:c>
      <x:c r="M374" s="12" t="str">
        <x:v>Same Day</x:v>
      </x:c>
      <x:c r="N374" s="12" t="n">
        <x:v>5</x:v>
      </x:c>
      <x:c r="O374" s="12" t="n">
        <x:v>1530.36</x:v>
      </x:c>
      <x:c r="P374" s="12" t="n">
        <x:v>0</x:v>
      </x:c>
      <x:c r="Q374" s="12" t="n">
        <x:v>7651.8</x:v>
      </x:c>
      <x:c r="R374" s="12" t="n">
        <x:v>5171.78</x:v>
      </x:c>
      <x:c r="S374" s="12" t="n">
        <x:v>2480.02</x:v>
      </x:c>
      <x:c r="T374" s="12" t="str">
        <x:v>Paid</x:v>
      </x:c>
      <x:c r="U374" s="12" t="str">
        <x:v>Completed</x:v>
      </x:c>
    </x:row>
    <x:row r="375">
      <x:c r="A375" s="12" t="str">
        <x:v>ORD-2025-10374</x:v>
      </x:c>
      <x:c r="B375" s="12" t="str">
        <x:v>2025-04-13</x:v>
      </x:c>
      <x:c r="C375" s="12" t="str">
        <x:v>2025-04-13</x:v>
      </x:c>
      <x:c r="D375" s="12" t="str">
        <x:v>CUST-8566</x:v>
      </x:c>
      <x:c r="E375" s="12" t="str">
        <x:v>Sneha Kapoor</x:v>
      </x:c>
      <x:c r="F375" s="12" t="str">
        <x:v>Small Business</x:v>
      </x:c>
      <x:c r="G375" s="12" t="str">
        <x:v>North</x:v>
      </x:c>
      <x:c r="H375" s="12" t="str">
        <x:v>Uttar Pradesh</x:v>
      </x:c>
      <x:c r="I375" s="12" t="str">
        <x:v>Noida</x:v>
      </x:c>
      <x:c r="J375" s="12" t="str">
        <x:v>Office Supplies</x:v>
      </x:c>
      <x:c r="K375" s="12" t="str">
        <x:v>Storage</x:v>
      </x:c>
      <x:c r="L375" s="12" t="str">
        <x:v>Prime Storage 951</x:v>
      </x:c>
      <x:c r="M375" s="12" t="str">
        <x:v>Second Class</x:v>
      </x:c>
      <x:c r="N375" s="12" t="n">
        <x:v>9</x:v>
      </x:c>
      <x:c r="O375" s="12" t="n">
        <x:v>1118.68</x:v>
      </x:c>
      <x:c r="P375" s="12" t="n">
        <x:v>0</x:v>
      </x:c>
      <x:c r="Q375" s="12" t="n">
        <x:v>10068.12</x:v>
      </x:c>
      <x:c r="R375" s="12" t="n">
        <x:v>8595.37</x:v>
      </x:c>
      <x:c r="S375" s="12" t="n">
        <x:v>1472.75</x:v>
      </x:c>
      <x:c r="T375" s="12" t="str">
        <x:v>Paid</x:v>
      </x:c>
      <x:c r="U375" s="12" t="str">
        <x:v>Completed</x:v>
      </x:c>
    </x:row>
    <x:row r="376">
      <x:c r="A376" s="12" t="str">
        <x:v>ORD-2025-10375</x:v>
      </x:c>
      <x:c r="B376" s="12" t="str">
        <x:v>2025-02-27</x:v>
      </x:c>
      <x:c r="C376" s="12" t="str">
        <x:v>28-02-2025</x:v>
      </x:c>
      <x:c r="D376" s="12" t="str">
        <x:v>CUST-2358</x:v>
      </x:c>
      <x:c r="E376" s="12" t="str">
        <x:v>Aditi Sen</x:v>
      </x:c>
      <x:c r="F376" s="12" t="str">
        <x:v>Small Business</x:v>
      </x:c>
      <x:c r="G376" s="12" t="str">
        <x:v>North</x:v>
      </x:c>
      <x:c r="H376" s="12" t="str">
        <x:v>Uttar Pradesh</x:v>
      </x:c>
      <x:c r="I376" s="12" t="str">
        <x:v>Noida</x:v>
      </x:c>
      <x:c r="J376" s="12" t="str">
        <x:v>Office Supplies</x:v>
      </x:c>
      <x:c r="K376" s="12" t="str">
        <x:v>Labels</x:v>
      </x:c>
      <x:c r="L376" s="12" t="str">
        <x:v>Smart Labels 668</x:v>
      </x:c>
      <x:c r="M376" s="12" t="str">
        <x:v>Standard Class</x:v>
      </x:c>
      <x:c r="N376" s="12" t="n">
        <x:v>6</x:v>
      </x:c>
      <x:c r="O376" s="12" t="n">
        <x:v>2393.25</x:v>
      </x:c>
      <x:c r="P376" s="12" t="n">
        <x:v>0</x:v>
      </x:c>
      <x:c r="Q376" s="12" t="n">
        <x:v>14359.5</x:v>
      </x:c>
      <x:c r="R376" s="12" t="n">
        <x:v>8117.71</x:v>
      </x:c>
      <x:c r="S376" s="12" t="n">
        <x:v>6241.79</x:v>
      </x:c>
      <x:c r="T376" s="12" t="str">
        <x:v>Paid</x:v>
      </x:c>
      <x:c r="U376" s="12" t="str">
        <x:v>Completed</x:v>
      </x:c>
    </x:row>
    <x:row r="377">
      <x:c r="A377" s="12" t="str">
        <x:v>ORD-2024-10376</x:v>
      </x:c>
      <x:c r="B377" s="12" t="str">
        <x:v>31-12-2024</x:v>
      </x:c>
      <x:c r="C377" s="12" t="str">
        <x:v>04 Jan 2025</x:v>
      </x:c>
      <x:c r="D377" s="12" t="str">
        <x:v>CUST-2810</x:v>
      </x:c>
      <x:c r="E377" s="12" t="str">
        <x:v>Vikram Iyer</x:v>
      </x:c>
      <x:c r="F377" s="12" t="str">
        <x:v>Consumer</x:v>
      </x:c>
      <x:c r="G377" s="12" t="str">
        <x:v>North</x:v>
      </x:c>
      <x:c r="H377" s="12" t="str">
        <x:v>Delhi</x:v>
      </x:c>
      <x:c r="I377" s="12" t="str">
        <x:v>New Delhi</x:v>
      </x:c>
      <x:c r="J377" s="12" t="str">
        <x:v>Furniture</x:v>
      </x:c>
      <x:c r="K377" s="12" t="str">
        <x:v>Chairs</x:v>
      </x:c>
      <x:c r="L377" s="12" t="str">
        <x:v>Pro Chairs 364</x:v>
      </x:c>
      <x:c r="M377" s="12" t="str">
        <x:v>Same Day</x:v>
      </x:c>
      <x:c r="N377" s="12" t="n">
        <x:v>3</x:v>
      </x:c>
      <x:c r="O377" s="12" t="n">
        <x:v>1166.61</x:v>
      </x:c>
      <x:c r="P377" s="12" t="n">
        <x:v>0.25</x:v>
      </x:c>
      <x:c r="Q377" s="12" t="n">
        <x:v>2624.87</x:v>
      </x:c>
      <x:c r="R377" s="12" t="n">
        <x:v>2253.88</x:v>
      </x:c>
      <x:c r="S377" s="12" t="n">
        <x:v>370.99</x:v>
      </x:c>
      <x:c r="T377" s="12" t="str">
        <x:v>Paid</x:v>
      </x:c>
      <x:c r="U377" s="12" t="str">
        <x:v>Completed</x:v>
      </x:c>
    </x:row>
    <x:row r="378">
      <x:c r="A378" s="12" t="str">
        <x:v>ORD-2024-10377</x:v>
      </x:c>
      <x:c r="B378" s="12" t="str">
        <x:v>29-12-2024</x:v>
      </x:c>
      <x:c r="C378" s="12" t="str">
        <x:v>2024-12-31</x:v>
      </x:c>
      <x:c r="D378" s="12" t="str">
        <x:v>CUST-5166</x:v>
      </x:c>
      <x:c r="E378" s="12" t="str">
        <x:v>Isha Nair</x:v>
      </x:c>
      <x:c r="F378" s="12" t="str">
        <x:v>Small Business</x:v>
      </x:c>
      <x:c r="G378" s="12" t="str">
        <x:v>East</x:v>
      </x:c>
      <x:c r="H378" s="12" t="str">
        <x:v>Bihar</x:v>
      </x:c>
      <x:c r="I378" s="12" t="str">
        <x:v>Patna</x:v>
      </x:c>
      <x:c r="J378" s="12" t="str">
        <x:v>Furniture</x:v>
      </x:c>
      <x:c r="K378" s="12" t="str">
        <x:v>Chairs</x:v>
      </x:c>
      <x:c r="L378" s="12" t="str">
        <x:v>Basic Chairs 248</x:v>
      </x:c>
      <x:c r="M378" s="12" t="str">
        <x:v>First Class</x:v>
      </x:c>
      <x:c r="N378" s="12" t="n">
        <x:v>6</x:v>
      </x:c>
      <x:c r="O378" s="12" t="n">
        <x:v>1844.78</x:v>
      </x:c>
      <x:c r="P378" s="12" t="n">
        <x:v>0.2</x:v>
      </x:c>
      <x:c r="Q378" s="12" t="n">
        <x:v>8854.94</x:v>
      </x:c>
      <x:c r="R378" s="12" t="n">
        <x:v>7433.95</x:v>
      </x:c>
      <x:c r="S378" s="12" t="n">
        <x:v>1420.99</x:v>
      </x:c>
      <x:c r="T378" s="12" t="str">
        <x:v>Paid</x:v>
      </x:c>
      <x:c r="U378" s="12" t="str">
        <x:v>Completed</x:v>
      </x:c>
    </x:row>
    <x:row r="379">
      <x:c r="A379" s="12" t="str">
        <x:v>ORD-2025-10378</x:v>
      </x:c>
      <x:c r="B379" s="12" t="str">
        <x:v>24 May 2025</x:v>
      </x:c>
      <x:c r="C379" s="12" t="str">
        <x:v>30-05-2025</x:v>
      </x:c>
      <x:c r="D379" s="12" t="str">
        <x:v>CUST-4875</x:v>
      </x:c>
      <x:c r="E379" s="12" t="str">
        <x:v>Kabir Singh</x:v>
      </x:c>
      <x:c r="F379" s="12" t="str">
        <x:v>Small Business</x:v>
      </x:c>
      <x:c r="G379" s="12" t="str">
        <x:v>East</x:v>
      </x:c>
      <x:c r="H379" s="12" t="str">
        <x:v>Odisha</x:v>
      </x:c>
      <x:c r="I379" s="12" t="str">
        <x:v>Bhubaneswar</x:v>
      </x:c>
      <x:c r="J379" s="12" t="str">
        <x:v>Office Supplies</x:v>
      </x:c>
      <x:c r="K379" s="12" t="str">
        <x:v>storage</x:v>
      </x:c>
      <x:c r="L379" s="12" t="str">
        <x:v>Basic Storage 360</x:v>
      </x:c>
      <x:c r="M379" s="12" t="str">
        <x:v>Same Day</x:v>
      </x:c>
      <x:c r="N379" s="12" t="n">
        <x:v>1</x:v>
      </x:c>
      <x:c r="O379" s="12" t="n">
        <x:v>2564.74</x:v>
      </x:c>
      <x:c r="P379" s="12" t="n">
        <x:v>0</x:v>
      </x:c>
      <x:c r="Q379" s="12" t="n">
        <x:v>2564.74</x:v>
      </x:c>
      <x:c r="R379" s="12" t="n">
        <x:v>1754.58</x:v>
      </x:c>
      <x:c r="S379" s="12" t="n">
        <x:v>810.16</x:v>
      </x:c>
      <x:c r="T379" s="12" t="str">
        <x:v>Paid</x:v>
      </x:c>
      <x:c r="U379" s="12" t="str">
        <x:v>Completed</x:v>
      </x:c>
    </x:row>
    <x:row r="380">
      <x:c r="A380" s="12" t="str">
        <x:v>ORD-2025-10379</x:v>
      </x:c>
      <x:c r="B380" s="12" t="str">
        <x:v>22-05-2025</x:v>
      </x:c>
      <x:c r="C380" s="12" t="str">
        <x:v>22-05-2025</x:v>
      </x:c>
      <x:c r="D380" s="12" t="str">
        <x:v>CUST-3154</x:v>
      </x:c>
      <x:c r="E380" s="12" t="str">
        <x:v>Mira Das</x:v>
      </x:c>
      <x:c r="F380" s="12" t="str">
        <x:v>Consumer</x:v>
      </x:c>
      <x:c r="G380" s="12" t="str">
        <x:v>West</x:v>
      </x:c>
      <x:c r="H380" s="12" t="str">
        <x:v>Goa</x:v>
      </x:c>
      <x:c r="I380" s="12" t="str">
        <x:v>Panaji</x:v>
      </x:c>
      <x:c r="J380" s="12" t="str">
        <x:v>Technology</x:v>
      </x:c>
      <x:c r="K380" s="12" t="str">
        <x:v>Accessories</x:v>
      </x:c>
      <x:c r="L380" s="12" t="str">
        <x:v>Basic Accessories 988</x:v>
      </x:c>
      <x:c r="M380" s="12" t="str">
        <x:v>Standard Class</x:v>
      </x:c>
      <x:c r="N380" s="12" t="n">
        <x:v>2</x:v>
      </x:c>
      <x:c r="O380" s="12" t="n">
        <x:v>3910.61</x:v>
      </x:c>
      <x:c r="P380" s="12" t="n">
        <x:v>0</x:v>
      </x:c>
      <x:c r="Q380" s="12" t="n">
        <x:v>7821.22</x:v>
      </x:c>
      <x:c r="R380" s="12" t="n">
        <x:v>4994.46</x:v>
      </x:c>
      <x:c r="S380" s="12" t="n">
        <x:v>2826.76</x:v>
      </x:c>
      <x:c r="T380" s="12" t="str">
        <x:v>Paid</x:v>
      </x:c>
      <x:c r="U380" s="12" t="str">
        <x:v>Completed</x:v>
      </x:c>
    </x:row>
    <x:row r="381">
      <x:c r="A381" s="12" t="str">
        <x:v>ORD-2024-10380</x:v>
      </x:c>
      <x:c r="B381" s="12" t="str">
        <x:v>09/19/2024</x:v>
      </x:c>
      <x:c r="C381" s="12" t="str">
        <x:v>23 Sep 2024</x:v>
      </x:c>
      <x:c r="D381" s="12" t="str">
        <x:v>CUST-6405</x:v>
      </x:c>
      <x:c r="E381" s="12" t="str">
        <x:v>Mira Das</x:v>
      </x:c>
      <x:c r="F381" s="12" t="str">
        <x:v>Small Business</x:v>
      </x:c>
      <x:c r="G381" s="12" t="str">
        <x:v>South</x:v>
      </x:c>
      <x:c r="H381" s="12" t="str">
        <x:v>Kerala</x:v>
      </x:c>
      <x:c r="I381" s="12" t="str">
        <x:v>Kochi</x:v>
      </x:c>
      <x:c r="J381" s="12" t="str">
        <x:v>Office Supplies</x:v>
      </x:c>
      <x:c r="K381" s="12" t="str">
        <x:v>Paper</x:v>
      </x:c>
      <x:c r="L381" s="12" t="str">
        <x:v>Max Paper 334</x:v>
      </x:c>
      <x:c r="M381" s="12" t="str">
        <x:v>Standard Class</x:v>
      </x:c>
      <x:c r="N381" s="12" t="n">
        <x:v>7</x:v>
      </x:c>
      <x:c r="O381" s="12" t="n">
        <x:v>1136.68</x:v>
      </x:c>
      <x:c r="P381" s="12"/>
      <x:c r="Q381" s="12" t="n">
        <x:v>7956.76</x:v>
      </x:c>
      <x:c r="R381" s="12" t="n">
        <x:v>4799.54</x:v>
      </x:c>
      <x:c r="S381" s="12" t="n">
        <x:v>3157.22</x:v>
      </x:c>
      <x:c r="T381" s="12" t="str">
        <x:v>Paid</x:v>
      </x:c>
      <x:c r="U381" s="12" t="str">
        <x:v>Completed</x:v>
      </x:c>
    </x:row>
    <x:row r="382">
      <x:c r="A382" s="12" t="str">
        <x:v>ORD-2024-10381</x:v>
      </x:c>
      <x:c r="B382" s="12" t="str">
        <x:v>07 Apr 2024</x:v>
      </x:c>
      <x:c r="C382" s="12" t="str">
        <x:v>14-04-2024</x:v>
      </x:c>
      <x:c r="D382" s="12" t="str">
        <x:v>CUST-5779</x:v>
      </x:c>
      <x:c r="E382" s="12" t="str">
        <x:v>Vikram Iyer</x:v>
      </x:c>
      <x:c r="F382" s="12" t="str">
        <x:v>Consumer</x:v>
      </x:c>
      <x:c r="G382" s="12" t="str">
        <x:v>West</x:v>
      </x:c>
      <x:c r="H382" s="12" t="str">
        <x:v>Maharashtra</x:v>
      </x:c>
      <x:c r="I382" s="12" t="str">
        <x:v>Mumbai</x:v>
      </x:c>
      <x:c r="J382" s="12" t="str">
        <x:v>Furniture</x:v>
      </x:c>
      <x:c r="K382" s="12" t="str">
        <x:v>Bookcases</x:v>
      </x:c>
      <x:c r="L382" s="12" t="str">
        <x:v>Prime Bookcases 952</x:v>
      </x:c>
      <x:c r="M382" s="12" t="str">
        <x:v>Same Day</x:v>
      </x:c>
      <x:c r="N382" s="12" t="n">
        <x:v>5</x:v>
      </x:c>
      <x:c r="O382" s="12" t="n">
        <x:v>2235.85</x:v>
      </x:c>
      <x:c r="P382" s="12" t="n">
        <x:v>0.25</x:v>
      </x:c>
      <x:c r="Q382" s="12" t="n">
        <x:v>8384.44</x:v>
      </x:c>
      <x:c r="R382" s="12" t="n">
        <x:v>4765.96</x:v>
      </x:c>
      <x:c r="S382" s="12" t="n">
        <x:v>3618.48</x:v>
      </x:c>
      <x:c r="T382" s="12" t="str">
        <x:v>Paid</x:v>
      </x:c>
      <x:c r="U382" s="12" t="str">
        <x:v>Returned</x:v>
      </x:c>
    </x:row>
    <x:row r="383">
      <x:c r="A383" s="12" t="str">
        <x:v>ORD-2025-10382</x:v>
      </x:c>
      <x:c r="B383" s="12" t="str">
        <x:v>2025-09-19</x:v>
      </x:c>
      <x:c r="C383" s="12" t="str">
        <x:v>23-09-2025</x:v>
      </x:c>
      <x:c r="D383" s="12" t="str">
        <x:v>CUST-9943</x:v>
      </x:c>
      <x:c r="E383" s="12" t="str">
        <x:v>Arjun Bose</x:v>
      </x:c>
      <x:c r="F383" s="12" t="str">
        <x:v>HOME OFFICE</x:v>
      </x:c>
      <x:c r="G383" s="12" t="str">
        <x:v>North</x:v>
      </x:c>
      <x:c r="H383" s="12" t="str">
        <x:v>Delhi</x:v>
      </x:c>
      <x:c r="I383" s="12" t="str">
        <x:v>New Delhi</x:v>
      </x:c>
      <x:c r="J383" s="12" t="str">
        <x:v>Office Supplies</x:v>
      </x:c>
      <x:c r="K383" s="12" t="str">
        <x:v>Binders</x:v>
      </x:c>
      <x:c r="L383" s="12" t="str">
        <x:v>Prime Binders 523</x:v>
      </x:c>
      <x:c r="M383" s="12" t="str">
        <x:v>Standard Class</x:v>
      </x:c>
      <x:c r="N383" s="12" t="n">
        <x:v>4</x:v>
      </x:c>
      <x:c r="O383" s="12" t="n">
        <x:v>4387.15</x:v>
      </x:c>
      <x:c r="P383" s="12" t="n">
        <x:v>0.05</x:v>
      </x:c>
      <x:c r="Q383" s="12" t="n">
        <x:v>16671.17</x:v>
      </x:c>
      <x:c r="R383" s="12" t="n">
        <x:v>10833.19</x:v>
      </x:c>
      <x:c r="S383" s="12" t="n">
        <x:v>5837.98</x:v>
      </x:c>
      <x:c r="T383" s="12" t="str">
        <x:v>Failed</x:v>
      </x:c>
      <x:c r="U383" s="12" t="str">
        <x:v>Cancelled</x:v>
      </x:c>
    </x:row>
    <x:row r="384">
      <x:c r="A384" s="12" t="str">
        <x:v>ORD-2025-10383</x:v>
      </x:c>
      <x:c r="B384" s="12" t="str">
        <x:v>04 Mar 2025</x:v>
      </x:c>
      <x:c r="C384" s="12" t="str">
        <x:v>03/08/2025</x:v>
      </x:c>
      <x:c r="D384" s="12" t="str">
        <x:v>CUST-7098</x:v>
      </x:c>
      <x:c r="E384" s="12" t="str">
        <x:v>Arjun Bose</x:v>
      </x:c>
      <x:c r="F384" s="12" t="str">
        <x:v>Small Business</x:v>
      </x:c>
      <x:c r="G384" s="12" t="str">
        <x:v>East</x:v>
      </x:c>
      <x:c r="H384" s="12" t="str">
        <x:v>Bihar</x:v>
      </x:c>
      <x:c r="I384" s="12" t="str">
        <x:v>Patna</x:v>
      </x:c>
      <x:c r="J384" s="12" t="str">
        <x:v>TECHNOLOGY</x:v>
      </x:c>
      <x:c r="K384" s="12" t="str">
        <x:v>Phones</x:v>
      </x:c>
      <x:c r="L384" s="12" t="str">
        <x:v>Pro Phones 538</x:v>
      </x:c>
      <x:c r="M384" s="12" t="str">
        <x:v>First Class</x:v>
      </x:c>
      <x:c r="N384" s="12" t="n">
        <x:v>3</x:v>
      </x:c>
      <x:c r="O384" s="12" t="n">
        <x:v>4361.85</x:v>
      </x:c>
      <x:c r="P384" s="12" t="n">
        <x:v>0.2</x:v>
      </x:c>
      <x:c r="Q384" s="12" t="n">
        <x:v>10468.44</x:v>
      </x:c>
      <x:c r="R384" s="12" t="n">
        <x:v>8399.87</x:v>
      </x:c>
      <x:c r="S384" s="12" t="n">
        <x:v>2068.57</x:v>
      </x:c>
      <x:c r="T384" s="12" t="str">
        <x:v>Paid</x:v>
      </x:c>
      <x:c r="U384" s="12" t="str">
        <x:v>Completed</x:v>
      </x:c>
    </x:row>
    <x:row r="385">
      <x:c r="A385" s="12" t="str">
        <x:v>ORD-2025-10384</x:v>
      </x:c>
      <x:c r="B385" s="12" t="str">
        <x:v>28 Jun 2025</x:v>
      </x:c>
      <x:c r="C385" s="12" t="str">
        <x:v>05 Jul 2025</x:v>
      </x:c>
      <x:c r="D385" s="12" t="str">
        <x:v>CUST-7438</x:v>
      </x:c>
      <x:c r="E385" s="12" t="str">
        <x:v>Vikram Iyer</x:v>
      </x:c>
      <x:c r="F385" s="12" t="str">
        <x:v>Corporate</x:v>
      </x:c>
      <x:c r="G385" s="12" t="str">
        <x:v>East</x:v>
      </x:c>
      <x:c r="H385" s="12" t="str">
        <x:v>West Bengal</x:v>
      </x:c>
      <x:c r="I385" s="12" t="str">
        <x:v>Kolkata</x:v>
      </x:c>
      <x:c r="J385" s="12" t="str">
        <x:v>Office Supplies</x:v>
      </x:c>
      <x:c r="K385" s="12" t="str">
        <x:v>Art</x:v>
      </x:c>
      <x:c r="L385" s="12" t="str">
        <x:v>Basic Art 608</x:v>
      </x:c>
      <x:c r="M385" s="12" t="str">
        <x:v>First Class</x:v>
      </x:c>
      <x:c r="N385" s="12" t="n">
        <x:v>2</x:v>
      </x:c>
      <x:c r="O385" s="12" t="n">
        <x:v>2242.75</x:v>
      </x:c>
      <x:c r="P385" s="12" t="n">
        <x:v>0</x:v>
      </x:c>
      <x:c r="Q385" s="12" t="n">
        <x:v>4485.5</x:v>
      </x:c>
      <x:c r="R385" s="12" t="n">
        <x:v>3131.86</x:v>
      </x:c>
      <x:c r="S385" s="12" t="n">
        <x:v>1353.64</x:v>
      </x:c>
      <x:c r="T385" s="12" t="str">
        <x:v>Paid</x:v>
      </x:c>
      <x:c r="U385" s="12" t="str">
        <x:v>Cancelled</x:v>
      </x:c>
    </x:row>
    <x:row r="386">
      <x:c r="A386" s="12" t="str">
        <x:v>ORD-2024-10385</x:v>
      </x:c>
      <x:c r="B386" s="12" t="str">
        <x:v>15-03-2024</x:v>
      </x:c>
      <x:c r="C386" s="12" t="str">
        <x:v>2024-03-20</x:v>
      </x:c>
      <x:c r="D386" s="12" t="str">
        <x:v>CUST-8432</x:v>
      </x:c>
      <x:c r="E386" s="12" t="str">
        <x:v>Rohan Mehta</x:v>
      </x:c>
      <x:c r="F386" s="12" t="str">
        <x:v>Consumer</x:v>
      </x:c>
      <x:c r="G386" s="12" t="str">
        <x:v>East</x:v>
      </x:c>
      <x:c r="H386" s="12" t="str">
        <x:v>Jharkhand</x:v>
      </x:c>
      <x:c r="I386" s="12" t="str">
        <x:v>Ranchi</x:v>
      </x:c>
      <x:c r="J386" s="12" t="str">
        <x:v>Technology</x:v>
      </x:c>
      <x:c r="K386" s="12" t="str">
        <x:v>Copiers</x:v>
      </x:c>
      <x:c r="L386" s="12" t="str">
        <x:v>Prime Copiers 820</x:v>
      </x:c>
      <x:c r="M386" s="12" t="str">
        <x:v>Standard Class</x:v>
      </x:c>
      <x:c r="N386" s="12" t="n">
        <x:v>2</x:v>
      </x:c>
      <x:c r="O386" s="12" t="n">
        <x:v>1881.4</x:v>
      </x:c>
      <x:c r="P386" s="12" t="n">
        <x:v>0.25</x:v>
      </x:c>
      <x:c r="Q386" s="12" t="n">
        <x:v>2822.1</x:v>
      </x:c>
      <x:c r="R386" s="12" t="n">
        <x:v>1624.57</x:v>
      </x:c>
      <x:c r="S386" s="12" t="n">
        <x:v>1197.53</x:v>
      </x:c>
      <x:c r="T386" s="12" t="str">
        <x:v>Paid</x:v>
      </x:c>
      <x:c r="U386" s="12" t="str">
        <x:v>Returned</x:v>
      </x:c>
    </x:row>
    <x:row r="387">
      <x:c r="A387" s="12" t="str">
        <x:v>ORD-2025-10386</x:v>
      </x:c>
      <x:c r="B387" s="12" t="str">
        <x:v>2025-06-24</x:v>
      </x:c>
      <x:c r="C387" s="12" t="str">
        <x:v>30 Jun 2025</x:v>
      </x:c>
      <x:c r="D387" s="12" t="str">
        <x:v>CUST-2834</x:v>
      </x:c>
      <x:c r="E387" s="12" t="str">
        <x:v>Arjun Bose</x:v>
      </x:c>
      <x:c r="F387" s="12" t="str">
        <x:v>Consumer</x:v>
      </x:c>
      <x:c r="G387" s="12" t="str">
        <x:v>North</x:v>
      </x:c>
      <x:c r="H387" s="12" t="str">
        <x:v>Haryana</x:v>
      </x:c>
      <x:c r="I387" s="12" t="str">
        <x:v>Gurugram</x:v>
      </x:c>
      <x:c r="J387" s="12" t="str">
        <x:v>Office Supplies</x:v>
      </x:c>
      <x:c r="K387" s="12" t="str">
        <x:v>Labels</x:v>
      </x:c>
      <x:c r="L387" s="12" t="str">
        <x:v>Classic Labels 670</x:v>
      </x:c>
      <x:c r="M387" s="12" t="str">
        <x:v>Standard Class</x:v>
      </x:c>
      <x:c r="N387" s="12" t="n">
        <x:v>6</x:v>
      </x:c>
      <x:c r="O387" s="12" t="n">
        <x:v>365.76</x:v>
      </x:c>
      <x:c r="P387" s="12" t="n">
        <x:v>0.1</x:v>
      </x:c>
      <x:c r="Q387" s="12" t="n">
        <x:v>1975.1</x:v>
      </x:c>
      <x:c r="R387" s="12" t="n">
        <x:v>1115.35</x:v>
      </x:c>
      <x:c r="S387" s="12" t="n">
        <x:v>859.75</x:v>
      </x:c>
      <x:c r="T387" s="12" t="str">
        <x:v>Paid</x:v>
      </x:c>
      <x:c r="U387" s="12" t="str">
        <x:v>Completed</x:v>
      </x:c>
    </x:row>
    <x:row r="388">
      <x:c r="A388" s="12" t="str">
        <x:v>ORD-2025-10387</x:v>
      </x:c>
      <x:c r="B388" s="12" t="str">
        <x:v>02/12/2025</x:v>
      </x:c>
      <x:c r="C388" s="12" t="str">
        <x:v>14-02-2025</x:v>
      </x:c>
      <x:c r="D388" s="12" t="str">
        <x:v>CUST-4222</x:v>
      </x:c>
      <x:c r="E388" s="12" t="str">
        <x:v>Sneha Kapoor</x:v>
      </x:c>
      <x:c r="F388" s="12" t="str">
        <x:v>Consumer</x:v>
      </x:c>
      <x:c r="G388" s="12" t="str">
        <x:v>West</x:v>
      </x:c>
      <x:c r="H388" s="12" t="str">
        <x:v>Maharashtra</x:v>
      </x:c>
      <x:c r="I388" s="12" t="str">
        <x:v>Mumbai</x:v>
      </x:c>
      <x:c r="J388" s="12" t="str">
        <x:v>Furniture</x:v>
      </x:c>
      <x:c r="K388" s="12" t="str">
        <x:v>Furnishings</x:v>
      </x:c>
      <x:c r="L388" s="12" t="str">
        <x:v>Prime Furnishings 597</x:v>
      </x:c>
      <x:c r="M388" s="12" t="str">
        <x:v>Second Class</x:v>
      </x:c>
      <x:c r="N388" s="12" t="n">
        <x:v>8</x:v>
      </x:c>
      <x:c r="O388" s="12" t="n">
        <x:v>2786.66</x:v>
      </x:c>
      <x:c r="P388" s="12" t="n">
        <x:v>0.1</x:v>
      </x:c>
      <x:c r="Q388" s="12" t="n">
        <x:v>20063.95</x:v>
      </x:c>
      <x:c r="R388" s="12" t="n">
        <x:v>14363.38</x:v>
      </x:c>
      <x:c r="S388" s="12" t="n">
        <x:v>5700.57</x:v>
      </x:c>
      <x:c r="T388" s="12" t="str">
        <x:v>Paid</x:v>
      </x:c>
      <x:c r="U388" s="12" t="str">
        <x:v>Completed</x:v>
      </x:c>
    </x:row>
    <x:row r="389">
      <x:c r="A389" s="12" t="str">
        <x:v>ORD-2025-10388</x:v>
      </x:c>
      <x:c r="B389" s="12" t="str">
        <x:v>10-08-2025</x:v>
      </x:c>
      <x:c r="C389" s="12" t="str">
        <x:v>08/13/2025</x:v>
      </x:c>
      <x:c r="D389" s="12" t="str">
        <x:v>CUST-1053</x:v>
      </x:c>
      <x:c r="E389" s="12" t="str">
        <x:v>Priya Menon</x:v>
      </x:c>
      <x:c r="F389" s="12" t="str">
        <x:v>Small Business</x:v>
      </x:c>
      <x:c r="G389" s="12" t="str">
        <x:v>West</x:v>
      </x:c>
      <x:c r="H389" s="12" t="str">
        <x:v>Madhya Pradesh</x:v>
      </x:c>
      <x:c r="I389" s="12" t="str">
        <x:v>Indore</x:v>
      </x:c>
      <x:c r="J389" s="12" t="str">
        <x:v>Furniture</x:v>
      </x:c>
      <x:c r="K389" s="12" t="str">
        <x:v>Chairs</x:v>
      </x:c>
      <x:c r="L389" s="12" t="str">
        <x:v>Prime Chairs 196</x:v>
      </x:c>
      <x:c r="M389" s="12" t="str">
        <x:v>Standard Class</x:v>
      </x:c>
      <x:c r="N389" s="12" t="n">
        <x:v>5</x:v>
      </x:c>
      <x:c r="O389" s="12" t="n">
        <x:v>352.86</x:v>
      </x:c>
      <x:c r="P389" s="12" t="n">
        <x:v>0</x:v>
      </x:c>
      <x:c r="Q389" s="12" t="n">
        <x:v>1764.3</x:v>
      </x:c>
      <x:c r="R389" s="12" t="n">
        <x:v>1332.49</x:v>
      </x:c>
      <x:c r="S389" s="12" t="n">
        <x:v>431.81</x:v>
      </x:c>
      <x:c r="T389" s="12" t="str">
        <x:v>Pending</x:v>
      </x:c>
      <x:c r="U389" s="12" t="str">
        <x:v>Cancelled</x:v>
      </x:c>
    </x:row>
    <x:row r="390">
      <x:c r="A390" s="12" t="str">
        <x:v>ORD-2024-10389</x:v>
      </x:c>
      <x:c r="B390" s="12" t="str">
        <x:v>2024-05-13</x:v>
      </x:c>
      <x:c r="C390" s="12" t="str">
        <x:v>18 May 2024</x:v>
      </x:c>
      <x:c r="D390" s="12" t="str">
        <x:v>CUST-1457</x:v>
      </x:c>
      <x:c r="E390" s="12" t="str">
        <x:v>Isha Nair</x:v>
      </x:c>
      <x:c r="F390" s="12" t="str">
        <x:v>Small Business</x:v>
      </x:c>
      <x:c r="G390" s="12" t="str">
        <x:v>West</x:v>
      </x:c>
      <x:c r="H390" s="12" t="str">
        <x:v>Gujarat</x:v>
      </x:c>
      <x:c r="I390" s="12" t="str">
        <x:v>Ahmedabad</x:v>
      </x:c>
      <x:c r="J390" s="12" t="str">
        <x:v>Furniture</x:v>
      </x:c>
      <x:c r="K390" s="12" t="str">
        <x:v>Chairs</x:v>
      </x:c>
      <x:c r="L390" s="12" t="str">
        <x:v>Elite Chairs 639</x:v>
      </x:c>
      <x:c r="M390" s="12" t="str">
        <x:v>Standard Class</x:v>
      </x:c>
      <x:c r="N390" s="12" t="n">
        <x:v>3</x:v>
      </x:c>
      <x:c r="O390" s="12" t="n">
        <x:v>3128.59</x:v>
      </x:c>
      <x:c r="P390" s="12" t="n">
        <x:v>0</x:v>
      </x:c>
      <x:c r="Q390" s="12" t="n">
        <x:v>9385.77</x:v>
      </x:c>
      <x:c r="R390" s="12" t="n">
        <x:v>6872.44</x:v>
      </x:c>
      <x:c r="S390" s="12" t="n">
        <x:v>2783.66</x:v>
      </x:c>
      <x:c r="T390" s="12" t="str">
        <x:v>Paid</x:v>
      </x:c>
      <x:c r="U390" s="12" t="str">
        <x:v>Completed</x:v>
      </x:c>
    </x:row>
    <x:row r="391">
      <x:c r="A391" s="12" t="str">
        <x:v>ORD-2024-10390</x:v>
      </x:c>
      <x:c r="B391" s="12" t="str">
        <x:v>05 Apr 2024</x:v>
      </x:c>
      <x:c r="C391" s="12" t="str">
        <x:v>13 Apr 2024</x:v>
      </x:c>
      <x:c r="D391" s="12" t="str">
        <x:v>CUST-3930</x:v>
      </x:c>
      <x:c r="E391" s="12" t="str">
        <x:v>Diya Patel</x:v>
      </x:c>
      <x:c r="F391" s="12" t="str">
        <x:v>Corporate</x:v>
      </x:c>
      <x:c r="G391" s="12" t="str">
        <x:v>West</x:v>
      </x:c>
      <x:c r="H391" s="12" t="str">
        <x:v>Gujarat</x:v>
      </x:c>
      <x:c r="I391" s="12" t="str">
        <x:v>Ahmedabad</x:v>
      </x:c>
      <x:c r="J391" s="12" t="str">
        <x:v>Technology</x:v>
      </x:c>
      <x:c r="K391" s="12" t="str">
        <x:v>Machines</x:v>
      </x:c>
      <x:c r="L391" s="12" t="str">
        <x:v>Elite Machines 563</x:v>
      </x:c>
      <x:c r="M391" s="12" t="str">
        <x:v>Second Class</x:v>
      </x:c>
      <x:c r="N391" s="12" t="n">
        <x:v>5</x:v>
      </x:c>
      <x:c r="O391" s="12" t="n">
        <x:v>1937.54</x:v>
      </x:c>
      <x:c r="P391" s="12" t="n">
        <x:v>0.2</x:v>
      </x:c>
      <x:c r="Q391" s="12" t="n">
        <x:v>7750.16</x:v>
      </x:c>
      <x:c r="R391" s="12" t="n">
        <x:v>5434.3</x:v>
      </x:c>
      <x:c r="S391" s="12" t="n">
        <x:v>2315.86</x:v>
      </x:c>
      <x:c r="T391" s="12" t="str">
        <x:v>Pending</x:v>
      </x:c>
      <x:c r="U391" s="12" t="str">
        <x:v>Cancelled</x:v>
      </x:c>
    </x:row>
    <x:row r="392">
      <x:c r="A392" s="12" t="str">
        <x:v>ORD-2024-10391</x:v>
      </x:c>
      <x:c r="B392" s="12" t="str">
        <x:v>06 Nov 2024</x:v>
      </x:c>
      <x:c r="C392" s="12" t="str">
        <x:v>11-11-2024</x:v>
      </x:c>
      <x:c r="D392" s="12" t="str">
        <x:v>CUST-7853</x:v>
      </x:c>
      <x:c r="E392" s="12" t="str">
        <x:v>Isha Nair</x:v>
      </x:c>
      <x:c r="F392" s="12" t="str">
        <x:v>Consumer</x:v>
      </x:c>
      <x:c r="G392" s="12" t="str">
        <x:v>West</x:v>
      </x:c>
      <x:c r="H392" s="12" t="str">
        <x:v>Gujarat</x:v>
      </x:c>
      <x:c r="I392" s="12" t="str">
        <x:v>Ahmedabad</x:v>
      </x:c>
      <x:c r="J392" s="12" t="str">
        <x:v>Furniture</x:v>
      </x:c>
      <x:c r="K392" s="12" t="str">
        <x:v>Furnishings</x:v>
      </x:c>
      <x:c r="L392" s="12" t="str">
        <x:v>Pro Furnishings 281</x:v>
      </x:c>
      <x:c r="M392" s="12" t="str">
        <x:v>Standard Class</x:v>
      </x:c>
      <x:c r="N392" s="12" t="n">
        <x:v>4</x:v>
      </x:c>
      <x:c r="O392" s="12" t="n">
        <x:v>1917.26</x:v>
      </x:c>
      <x:c r="P392" s="12" t="n">
        <x:v>0.2</x:v>
      </x:c>
      <x:c r="Q392" s="12" t="n">
        <x:v>6135.23</x:v>
      </x:c>
      <x:c r="R392" s="12" t="n">
        <x:v>3439.79</x:v>
      </x:c>
      <x:c r="S392" s="12" t="n">
        <x:v>2695.44</x:v>
      </x:c>
      <x:c r="T392" s="12" t="str">
        <x:v>Paid</x:v>
      </x:c>
      <x:c r="U392" s="12" t="str">
        <x:v>Completed</x:v>
      </x:c>
    </x:row>
    <x:row r="393">
      <x:c r="A393" s="12" t="str">
        <x:v>ORD-2025-10392</x:v>
      </x:c>
      <x:c r="B393" s="12" t="str">
        <x:v>14-02-2025</x:v>
      </x:c>
      <x:c r="C393" s="12" t="str">
        <x:v>14 Feb 2025</x:v>
      </x:c>
      <x:c r="D393" s="12" t="str">
        <x:v>CUST-2267</x:v>
      </x:c>
      <x:c r="E393" s="12" t="str">
        <x:v>Diya Patel</x:v>
      </x:c>
      <x:c r="F393" s="12" t="str">
        <x:v>Consumer</x:v>
      </x:c>
      <x:c r="G393" s="12" t="str">
        <x:v>South</x:v>
      </x:c>
      <x:c r="H393" s="12" t="str">
        <x:v>Karnataka</x:v>
      </x:c>
      <x:c r="I393" s="12" t="str">
        <x:v>Bengaluru</x:v>
      </x:c>
      <x:c r="J393" s="12" t="str">
        <x:v>Office Supplies</x:v>
      </x:c>
      <x:c r="K393" s="12" t="str">
        <x:v>Storage</x:v>
      </x:c>
      <x:c r="L393" s="12" t="str">
        <x:v>Eco Storage 285</x:v>
      </x:c>
      <x:c r="M393" s="12" t="str">
        <x:v>First Class</x:v>
      </x:c>
      <x:c r="N393" s="12" t="n">
        <x:v>1</x:v>
      </x:c>
      <x:c r="O393" s="12" t="n">
        <x:v>714.43</x:v>
      </x:c>
      <x:c r="P393" s="12" t="n">
        <x:v>0</x:v>
      </x:c>
      <x:c r="Q393" s="12" t="n">
        <x:v>714.43</x:v>
      </x:c>
      <x:c r="R393" s="12" t="n">
        <x:v>565.44</x:v>
      </x:c>
      <x:c r="S393" s="12" t="n">
        <x:v>148.99</x:v>
      </x:c>
      <x:c r="T393" s="12" t="str">
        <x:v>Paid</x:v>
      </x:c>
      <x:c r="U393" s="12" t="str">
        <x:v>Completed</x:v>
      </x:c>
    </x:row>
    <x:row r="394">
      <x:c r="A394" s="12" t="str">
        <x:v>ORD-2024-10393</x:v>
      </x:c>
      <x:c r="B394" s="12" t="str">
        <x:v>02/19/2024</x:v>
      </x:c>
      <x:c r="C394" s="12" t="str">
        <x:v>22 Feb 2024</x:v>
      </x:c>
      <x:c r="D394" s="12" t="str">
        <x:v>CUST-6866</x:v>
      </x:c>
      <x:c r="E394" s="12" t="str">
        <x:v>Aditi Sen</x:v>
      </x:c>
      <x:c r="F394" s="12" t="str">
        <x:v>Small Business</x:v>
      </x:c>
      <x:c r="G394" s="12" t="str">
        <x:v>South</x:v>
      </x:c>
      <x:c r="H394" s="12" t="str">
        <x:v>Kerala</x:v>
      </x:c>
      <x:c r="I394" s="12" t="str">
        <x:v>Kochi</x:v>
      </x:c>
      <x:c r="J394" s="12" t="str">
        <x:v>Furniture</x:v>
      </x:c>
      <x:c r="K394" s="12" t="str">
        <x:v>Furnishings</x:v>
      </x:c>
      <x:c r="L394" s="12" t="str">
        <x:v>Classic Furnishings 746</x:v>
      </x:c>
      <x:c r="M394" s="12" t="str">
        <x:v>Same Day</x:v>
      </x:c>
      <x:c r="N394" s="12" t="n">
        <x:v>9</x:v>
      </x:c>
      <x:c r="O394" s="12" t="n">
        <x:v>4053.01</x:v>
      </x:c>
      <x:c r="P394" s="12" t="n">
        <x:v>0</x:v>
      </x:c>
      <x:c r="Q394" s="12" t="n">
        <x:v>36477.09</x:v>
      </x:c>
      <x:c r="R394" s="12" t="n">
        <x:v>24525.48</x:v>
      </x:c>
      <x:c r="S394" s="12" t="n">
        <x:v>11951.61</x:v>
      </x:c>
      <x:c r="T394" s="12" t="str">
        <x:v>Paid</x:v>
      </x:c>
      <x:c r="U394" s="12" t="str">
        <x:v>Completed</x:v>
      </x:c>
    </x:row>
    <x:row r="395">
      <x:c r="A395" s="12" t="str">
        <x:v>ORD-2024-10394</x:v>
      </x:c>
      <x:c r="B395" s="12" t="str">
        <x:v>2024-08-23</x:v>
      </x:c>
      <x:c r="C395" s="12" t="str">
        <x:v>08/29/2024</x:v>
      </x:c>
      <x:c r="D395" s="12" t="str">
        <x:v>CUST-3160</x:v>
      </x:c>
      <x:c r="E395" s="12" t="str">
        <x:v>Mira Das</x:v>
      </x:c>
      <x:c r="F395" s="12" t="str">
        <x:v>Corporate</x:v>
      </x:c>
      <x:c r="G395" s="12" t="str">
        <x:v>North</x:v>
      </x:c>
      <x:c r="H395" s="12" t="str">
        <x:v>Uttar Pradesh</x:v>
      </x:c>
      <x:c r="I395" s="12" t="str">
        <x:v>Noida</x:v>
      </x:c>
      <x:c r="J395" s="12" t="str">
        <x:v>Office Supplies</x:v>
      </x:c>
      <x:c r="K395" s="12" t="str">
        <x:v>Labels</x:v>
      </x:c>
      <x:c r="L395" s="12" t="str">
        <x:v>Eco Labels 815</x:v>
      </x:c>
      <x:c r="M395" s="12" t="str">
        <x:v>Same Day</x:v>
      </x:c>
      <x:c r="N395" s="12" t="n">
        <x:v>2</x:v>
      </x:c>
      <x:c r="O395" s="12" t="n">
        <x:v>1936.91</x:v>
      </x:c>
      <x:c r="P395" s="12" t="n">
        <x:v>0.05</x:v>
      </x:c>
      <x:c r="Q395" s="12" t="n">
        <x:v>3680.13</x:v>
      </x:c>
      <x:c r="R395" s="12" t="n">
        <x:v>2967.46</x:v>
      </x:c>
      <x:c r="S395" s="12" t="n">
        <x:v>712.67</x:v>
      </x:c>
      <x:c r="T395" s="12" t="str">
        <x:v>Paid</x:v>
      </x:c>
      <x:c r="U395" s="12" t="str">
        <x:v>Completed</x:v>
      </x:c>
    </x:row>
    <x:row r="396">
      <x:c r="A396" s="12" t="str">
        <x:v>ORD-2024-10395</x:v>
      </x:c>
      <x:c r="B396" s="12" t="str">
        <x:v>03-04-2024</x:v>
      </x:c>
      <x:c r="C396" s="12" t="str">
        <x:v>04 Apr 2024</x:v>
      </x:c>
      <x:c r="D396" s="12" t="str">
        <x:v>CUST-8444</x:v>
      </x:c>
      <x:c r="E396" s="12" t="str">
        <x:v>Kabir Singh</x:v>
      </x:c>
      <x:c r="F396" s="12" t="str">
        <x:v>Consumer</x:v>
      </x:c>
      <x:c r="G396" s="12" t="str">
        <x:v>West</x:v>
      </x:c>
      <x:c r="H396" s="12" t="str">
        <x:v>Maharashtra</x:v>
      </x:c>
      <x:c r="I396" s="12" t="str">
        <x:v>Mumbai</x:v>
      </x:c>
      <x:c r="J396" s="12" t="str">
        <x:v>Furniture</x:v>
      </x:c>
      <x:c r="K396" s="12" t="str">
        <x:v>Furnishings</x:v>
      </x:c>
      <x:c r="L396" s="12" t="str">
        <x:v>Prime Furnishings 879</x:v>
      </x:c>
      <x:c r="M396" s="12" t="str">
        <x:v>First Class</x:v>
      </x:c>
      <x:c r="N396" s="12" t="n">
        <x:v>7</x:v>
      </x:c>
      <x:c r="O396" s="12" t="n">
        <x:v>3945.21</x:v>
      </x:c>
      <x:c r="P396" s="12" t="n">
        <x:v>0</x:v>
      </x:c>
      <x:c r="Q396" s="12" t="n">
        <x:v>27616.47</x:v>
      </x:c>
      <x:c r="R396" s="12" t="n">
        <x:v>21225.26</x:v>
      </x:c>
      <x:c r="S396" s="12" t="n">
        <x:v>6391.21</x:v>
      </x:c>
      <x:c r="T396" s="12" t="str">
        <x:v>Paid</x:v>
      </x:c>
      <x:c r="U396" s="12" t="str">
        <x:v>Completed</x:v>
      </x:c>
    </x:row>
    <x:row r="397">
      <x:c r="A397" s="12" t="str">
        <x:v>ORD-2024-10396</x:v>
      </x:c>
      <x:c r="B397" s="12" t="str">
        <x:v>06/06/2024</x:v>
      </x:c>
      <x:c r="C397" s="12" t="str">
        <x:v>06/07/2024</x:v>
      </x:c>
      <x:c r="D397" s="12" t="str">
        <x:v>CUST-4765</x:v>
      </x:c>
      <x:c r="E397" s="12" t="str">
        <x:v>Rahul Verma</x:v>
      </x:c>
      <x:c r="F397" s="12" t="str">
        <x:v>Home Office</x:v>
      </x:c>
      <x:c r="G397" s="12" t="str">
        <x:v>South</x:v>
      </x:c>
      <x:c r="H397" s="12" t="str">
        <x:v>Tamil Nadu</x:v>
      </x:c>
      <x:c r="I397" s="12" t="str">
        <x:v>Chennai</x:v>
      </x:c>
      <x:c r="J397" s="12" t="str">
        <x:v>Furniture</x:v>
      </x:c>
      <x:c r="K397" s="12" t="str">
        <x:v>Tables</x:v>
      </x:c>
      <x:c r="L397" s="12" t="str">
        <x:v>Pro Tables 142</x:v>
      </x:c>
      <x:c r="M397" s="12" t="str">
        <x:v>Same Day</x:v>
      </x:c>
      <x:c r="N397" s="12" t="n">
        <x:v>7</x:v>
      </x:c>
      <x:c r="O397" s="12" t="n">
        <x:v>861.91</x:v>
      </x:c>
      <x:c r="P397" s="12" t="n">
        <x:v>0.05</x:v>
      </x:c>
      <x:c r="Q397" s="12" t="n">
        <x:v>5731.7</x:v>
      </x:c>
      <x:c r="R397" s="12" t="n">
        <x:v>4115.56</x:v>
      </x:c>
      <x:c r="S397" s="12" t="n">
        <x:v>1616.14</x:v>
      </x:c>
      <x:c r="T397" s="12" t="str">
        <x:v>Paid</x:v>
      </x:c>
      <x:c r="U397" s="12" t="str">
        <x:v>Completed</x:v>
      </x:c>
    </x:row>
    <x:row r="398">
      <x:c r="A398" s="12" t="str">
        <x:v>ORD-2025-10397</x:v>
      </x:c>
      <x:c r="B398" s="12" t="str">
        <x:v>2025-04-14</x:v>
      </x:c>
      <x:c r="C398" s="12" t="str">
        <x:v>22 Apr 2025</x:v>
      </x:c>
      <x:c r="D398" s="12" t="str">
        <x:v>CUST-2280</x:v>
      </x:c>
      <x:c r="E398" s="12" t="str">
        <x:v>Aditi Sen</x:v>
      </x:c>
      <x:c r="F398" s="12" t="str">
        <x:v>Small Business</x:v>
      </x:c>
      <x:c r="G398" s="12" t="str">
        <x:v>South</x:v>
      </x:c>
      <x:c r="H398" s="12" t="str">
        <x:v>Karnataka</x:v>
      </x:c>
      <x:c r="I398" s="12" t="str">
        <x:v>Bengaluru</x:v>
      </x:c>
      <x:c r="J398" s="12" t="str">
        <x:v>Technology</x:v>
      </x:c>
      <x:c r="K398" s="12" t="str">
        <x:v>Machines</x:v>
      </x:c>
      <x:c r="L398" s="12" t="str">
        <x:v>Prime Machines 267</x:v>
      </x:c>
      <x:c r="M398" s="12" t="str">
        <x:v>Standard Class</x:v>
      </x:c>
      <x:c r="N398" s="12" t="n">
        <x:v>2</x:v>
      </x:c>
      <x:c r="O398" s="12" t="n">
        <x:v>638.73</x:v>
      </x:c>
      <x:c r="P398" s="12" t="n">
        <x:v>0.05</x:v>
      </x:c>
      <x:c r="Q398" s="12" t="n">
        <x:v>1213.59</x:v>
      </x:c>
      <x:c r="R398" s="12" t="n">
        <x:v>956.22</x:v>
      </x:c>
      <x:c r="S398" s="12" t="n">
        <x:v>257.37</x:v>
      </x:c>
      <x:c r="T398" s="12" t="str">
        <x:v>Paid</x:v>
      </x:c>
      <x:c r="U398" s="12" t="str">
        <x:v>Completed</x:v>
      </x:c>
    </x:row>
    <x:row r="399">
      <x:c r="A399" s="12" t="str">
        <x:v>ORD-2025-10398</x:v>
      </x:c>
      <x:c r="B399" s="12" t="str">
        <x:v>09 Jun 2025</x:v>
      </x:c>
      <x:c r="C399" s="12" t="str">
        <x:v>10 Jun 2025</x:v>
      </x:c>
      <x:c r="D399" s="12" t="str">
        <x:v>CUST-3177</x:v>
      </x:c>
      <x:c r="E399" s="12" t="str">
        <x:v>Sneha Kapoor</x:v>
      </x:c>
      <x:c r="F399" s="12" t="str">
        <x:v>Small Business</x:v>
      </x:c>
      <x:c r="G399" s="12" t="str">
        <x:v>North</x:v>
      </x:c>
      <x:c r="H399" s="12" t="str">
        <x:v>Uttar Pradesh</x:v>
      </x:c>
      <x:c r="I399" s="12" t="str">
        <x:v>Noida</x:v>
      </x:c>
      <x:c r="J399" s="12" t="str">
        <x:v>Furniture</x:v>
      </x:c>
      <x:c r="K399" s="12" t="str">
        <x:v>Tables</x:v>
      </x:c>
      <x:c r="L399" s="12" t="str">
        <x:v>Eco Tables 378</x:v>
      </x:c>
      <x:c r="M399" s="12" t="str">
        <x:v>Second Class</x:v>
      </x:c>
      <x:c r="N399" s="12" t="n">
        <x:v>2</x:v>
      </x:c>
      <x:c r="O399" s="12" t="n">
        <x:v>1731.88</x:v>
      </x:c>
      <x:c r="P399" s="12" t="n">
        <x:v>0</x:v>
      </x:c>
      <x:c r="Q399" s="12" t="n">
        <x:v>3463.76</x:v>
      </x:c>
      <x:c r="R399" s="12" t="n">
        <x:v>2143.74</x:v>
      </x:c>
      <x:c r="S399" s="12" t="n">
        <x:v>1320.02</x:v>
      </x:c>
      <x:c r="T399" s="12" t="str">
        <x:v>Paid</x:v>
      </x:c>
      <x:c r="U399" s="12" t="str">
        <x:v>Completed</x:v>
      </x:c>
    </x:row>
    <x:row r="400">
      <x:c r="A400" s="12" t="str">
        <x:v>ORD-2024-10399</x:v>
      </x:c>
      <x:c r="B400" s="12" t="str">
        <x:v>19 Jul 2024</x:v>
      </x:c>
      <x:c r="C400" s="12" t="str">
        <x:v>2024-07-26</x:v>
      </x:c>
      <x:c r="D400" s="12" t="str">
        <x:v>CUST-4718</x:v>
      </x:c>
      <x:c r="E400" s="12" t="str">
        <x:v>Vikram Iyer</x:v>
      </x:c>
      <x:c r="F400" s="12" t="str">
        <x:v>  Corporate </x:v>
      </x:c>
      <x:c r="G400" s="12" t="str">
        <x:v>North</x:v>
      </x:c>
      <x:c r="H400" s="12" t="str">
        <x:v>Punjab</x:v>
      </x:c>
      <x:c r="I400" s="12" t="str">
        <x:v>Ludhiana</x:v>
      </x:c>
      <x:c r="J400" s="12" t="str">
        <x:v>Technology</x:v>
      </x:c>
      <x:c r="K400" s="12" t="str">
        <x:v>Machines</x:v>
      </x:c>
      <x:c r="L400" s="12" t="str">
        <x:v>Elite Machines 523</x:v>
      </x:c>
      <x:c r="M400" s="12" t="str">
        <x:v>Same Day</x:v>
      </x:c>
      <x:c r="N400" s="12" t="n">
        <x:v>2</x:v>
      </x:c>
      <x:c r="O400" s="12" t="n">
        <x:v>1263.65</x:v>
      </x:c>
      <x:c r="P400" s="12" t="n">
        <x:v>0.2</x:v>
      </x:c>
      <x:c r="Q400" s="12" t="n">
        <x:v>2021.84</x:v>
      </x:c>
      <x:c r="R400" s="12" t="n">
        <x:v>1355.22</x:v>
      </x:c>
      <x:c r="S400" s="12" t="n">
        <x:v>666.62</x:v>
      </x:c>
      <x:c r="T400" s="12" t="str">
        <x:v>Paid</x:v>
      </x:c>
      <x:c r="U400" s="12" t="str">
        <x:v>Completed</x:v>
      </x:c>
    </x:row>
    <x:row r="401">
      <x:c r="A401" s="12" t="str">
        <x:v>ORD-2025-10400</x:v>
      </x:c>
      <x:c r="B401" s="12" t="str">
        <x:v>04/24/2025</x:v>
      </x:c>
      <x:c r="C401" s="12" t="str">
        <x:v>2025-04-29</x:v>
      </x:c>
      <x:c r="D401" s="12" t="str">
        <x:v>CUST-5647</x:v>
      </x:c>
      <x:c r="E401" s="12" t="str">
        <x:v>Diya Patel</x:v>
      </x:c>
      <x:c r="F401" s="12" t="str">
        <x:v>Small Business</x:v>
      </x:c>
      <x:c r="G401" s="12" t="str">
        <x:v>South</x:v>
      </x:c>
      <x:c r="H401" s="12" t="str">
        <x:v>Andhra Pradesh</x:v>
      </x:c>
      <x:c r="I401" s="12" t="str">
        <x:v>Vijayawada</x:v>
      </x:c>
      <x:c r="J401" s="12" t="str">
        <x:v>Office Supplies</x:v>
      </x:c>
      <x:c r="K401" s="12" t="str">
        <x:v>Paper</x:v>
      </x:c>
      <x:c r="L401" s="12" t="str">
        <x:v>Elite Paper 308</x:v>
      </x:c>
      <x:c r="M401" s="12" t="str">
        <x:v>Same Day</x:v>
      </x:c>
      <x:c r="N401" s="12" t="n">
        <x:v>1</x:v>
      </x:c>
      <x:c r="O401" s="12" t="n">
        <x:v>4358.5</x:v>
      </x:c>
      <x:c r="P401" s="12" t="n">
        <x:v>0.25</x:v>
      </x:c>
      <x:c r="Q401" s="12" t="n">
        <x:v>3268.88</x:v>
      </x:c>
      <x:c r="R401" s="12" t="n">
        <x:v>1993.74</x:v>
      </x:c>
      <x:c r="S401" s="12" t="n">
        <x:v>1275.14</x:v>
      </x:c>
      <x:c r="T401" s="12" t="str">
        <x:v>Paid</x:v>
      </x:c>
      <x:c r="U401" s="12" t="str">
        <x:v>Completed</x:v>
      </x:c>
    </x:row>
    <x:row r="402">
      <x:c r="A402" s="12" t="str">
        <x:v>ORD-2025-10401</x:v>
      </x:c>
      <x:c r="B402" s="12" t="str">
        <x:v>06-06-2025</x:v>
      </x:c>
      <x:c r="C402" s="12" t="str">
        <x:v>2025-06-11</x:v>
      </x:c>
      <x:c r="D402" s="12" t="str">
        <x:v>CUST-7150</x:v>
      </x:c>
      <x:c r="E402" s="12" t="str">
        <x:v>Sneha Kapoor</x:v>
      </x:c>
      <x:c r="F402" s="12" t="str">
        <x:v>Small Business</x:v>
      </x:c>
      <x:c r="G402" s="12" t="str">
        <x:v>North</x:v>
      </x:c>
      <x:c r="H402" s="12" t="str">
        <x:v>Uttar Pradesh</x:v>
      </x:c>
      <x:c r="I402" s="12" t="str">
        <x:v>Noida</x:v>
      </x:c>
      <x:c r="J402" s="12" t="str">
        <x:v>Office Supplies</x:v>
      </x:c>
      <x:c r="K402" s="12" t="str">
        <x:v>Paper</x:v>
      </x:c>
      <x:c r="L402" s="12" t="str">
        <x:v>Prime Paper 851</x:v>
      </x:c>
      <x:c r="M402" s="12" t="str">
        <x:v>Same Day</x:v>
      </x:c>
      <x:c r="N402" s="12" t="n">
        <x:v>7</x:v>
      </x:c>
      <x:c r="O402" s="12" t="n">
        <x:v>878.09</x:v>
      </x:c>
      <x:c r="P402" s="12" t="n">
        <x:v>-0.1</x:v>
      </x:c>
      <x:c r="Q402" s="12" t="n">
        <x:v>5839.3</x:v>
      </x:c>
      <x:c r="R402" s="12" t="n">
        <x:v>4877.38</x:v>
      </x:c>
      <x:c r="S402" s="12" t="n">
        <x:v>961.92</x:v>
      </x:c>
      <x:c r="T402" s="12" t="str">
        <x:v>Paid</x:v>
      </x:c>
      <x:c r="U402" s="12" t="str">
        <x:v>Completed</x:v>
      </x:c>
    </x:row>
    <x:row r="403">
      <x:c r="A403" s="12" t="str">
        <x:v>ORD-2025-10402</x:v>
      </x:c>
      <x:c r="B403" s="12" t="str">
        <x:v>09 Mar 2025</x:v>
      </x:c>
      <x:c r="C403" s="12" t="str">
        <x:v>16-03-2025</x:v>
      </x:c>
      <x:c r="D403" s="12" t="str">
        <x:v>CUST-6694</x:v>
      </x:c>
      <x:c r="E403" s="12" t="str">
        <x:v>Arjun Bose</x:v>
      </x:c>
      <x:c r="F403" s="12" t="str">
        <x:v>Small Business</x:v>
      </x:c>
      <x:c r="G403" s="12" t="str">
        <x:v>East</x:v>
      </x:c>
      <x:c r="H403" s="12" t="str">
        <x:v>Jharkhand</x:v>
      </x:c>
      <x:c r="I403" s="12" t="str">
        <x:v>Ranchi</x:v>
      </x:c>
      <x:c r="J403" s="12" t="str">
        <x:v>Furniture</x:v>
      </x:c>
      <x:c r="K403" s="12" t="str">
        <x:v>Tables</x:v>
      </x:c>
      <x:c r="L403" s="12" t="str">
        <x:v>Classic Tables 151</x:v>
      </x:c>
      <x:c r="M403" s="12" t="str">
        <x:v>Same Day</x:v>
      </x:c>
      <x:c r="N403" s="12" t="n">
        <x:v>3</x:v>
      </x:c>
      <x:c r="O403" s="12" t="n">
        <x:v>2625.85</x:v>
      </x:c>
      <x:c r="P403" s="12" t="n">
        <x:v>0</x:v>
      </x:c>
      <x:c r="Q403" s="12" t="n">
        <x:v>7877.55</x:v>
      </x:c>
      <x:c r="R403" s="12" t="n">
        <x:v>5562.77</x:v>
      </x:c>
      <x:c r="S403" s="12" t="n">
        <x:v>2314.78</x:v>
      </x:c>
      <x:c r="T403" s="12" t="str">
        <x:v>Paid</x:v>
      </x:c>
      <x:c r="U403" s="12" t="str">
        <x:v>Completed</x:v>
      </x:c>
    </x:row>
    <x:row r="404">
      <x:c r="A404" s="12" t="str">
        <x:v>ORD-2024-10403</x:v>
      </x:c>
      <x:c r="B404" s="12" t="str">
        <x:v>22 Mar 2024</x:v>
      </x:c>
      <x:c r="C404" s="12" t="str">
        <x:v>03/22/2024</x:v>
      </x:c>
      <x:c r="D404" s="12" t="str">
        <x:v>CUST-7680</x:v>
      </x:c>
      <x:c r="E404" s="12" t="str">
        <x:v>Priya Menon</x:v>
      </x:c>
      <x:c r="F404" s="12" t="str">
        <x:v>Small Business</x:v>
      </x:c>
      <x:c r="G404" s="12" t="str">
        <x:v>South</x:v>
      </x:c>
      <x:c r="H404" s="12" t="str">
        <x:v>Karnataka</x:v>
      </x:c>
      <x:c r="I404" s="12" t="str">
        <x:v>Bengaluru</x:v>
      </x:c>
      <x:c r="J404" s="12" t="str">
        <x:v>Furniture</x:v>
      </x:c>
      <x:c r="K404" s="12" t="str">
        <x:v>Tables</x:v>
      </x:c>
      <x:c r="L404" s="12" t="str">
        <x:v>Smart Tables 829</x:v>
      </x:c>
      <x:c r="M404" s="12"/>
      <x:c r="N404" s="12" t="n">
        <x:v>3</x:v>
      </x:c>
      <x:c r="O404" s="12" t="n">
        <x:v>1365.26</x:v>
      </x:c>
      <x:c r="P404" s="12" t="n">
        <x:v>0</x:v>
      </x:c>
      <x:c r="Q404" s="12" t="n">
        <x:v>4095.78</x:v>
      </x:c>
      <x:c r="R404" s="12" t="n">
        <x:v>2807.77</x:v>
      </x:c>
      <x:c r="S404" s="12" t="n">
        <x:v>1288.01</x:v>
      </x:c>
      <x:c r="T404" s="12" t="str">
        <x:v>Paid</x:v>
      </x:c>
      <x:c r="U404" s="12" t="str">
        <x:v>Completed</x:v>
      </x:c>
    </x:row>
    <x:row r="405">
      <x:c r="A405" s="12" t="str">
        <x:v>ORD-2024-10404</x:v>
      </x:c>
      <x:c r="B405" s="12" t="str">
        <x:v>09/30/2024</x:v>
      </x:c>
      <x:c r="C405" s="12" t="str">
        <x:v>04-10-2024</x:v>
      </x:c>
      <x:c r="D405" s="12" t="str">
        <x:v>CUST-2700</x:v>
      </x:c>
      <x:c r="E405" s="12" t="str">
        <x:v>Arjun Bose</x:v>
      </x:c>
      <x:c r="F405" s="12" t="str">
        <x:v>Small Business</x:v>
      </x:c>
      <x:c r="G405" s="12" t="str">
        <x:v>South</x:v>
      </x:c>
      <x:c r="H405" s="12" t="str">
        <x:v>Kerala</x:v>
      </x:c>
      <x:c r="I405" s="12" t="str">
        <x:v>Kochi</x:v>
      </x:c>
      <x:c r="J405" s="12" t="str">
        <x:v>Office Supplies</x:v>
      </x:c>
      <x:c r="K405" s="12" t="str">
        <x:v>PAPER</x:v>
      </x:c>
      <x:c r="L405" s="12" t="str">
        <x:v>Classic Paper 237</x:v>
      </x:c>
      <x:c r="M405" s="12" t="str">
        <x:v>Same Day</x:v>
      </x:c>
      <x:c r="N405" s="12" t="n">
        <x:v>5</x:v>
      </x:c>
      <x:c r="O405" s="12" t="n">
        <x:v>3512.25</x:v>
      </x:c>
      <x:c r="P405" s="12" t="n">
        <x:v>0.05</x:v>
      </x:c>
      <x:c r="Q405" s="12" t="n">
        <x:v>16683.19</x:v>
      </x:c>
      <x:c r="R405" s="12" t="n">
        <x:v>10301.16</x:v>
      </x:c>
      <x:c r="S405" s="12" t="n">
        <x:v>6382.03</x:v>
      </x:c>
      <x:c r="T405" s="12" t="str">
        <x:v>Paid</x:v>
      </x:c>
      <x:c r="U405" s="12" t="str">
        <x:v>Returned</x:v>
      </x:c>
    </x:row>
    <x:row r="406">
      <x:c r="A406" s="12" t="str">
        <x:v>ORD-2024-10405</x:v>
      </x:c>
      <x:c r="B406" s="12" t="str">
        <x:v>27 Jan 2024</x:v>
      </x:c>
      <x:c r="C406" s="12" t="str">
        <x:v>02/03/2024</x:v>
      </x:c>
      <x:c r="D406" s="12" t="str">
        <x:v>CUST-2904</x:v>
      </x:c>
      <x:c r="E406" s="12" t="str">
        <x:v>Aditi Sen</x:v>
      </x:c>
      <x:c r="F406" s="12" t="str">
        <x:v>Corporate</x:v>
      </x:c>
      <x:c r="G406" s="12" t="str">
        <x:v>West</x:v>
      </x:c>
      <x:c r="H406" s="12" t="str">
        <x:v>Rajasthan</x:v>
      </x:c>
      <x:c r="I406" s="12" t="str">
        <x:v>Udaipur</x:v>
      </x:c>
      <x:c r="J406" s="12" t="str">
        <x:v>Furniture</x:v>
      </x:c>
      <x:c r="K406" s="12" t="str">
        <x:v>Chairs</x:v>
      </x:c>
      <x:c r="L406" s="12" t="str">
        <x:v>Prime Chairs 891</x:v>
      </x:c>
      <x:c r="M406" s="12" t="str">
        <x:v>Same Day</x:v>
      </x:c>
      <x:c r="N406" s="12" t="n">
        <x:v>3</x:v>
      </x:c>
      <x:c r="O406" s="12" t="n">
        <x:v>359.61</x:v>
      </x:c>
      <x:c r="P406" s="12" t="n">
        <x:v>0</x:v>
      </x:c>
      <x:c r="Q406" s="12" t="n">
        <x:v>1078.83</x:v>
      </x:c>
      <x:c r="R406" s="12" t="n">
        <x:v>926.35</x:v>
      </x:c>
      <x:c r="S406" s="12" t="n">
        <x:v>152.48</x:v>
      </x:c>
      <x:c r="T406" s="12" t="str">
        <x:v>Paid</x:v>
      </x:c>
      <x:c r="U406" s="12" t="str">
        <x:v>  Completed </x:v>
      </x:c>
    </x:row>
    <x:row r="407">
      <x:c r="A407" s="12" t="str">
        <x:v>ORD-2024-10406</x:v>
      </x:c>
      <x:c r="B407" s="12" t="str">
        <x:v>09/23/2024</x:v>
      </x:c>
      <x:c r="C407" s="12" t="str">
        <x:v>24 Sep 2024</x:v>
      </x:c>
      <x:c r="D407" s="12" t="str">
        <x:v>CUST-9961</x:v>
      </x:c>
      <x:c r="E407" s="12" t="str">
        <x:v>Aditi Sen</x:v>
      </x:c>
      <x:c r="F407" s="12" t="str">
        <x:v>Home Office</x:v>
      </x:c>
      <x:c r="G407" s="12" t="str">
        <x:v>West</x:v>
      </x:c>
      <x:c r="H407" s="12" t="str">
        <x:v>Gujarat</x:v>
      </x:c>
      <x:c r="I407" s="12" t="str">
        <x:v>Ahmedabad</x:v>
      </x:c>
      <x:c r="J407" s="12" t="str">
        <x:v>Furniture</x:v>
      </x:c>
      <x:c r="K407" s="12" t="str">
        <x:v>Bookcases</x:v>
      </x:c>
      <x:c r="L407" s="12" t="str">
        <x:v>Max Bookcases 812</x:v>
      </x:c>
      <x:c r="M407" s="12"/>
      <x:c r="N407" s="12" t="n">
        <x:v>7</x:v>
      </x:c>
      <x:c r="O407" s="12" t="n">
        <x:v>3878.01</x:v>
      </x:c>
      <x:c r="P407" s="12" t="n">
        <x:v>0.1</x:v>
      </x:c>
      <x:c r="Q407" s="12" t="n">
        <x:v>24431.46</x:v>
      </x:c>
      <x:c r="R407" s="12" t="n">
        <x:v>18202.36</x:v>
      </x:c>
      <x:c r="S407" s="12" t="n">
        <x:v>6229.1</x:v>
      </x:c>
      <x:c r="T407" s="12" t="str">
        <x:v>Paid</x:v>
      </x:c>
      <x:c r="U407" s="12" t="str">
        <x:v>Completed</x:v>
      </x:c>
    </x:row>
    <x:row r="408">
      <x:c r="A408" s="12" t="str">
        <x:v>ORD-2025-10407</x:v>
      </x:c>
      <x:c r="B408" s="12" t="str">
        <x:v>25 Feb 2025</x:v>
      </x:c>
      <x:c r="C408" s="12" t="str">
        <x:v>25 Feb 2025</x:v>
      </x:c>
      <x:c r="D408" s="12" t="str">
        <x:v>CUST-9909</x:v>
      </x:c>
      <x:c r="E408" s="12" t="str">
        <x:v>Kabir Singh</x:v>
      </x:c>
      <x:c r="F408" s="12" t="str">
        <x:v>Small Business</x:v>
      </x:c>
      <x:c r="G408" s="12" t="str">
        <x:v>West</x:v>
      </x:c>
      <x:c r="H408" s="12" t="str">
        <x:v>Goa</x:v>
      </x:c>
      <x:c r="I408" s="12" t="str">
        <x:v>Panaji</x:v>
      </x:c>
      <x:c r="J408" s="12" t="str">
        <x:v>Furniture</x:v>
      </x:c>
      <x:c r="K408" s="12" t="str">
        <x:v>Furnishings</x:v>
      </x:c>
      <x:c r="L408" s="12" t="str">
        <x:v>Basic Furnishings 164</x:v>
      </x:c>
      <x:c r="M408" s="12" t="str">
        <x:v>Standard Class</x:v>
      </x:c>
      <x:c r="N408" s="12" t="n">
        <x:v>2</x:v>
      </x:c>
      <x:c r="O408" s="12" t="n">
        <x:v>3924.2</x:v>
      </x:c>
      <x:c r="P408" s="12" t="n">
        <x:v>0.25</x:v>
      </x:c>
      <x:c r="Q408" s="12" t="n">
        <x:v>5886.3</x:v>
      </x:c>
      <x:c r="R408" s="12" t="n">
        <x:v>3621.76</x:v>
      </x:c>
      <x:c r="S408" s="12" t="n">
        <x:v>2264.54</x:v>
      </x:c>
      <x:c r="T408" s="12" t="str">
        <x:v>Pending</x:v>
      </x:c>
      <x:c r="U408" s="12" t="str">
        <x:v>Returned</x:v>
      </x:c>
    </x:row>
    <x:row r="409">
      <x:c r="A409" s="12" t="str">
        <x:v>ORD-2024-10408</x:v>
      </x:c>
      <x:c r="B409" s="12" t="str">
        <x:v>12 May 2024</x:v>
      </x:c>
      <x:c r="C409" s="12" t="str">
        <x:v>13 May 2024</x:v>
      </x:c>
      <x:c r="D409" s="12" t="str">
        <x:v>CUST-8520</x:v>
      </x:c>
      <x:c r="E409" s="12" t="str">
        <x:v>Rahul Verma</x:v>
      </x:c>
      <x:c r="F409" s="12" t="str">
        <x:v>Corporate</x:v>
      </x:c>
      <x:c r="G409" s="12" t="str">
        <x:v>West</x:v>
      </x:c>
      <x:c r="H409" s="12" t="str">
        <x:v>Goa</x:v>
      </x:c>
      <x:c r="I409" s="12" t="str">
        <x:v>Panaji</x:v>
      </x:c>
      <x:c r="J409" s="12" t="str">
        <x:v>Office Supplies</x:v>
      </x:c>
      <x:c r="K409" s="12" t="str">
        <x:v>Labels</x:v>
      </x:c>
      <x:c r="L409" s="12" t="str">
        <x:v>Smart Labels 261</x:v>
      </x:c>
      <x:c r="M409" s="12" t="str">
        <x:v>Second Class</x:v>
      </x:c>
      <x:c r="N409" s="12" t="n">
        <x:v>3</x:v>
      </x:c>
      <x:c r="O409" s="12" t="n">
        <x:v>2644.55</x:v>
      </x:c>
      <x:c r="P409" s="12" t="n">
        <x:v>0</x:v>
      </x:c>
      <x:c r="Q409" s="12" t="n">
        <x:v>7933.65</x:v>
      </x:c>
      <x:c r="R409" s="12" t="n">
        <x:v>5698.42</x:v>
      </x:c>
      <x:c r="S409" s="12" t="n">
        <x:v>2235.23</x:v>
      </x:c>
      <x:c r="T409" s="12" t="str">
        <x:v>Paid</x:v>
      </x:c>
      <x:c r="U409" s="12" t="str">
        <x:v>Completed</x:v>
      </x:c>
    </x:row>
    <x:row r="410">
      <x:c r="A410" s="12" t="str">
        <x:v>ORD-2025-10409</x:v>
      </x:c>
      <x:c r="B410" s="12" t="str">
        <x:v>08/01/2025</x:v>
      </x:c>
      <x:c r="C410" s="12" t="str">
        <x:v>08/03/2025</x:v>
      </x:c>
      <x:c r="D410" s="12" t="str">
        <x:v>CUST-5036</x:v>
      </x:c>
      <x:c r="E410" s="12" t="str">
        <x:v>Sneha Kapoor</x:v>
      </x:c>
      <x:c r="F410" s="12" t="str">
        <x:v>Consumer</x:v>
      </x:c>
      <x:c r="G410" s="12" t="str">
        <x:v>West</x:v>
      </x:c>
      <x:c r="H410" s="12" t="str">
        <x:v>Maharashtra</x:v>
      </x:c>
      <x:c r="I410" s="12" t="str">
        <x:v>Mumbai</x:v>
      </x:c>
      <x:c r="J410" s="12" t="str">
        <x:v>Furniture</x:v>
      </x:c>
      <x:c r="K410" s="12" t="str">
        <x:v>Chairs</x:v>
      </x:c>
      <x:c r="L410" s="12" t="str">
        <x:v>Max Chairs 765</x:v>
      </x:c>
      <x:c r="M410" s="12" t="str">
        <x:v>First Class</x:v>
      </x:c>
      <x:c r="N410" s="12" t="n">
        <x:v>4</x:v>
      </x:c>
      <x:c r="O410" s="12" t="n">
        <x:v>1773.46</x:v>
      </x:c>
      <x:c r="P410" s="12" t="n">
        <x:v>0</x:v>
      </x:c>
      <x:c r="Q410" s="12" t="n">
        <x:v>7093.84</x:v>
      </x:c>
      <x:c r="R410" s="12" t="n">
        <x:v>4587.49</x:v>
      </x:c>
      <x:c r="S410" s="12" t="n">
        <x:v>2506.35</x:v>
      </x:c>
      <x:c r="T410" s="12" t="str">
        <x:v>Failed</x:v>
      </x:c>
      <x:c r="U410" s="12" t="str">
        <x:v>Returned</x:v>
      </x:c>
    </x:row>
    <x:row r="411">
      <x:c r="A411" s="12" t="str">
        <x:v>ORD-2025-10410</x:v>
      </x:c>
      <x:c r="B411" s="12" t="str">
        <x:v>13-02-2025</x:v>
      </x:c>
      <x:c r="C411" s="12" t="str">
        <x:v>15-02-2025</x:v>
      </x:c>
      <x:c r="D411" s="12" t="str">
        <x:v>CUST-7721</x:v>
      </x:c>
      <x:c r="E411" s="12" t="str">
        <x:v>Karan Malhotra</x:v>
      </x:c>
      <x:c r="F411" s="12" t="str">
        <x:v>Consumer</x:v>
      </x:c>
      <x:c r="G411" s="12" t="str">
        <x:v>East</x:v>
      </x:c>
      <x:c r="H411" s="12" t="str">
        <x:v>Assam</x:v>
      </x:c>
      <x:c r="I411" s="12" t="str">
        <x:v>Guwahati</x:v>
      </x:c>
      <x:c r="J411" s="12" t="str">
        <x:v>Technology</x:v>
      </x:c>
      <x:c r="K411" s="12" t="str">
        <x:v>Accessories</x:v>
      </x:c>
      <x:c r="L411" s="12" t="str">
        <x:v>Pro Accessories 686</x:v>
      </x:c>
      <x:c r="M411" s="12" t="str">
        <x:v>Same Day</x:v>
      </x:c>
      <x:c r="N411" s="12" t="n">
        <x:v>1</x:v>
      </x:c>
      <x:c r="O411" s="12" t="n">
        <x:v>3025.46</x:v>
      </x:c>
      <x:c r="P411" s="12" t="n">
        <x:v>0.25</x:v>
      </x:c>
      <x:c r="Q411" s="12" t="n">
        <x:v>2269.1</x:v>
      </x:c>
      <x:c r="R411" s="12" t="n">
        <x:v>1593.59</x:v>
      </x:c>
      <x:c r="S411" s="12" t="n">
        <x:v>675.51</x:v>
      </x:c>
      <x:c r="T411" s="12" t="str">
        <x:v>Refunded</x:v>
      </x:c>
      <x:c r="U411" s="12" t="str">
        <x:v>Returned</x:v>
      </x:c>
    </x:row>
    <x:row r="412">
      <x:c r="A412" s="12" t="str">
        <x:v>ORD-2024-10411</x:v>
      </x:c>
      <x:c r="B412" s="12" t="str">
        <x:v>2024-04-12</x:v>
      </x:c>
      <x:c r="C412" s="12" t="str">
        <x:v>20 Apr 2024</x:v>
      </x:c>
      <x:c r="D412" s="12" t="str">
        <x:v>CUST-9495</x:v>
      </x:c>
      <x:c r="E412" s="12" t="str">
        <x:v>Diya Patel</x:v>
      </x:c>
      <x:c r="F412" s="12" t="str">
        <x:v>Consumer</x:v>
      </x:c>
      <x:c r="G412" s="12" t="str">
        <x:v>West</x:v>
      </x:c>
      <x:c r="H412" s="12" t="str">
        <x:v>Goa</x:v>
      </x:c>
      <x:c r="I412" s="12" t="str">
        <x:v>Panaji</x:v>
      </x:c>
      <x:c r="J412" s="12" t="str">
        <x:v>Furniture</x:v>
      </x:c>
      <x:c r="K412" s="12" t="str">
        <x:v>Tables</x:v>
      </x:c>
      <x:c r="L412" s="12" t="str">
        <x:v>Smart Tables 100</x:v>
      </x:c>
      <x:c r="M412" s="12" t="str">
        <x:v>First Class</x:v>
      </x:c>
      <x:c r="N412" s="12" t="n">
        <x:v>9</x:v>
      </x:c>
      <x:c r="O412" s="12" t="n">
        <x:v>1302.61</x:v>
      </x:c>
      <x:c r="P412" s="12" t="n">
        <x:v>0.2</x:v>
      </x:c>
      <x:c r="Q412" s="12" t="n">
        <x:v>9378.79</x:v>
      </x:c>
      <x:c r="R412" s="12" t="n">
        <x:v>6774.48</x:v>
      </x:c>
      <x:c r="S412" s="12" t="n">
        <x:v>2604.31</x:v>
      </x:c>
      <x:c r="T412" s="12" t="str">
        <x:v>Paid</x:v>
      </x:c>
      <x:c r="U412" s="12" t="str">
        <x:v>Completed</x:v>
      </x:c>
    </x:row>
    <x:row r="413">
      <x:c r="A413" s="12" t="str">
        <x:v>ORD-2025-10412</x:v>
      </x:c>
      <x:c r="B413" s="12" t="str">
        <x:v>2025-08-23</x:v>
      </x:c>
      <x:c r="C413" s="12" t="str">
        <x:v>2025-08-28</x:v>
      </x:c>
      <x:c r="D413" s="12" t="str">
        <x:v>CUST-2855</x:v>
      </x:c>
      <x:c r="E413" s="12" t="str">
        <x:v>Arjun Bose</x:v>
      </x:c>
      <x:c r="F413" s="12" t="str">
        <x:v>Home Office</x:v>
      </x:c>
      <x:c r="G413" s="12" t="str">
        <x:v>West</x:v>
      </x:c>
      <x:c r="H413" s="12" t="str">
        <x:v>Rajasthan</x:v>
      </x:c>
      <x:c r="I413" s="12" t="str">
        <x:v>Udaipur</x:v>
      </x:c>
      <x:c r="J413" s="12" t="str">
        <x:v>Furniture</x:v>
      </x:c>
      <x:c r="K413" s="12" t="str">
        <x:v>Tables</x:v>
      </x:c>
      <x:c r="L413" s="12" t="str">
        <x:v>Basic Tables 615</x:v>
      </x:c>
      <x:c r="M413" s="12" t="str">
        <x:v>First Class</x:v>
      </x:c>
      <x:c r="N413" s="12" t="n">
        <x:v>1</x:v>
      </x:c>
      <x:c r="O413" s="12" t="n">
        <x:v>4167.81</x:v>
      </x:c>
      <x:c r="P413" s="12" t="n">
        <x:v>0.2</x:v>
      </x:c>
      <x:c r="Q413" s="12" t="n">
        <x:v>3334.25</x:v>
      </x:c>
      <x:c r="R413" s="12" t="n">
        <x:v>2768.77</x:v>
      </x:c>
      <x:c r="S413" s="12" t="n">
        <x:v>565.48</x:v>
      </x:c>
      <x:c r="T413" s="12" t="str">
        <x:v>Failed</x:v>
      </x:c>
      <x:c r="U413" s="12" t="str">
        <x:v>Returned</x:v>
      </x:c>
    </x:row>
    <x:row r="414">
      <x:c r="A414" s="12" t="str">
        <x:v>ORD-2024-10413</x:v>
      </x:c>
      <x:c r="B414" s="12" t="str">
        <x:v>2024-01-22</x:v>
      </x:c>
      <x:c r="C414" s="12" t="str">
        <x:v>30-01-2024</x:v>
      </x:c>
      <x:c r="D414" s="12" t="str">
        <x:v>CUST-4329</x:v>
      </x:c>
      <x:c r="E414" s="12" t="str">
        <x:v>Isha Nair</x:v>
      </x:c>
      <x:c r="F414" s="12" t="str">
        <x:v>Corporate</x:v>
      </x:c>
      <x:c r="G414" s="12" t="str">
        <x:v>South</x:v>
      </x:c>
      <x:c r="H414" s="12" t="str">
        <x:v>Karnataka</x:v>
      </x:c>
      <x:c r="I414" s="12" t="str">
        <x:v>Bengaluru</x:v>
      </x:c>
      <x:c r="J414" s="12" t="str">
        <x:v>Furniture</x:v>
      </x:c>
      <x:c r="K414" s="12" t="str">
        <x:v>Chairs</x:v>
      </x:c>
      <x:c r="L414" s="12" t="str">
        <x:v>Basic Chairs 790</x:v>
      </x:c>
      <x:c r="M414" s="12" t="str">
        <x:v>Same Day</x:v>
      </x:c>
      <x:c r="N414" s="12" t="n">
        <x:v>1</x:v>
      </x:c>
      <x:c r="O414" s="12" t="n">
        <x:v>2111.39</x:v>
      </x:c>
      <x:c r="P414" s="12" t="n">
        <x:v>0.25</x:v>
      </x:c>
      <x:c r="Q414" s="12" t="n">
        <x:v>1583.54</x:v>
      </x:c>
      <x:c r="R414" s="12" t="n">
        <x:v>1014.19</x:v>
      </x:c>
      <x:c r="S414" s="12" t="n">
        <x:v>569.35</x:v>
      </x:c>
      <x:c r="T414" s="12" t="str">
        <x:v>Paid</x:v>
      </x:c>
      <x:c r="U414" s="12" t="str">
        <x:v>Completed</x:v>
      </x:c>
    </x:row>
    <x:row r="415">
      <x:c r="A415" s="12" t="str">
        <x:v>ORD-2025-10414</x:v>
      </x:c>
      <x:c r="B415" s="12" t="str">
        <x:v>13-08-2025</x:v>
      </x:c>
      <x:c r="C415" s="12" t="str">
        <x:v>17-08-2025</x:v>
      </x:c>
      <x:c r="D415" s="12" t="str">
        <x:v>CUST-5094</x:v>
      </x:c>
      <x:c r="E415" s="12" t="str">
        <x:v>Neha Gupta</x:v>
      </x:c>
      <x:c r="F415" s="12" t="str">
        <x:v>Home Office</x:v>
      </x:c>
      <x:c r="G415" s="12" t="str">
        <x:v>West</x:v>
      </x:c>
      <x:c r="H415" s="12" t="str">
        <x:v>Madhya Pradesh</x:v>
      </x:c>
      <x:c r="I415" s="12" t="str">
        <x:v>Indore</x:v>
      </x:c>
      <x:c r="J415" s="12" t="str">
        <x:v>Technology</x:v>
      </x:c>
      <x:c r="K415" s="12" t="str">
        <x:v>Accessories</x:v>
      </x:c>
      <x:c r="L415" s="12" t="str">
        <x:v>Smart Accessories 226</x:v>
      </x:c>
      <x:c r="M415" s="12" t="str">
        <x:v>Second Class</x:v>
      </x:c>
      <x:c r="N415" s="12" t="n">
        <x:v>8</x:v>
      </x:c>
      <x:c r="O415" s="12" t="n">
        <x:v>1918.23</x:v>
      </x:c>
      <x:c r="P415" s="12" t="n">
        <x:v>0</x:v>
      </x:c>
      <x:c r="Q415" s="12" t="n">
        <x:v>15345.84</x:v>
      </x:c>
      <x:c r="R415" s="12" t="n">
        <x:v>10735.33</x:v>
      </x:c>
      <x:c r="S415" s="12" t="n">
        <x:v>4610.51</x:v>
      </x:c>
      <x:c r="T415" s="12" t="str">
        <x:v>Pending</x:v>
      </x:c>
      <x:c r="U415" s="12" t="str">
        <x:v>Cancelled</x:v>
      </x:c>
    </x:row>
    <x:row r="416">
      <x:c r="A416" s="12" t="str">
        <x:v>ORD-2024-10415</x:v>
      </x:c>
      <x:c r="B416" s="12" t="str">
        <x:v>2024-08-29</x:v>
      </x:c>
      <x:c r="C416" s="12" t="str">
        <x:v>08/30/2024</x:v>
      </x:c>
      <x:c r="D416" s="12" t="str">
        <x:v>CUST-4194</x:v>
      </x:c>
      <x:c r="E416" s="12" t="str">
        <x:v>Arjun Bose</x:v>
      </x:c>
      <x:c r="F416" s="12" t="str">
        <x:v>Home Office</x:v>
      </x:c>
      <x:c r="G416" s="12" t="str">
        <x:v>East</x:v>
      </x:c>
      <x:c r="H416" s="12" t="str">
        <x:v>Assam</x:v>
      </x:c>
      <x:c r="I416" s="12" t="str">
        <x:v>Guwahati</x:v>
      </x:c>
      <x:c r="J416" s="12" t="str">
        <x:v>Office Supplies</x:v>
      </x:c>
      <x:c r="K416" s="12" t="str">
        <x:v>Storage</x:v>
      </x:c>
      <x:c r="L416" s="12" t="str">
        <x:v>Max Storage 692</x:v>
      </x:c>
      <x:c r="M416" s="12" t="str">
        <x:v>First Class</x:v>
      </x:c>
      <x:c r="N416" s="12" t="n">
        <x:v>4</x:v>
      </x:c>
      <x:c r="O416" s="12" t="n">
        <x:v>2484.08</x:v>
      </x:c>
      <x:c r="P416" s="12" t="n">
        <x:v>0.05</x:v>
      </x:c>
      <x:c r="Q416" s="12" t="n">
        <x:v>9439.5</x:v>
      </x:c>
      <x:c r="R416" s="12" t="n">
        <x:v>5519.39</x:v>
      </x:c>
      <x:c r="S416" s="12" t="n">
        <x:v>3920.11</x:v>
      </x:c>
      <x:c r="T416" s="12" t="str">
        <x:v>Paid</x:v>
      </x:c>
      <x:c r="U416" s="12" t="str">
        <x:v>Completed</x:v>
      </x:c>
    </x:row>
    <x:row r="417">
      <x:c r="A417" s="12" t="str">
        <x:v>ORD-2024-10416</x:v>
      </x:c>
      <x:c r="B417" s="12" t="str">
        <x:v>01/25/2024</x:v>
      </x:c>
      <x:c r="C417" s="12" t="str">
        <x:v>27 Jan 2024</x:v>
      </x:c>
      <x:c r="D417" s="12" t="str">
        <x:v>CUST-7087</x:v>
      </x:c>
      <x:c r="E417" s="12" t="str">
        <x:v>Aarav Sharma</x:v>
      </x:c>
      <x:c r="F417" s="12" t="str">
        <x:v>Corporate</x:v>
      </x:c>
      <x:c r="G417" s="12" t="str">
        <x:v>South</x:v>
      </x:c>
      <x:c r="H417" s="12" t="str">
        <x:v>Karnataka</x:v>
      </x:c>
      <x:c r="I417" s="12" t="str">
        <x:v>Bengaluru</x:v>
      </x:c>
      <x:c r="J417" s="12" t="str">
        <x:v>Office Supplies</x:v>
      </x:c>
      <x:c r="K417" s="12" t="str">
        <x:v>Storage</x:v>
      </x:c>
      <x:c r="L417" s="12" t="str">
        <x:v>Basic Storage 684</x:v>
      </x:c>
      <x:c r="M417" s="12" t="str">
        <x:v>Same Day</x:v>
      </x:c>
      <x:c r="N417" s="12" t="n">
        <x:v>7</x:v>
      </x:c>
      <x:c r="O417" s="12" t="n">
        <x:v>1727.26</x:v>
      </x:c>
      <x:c r="P417" s="12" t="n">
        <x:v>0.15</x:v>
      </x:c>
      <x:c r="Q417" s="12" t="n">
        <x:v>10277.2</x:v>
      </x:c>
      <x:c r="R417" s="12" t="n">
        <x:v>7906.5</x:v>
      </x:c>
      <x:c r="S417" s="12" t="n">
        <x:v>2370.7</x:v>
      </x:c>
      <x:c r="T417" s="12" t="str">
        <x:v>Paid</x:v>
      </x:c>
      <x:c r="U417" s="12" t="str">
        <x:v>Returned</x:v>
      </x:c>
    </x:row>
    <x:row r="418">
      <x:c r="A418" s="12" t="str">
        <x:v>ORD-2025-10417</x:v>
      </x:c>
      <x:c r="B418" s="12" t="str">
        <x:v>2025-01-08</x:v>
      </x:c>
      <x:c r="C418" s="12" t="str">
        <x:v>16-01-2025</x:v>
      </x:c>
      <x:c r="D418" s="12" t="str">
        <x:v>CUST-7608</x:v>
      </x:c>
      <x:c r="E418" s="12" t="str">
        <x:v>Neha Gupta</x:v>
      </x:c>
      <x:c r="F418" s="12" t="str">
        <x:v>Consumer</x:v>
      </x:c>
      <x:c r="G418" s="12" t="str">
        <x:v>South</x:v>
      </x:c>
      <x:c r="H418" s="12" t="str">
        <x:v>Telangana</x:v>
      </x:c>
      <x:c r="I418" s="12" t="str">
        <x:v>Hyderabad</x:v>
      </x:c>
      <x:c r="J418" s="12" t="str">
        <x:v>Furniture </x:v>
      </x:c>
      <x:c r="K418" s="12" t="str">
        <x:v>Furnishings</x:v>
      </x:c>
      <x:c r="L418" s="12" t="str">
        <x:v>Smart Furnishings 152</x:v>
      </x:c>
      <x:c r="M418" s="12" t="str">
        <x:v>First Class</x:v>
      </x:c>
      <x:c r="N418" s="12" t="n">
        <x:v>8</x:v>
      </x:c>
      <x:c r="O418" s="12" t="n">
        <x:v>638.95</x:v>
      </x:c>
      <x:c r="P418" s="12" t="n">
        <x:v>0.25</x:v>
      </x:c>
      <x:c r="Q418" s="12" t="n">
        <x:v>3833.7</x:v>
      </x:c>
      <x:c r="R418" s="12" t="n">
        <x:v>2886.35</x:v>
      </x:c>
      <x:c r="S418" s="12" t="n">
        <x:v>947.35</x:v>
      </x:c>
      <x:c r="T418" s="12" t="str">
        <x:v>Paid</x:v>
      </x:c>
      <x:c r="U418" s="12" t="str">
        <x:v>Completed</x:v>
      </x:c>
    </x:row>
    <x:row r="419">
      <x:c r="A419" s="12" t="str">
        <x:v>ORD-2025-10418</x:v>
      </x:c>
      <x:c r="B419" s="12" t="str">
        <x:v>01/29/2025</x:v>
      </x:c>
      <x:c r="C419" s="12" t="str">
        <x:v>02/05/2025</x:v>
      </x:c>
      <x:c r="D419" s="12" t="str">
        <x:v>CUST-5269</x:v>
      </x:c>
      <x:c r="E419" s="12" t="str">
        <x:v>Mira Das</x:v>
      </x:c>
      <x:c r="F419" s="12" t="str">
        <x:v>Consumer</x:v>
      </x:c>
      <x:c r="G419" s="12" t="str">
        <x:v>West</x:v>
      </x:c>
      <x:c r="H419" s="12" t="str">
        <x:v>Gujarat</x:v>
      </x:c>
      <x:c r="I419" s="12" t="str">
        <x:v>Ahmedabad</x:v>
      </x:c>
      <x:c r="J419" s="12" t="str">
        <x:v>Office Supplies</x:v>
      </x:c>
      <x:c r="K419" s="12" t="str">
        <x:v>Art</x:v>
      </x:c>
      <x:c r="L419" s="12" t="str">
        <x:v>Max Art 736</x:v>
      </x:c>
      <x:c r="M419" s="12" t="str">
        <x:v>First Class</x:v>
      </x:c>
      <x:c r="N419" s="12" t="n">
        <x:v>6</x:v>
      </x:c>
      <x:c r="O419" s="12" t="n">
        <x:v>3863</x:v>
      </x:c>
      <x:c r="P419" s="12" t="n">
        <x:v>0.2</x:v>
      </x:c>
      <x:c r="Q419" s="12" t="n">
        <x:v>18542.4</x:v>
      </x:c>
      <x:c r="R419" s="12" t="n">
        <x:v>11193.75</x:v>
      </x:c>
      <x:c r="S419" s="12" t="n">
        <x:v>7348.65</x:v>
      </x:c>
      <x:c r="T419" s="12" t="str">
        <x:v>Paid</x:v>
      </x:c>
      <x:c r="U419" s="12" t="str">
        <x:v>Completed</x:v>
      </x:c>
    </x:row>
    <x:row r="420">
      <x:c r="A420" s="12" t="str">
        <x:v>ORD-2024-10419</x:v>
      </x:c>
      <x:c r="B420" s="12" t="str">
        <x:v>11/09/2024</x:v>
      </x:c>
      <x:c r="C420" s="12" t="str">
        <x:v>11/17/2024</x:v>
      </x:c>
      <x:c r="D420" s="12" t="str">
        <x:v>CUST-7925</x:v>
      </x:c>
      <x:c r="E420" s="12" t="str">
        <x:v>Sneha Kapoor</x:v>
      </x:c>
      <x:c r="F420" s="12" t="str">
        <x:v>Corporate</x:v>
      </x:c>
      <x:c r="G420" s="12" t="str">
        <x:v>East</x:v>
      </x:c>
      <x:c r="H420" s="12" t="str">
        <x:v>Odisha</x:v>
      </x:c>
      <x:c r="I420" s="12" t="str">
        <x:v>Bhubaneswar</x:v>
      </x:c>
      <x:c r="J420" s="12" t="str">
        <x:v>Technology</x:v>
      </x:c>
      <x:c r="K420" s="12" t="str">
        <x:v>Copiers</x:v>
      </x:c>
      <x:c r="L420" s="12" t="str">
        <x:v>Elite Copiers 971</x:v>
      </x:c>
      <x:c r="M420" s="12" t="str">
        <x:v>Standard Class</x:v>
      </x:c>
      <x:c r="N420" s="12" t="n">
        <x:v>6</x:v>
      </x:c>
      <x:c r="O420" s="12" t="n">
        <x:v>3660.4</x:v>
      </x:c>
      <x:c r="P420" s="12" t="n">
        <x:v>0</x:v>
      </x:c>
      <x:c r="Q420" s="12" t="n">
        <x:v>21962.4</x:v>
      </x:c>
      <x:c r="R420" s="12" t="n">
        <x:v>15331.99</x:v>
      </x:c>
      <x:c r="S420" s="12" t="n">
        <x:v>6630.41</x:v>
      </x:c>
      <x:c r="T420" s="12" t="str">
        <x:v>Failed</x:v>
      </x:c>
      <x:c r="U420" s="12" t="str">
        <x:v>Cancelled</x:v>
      </x:c>
    </x:row>
    <x:row r="421">
      <x:c r="A421" s="12" t="str">
        <x:v>ORD-2025-10420</x:v>
      </x:c>
      <x:c r="B421" s="12" t="str">
        <x:v>26-09-2025</x:v>
      </x:c>
      <x:c r="C421" s="12" t="str">
        <x:v>09/30/2025</x:v>
      </x:c>
      <x:c r="D421" s="12" t="str">
        <x:v>CUST-6552</x:v>
      </x:c>
      <x:c r="E421" s="12" t="str">
        <x:v>Sneha Kapoor</x:v>
      </x:c>
      <x:c r="F421" s="12" t="str">
        <x:v>Home Office</x:v>
      </x:c>
      <x:c r="G421" s="12" t="str">
        <x:v>North</x:v>
      </x:c>
      <x:c r="H421" s="12" t="str">
        <x:v>Haryana</x:v>
      </x:c>
      <x:c r="I421" s="12" t="str">
        <x:v>Gurugram</x:v>
      </x:c>
      <x:c r="J421" s="12" t="str">
        <x:v>Technology</x:v>
      </x:c>
      <x:c r="K421" s="12" t="str">
        <x:v>Phones</x:v>
      </x:c>
      <x:c r="L421" s="12" t="str">
        <x:v>Classic Phones 940</x:v>
      </x:c>
      <x:c r="M421" s="12" t="str">
        <x:v>Same Day</x:v>
      </x:c>
      <x:c r="N421" s="12" t="n">
        <x:v>2</x:v>
      </x:c>
      <x:c r="O421" s="12" t="n">
        <x:v>688.83</x:v>
      </x:c>
      <x:c r="P421" s="12" t="n">
        <x:v>0.05</x:v>
      </x:c>
      <x:c r="Q421" s="12" t="n">
        <x:v>1308.78</x:v>
      </x:c>
      <x:c r="R421" s="12" t="n">
        <x:v>843</x:v>
      </x:c>
      <x:c r="S421" s="12" t="n">
        <x:v>465.78</x:v>
      </x:c>
      <x:c r="T421" s="12" t="str">
        <x:v>Paid</x:v>
      </x:c>
      <x:c r="U421" s="12" t="str">
        <x:v>Completed</x:v>
      </x:c>
    </x:row>
    <x:row r="422">
      <x:c r="A422" s="12" t="str">
        <x:v>ORD-2025-10421</x:v>
      </x:c>
      <x:c r="B422" s="12" t="str">
        <x:v>18-03-2025</x:v>
      </x:c>
      <x:c r="C422" s="12" t="str">
        <x:v>2025-03-19</x:v>
      </x:c>
      <x:c r="D422" s="12" t="str">
        <x:v>CUST-7131</x:v>
      </x:c>
      <x:c r="E422" s="12" t="str">
        <x:v>Isha Nair</x:v>
      </x:c>
      <x:c r="F422" s="12" t="str">
        <x:v>Corporate</x:v>
      </x:c>
      <x:c r="G422" s="12" t="str">
        <x:v>South</x:v>
      </x:c>
      <x:c r="H422" s="12" t="str">
        <x:v>Tamil Nadu</x:v>
      </x:c>
      <x:c r="I422" s="12" t="str">
        <x:v>Chennai</x:v>
      </x:c>
      <x:c r="J422" s="12" t="str">
        <x:v>Technology</x:v>
      </x:c>
      <x:c r="K422" s="12" t="str">
        <x:v>Machines</x:v>
      </x:c>
      <x:c r="L422" s="12" t="str">
        <x:v>Pro Machines 579</x:v>
      </x:c>
      <x:c r="M422" s="12" t="str">
        <x:v>Standard Class</x:v>
      </x:c>
      <x:c r="N422" s="12" t="n">
        <x:v>2</x:v>
      </x:c>
      <x:c r="O422" s="12" t="n">
        <x:v>1209.99</x:v>
      </x:c>
      <x:c r="P422" s="12" t="n">
        <x:v>0.25</x:v>
      </x:c>
      <x:c r="Q422" s="12" t="n">
        <x:v>1814.99</x:v>
      </x:c>
      <x:c r="R422" s="12" t="n">
        <x:v>1120.06</x:v>
      </x:c>
      <x:c r="S422" s="12" t="n">
        <x:v>694.93</x:v>
      </x:c>
      <x:c r="T422" s="12" t="str">
        <x:v>Pending</x:v>
      </x:c>
      <x:c r="U422" s="12" t="str">
        <x:v>Cancelled</x:v>
      </x:c>
    </x:row>
    <x:row r="423">
      <x:c r="A423" s="12" t="str">
        <x:v>ORD-2025-10422</x:v>
      </x:c>
      <x:c r="B423" s="12" t="str">
        <x:v>06/14/2025</x:v>
      </x:c>
      <x:c r="C423" s="12" t="str">
        <x:v>19 Jun 2025</x:v>
      </x:c>
      <x:c r="D423" s="12" t="str">
        <x:v>CUST-2779</x:v>
      </x:c>
      <x:c r="E423" s="12" t="str">
        <x:v>Rohan Mehta</x:v>
      </x:c>
      <x:c r="F423" s="12" t="str">
        <x:v>Small Business</x:v>
      </x:c>
      <x:c r="G423" s="12" t="str">
        <x:v>North</x:v>
      </x:c>
      <x:c r="H423" s="12" t="str">
        <x:v>Delhi</x:v>
      </x:c>
      <x:c r="I423" s="12" t="str">
        <x:v>New Delhi</x:v>
      </x:c>
      <x:c r="J423" s="12" t="str">
        <x:v>Office Supplies</x:v>
      </x:c>
      <x:c r="K423" s="12" t="str">
        <x:v>Binders</x:v>
      </x:c>
      <x:c r="L423" s="12" t="str">
        <x:v>Elite Binders 943</x:v>
      </x:c>
      <x:c r="M423" s="12" t="str">
        <x:v>Same Day</x:v>
      </x:c>
      <x:c r="N423" s="12" t="n">
        <x:v>3</x:v>
      </x:c>
      <x:c r="O423" s="12" t="n">
        <x:v>1037.45</x:v>
      </x:c>
      <x:c r="P423" s="12" t="n">
        <x:v>0.2</x:v>
      </x:c>
      <x:c r="Q423" s="12" t="n">
        <x:v>2489.88</x:v>
      </x:c>
      <x:c r="R423" s="12" t="n">
        <x:v>1707.52</x:v>
      </x:c>
      <x:c r="S423" s="12" t="n">
        <x:v>782.36</x:v>
      </x:c>
      <x:c r="T423" s="12" t="str">
        <x:v>Pending</x:v>
      </x:c>
      <x:c r="U423" s="12" t="str">
        <x:v>Returned</x:v>
      </x:c>
    </x:row>
    <x:row r="424">
      <x:c r="A424" s="12" t="str">
        <x:v>ORD-2025-10423</x:v>
      </x:c>
      <x:c r="B424" s="12" t="str">
        <x:v>09/03/2025</x:v>
      </x:c>
      <x:c r="C424" s="12" t="str">
        <x:v>06 Sep 2025</x:v>
      </x:c>
      <x:c r="D424" s="12" t="str">
        <x:v>CUST-6077</x:v>
      </x:c>
      <x:c r="E424" s="12" t="str">
        <x:v>Kabir Singh</x:v>
      </x:c>
      <x:c r="F424" s="12" t="str">
        <x:v>Consumer</x:v>
      </x:c>
      <x:c r="G424" s="12" t="str">
        <x:v>West</x:v>
      </x:c>
      <x:c r="H424" s="12" t="str">
        <x:v>Madhya Pradesh</x:v>
      </x:c>
      <x:c r="I424" s="12" t="str">
        <x:v>Indore</x:v>
      </x:c>
      <x:c r="J424" s="12" t="str">
        <x:v>Technology</x:v>
      </x:c>
      <x:c r="K424" s="12" t="str">
        <x:v>Copiers</x:v>
      </x:c>
      <x:c r="L424" s="12" t="str">
        <x:v>Elite Copiers 474</x:v>
      </x:c>
      <x:c r="M424" s="12" t="str">
        <x:v>Same Day</x:v>
      </x:c>
      <x:c r="N424" s="12" t="n">
        <x:v>7</x:v>
      </x:c>
      <x:c r="O424" s="12" t="n">
        <x:v>688.85</x:v>
      </x:c>
      <x:c r="P424" s="12" t="n">
        <x:v>0.15</x:v>
      </x:c>
      <x:c r="Q424" s="12" t="n">
        <x:v>4098.66</x:v>
      </x:c>
      <x:c r="R424" s="12" t="n">
        <x:v>2678.06</x:v>
      </x:c>
      <x:c r="S424" s="12" t="n">
        <x:v>1420.6</x:v>
      </x:c>
      <x:c r="T424" s="12" t="str">
        <x:v>Paid</x:v>
      </x:c>
      <x:c r="U424" s="12" t="str">
        <x:v>Completed</x:v>
      </x:c>
    </x:row>
    <x:row r="425">
      <x:c r="A425" s="12" t="str">
        <x:v>ORD-2024-10424</x:v>
      </x:c>
      <x:c r="B425" s="12" t="str">
        <x:v>2024-02-20</x:v>
      </x:c>
      <x:c r="C425" s="12" t="str">
        <x:v>27-02-2024</x:v>
      </x:c>
      <x:c r="D425" s="12" t="str">
        <x:v>CUST-6169</x:v>
      </x:c>
      <x:c r="E425" s="12" t="str">
        <x:v>Diya Patel</x:v>
      </x:c>
      <x:c r="F425" s="12" t="str">
        <x:v>Consumer</x:v>
      </x:c>
      <x:c r="G425" s="12" t="str">
        <x:v>South</x:v>
      </x:c>
      <x:c r="H425" s="12" t="str">
        <x:v>Kerala</x:v>
      </x:c>
      <x:c r="I425" s="12" t="str">
        <x:v>Kochi</x:v>
      </x:c>
      <x:c r="J425" s="12" t="str">
        <x:v>Technology</x:v>
      </x:c>
      <x:c r="K425" s="12" t="str">
        <x:v>Accessories</x:v>
      </x:c>
      <x:c r="L425" s="12" t="str">
        <x:v>Prime Accessories 236</x:v>
      </x:c>
      <x:c r="M425" s="12" t="str">
        <x:v>FIRST CLASS</x:v>
      </x:c>
      <x:c r="N425" s="12" t="n">
        <x:v>9</x:v>
      </x:c>
      <x:c r="O425" s="12" t="n">
        <x:v>3779.31</x:v>
      </x:c>
      <x:c r="P425" s="12" t="n">
        <x:v>0.2</x:v>
      </x:c>
      <x:c r="Q425" s="12" t="n">
        <x:v>27211.03</x:v>
      </x:c>
      <x:c r="R425" s="12" t="n">
        <x:v>17940.43</x:v>
      </x:c>
      <x:c r="S425" s="12" t="n">
        <x:v>9270.6</x:v>
      </x:c>
      <x:c r="T425" s="12" t="str">
        <x:v>Paid</x:v>
      </x:c>
      <x:c r="U425" s="12" t="str">
        <x:v>Completed</x:v>
      </x:c>
    </x:row>
    <x:row r="426">
      <x:c r="A426" s="12" t="str">
        <x:v>ORD-2024-10425</x:v>
      </x:c>
      <x:c r="B426" s="12" t="str">
        <x:v>06/26/2024</x:v>
      </x:c>
      <x:c r="C426" s="12" t="str">
        <x:v>2024-06-29</x:v>
      </x:c>
      <x:c r="D426" s="12" t="str">
        <x:v>CUST-8904</x:v>
      </x:c>
      <x:c r="E426" s="12" t="str">
        <x:v>Neha Gupta</x:v>
      </x:c>
      <x:c r="F426" s="12" t="str">
        <x:v>Corporate</x:v>
      </x:c>
      <x:c r="G426" s="12" t="str">
        <x:v>North</x:v>
      </x:c>
      <x:c r="H426" s="12" t="str">
        <x:v>Punjab</x:v>
      </x:c>
      <x:c r="I426" s="12" t="str">
        <x:v>Ludhiana</x:v>
      </x:c>
      <x:c r="J426" s="12" t="str">
        <x:v>Technology</x:v>
      </x:c>
      <x:c r="K426" s="12" t="str">
        <x:v>Phones</x:v>
      </x:c>
      <x:c r="L426" s="12" t="str">
        <x:v>Prime Phones 881</x:v>
      </x:c>
      <x:c r="M426" s="12" t="str">
        <x:v>Standard Class</x:v>
      </x:c>
      <x:c r="N426" s="12" t="n">
        <x:v>8</x:v>
      </x:c>
      <x:c r="O426" s="12" t="n">
        <x:v>804.52</x:v>
      </x:c>
      <x:c r="P426" s="12" t="n">
        <x:v>0</x:v>
      </x:c>
      <x:c r="Q426" s="12" t="n">
        <x:v>6436.16</x:v>
      </x:c>
      <x:c r="R426" s="12" t="n">
        <x:v>4263.83</x:v>
      </x:c>
      <x:c r="S426" s="12" t="n">
        <x:v>2172.33</x:v>
      </x:c>
      <x:c r="T426" s="12" t="str">
        <x:v>Paid</x:v>
      </x:c>
      <x:c r="U426" s="12" t="str">
        <x:v>Completed</x:v>
      </x:c>
    </x:row>
    <x:row r="427">
      <x:c r="A427" s="12" t="str">
        <x:v>ORD-2024-10426</x:v>
      </x:c>
      <x:c r="B427" s="12" t="str">
        <x:v>26-09-2024</x:v>
      </x:c>
      <x:c r="C427" s="12" t="str">
        <x:v>09/27/2024</x:v>
      </x:c>
      <x:c r="D427" s="12" t="str">
        <x:v>CUST-9586</x:v>
      </x:c>
      <x:c r="E427" s="12" t="str">
        <x:v>Isha Nair</x:v>
      </x:c>
      <x:c r="F427" s="12" t="str">
        <x:v>Home Office</x:v>
      </x:c>
      <x:c r="G427" s="12" t="str">
        <x:v>North</x:v>
      </x:c>
      <x:c r="H427" s="12" t="str">
        <x:v>Delhi</x:v>
      </x:c>
      <x:c r="I427" s="12" t="str">
        <x:v>New Delhi</x:v>
      </x:c>
      <x:c r="J427" s="12" t="str">
        <x:v>Office Supplies</x:v>
      </x:c>
      <x:c r="K427" s="12" t="str">
        <x:v>Labels</x:v>
      </x:c>
      <x:c r="L427" s="12" t="str">
        <x:v>Pro Labels 903</x:v>
      </x:c>
      <x:c r="M427" s="12" t="str">
        <x:v>First Class</x:v>
      </x:c>
      <x:c r="N427" s="12" t="n">
        <x:v>2</x:v>
      </x:c>
      <x:c r="O427" s="12" t="n">
        <x:v>1065.69</x:v>
      </x:c>
      <x:c r="P427" s="12" t="n">
        <x:v>0.1</x:v>
      </x:c>
      <x:c r="Q427" s="12" t="n">
        <x:v>1918.24</x:v>
      </x:c>
      <x:c r="R427" s="12" t="n">
        <x:v>1373.52</x:v>
      </x:c>
      <x:c r="S427" s="12" t="n">
        <x:v>544.72</x:v>
      </x:c>
      <x:c r="T427" s="12" t="str">
        <x:v>Refunded</x:v>
      </x:c>
      <x:c r="U427" s="12" t="str">
        <x:v>Cancelled</x:v>
      </x:c>
    </x:row>
    <x:row r="428">
      <x:c r="A428" s="12" t="str">
        <x:v>ORD-2024-10427</x:v>
      </x:c>
      <x:c r="B428" s="12" t="str">
        <x:v>30-06-2024</x:v>
      </x:c>
      <x:c r="C428" s="12" t="str">
        <x:v>01-07-2024</x:v>
      </x:c>
      <x:c r="D428" s="12" t="str">
        <x:v>CUST-5431</x:v>
      </x:c>
      <x:c r="E428" s="12" t="str">
        <x:v>Aditi Sen</x:v>
      </x:c>
      <x:c r="F428" s="12" t="str">
        <x:v>Consumer</x:v>
      </x:c>
      <x:c r="G428" s="12" t="str">
        <x:v>North</x:v>
      </x:c>
      <x:c r="H428" s="12" t="str">
        <x:v>Haryana</x:v>
      </x:c>
      <x:c r="I428" s="12" t="str">
        <x:v>Gurugram</x:v>
      </x:c>
      <x:c r="J428" s="12" t="str">
        <x:v>Technology</x:v>
      </x:c>
      <x:c r="K428" s="12" t="str">
        <x:v>Copiers</x:v>
      </x:c>
      <x:c r="L428" s="12" t="str">
        <x:v>Max Copiers 402</x:v>
      </x:c>
      <x:c r="M428" s="12" t="str">
        <x:v>Same Day</x:v>
      </x:c>
      <x:c r="N428" s="12" t="n">
        <x:v>8</x:v>
      </x:c>
      <x:c r="O428" s="12" t="n">
        <x:v>3756.66</x:v>
      </x:c>
      <x:c r="P428" s="12" t="n">
        <x:v>0.1</x:v>
      </x:c>
      <x:c r="Q428" s="12" t="n">
        <x:v>27047.95</x:v>
      </x:c>
      <x:c r="R428" s="12" t="n">
        <x:v>18431.33</x:v>
      </x:c>
      <x:c r="S428" s="12" t="n">
        <x:v>8616.62</x:v>
      </x:c>
      <x:c r="T428" s="12" t="str">
        <x:v>Paid</x:v>
      </x:c>
      <x:c r="U428" s="12" t="str">
        <x:v>Completed</x:v>
      </x:c>
    </x:row>
    <x:row r="429">
      <x:c r="A429" s="12" t="str">
        <x:v>ORD-2025-10428</x:v>
      </x:c>
      <x:c r="B429" s="12" t="str">
        <x:v>2025-04-22</x:v>
      </x:c>
      <x:c r="C429" s="12" t="str">
        <x:v>24-04-2025</x:v>
      </x:c>
      <x:c r="D429" s="12" t="str">
        <x:v>CUST-8843</x:v>
      </x:c>
      <x:c r="E429" s="12" t="str">
        <x:v>Isha Nair</x:v>
      </x:c>
      <x:c r="F429" s="12" t="str">
        <x:v>Corporate</x:v>
      </x:c>
      <x:c r="G429" s="12"/>
      <x:c r="H429" s="12" t="str">
        <x:v>Jharkhand</x:v>
      </x:c>
      <x:c r="I429" s="12" t="str">
        <x:v>Ranchi</x:v>
      </x:c>
      <x:c r="J429" s="12" t="str">
        <x:v>Technology</x:v>
      </x:c>
      <x:c r="K429" s="12" t="str">
        <x:v>Accessories</x:v>
      </x:c>
      <x:c r="L429" s="12" t="str">
        <x:v>Prime Accessories 419</x:v>
      </x:c>
      <x:c r="M429" s="12" t="str">
        <x:v>STANDARD CLASS</x:v>
      </x:c>
      <x:c r="N429" s="12" t="n">
        <x:v>9</x:v>
      </x:c>
      <x:c r="O429" s="12" t="n">
        <x:v>2939.44</x:v>
      </x:c>
      <x:c r="P429" s="12" t="n">
        <x:v>0</x:v>
      </x:c>
      <x:c r="Q429" s="12" t="n">
        <x:v>26454.96</x:v>
      </x:c>
      <x:c r="R429" s="12" t="n">
        <x:v>17630.25</x:v>
      </x:c>
      <x:c r="S429" s="12" t="n">
        <x:v>8824.71</x:v>
      </x:c>
      <x:c r="T429" s="12" t="str">
        <x:v>Paid</x:v>
      </x:c>
      <x:c r="U429" s="12" t="str">
        <x:v>Completed</x:v>
      </x:c>
    </x:row>
    <x:row r="430">
      <x:c r="A430" s="12" t="str">
        <x:v>ORD-2025-10429</x:v>
      </x:c>
      <x:c r="B430" s="12" t="str">
        <x:v>2025-03-15</x:v>
      </x:c>
      <x:c r="C430" s="12" t="str">
        <x:v>22 Mar 2025</x:v>
      </x:c>
      <x:c r="D430" s="12" t="str">
        <x:v>CUST-7626</x:v>
      </x:c>
      <x:c r="E430" s="12" t="str">
        <x:v>Karan Malhotra</x:v>
      </x:c>
      <x:c r="F430" s="12" t="str">
        <x:v>Small Business</x:v>
      </x:c>
      <x:c r="G430" s="12" t="str">
        <x:v>East</x:v>
      </x:c>
      <x:c r="H430" s="12" t="str">
        <x:v>West Bengal</x:v>
      </x:c>
      <x:c r="I430" s="12" t="str">
        <x:v>Kolkata</x:v>
      </x:c>
      <x:c r="J430" s="12" t="str">
        <x:v>Technology</x:v>
      </x:c>
      <x:c r="K430" s="12" t="str">
        <x:v>Phones</x:v>
      </x:c>
      <x:c r="L430" s="12" t="str">
        <x:v>Elite Phones 488</x:v>
      </x:c>
      <x:c r="M430" s="12" t="str">
        <x:v>Same Day</x:v>
      </x:c>
      <x:c r="N430" s="12" t="n">
        <x:v>2</x:v>
      </x:c>
      <x:c r="O430" s="12" t="n">
        <x:v>1235.93</x:v>
      </x:c>
      <x:c r="P430" s="12" t="n">
        <x:v>0.25</x:v>
      </x:c>
      <x:c r="Q430" s="12" t="n">
        <x:v>1853.89</x:v>
      </x:c>
      <x:c r="R430" s="12" t="n">
        <x:v>1101.23</x:v>
      </x:c>
      <x:c r="S430" s="12" t="n">
        <x:v>752.66</x:v>
      </x:c>
      <x:c r="T430" s="12" t="str">
        <x:v>Pending</x:v>
      </x:c>
      <x:c r="U430" s="12" t="str">
        <x:v>Cancelled</x:v>
      </x:c>
    </x:row>
    <x:row r="431">
      <x:c r="A431" s="12" t="str">
        <x:v>ORD-2025-10430</x:v>
      </x:c>
      <x:c r="B431" s="12" t="str">
        <x:v>01 Mar 2025</x:v>
      </x:c>
      <x:c r="C431" s="12" t="str">
        <x:v>08-03-2025</x:v>
      </x:c>
      <x:c r="D431" s="12" t="str">
        <x:v>CUST-8562</x:v>
      </x:c>
      <x:c r="E431" s="12" t="str">
        <x:v>Neha Gupta</x:v>
      </x:c>
      <x:c r="F431" s="12" t="str">
        <x:v>Home Office</x:v>
      </x:c>
      <x:c r="G431" s="12" t="str">
        <x:v>North</x:v>
      </x:c>
      <x:c r="H431" s="12" t="str">
        <x:v>Rajasthan</x:v>
      </x:c>
      <x:c r="I431" s="12" t="str">
        <x:v>Jaipur</x:v>
      </x:c>
      <x:c r="J431" s="12" t="str">
        <x:v>Technology</x:v>
      </x:c>
      <x:c r="K431" s="12" t="str">
        <x:v>Copiers</x:v>
      </x:c>
      <x:c r="L431" s="12" t="str">
        <x:v>Prime Copiers 109</x:v>
      </x:c>
      <x:c r="M431" s="12" t="str">
        <x:v>Same Day</x:v>
      </x:c>
      <x:c r="N431" s="12" t="n">
        <x:v>8</x:v>
      </x:c>
      <x:c r="O431" s="12" t="n">
        <x:v>2943.1</x:v>
      </x:c>
      <x:c r="P431" s="12" t="n">
        <x:v>0.25</x:v>
      </x:c>
      <x:c r="Q431" s="12" t="n">
        <x:v>17658.6</x:v>
      </x:c>
      <x:c r="R431" s="12" t="n">
        <x:v>13842.48</x:v>
      </x:c>
      <x:c r="S431" s="12" t="n">
        <x:v>3816.12</x:v>
      </x:c>
      <x:c r="T431" s="12" t="str">
        <x:v>Paid</x:v>
      </x:c>
      <x:c r="U431" s="12" t="str">
        <x:v>Completed</x:v>
      </x:c>
    </x:row>
    <x:row r="432">
      <x:c r="A432" s="12" t="str">
        <x:v>ORD-2024-10431</x:v>
      </x:c>
      <x:c r="B432" s="12" t="str">
        <x:v>30 Aug 2024</x:v>
      </x:c>
      <x:c r="C432" s="12" t="str">
        <x:v>02-09-2024</x:v>
      </x:c>
      <x:c r="D432" s="12" t="str">
        <x:v>CUST-2732</x:v>
      </x:c>
      <x:c r="E432" s="12" t="str">
        <x:v>Neha Gupta</x:v>
      </x:c>
      <x:c r="F432" s="12" t="str">
        <x:v>Small Business</x:v>
      </x:c>
      <x:c r="G432" s="12" t="str">
        <x:v>North</x:v>
      </x:c>
      <x:c r="H432" s="12" t="str">
        <x:v>Haryana</x:v>
      </x:c>
      <x:c r="I432" s="12" t="str">
        <x:v>Gurugram</x:v>
      </x:c>
      <x:c r="J432" s="12" t="str">
        <x:v>Office Supplies </x:v>
      </x:c>
      <x:c r="K432" s="12" t="str">
        <x:v>Paper</x:v>
      </x:c>
      <x:c r="L432" s="12" t="str">
        <x:v>Max Paper 576</x:v>
      </x:c>
      <x:c r="M432" s="12" t="str">
        <x:v>Second Class</x:v>
      </x:c>
      <x:c r="N432" s="12" t="n">
        <x:v>1</x:v>
      </x:c>
      <x:c r="O432" s="12" t="n">
        <x:v>4320.84</x:v>
      </x:c>
      <x:c r="P432" s="12" t="n">
        <x:v>0.15</x:v>
      </x:c>
      <x:c r="Q432" s="12" t="n">
        <x:v>3672.71</x:v>
      </x:c>
      <x:c r="R432" s="12" t="n">
        <x:v>2714.23</x:v>
      </x:c>
      <x:c r="S432" s="12" t="n">
        <x:v>763.38</x:v>
      </x:c>
      <x:c r="T432" s="12" t="str">
        <x:v>Paid</x:v>
      </x:c>
      <x:c r="U432" s="12" t="str">
        <x:v>Completed</x:v>
      </x:c>
    </x:row>
    <x:row r="433">
      <x:c r="A433" s="12" t="str">
        <x:v>ORD-2024-10432</x:v>
      </x:c>
      <x:c r="B433" s="12" t="str">
        <x:v>10 Feb 2024</x:v>
      </x:c>
      <x:c r="C433" s="12" t="str">
        <x:v>02/13/2024</x:v>
      </x:c>
      <x:c r="D433" s="12" t="str">
        <x:v>CUST-3989</x:v>
      </x:c>
      <x:c r="E433" s="12" t="str">
        <x:v>Karan Malhotra</x:v>
      </x:c>
      <x:c r="F433" s="12" t="str">
        <x:v>Home Office</x:v>
      </x:c>
      <x:c r="G433" s="12" t="str">
        <x:v>West</x:v>
      </x:c>
      <x:c r="H433" s="12" t="str">
        <x:v>Goa</x:v>
      </x:c>
      <x:c r="I433" s="12" t="str">
        <x:v>Panaji</x:v>
      </x:c>
      <x:c r="J433" s="12" t="str">
        <x:v>Technology</x:v>
      </x:c>
      <x:c r="K433" s="12" t="str">
        <x:v>Machines</x:v>
      </x:c>
      <x:c r="L433" s="12" t="str">
        <x:v>Max Machines 412</x:v>
      </x:c>
      <x:c r="M433" s="12" t="str">
        <x:v>Same Day</x:v>
      </x:c>
      <x:c r="N433" s="12" t="n">
        <x:v>2</x:v>
      </x:c>
      <x:c r="O433" s="12" t="n">
        <x:v>4118.45</x:v>
      </x:c>
      <x:c r="P433" s="12" t="n">
        <x:v>0.25</x:v>
      </x:c>
      <x:c r="Q433" s="12" t="n">
        <x:v>6177.67</x:v>
      </x:c>
      <x:c r="R433" s="12" t="n">
        <x:v>4520.75</x:v>
      </x:c>
      <x:c r="S433" s="12" t="n">
        <x:v>1656.92</x:v>
      </x:c>
      <x:c r="T433" s="12" t="str">
        <x:v>Paid</x:v>
      </x:c>
      <x:c r="U433" s="12" t="str">
        <x:v>Completed</x:v>
      </x:c>
    </x:row>
    <x:row r="434">
      <x:c r="A434" s="12" t="str">
        <x:v>ORD-2024-10433</x:v>
      </x:c>
      <x:c r="B434" s="12" t="str">
        <x:v>08/29/2024</x:v>
      </x:c>
      <x:c r="C434" s="12" t="str">
        <x:v>02-09-2024</x:v>
      </x:c>
      <x:c r="D434" s="12" t="str">
        <x:v>CUST-3522</x:v>
      </x:c>
      <x:c r="E434" s="12" t="str">
        <x:v>Priya Menon</x:v>
      </x:c>
      <x:c r="F434" s="12" t="str">
        <x:v>Small Business</x:v>
      </x:c>
      <x:c r="G434" s="12" t="str">
        <x:v>West</x:v>
      </x:c>
      <x:c r="H434" s="12" t="str">
        <x:v>Maharashtra</x:v>
      </x:c>
      <x:c r="I434" s="12" t="str">
        <x:v>Mumbai</x:v>
      </x:c>
      <x:c r="J434" s="12" t="str">
        <x:v>Furniture</x:v>
      </x:c>
      <x:c r="K434" s="12" t="str">
        <x:v>Bookcases</x:v>
      </x:c>
      <x:c r="L434" s="12" t="str">
        <x:v>Classic Bookcases 291</x:v>
      </x:c>
      <x:c r="M434" s="12" t="str">
        <x:v>Standard Class</x:v>
      </x:c>
      <x:c r="N434" s="12" t="n">
        <x:v>6</x:v>
      </x:c>
      <x:c r="O434" s="12" t="n">
        <x:v>172.82</x:v>
      </x:c>
      <x:c r="P434" s="12" t="n">
        <x:v>0.05</x:v>
      </x:c>
      <x:c r="Q434" s="12" t="n">
        <x:v>985.07</x:v>
      </x:c>
      <x:c r="R434" s="12" t="n">
        <x:v>844.48</x:v>
      </x:c>
      <x:c r="S434" s="12" t="n">
        <x:v>140.59</x:v>
      </x:c>
      <x:c r="T434" s="12" t="str">
        <x:v>Paid</x:v>
      </x:c>
      <x:c r="U434" s="12" t="str">
        <x:v>Completed</x:v>
      </x:c>
    </x:row>
    <x:row r="435">
      <x:c r="A435" s="12" t="str">
        <x:v>ORD-2024-10434</x:v>
      </x:c>
      <x:c r="B435" s="12" t="str">
        <x:v>04/19/2024</x:v>
      </x:c>
      <x:c r="C435" s="12" t="str">
        <x:v>20-04-2024</x:v>
      </x:c>
      <x:c r="D435" s="12" t="str">
        <x:v>CUST-7066</x:v>
      </x:c>
      <x:c r="E435" s="12" t="str">
        <x:v>Priya Menon</x:v>
      </x:c>
      <x:c r="F435" s="12" t="str">
        <x:v>Corporate</x:v>
      </x:c>
      <x:c r="G435" s="12" t="str">
        <x:v>South</x:v>
      </x:c>
      <x:c r="H435" s="12" t="str">
        <x:v>Kerala</x:v>
      </x:c>
      <x:c r="I435" s="12" t="str">
        <x:v>Kochi</x:v>
      </x:c>
      <x:c r="J435" s="12" t="str">
        <x:v>Office Supplies</x:v>
      </x:c>
      <x:c r="K435" s="12" t="str">
        <x:v>Art</x:v>
      </x:c>
      <x:c r="L435" s="12" t="str">
        <x:v>Elite Art 946</x:v>
      </x:c>
      <x:c r="M435" s="12" t="str">
        <x:v>Second Class</x:v>
      </x:c>
      <x:c r="N435" s="12" t="n">
        <x:v>4</x:v>
      </x:c>
      <x:c r="O435" s="12" t="n">
        <x:v>1540.22</x:v>
      </x:c>
      <x:c r="P435" s="12" t="n">
        <x:v>0</x:v>
      </x:c>
      <x:c r="Q435" s="12" t="n">
        <x:v>6160.88</x:v>
      </x:c>
      <x:c r="R435" s="12" t="n">
        <x:v>4938.7</x:v>
      </x:c>
      <x:c r="S435" s="12" t="n">
        <x:v>1222.18</x:v>
      </x:c>
      <x:c r="T435" s="12" t="str">
        <x:v>Refunded</x:v>
      </x:c>
      <x:c r="U435" s="12" t="str">
        <x:v>Returned</x:v>
      </x:c>
    </x:row>
    <x:row r="436">
      <x:c r="A436" s="12" t="str">
        <x:v>ORD-2025-10435</x:v>
      </x:c>
      <x:c r="B436" s="12" t="str">
        <x:v>04/11/2025</x:v>
      </x:c>
      <x:c r="C436" s="12" t="str">
        <x:v>2025-04-15</x:v>
      </x:c>
      <x:c r="D436" s="12" t="str">
        <x:v>CUST-2351</x:v>
      </x:c>
      <x:c r="E436" s="12" t="str">
        <x:v>Mira Das</x:v>
      </x:c>
      <x:c r="F436" s="12" t="str">
        <x:v>Home Office</x:v>
      </x:c>
      <x:c r="G436" s="12" t="str">
        <x:v>North</x:v>
      </x:c>
      <x:c r="H436" s="12" t="str">
        <x:v>Uttar Pradesh</x:v>
      </x:c>
      <x:c r="I436" s="12" t="str">
        <x:v>Noida</x:v>
      </x:c>
      <x:c r="J436" s="12" t="str">
        <x:v>Technology</x:v>
      </x:c>
      <x:c r="K436" s="12" t="str">
        <x:v>Accessories</x:v>
      </x:c>
      <x:c r="L436" s="12" t="str">
        <x:v>Eco Accessories 705</x:v>
      </x:c>
      <x:c r="M436" s="12" t="str">
        <x:v>Second Class</x:v>
      </x:c>
      <x:c r="N436" s="12" t="n">
        <x:v>5</x:v>
      </x:c>
      <x:c r="O436" s="12" t="n">
        <x:v>652.78</x:v>
      </x:c>
      <x:c r="P436" s="12" t="n">
        <x:v>0</x:v>
      </x:c>
      <x:c r="Q436" s="12" t="n">
        <x:v>3263.9</x:v>
      </x:c>
      <x:c r="R436" s="12" t="n">
        <x:v>2068.44</x:v>
      </x:c>
      <x:c r="S436" s="12" t="n">
        <x:v>1195.46</x:v>
      </x:c>
      <x:c r="T436" s="12" t="str">
        <x:v>Paid</x:v>
      </x:c>
      <x:c r="U436" s="12" t="str">
        <x:v>Completed</x:v>
      </x:c>
    </x:row>
    <x:row r="437">
      <x:c r="A437" s="12" t="str">
        <x:v>ORD-2025-10436</x:v>
      </x:c>
      <x:c r="B437" s="12" t="str">
        <x:v>2025-04-12</x:v>
      </x:c>
      <x:c r="C437" s="12" t="str">
        <x:v>20-04-2025</x:v>
      </x:c>
      <x:c r="D437" s="12" t="str">
        <x:v>CUST-7291</x:v>
      </x:c>
      <x:c r="E437" s="12" t="str">
        <x:v>Kabir Singh</x:v>
      </x:c>
      <x:c r="F437" s="12" t="str">
        <x:v>Home Office</x:v>
      </x:c>
      <x:c r="G437" s="12" t="str">
        <x:v>North</x:v>
      </x:c>
      <x:c r="H437" s="12" t="str">
        <x:v>Delhi</x:v>
      </x:c>
      <x:c r="I437" s="12" t="str">
        <x:v>New Delhi</x:v>
      </x:c>
      <x:c r="J437" s="12" t="str">
        <x:v>Technology</x:v>
      </x:c>
      <x:c r="K437" s="12" t="str">
        <x:v>Machines</x:v>
      </x:c>
      <x:c r="L437" s="12" t="str">
        <x:v>Max Machines 151</x:v>
      </x:c>
      <x:c r="M437" s="12" t="str">
        <x:v>Standard Class</x:v>
      </x:c>
      <x:c r="N437" s="12" t="n">
        <x:v>1</x:v>
      </x:c>
      <x:c r="O437" s="12" t="n">
        <x:v>2737.71</x:v>
      </x:c>
      <x:c r="P437" s="12" t="n">
        <x:v>0.15</x:v>
      </x:c>
      <x:c r="Q437" s="12" t="n">
        <x:v>2327.05</x:v>
      </x:c>
      <x:c r="R437" s="12" t="n">
        <x:v>1919.42</x:v>
      </x:c>
      <x:c r="S437" s="12" t="n">
        <x:v>407.63</x:v>
      </x:c>
      <x:c r="T437" s="12" t="str">
        <x:v>Paid</x:v>
      </x:c>
      <x:c r="U437" s="12" t="str">
        <x:v>Cancelled</x:v>
      </x:c>
    </x:row>
    <x:row r="438">
      <x:c r="A438" s="12" t="str">
        <x:v>ORD-2024-10437</x:v>
      </x:c>
      <x:c r="B438" s="12" t="str">
        <x:v>16 Jun 2024</x:v>
      </x:c>
      <x:c r="C438" s="12" t="str">
        <x:v>21 Jun 2024</x:v>
      </x:c>
      <x:c r="D438" s="12" t="str">
        <x:v>CUST-4492</x:v>
      </x:c>
      <x:c r="E438" s="12" t="str">
        <x:v>Neha Gupta</x:v>
      </x:c>
      <x:c r="F438" s="12" t="str">
        <x:v>Consumer</x:v>
      </x:c>
      <x:c r="G438" s="12" t="str">
        <x:v>South</x:v>
      </x:c>
      <x:c r="H438" s="12" t="str">
        <x:v>Kerala</x:v>
      </x:c>
      <x:c r="I438" s="12" t="str">
        <x:v>Kochi</x:v>
      </x:c>
      <x:c r="J438" s="12" t="str">
        <x:v>Furniture</x:v>
      </x:c>
      <x:c r="K438" s="12" t="str">
        <x:v>Furnishings</x:v>
      </x:c>
      <x:c r="L438" s="12" t="str">
        <x:v>Max Furnishings 803</x:v>
      </x:c>
      <x:c r="M438" s="12" t="str">
        <x:v>Same Day</x:v>
      </x:c>
      <x:c r="N438" s="12" t="n">
        <x:v>6</x:v>
      </x:c>
      <x:c r="O438" s="12" t="n">
        <x:v>1156.78</x:v>
      </x:c>
      <x:c r="P438" s="12" t="n">
        <x:v>0.05</x:v>
      </x:c>
      <x:c r="Q438" s="12" t="n">
        <x:v>6593.65</x:v>
      </x:c>
      <x:c r="R438" s="12" t="n">
        <x:v>4359.39</x:v>
      </x:c>
      <x:c r="S438" s="12" t="n">
        <x:v>2234.26</x:v>
      </x:c>
      <x:c r="T438" s="12" t="str">
        <x:v>Paid</x:v>
      </x:c>
      <x:c r="U438" s="12" t="str">
        <x:v>Returned</x:v>
      </x:c>
    </x:row>
    <x:row r="439">
      <x:c r="A439" s="12" t="str">
        <x:v>ORD-2024-10438</x:v>
      </x:c>
      <x:c r="B439" s="12" t="str">
        <x:v>15-02-2024</x:v>
      </x:c>
      <x:c r="C439" s="12" t="str">
        <x:v>2024-02-18</x:v>
      </x:c>
      <x:c r="D439" s="12" t="str">
        <x:v>CUST-5029</x:v>
      </x:c>
      <x:c r="E439" s="12" t="str">
        <x:v>Aditi Sen</x:v>
      </x:c>
      <x:c r="F439" s="12" t="str">
        <x:v>Small Business</x:v>
      </x:c>
      <x:c r="G439" s="12" t="str">
        <x:v>South</x:v>
      </x:c>
      <x:c r="H439" s="12" t="str">
        <x:v>Kerala</x:v>
      </x:c>
      <x:c r="I439" s="12" t="str">
        <x:v>Kochi</x:v>
      </x:c>
      <x:c r="J439" s="12" t="str">
        <x:v>Technology</x:v>
      </x:c>
      <x:c r="K439" s="12" t="str">
        <x:v>  Accessories </x:v>
      </x:c>
      <x:c r="L439" s="12" t="str">
        <x:v>Max Accessories 423</x:v>
      </x:c>
      <x:c r="M439" s="12" t="str">
        <x:v>Same Day</x:v>
      </x:c>
      <x:c r="N439" s="12" t="n">
        <x:v>8</x:v>
      </x:c>
      <x:c r="O439" s="12" t="n">
        <x:v>379.82</x:v>
      </x:c>
      <x:c r="P439" s="12" t="n">
        <x:v>0.05</x:v>
      </x:c>
      <x:c r="Q439" s="12" t="n">
        <x:v>2886.63</x:v>
      </x:c>
      <x:c r="R439" s="12" t="n">
        <x:v>1588.23</x:v>
      </x:c>
      <x:c r="S439" s="12" t="n">
        <x:v>1298.4</x:v>
      </x:c>
      <x:c r="T439" s="12" t="str">
        <x:v>Failed</x:v>
      </x:c>
      <x:c r="U439" s="12" t="str">
        <x:v>Returned</x:v>
      </x:c>
    </x:row>
    <x:row r="440">
      <x:c r="A440" s="12" t="str">
        <x:v>ORD-2025-10439</x:v>
      </x:c>
      <x:c r="B440" s="12" t="str">
        <x:v>07 May 2025</x:v>
      </x:c>
      <x:c r="C440" s="12" t="str">
        <x:v>05/05/2025</x:v>
      </x:c>
      <x:c r="D440" s="12" t="str">
        <x:v>CUST-7252</x:v>
      </x:c>
      <x:c r="E440" s="12" t="str">
        <x:v>Neha Gupta</x:v>
      </x:c>
      <x:c r="F440" s="12" t="str">
        <x:v>Corporate</x:v>
      </x:c>
      <x:c r="G440" s="12" t="str">
        <x:v>East</x:v>
      </x:c>
      <x:c r="H440" s="12" t="str">
        <x:v>Jharkhand</x:v>
      </x:c>
      <x:c r="I440" s="12" t="str">
        <x:v>Ranchi</x:v>
      </x:c>
      <x:c r="J440" s="12" t="str">
        <x:v>Technology</x:v>
      </x:c>
      <x:c r="K440" s="12" t="str">
        <x:v>Phones</x:v>
      </x:c>
      <x:c r="L440" s="12" t="str">
        <x:v>Elite Phones 276</x:v>
      </x:c>
      <x:c r="M440" s="12" t="str">
        <x:v>Standard Class</x:v>
      </x:c>
      <x:c r="N440" s="12" t="n">
        <x:v>1</x:v>
      </x:c>
      <x:c r="O440" s="12" t="n">
        <x:v>2266.47</x:v>
      </x:c>
      <x:c r="P440" s="12" t="n">
        <x:v>0.2</x:v>
      </x:c>
      <x:c r="Q440" s="12" t="n">
        <x:v>1813.18</x:v>
      </x:c>
      <x:c r="R440" s="12" t="n">
        <x:v>1363.64</x:v>
      </x:c>
      <x:c r="S440" s="12" t="n">
        <x:v>449.54</x:v>
      </x:c>
      <x:c r="T440" s="12" t="str">
        <x:v>Paid</x:v>
      </x:c>
      <x:c r="U440" s="12" t="str">
        <x:v>Completed</x:v>
      </x:c>
    </x:row>
    <x:row r="441">
      <x:c r="A441" s="12" t="str">
        <x:v>ORD-2025-10440</x:v>
      </x:c>
      <x:c r="B441" s="12" t="str">
        <x:v>30-06-2025</x:v>
      </x:c>
      <x:c r="C441" s="12" t="str">
        <x:v>03 Jul 2025</x:v>
      </x:c>
      <x:c r="D441" s="12" t="str">
        <x:v>CUST-7346</x:v>
      </x:c>
      <x:c r="E441" s="12" t="str">
        <x:v>Aarav Sharma</x:v>
      </x:c>
      <x:c r="F441" s="12" t="str">
        <x:v>Home Office</x:v>
      </x:c>
      <x:c r="G441" s="12" t="str">
        <x:v>West</x:v>
      </x:c>
      <x:c r="H441" s="12" t="str">
        <x:v>Goa</x:v>
      </x:c>
      <x:c r="I441" s="12" t="str">
        <x:v>Panaji</x:v>
      </x:c>
      <x:c r="J441" s="12" t="str">
        <x:v>Office Supplies</x:v>
      </x:c>
      <x:c r="K441" s="12" t="str">
        <x:v>Storage</x:v>
      </x:c>
      <x:c r="L441" s="12" t="str">
        <x:v>Smart Storage 287</x:v>
      </x:c>
      <x:c r="M441" s="12" t="str">
        <x:v>Same Day</x:v>
      </x:c>
      <x:c r="N441" s="12" t="n">
        <x:v>5</x:v>
      </x:c>
      <x:c r="O441" s="12" t="n">
        <x:v>665.25</x:v>
      </x:c>
      <x:c r="P441" s="12" t="n">
        <x:v>0</x:v>
      </x:c>
      <x:c r="Q441" s="12" t="n">
        <x:v>3326.25</x:v>
      </x:c>
      <x:c r="R441" s="12" t="n">
        <x:v>2689.36</x:v>
      </x:c>
      <x:c r="S441" s="12" t="n">
        <x:v>636.89</x:v>
      </x:c>
      <x:c r="T441" s="12" t="str">
        <x:v>Refunded</x:v>
      </x:c>
      <x:c r="U441" s="12" t="str">
        <x:v>Returned</x:v>
      </x:c>
    </x:row>
    <x:row r="442">
      <x:c r="A442" s="12" t="str">
        <x:v>ORD-2024-10441</x:v>
      </x:c>
      <x:c r="B442" s="12" t="str">
        <x:v>04/02/2024</x:v>
      </x:c>
      <x:c r="C442" s="12" t="str">
        <x:v>04/08/2024</x:v>
      </x:c>
      <x:c r="D442" s="12" t="str">
        <x:v>CUST-9039</x:v>
      </x:c>
      <x:c r="E442" s="12" t="str">
        <x:v>Vikram Iyer</x:v>
      </x:c>
      <x:c r="F442" s="12" t="str">
        <x:v>Corporate</x:v>
      </x:c>
      <x:c r="G442" s="12" t="str">
        <x:v>East</x:v>
      </x:c>
      <x:c r="H442" s="12" t="str">
        <x:v>Odisha</x:v>
      </x:c>
      <x:c r="I442" s="12" t="str">
        <x:v>Bhubaneswar</x:v>
      </x:c>
      <x:c r="J442" s="12" t="str">
        <x:v>Technology</x:v>
      </x:c>
      <x:c r="K442" s="12" t="str">
        <x:v>Machines</x:v>
      </x:c>
      <x:c r="L442" s="12" t="str">
        <x:v>Basic Machines 610</x:v>
      </x:c>
      <x:c r="M442" s="12" t="str">
        <x:v>Second Class</x:v>
      </x:c>
      <x:c r="N442" s="12" t="n">
        <x:v>6</x:v>
      </x:c>
      <x:c r="O442" s="12" t="n">
        <x:v>3722.84</x:v>
      </x:c>
      <x:c r="P442" s="12" t="n">
        <x:v>0.2</x:v>
      </x:c>
      <x:c r="Q442" s="12" t="n">
        <x:v>17869.63</x:v>
      </x:c>
      <x:c r="R442" s="12" t="n">
        <x:v>12163.8</x:v>
      </x:c>
      <x:c r="S442" s="12" t="n">
        <x:v>5705.83</x:v>
      </x:c>
      <x:c r="T442" s="12" t="str">
        <x:v>Paid</x:v>
      </x:c>
      <x:c r="U442" s="12" t="str">
        <x:v>Completed</x:v>
      </x:c>
    </x:row>
    <x:row r="443">
      <x:c r="A443" s="12" t="str">
        <x:v>ORD-2024-10442</x:v>
      </x:c>
      <x:c r="B443" s="12" t="str">
        <x:v>03-10-2024</x:v>
      </x:c>
      <x:c r="C443" s="12" t="str">
        <x:v>2024-10-03</x:v>
      </x:c>
      <x:c r="D443" s="12" t="str">
        <x:v>CUST-3975</x:v>
      </x:c>
      <x:c r="E443" s="12" t="str">
        <x:v>Karan Malhotra</x:v>
      </x:c>
      <x:c r="F443" s="12" t="str">
        <x:v>Consumer</x:v>
      </x:c>
      <x:c r="G443" s="12" t="str">
        <x:v>East</x:v>
      </x:c>
      <x:c r="H443" s="12" t="str">
        <x:v>Bihar</x:v>
      </x:c>
      <x:c r="I443" s="12" t="str">
        <x:v>Patna</x:v>
      </x:c>
      <x:c r="J443" s="12" t="str">
        <x:v>Furniture</x:v>
      </x:c>
      <x:c r="K443" s="12" t="str">
        <x:v>Bookcases</x:v>
      </x:c>
      <x:c r="L443" s="12" t="str">
        <x:v>Elite Bookcases 393</x:v>
      </x:c>
      <x:c r="M443" s="12" t="str">
        <x:v>Standard Class</x:v>
      </x:c>
      <x:c r="N443" s="12" t="n">
        <x:v>6</x:v>
      </x:c>
      <x:c r="O443" s="12" t="n">
        <x:v>4217.49</x:v>
      </x:c>
      <x:c r="P443" s="12" t="n">
        <x:v>0</x:v>
      </x:c>
      <x:c r="Q443" s="12" t="n">
        <x:v>25304.94</x:v>
      </x:c>
      <x:c r="R443" s="12" t="n">
        <x:v>20771.95</x:v>
      </x:c>
      <x:c r="S443" s="12" t="n">
        <x:v>4532.99</x:v>
      </x:c>
      <x:c r="T443" s="12" t="str">
        <x:v>Paid</x:v>
      </x:c>
      <x:c r="U443" s="12" t="str">
        <x:v>Cancelled</x:v>
      </x:c>
    </x:row>
    <x:row r="444">
      <x:c r="A444" s="12" t="str">
        <x:v>ORD-2025-10443</x:v>
      </x:c>
      <x:c r="B444" s="12" t="str">
        <x:v>12 Jan 2025</x:v>
      </x:c>
      <x:c r="C444" s="12" t="str">
        <x:v>2025-01-19</x:v>
      </x:c>
      <x:c r="D444" s="12" t="str">
        <x:v>CUST-6588</x:v>
      </x:c>
      <x:c r="E444" s="12" t="str">
        <x:v>Aarav Sharma</x:v>
      </x:c>
      <x:c r="F444" s="12" t="str">
        <x:v>Consumer</x:v>
      </x:c>
      <x:c r="G444" s="12" t="str">
        <x:v>East</x:v>
      </x:c>
      <x:c r="H444" s="12" t="str">
        <x:v>Jharkhand</x:v>
      </x:c>
      <x:c r="I444" s="12" t="str">
        <x:v>Ranchi</x:v>
      </x:c>
      <x:c r="J444" s="12" t="str">
        <x:v>Furniture</x:v>
      </x:c>
      <x:c r="K444" s="12" t="str">
        <x:v>Tables</x:v>
      </x:c>
      <x:c r="L444" s="12" t="str">
        <x:v>Prime Tables 242</x:v>
      </x:c>
      <x:c r="M444" s="12" t="str">
        <x:v>First Class</x:v>
      </x:c>
      <x:c r="N444" s="12" t="n">
        <x:v>1</x:v>
      </x:c>
      <x:c r="O444" s="12" t="n">
        <x:v>1842.31</x:v>
      </x:c>
      <x:c r="P444" s="12" t="n">
        <x:v>0</x:v>
      </x:c>
      <x:c r="Q444" s="12" t="n">
        <x:v>1842.31</x:v>
      </x:c>
      <x:c r="R444" s="12" t="n">
        <x:v>1019.17</x:v>
      </x:c>
      <x:c r="S444" s="12" t="n">
        <x:v>823.14</x:v>
      </x:c>
      <x:c r="T444" s="12" t="str">
        <x:v>Paid</x:v>
      </x:c>
      <x:c r="U444" s="12" t="str">
        <x:v>Completed</x:v>
      </x:c>
    </x:row>
    <x:row r="445">
      <x:c r="A445" s="12" t="str">
        <x:v>ORD-2024-10444</x:v>
      </x:c>
      <x:c r="B445" s="12" t="str">
        <x:v>04-04-2024</x:v>
      </x:c>
      <x:c r="C445" s="12" t="str">
        <x:v>07 Apr 2024</x:v>
      </x:c>
      <x:c r="D445" s="12" t="str">
        <x:v>CUST-2207</x:v>
      </x:c>
      <x:c r="E445" s="12" t="str">
        <x:v>Rohan Mehta</x:v>
      </x:c>
      <x:c r="F445" s="12" t="str">
        <x:v>Home Office</x:v>
      </x:c>
      <x:c r="G445" s="12" t="str">
        <x:v>East</x:v>
      </x:c>
      <x:c r="H445" s="12" t="str">
        <x:v>Odisha</x:v>
      </x:c>
      <x:c r="I445" s="12" t="str">
        <x:v>Bhubaneswar</x:v>
      </x:c>
      <x:c r="J445" s="12" t="str">
        <x:v>Furniture</x:v>
      </x:c>
      <x:c r="K445" s="12" t="str">
        <x:v>Furnishings</x:v>
      </x:c>
      <x:c r="L445" s="12" t="str">
        <x:v>Basic Furnishings 563</x:v>
      </x:c>
      <x:c r="M445" s="12" t="str">
        <x:v>First Class</x:v>
      </x:c>
      <x:c r="N445" s="12" t="n">
        <x:v>1</x:v>
      </x:c>
      <x:c r="O445" s="12" t="n">
        <x:v>3683.75</x:v>
      </x:c>
      <x:c r="P445" s="12" t="n">
        <x:v>0.1</x:v>
      </x:c>
      <x:c r="Q445" s="12" t="n">
        <x:v>3315.38</x:v>
      </x:c>
      <x:c r="R445" s="12" t="n">
        <x:v>2347.68</x:v>
      </x:c>
      <x:c r="S445" s="12" t="n">
        <x:v>967.7</x:v>
      </x:c>
      <x:c r="T445" s="12" t="str">
        <x:v>Paid</x:v>
      </x:c>
      <x:c r="U445" s="12" t="str">
        <x:v>Completed</x:v>
      </x:c>
    </x:row>
    <x:row r="446">
      <x:c r="A446" s="12" t="str">
        <x:v>ORD-2025-10445</x:v>
      </x:c>
      <x:c r="B446" s="12" t="str">
        <x:v>12 Aug 2025</x:v>
      </x:c>
      <x:c r="C446" s="12" t="str">
        <x:v>2025-08-16</x:v>
      </x:c>
      <x:c r="D446" s="12" t="str">
        <x:v>CUST-4475</x:v>
      </x:c>
      <x:c r="E446" s="12" t="str">
        <x:v>Ananya Rao</x:v>
      </x:c>
      <x:c r="F446" s="12" t="str">
        <x:v>Consumer</x:v>
      </x:c>
      <x:c r="G446" s="12" t="str">
        <x:v>East</x:v>
      </x:c>
      <x:c r="H446" s="12" t="str">
        <x:v>Assam</x:v>
      </x:c>
      <x:c r="I446" s="12" t="str">
        <x:v>Guwahati</x:v>
      </x:c>
      <x:c r="J446" s="12" t="str">
        <x:v>Technology</x:v>
      </x:c>
      <x:c r="K446" s="12" t="str">
        <x:v>Accessories</x:v>
      </x:c>
      <x:c r="L446" s="12" t="str">
        <x:v>Prime Accessories 482</x:v>
      </x:c>
      <x:c r="M446" s="12" t="str">
        <x:v>Same Day</x:v>
      </x:c>
      <x:c r="N446" s="12" t="n">
        <x:v>9</x:v>
      </x:c>
      <x:c r="O446" s="12" t="n">
        <x:v>2379.24</x:v>
      </x:c>
      <x:c r="P446" s="12" t="n">
        <x:v>0.05</x:v>
      </x:c>
      <x:c r="Q446" s="12" t="n">
        <x:v>20342.5</x:v>
      </x:c>
      <x:c r="R446" s="12" t="n">
        <x:v>12407.51</x:v>
      </x:c>
      <x:c r="S446" s="12" t="n">
        <x:v>7934.99</x:v>
      </x:c>
      <x:c r="T446" s="12" t="str">
        <x:v>Paid</x:v>
      </x:c>
      <x:c r="U446" s="12" t="str">
        <x:v>Completed</x:v>
      </x:c>
    </x:row>
    <x:row r="447">
      <x:c r="A447" s="12" t="str">
        <x:v>ORD-2024-10446</x:v>
      </x:c>
      <x:c r="B447" s="12" t="str">
        <x:v>05/09/2024</x:v>
      </x:c>
      <x:c r="C447" s="12" t="str">
        <x:v>05-05-2024</x:v>
      </x:c>
      <x:c r="D447" s="12" t="str">
        <x:v>CUST-1351</x:v>
      </x:c>
      <x:c r="E447" s="12" t="str">
        <x:v>Arjun Bose</x:v>
      </x:c>
      <x:c r="F447" s="12" t="str">
        <x:v>Consumer</x:v>
      </x:c>
      <x:c r="G447" s="12" t="str">
        <x:v>East</x:v>
      </x:c>
      <x:c r="H447" s="12" t="str">
        <x:v>Assam</x:v>
      </x:c>
      <x:c r="I447" s="12" t="str">
        <x:v>Guwahati</x:v>
      </x:c>
      <x:c r="J447" s="12" t="str">
        <x:v>Furniture</x:v>
      </x:c>
      <x:c r="K447" s="12" t="str">
        <x:v>Bookcases</x:v>
      </x:c>
      <x:c r="L447" s="12" t="str">
        <x:v>Eco Bookcases 215</x:v>
      </x:c>
      <x:c r="M447" s="12" t="str">
        <x:v>Same Day</x:v>
      </x:c>
      <x:c r="N447" s="12" t="n">
        <x:v>2</x:v>
      </x:c>
      <x:c r="O447" s="12" t="n">
        <x:v>2111.23</x:v>
      </x:c>
      <x:c r="P447" s="12" t="n">
        <x:v>0.2</x:v>
      </x:c>
      <x:c r="Q447" s="12" t="n">
        <x:v>3377.97</x:v>
      </x:c>
      <x:c r="R447" s="12" t="n">
        <x:v>2496.29</x:v>
      </x:c>
      <x:c r="S447" s="12" t="n">
        <x:v>881.68</x:v>
      </x:c>
      <x:c r="T447" s="12" t="str">
        <x:v>Paid</x:v>
      </x:c>
      <x:c r="U447" s="12" t="str">
        <x:v>Completed</x:v>
      </x:c>
    </x:row>
    <x:row r="448">
      <x:c r="A448" s="12" t="str">
        <x:v>ORD-2025-10447</x:v>
      </x:c>
      <x:c r="B448" s="12" t="str">
        <x:v>18-09-2025</x:v>
      </x:c>
      <x:c r="C448" s="12" t="str">
        <x:v>19-09-2025</x:v>
      </x:c>
      <x:c r="D448" s="12" t="str">
        <x:v>CUST-9295</x:v>
      </x:c>
      <x:c r="E448" s="12" t="str">
        <x:v>Sneha Kapoor</x:v>
      </x:c>
      <x:c r="F448" s="12" t="str">
        <x:v>Home Office</x:v>
      </x:c>
      <x:c r="G448" s="12" t="str">
        <x:v>South</x:v>
      </x:c>
      <x:c r="H448" s="12" t="str">
        <x:v>Andhra Pradesh</x:v>
      </x:c>
      <x:c r="I448" s="12" t="str">
        <x:v>Vijayawada</x:v>
      </x:c>
      <x:c r="J448" s="12" t="str">
        <x:v>Office Supplies</x:v>
      </x:c>
      <x:c r="K448" s="12" t="str">
        <x:v>Storage</x:v>
      </x:c>
      <x:c r="L448" s="12" t="str">
        <x:v>Eco Storage 793</x:v>
      </x:c>
      <x:c r="M448" s="12" t="str">
        <x:v>Same Day</x:v>
      </x:c>
      <x:c r="N448" s="12" t="n">
        <x:v>8</x:v>
      </x:c>
      <x:c r="O448" s="12" t="n">
        <x:v>4242.51</x:v>
      </x:c>
      <x:c r="P448" s="12" t="n">
        <x:v>0</x:v>
      </x:c>
      <x:c r="Q448" s="12" t="n">
        <x:v>33940.08</x:v>
      </x:c>
      <x:c r="R448" s="12" t="n">
        <x:v>23754.19</x:v>
      </x:c>
      <x:c r="S448" s="12" t="n">
        <x:v>10185.89</x:v>
      </x:c>
      <x:c r="T448" s="12" t="str">
        <x:v>Paid</x:v>
      </x:c>
      <x:c r="U448" s="12" t="str">
        <x:v>Completed</x:v>
      </x:c>
    </x:row>
    <x:row r="449">
      <x:c r="A449" s="12" t="str">
        <x:v>ORD-2025-10448</x:v>
      </x:c>
      <x:c r="B449" s="12" t="str">
        <x:v>10-08-2025</x:v>
      </x:c>
      <x:c r="C449" s="12" t="str">
        <x:v>10 Aug 2025</x:v>
      </x:c>
      <x:c r="D449" s="12" t="str">
        <x:v>CUST-3614</x:v>
      </x:c>
      <x:c r="E449" s="12" t="str">
        <x:v>Rohan Mehta</x:v>
      </x:c>
      <x:c r="F449" s="12" t="str">
        <x:v>Home Office</x:v>
      </x:c>
      <x:c r="G449" s="12" t="str">
        <x:v>South</x:v>
      </x:c>
      <x:c r="H449" s="12" t="str">
        <x:v>Telangana</x:v>
      </x:c>
      <x:c r="I449" s="12" t="str">
        <x:v>Hyderabad</x:v>
      </x:c>
      <x:c r="J449" s="12" t="str">
        <x:v>Furniture</x:v>
      </x:c>
      <x:c r="K449" s="12" t="str">
        <x:v>Bookcases</x:v>
      </x:c>
      <x:c r="L449" s="12" t="str">
        <x:v>Basic Bookcases 182</x:v>
      </x:c>
      <x:c r="M449" s="12" t="str">
        <x:v>Standard Class</x:v>
      </x:c>
      <x:c r="N449" s="12" t="n">
        <x:v>6</x:v>
      </x:c>
      <x:c r="O449" s="12" t="n">
        <x:v>4288.7</x:v>
      </x:c>
      <x:c r="P449" s="12" t="n">
        <x:v>0.15</x:v>
      </x:c>
      <x:c r="Q449" s="12" t="n">
        <x:v>21872.37</x:v>
      </x:c>
      <x:c r="R449" s="12" t="n">
        <x:v>13829.5</x:v>
      </x:c>
      <x:c r="S449" s="12" t="n">
        <x:v>8042.87</x:v>
      </x:c>
      <x:c r="T449" s="12" t="str">
        <x:v>Pending</x:v>
      </x:c>
      <x:c r="U449" s="12" t="str">
        <x:v>Returned</x:v>
      </x:c>
    </x:row>
    <x:row r="450">
      <x:c r="A450" s="12" t="str">
        <x:v>ORD-2024-10449</x:v>
      </x:c>
      <x:c r="B450" s="12" t="str">
        <x:v>01/15/2024</x:v>
      </x:c>
      <x:c r="C450" s="12" t="str">
        <x:v>18 Jan 2024</x:v>
      </x:c>
      <x:c r="D450" s="12" t="str">
        <x:v>CUST-1932</x:v>
      </x:c>
      <x:c r="E450" s="12" t="str">
        <x:v>Mira Das</x:v>
      </x:c>
      <x:c r="F450" s="12" t="str">
        <x:v>Small Business</x:v>
      </x:c>
      <x:c r="G450" s="12" t="str">
        <x:v>South</x:v>
      </x:c>
      <x:c r="H450" s="12" t="str">
        <x:v>Andhra Pradesh</x:v>
      </x:c>
      <x:c r="I450" s="12" t="str">
        <x:v>Vijayawada</x:v>
      </x:c>
      <x:c r="J450" s="12" t="str">
        <x:v>Furniture</x:v>
      </x:c>
      <x:c r="K450" s="12" t="str">
        <x:v>Chairs</x:v>
      </x:c>
      <x:c r="L450" s="12" t="str">
        <x:v>Prime Chairs 631</x:v>
      </x:c>
      <x:c r="M450" s="12" t="str">
        <x:v>First Class</x:v>
      </x:c>
      <x:c r="N450" s="12" t="n">
        <x:v>2</x:v>
      </x:c>
      <x:c r="O450" s="12" t="n">
        <x:v>201.21</x:v>
      </x:c>
      <x:c r="P450" s="12" t="n">
        <x:v>0.15</x:v>
      </x:c>
      <x:c r="Q450" s="12" t="n">
        <x:v>342.06</x:v>
      </x:c>
      <x:c r="R450" s="12" t="n">
        <x:v>244.57</x:v>
      </x:c>
      <x:c r="S450" s="12" t="n">
        <x:v>97.49</x:v>
      </x:c>
      <x:c r="T450" s="12" t="str">
        <x:v>Paid</x:v>
      </x:c>
      <x:c r="U450" s="12" t="str">
        <x:v>Completed</x:v>
      </x:c>
    </x:row>
    <x:row r="451">
      <x:c r="A451" s="12" t="str">
        <x:v>ORD-2024-10450</x:v>
      </x:c>
      <x:c r="B451" s="12" t="str">
        <x:v>06-06-2024</x:v>
      </x:c>
      <x:c r="C451" s="12" t="str">
        <x:v>13 Jun 2024</x:v>
      </x:c>
      <x:c r="D451" s="12" t="str">
        <x:v>CUST-5094</x:v>
      </x:c>
      <x:c r="E451" s="12" t="str">
        <x:v>Aditi Sen</x:v>
      </x:c>
      <x:c r="F451" s="12" t="str">
        <x:v>Corporate</x:v>
      </x:c>
      <x:c r="G451" s="12" t="str">
        <x:v>East</x:v>
      </x:c>
      <x:c r="H451" s="12" t="str">
        <x:v>Assam</x:v>
      </x:c>
      <x:c r="I451" s="12" t="str">
        <x:v>Guwahati</x:v>
      </x:c>
      <x:c r="J451" s="12" t="str">
        <x:v>Technology</x:v>
      </x:c>
      <x:c r="K451" s="12" t="str">
        <x:v>Machines</x:v>
      </x:c>
      <x:c r="L451" s="12" t="str">
        <x:v>Basic Machines 808</x:v>
      </x:c>
      <x:c r="M451" s="12" t="str">
        <x:v>Second Class</x:v>
      </x:c>
      <x:c r="N451" s="12" t="n">
        <x:v>6</x:v>
      </x:c>
      <x:c r="O451" s="12" t="n">
        <x:v>3270.36</x:v>
      </x:c>
      <x:c r="P451" s="12" t="n">
        <x:v>0</x:v>
      </x:c>
      <x:c r="Q451" s="12" t="n">
        <x:v>19622.16</x:v>
      </x:c>
      <x:c r="R451" s="12" t="n">
        <x:v>14271.27</x:v>
      </x:c>
      <x:c r="S451" s="12" t="n">
        <x:v>5350.89</x:v>
      </x:c>
      <x:c r="T451" s="12" t="str">
        <x:v>Paid</x:v>
      </x:c>
      <x:c r="U451" s="12" t="str">
        <x:v>Completed</x:v>
      </x:c>
    </x:row>
    <x:row r="452">
      <x:c r="A452" s="12" t="str">
        <x:v>ORD-2025-10451</x:v>
      </x:c>
      <x:c r="B452" s="12" t="str">
        <x:v>06/12/2025</x:v>
      </x:c>
      <x:c r="C452" s="12" t="str">
        <x:v>2025-06-19</x:v>
      </x:c>
      <x:c r="D452" s="12" t="str">
        <x:v>CUST-8672</x:v>
      </x:c>
      <x:c r="E452" s="12" t="str">
        <x:v>Ananya Rao</x:v>
      </x:c>
      <x:c r="F452" s="12" t="str">
        <x:v>Corporate</x:v>
      </x:c>
      <x:c r="G452" s="12" t="str">
        <x:v>North</x:v>
      </x:c>
      <x:c r="H452" s="12" t="str">
        <x:v>Delhi</x:v>
      </x:c>
      <x:c r="I452" s="12" t="str">
        <x:v>New Delhi</x:v>
      </x:c>
      <x:c r="J452" s="12" t="str">
        <x:v>Furniture</x:v>
      </x:c>
      <x:c r="K452" s="12" t="str">
        <x:v>Chairs</x:v>
      </x:c>
      <x:c r="L452" s="12" t="str">
        <x:v>Pro Chairs 302</x:v>
      </x:c>
      <x:c r="M452" s="12" t="str">
        <x:v>Standard Class</x:v>
      </x:c>
      <x:c r="N452" s="12" t="n">
        <x:v>9</x:v>
      </x:c>
      <x:c r="O452" s="12" t="n">
        <x:v>2278.57</x:v>
      </x:c>
      <x:c r="P452" s="12" t="n">
        <x:v>0.25</x:v>
      </x:c>
      <x:c r="Q452" s="12" t="n">
        <x:v>15380.35</x:v>
      </x:c>
      <x:c r="R452" s="12" t="n">
        <x:v>9907.37</x:v>
      </x:c>
      <x:c r="S452" s="12" t="n">
        <x:v>5472.98</x:v>
      </x:c>
      <x:c r="T452" s="12" t="str">
        <x:v>Paid</x:v>
      </x:c>
      <x:c r="U452" s="12" t="str">
        <x:v>Completed</x:v>
      </x:c>
    </x:row>
    <x:row r="453">
      <x:c r="A453" s="12" t="str">
        <x:v>ORD-2024-10452</x:v>
      </x:c>
      <x:c r="B453" s="12" t="str">
        <x:v>24-03-2024</x:v>
      </x:c>
      <x:c r="C453" s="12" t="str">
        <x:v>26-03-2024</x:v>
      </x:c>
      <x:c r="D453" s="12" t="str">
        <x:v>CUST-3907</x:v>
      </x:c>
      <x:c r="E453" s="12" t="str">
        <x:v>Rohan Mehta</x:v>
      </x:c>
      <x:c r="F453" s="12" t="str">
        <x:v>Small Business</x:v>
      </x:c>
      <x:c r="G453" s="12" t="str">
        <x:v>North</x:v>
      </x:c>
      <x:c r="H453" s="12" t="str">
        <x:v>Haryana</x:v>
      </x:c>
      <x:c r="I453" s="12" t="str">
        <x:v>Gurugram</x:v>
      </x:c>
      <x:c r="J453" s="12" t="str">
        <x:v>Office Supplies</x:v>
      </x:c>
      <x:c r="K453" s="12" t="str">
        <x:v>Paper</x:v>
      </x:c>
      <x:c r="L453" s="12" t="str">
        <x:v>Classic Paper 272</x:v>
      </x:c>
      <x:c r="M453" s="12" t="str">
        <x:v>Second Class</x:v>
      </x:c>
      <x:c r="N453" s="12" t="n">
        <x:v>8</x:v>
      </x:c>
      <x:c r="O453" s="12" t="n">
        <x:v>1917.64</x:v>
      </x:c>
      <x:c r="P453" s="12" t="n">
        <x:v>0.15</x:v>
      </x:c>
      <x:c r="Q453" s="12" t="n">
        <x:v>13039.95</x:v>
      </x:c>
      <x:c r="R453" s="12" t="n">
        <x:v>11127.82</x:v>
      </x:c>
      <x:c r="S453" s="12" t="n">
        <x:v>1912.13</x:v>
      </x:c>
      <x:c r="T453" s="12" t="str">
        <x:v>Paid</x:v>
      </x:c>
      <x:c r="U453" s="12" t="str">
        <x:v>Cancelled</x:v>
      </x:c>
    </x:row>
    <x:row r="454">
      <x:c r="A454" s="12" t="str">
        <x:v>ORD-2024-10453</x:v>
      </x:c>
      <x:c r="B454" s="12" t="str">
        <x:v>10-05-2024</x:v>
      </x:c>
      <x:c r="C454" s="12" t="str">
        <x:v>16-05-2024</x:v>
      </x:c>
      <x:c r="D454" s="12" t="str">
        <x:v>CUST-8796</x:v>
      </x:c>
      <x:c r="E454" s="12" t="str">
        <x:v>Diya Patel</x:v>
      </x:c>
      <x:c r="F454" s="12" t="str">
        <x:v>Home Office</x:v>
      </x:c>
      <x:c r="G454" s="12" t="str">
        <x:v>East</x:v>
      </x:c>
      <x:c r="H454" s="12" t="str">
        <x:v>Jharkhand</x:v>
      </x:c>
      <x:c r="I454" s="12" t="str">
        <x:v>Ranchi</x:v>
      </x:c>
      <x:c r="J454" s="12" t="str">
        <x:v>Technology</x:v>
      </x:c>
      <x:c r="K454" s="12" t="str">
        <x:v>Accessories</x:v>
      </x:c>
      <x:c r="L454" s="12" t="str">
        <x:v>Smart Accessories 149</x:v>
      </x:c>
      <x:c r="M454" s="12" t="str">
        <x:v>Second Class</x:v>
      </x:c>
      <x:c r="N454" s="12" t="n">
        <x:v>6</x:v>
      </x:c>
      <x:c r="O454" s="12" t="n">
        <x:v>2013.33</x:v>
      </x:c>
      <x:c r="P454" s="12" t="n">
        <x:v>0.2</x:v>
      </x:c>
      <x:c r="Q454" s="12" t="n">
        <x:v>9663.98</x:v>
      </x:c>
      <x:c r="R454" s="12" t="n">
        <x:v>5628.93</x:v>
      </x:c>
      <x:c r="S454" s="12" t="n">
        <x:v>4035.05</x:v>
      </x:c>
      <x:c r="T454" s="12" t="str">
        <x:v>Paid</x:v>
      </x:c>
      <x:c r="U454" s="12" t="str">
        <x:v>Completed</x:v>
      </x:c>
    </x:row>
    <x:row r="455">
      <x:c r="A455" s="12" t="str">
        <x:v>ORD-2025-10454</x:v>
      </x:c>
      <x:c r="B455" s="12" t="str">
        <x:v>05/03/2025</x:v>
      </x:c>
      <x:c r="C455" s="12" t="str">
        <x:v>2025-05-11</x:v>
      </x:c>
      <x:c r="D455" s="12" t="str">
        <x:v>CUST-2317</x:v>
      </x:c>
      <x:c r="E455" s="12" t="str">
        <x:v>Rohan Mehta</x:v>
      </x:c>
      <x:c r="F455" s="12" t="str">
        <x:v>  Small Business </x:v>
      </x:c>
      <x:c r="G455" s="12" t="str">
        <x:v>West</x:v>
      </x:c>
      <x:c r="H455" s="12" t="str">
        <x:v>Madhya Pradesh</x:v>
      </x:c>
      <x:c r="I455" s="12" t="str">
        <x:v>Indore</x:v>
      </x:c>
      <x:c r="J455" s="12" t="str">
        <x:v>Office Supplies</x:v>
      </x:c>
      <x:c r="K455" s="12" t="str">
        <x:v>Labels</x:v>
      </x:c>
      <x:c r="L455" s="12" t="str">
        <x:v>Elite Labels 322</x:v>
      </x:c>
      <x:c r="M455" s="12" t="str">
        <x:v>Same Day</x:v>
      </x:c>
      <x:c r="N455" s="12" t="n">
        <x:v>5</x:v>
      </x:c>
      <x:c r="O455" s="12" t="n">
        <x:v>1483.52</x:v>
      </x:c>
      <x:c r="P455" s="12" t="n">
        <x:v>0</x:v>
      </x:c>
      <x:c r="Q455" s="12" t="n">
        <x:v>7417.6</x:v>
      </x:c>
      <x:c r="R455" s="12" t="n">
        <x:v>4955.86</x:v>
      </x:c>
      <x:c r="S455" s="12" t="n">
        <x:v>2461.74</x:v>
      </x:c>
      <x:c r="T455" s="12" t="str">
        <x:v>Paid</x:v>
      </x:c>
      <x:c r="U455" s="12" t="str">
        <x:v>Completed</x:v>
      </x:c>
    </x:row>
    <x:row r="456">
      <x:c r="A456" s="12" t="str">
        <x:v>ORD-2025-10455</x:v>
      </x:c>
      <x:c r="B456" s="12" t="str">
        <x:v>2025-03-23</x:v>
      </x:c>
      <x:c r="C456" s="12" t="str">
        <x:v>28-03-2025</x:v>
      </x:c>
      <x:c r="D456" s="12" t="str">
        <x:v>CUST-8643</x:v>
      </x:c>
      <x:c r="E456" s="12" t="str">
        <x:v>Vikram Iyer</x:v>
      </x:c>
      <x:c r="F456" s="12" t="str">
        <x:v>Small Business</x:v>
      </x:c>
      <x:c r="G456" s="12" t="str">
        <x:v>North</x:v>
      </x:c>
      <x:c r="H456" s="12" t="str">
        <x:v>Rajasthan</x:v>
      </x:c>
      <x:c r="I456" s="12" t="str">
        <x:v>Jaipur</x:v>
      </x:c>
      <x:c r="J456" s="12" t="str">
        <x:v>Furniture</x:v>
      </x:c>
      <x:c r="K456" s="12" t="str">
        <x:v>Furnishings</x:v>
      </x:c>
      <x:c r="L456" s="12" t="str">
        <x:v>Max Furnishings 821</x:v>
      </x:c>
      <x:c r="M456" s="12" t="str">
        <x:v>Standard Class</x:v>
      </x:c>
      <x:c r="N456" s="12" t="n">
        <x:v>9</x:v>
      </x:c>
      <x:c r="O456" s="12" t="n">
        <x:v>3298</x:v>
      </x:c>
      <x:c r="P456" s="12" t="n">
        <x:v>0.15</x:v>
      </x:c>
      <x:c r="Q456" s="12" t="n">
        <x:v>25229.7</x:v>
      </x:c>
      <x:c r="R456" s="12" t="n">
        <x:v>20170.43</x:v>
      </x:c>
      <x:c r="S456" s="12" t="n">
        <x:v>5059.27</x:v>
      </x:c>
      <x:c r="T456" s="12" t="str">
        <x:v>Paid</x:v>
      </x:c>
      <x:c r="U456" s="12" t="str">
        <x:v>Completed</x:v>
      </x:c>
    </x:row>
    <x:row r="457">
      <x:c r="A457" s="12" t="str">
        <x:v>ORD-2024-10456</x:v>
      </x:c>
      <x:c r="B457" s="12" t="str">
        <x:v>18 Jul 2024</x:v>
      </x:c>
      <x:c r="C457" s="12" t="str">
        <x:v>22-07-2024</x:v>
      </x:c>
      <x:c r="D457" s="12" t="str">
        <x:v>CUST-1800</x:v>
      </x:c>
      <x:c r="E457" s="12" t="str">
        <x:v>Neha Gupta</x:v>
      </x:c>
      <x:c r="F457" s="12" t="str">
        <x:v>Small Business</x:v>
      </x:c>
      <x:c r="G457" s="12" t="str">
        <x:v>South</x:v>
      </x:c>
      <x:c r="H457" s="12" t="str">
        <x:v>Telangana</x:v>
      </x:c>
      <x:c r="I457" s="12" t="str">
        <x:v>Hyderabad</x:v>
      </x:c>
      <x:c r="J457" s="12" t="str">
        <x:v>Office Supplies</x:v>
      </x:c>
      <x:c r="K457" s="12" t="str">
        <x:v>Art</x:v>
      </x:c>
      <x:c r="L457" s="12" t="str">
        <x:v>Basic Art 556</x:v>
      </x:c>
      <x:c r="M457" s="12" t="str">
        <x:v>Standard Class</x:v>
      </x:c>
      <x:c r="N457" s="12" t="n">
        <x:v>4</x:v>
      </x:c>
      <x:c r="O457" s="12" t="n">
        <x:v>808.77</x:v>
      </x:c>
      <x:c r="P457" s="12" t="n">
        <x:v>0</x:v>
      </x:c>
      <x:c r="Q457" s="12" t="n">
        <x:v>3235.08</x:v>
      </x:c>
      <x:c r="R457" s="12" t="n">
        <x:v>1848.6</x:v>
      </x:c>
      <x:c r="S457" s="12" t="n">
        <x:v>1386.48</x:v>
      </x:c>
      <x:c r="T457" s="12" t="str">
        <x:v>Paid</x:v>
      </x:c>
      <x:c r="U457" s="12" t="str">
        <x:v>Completed</x:v>
      </x:c>
    </x:row>
    <x:row r="458">
      <x:c r="A458" s="12" t="str">
        <x:v>ORD-2024-10457</x:v>
      </x:c>
      <x:c r="B458" s="12" t="str">
        <x:v>2024-02-20</x:v>
      </x:c>
      <x:c r="C458" s="12" t="str">
        <x:v>2024-02-20</x:v>
      </x:c>
      <x:c r="D458" s="12" t="str">
        <x:v>CUST-7688</x:v>
      </x:c>
      <x:c r="E458" s="12" t="str">
        <x:v>Neha Gupta</x:v>
      </x:c>
      <x:c r="F458" s="12" t="str">
        <x:v>Corporate</x:v>
      </x:c>
      <x:c r="G458" s="12" t="str">
        <x:v>North</x:v>
      </x:c>
      <x:c r="H458" s="12" t="str">
        <x:v>Uttar Pradesh</x:v>
      </x:c>
      <x:c r="I458" s="12" t="str">
        <x:v>Noida</x:v>
      </x:c>
      <x:c r="J458" s="12" t="str">
        <x:v>Technology</x:v>
      </x:c>
      <x:c r="K458" s="12" t="str">
        <x:v>Accessories</x:v>
      </x:c>
      <x:c r="L458" s="12" t="str">
        <x:v>Smart Accessories 265</x:v>
      </x:c>
      <x:c r="M458" s="12" t="str">
        <x:v>Same Day</x:v>
      </x:c>
      <x:c r="N458" s="12" t="n">
        <x:v>5</x:v>
      </x:c>
      <x:c r="O458" s="12" t="n">
        <x:v>2604.91</x:v>
      </x:c>
      <x:c r="P458" s="12" t="n">
        <x:v>0.15</x:v>
      </x:c>
      <x:c r="Q458" s="12" t="n">
        <x:v>11070.87</x:v>
      </x:c>
      <x:c r="R458" s="12" t="n">
        <x:v>6623.61</x:v>
      </x:c>
      <x:c r="S458" s="12" t="n">
        <x:v>4447.26</x:v>
      </x:c>
      <x:c r="T458" s="12" t="str">
        <x:v>Paid</x:v>
      </x:c>
      <x:c r="U458" s="12" t="str">
        <x:v>Returned</x:v>
      </x:c>
    </x:row>
    <x:row r="459">
      <x:c r="A459" s="12" t="str">
        <x:v>ORD-2024-10458</x:v>
      </x:c>
      <x:c r="B459" s="12" t="str">
        <x:v>05/04/2024</x:v>
      </x:c>
      <x:c r="C459" s="12" t="str">
        <x:v>2024-05-04</x:v>
      </x:c>
      <x:c r="D459" s="12" t="str">
        <x:v>CUST-4957</x:v>
      </x:c>
      <x:c r="E459" s="12" t="str">
        <x:v>Mira Das</x:v>
      </x:c>
      <x:c r="F459" s="12" t="str">
        <x:v>Small Business</x:v>
      </x:c>
      <x:c r="G459" s="12" t="str">
        <x:v>West</x:v>
      </x:c>
      <x:c r="H459" s="12" t="str">
        <x:v>Goa</x:v>
      </x:c>
      <x:c r="I459" s="12" t="str">
        <x:v>Panaji</x:v>
      </x:c>
      <x:c r="J459" s="12" t="str">
        <x:v>Furniture</x:v>
      </x:c>
      <x:c r="K459" s="12" t="str">
        <x:v>Tables</x:v>
      </x:c>
      <x:c r="L459" s="12" t="str">
        <x:v>Elite Tables 418</x:v>
      </x:c>
      <x:c r="M459" s="12" t="str">
        <x:v>Standard Class</x:v>
      </x:c>
      <x:c r="N459" s="12" t="n">
        <x:v>7</x:v>
      </x:c>
      <x:c r="O459" s="12" t="n">
        <x:v>2851.51</x:v>
      </x:c>
      <x:c r="P459" s="12" t="n">
        <x:v>0</x:v>
      </x:c>
      <x:c r="Q459" s="12" t="n">
        <x:v>19960.57</x:v>
      </x:c>
      <x:c r="R459" s="12" t="n">
        <x:v>16603.6</x:v>
      </x:c>
      <x:c r="S459" s="12" t="n">
        <x:v>3356.97</x:v>
      </x:c>
      <x:c r="T459" s="12" t="str">
        <x:v>Paid</x:v>
      </x:c>
      <x:c r="U459" s="12" t="str">
        <x:v>Completed</x:v>
      </x:c>
    </x:row>
    <x:row r="460">
      <x:c r="A460" s="12" t="str">
        <x:v>ORD-2024-10459</x:v>
      </x:c>
      <x:c r="B460" s="12" t="str">
        <x:v>2024-02-10</x:v>
      </x:c>
      <x:c r="C460" s="12" t="str">
        <x:v>02/11/2024</x:v>
      </x:c>
      <x:c r="D460" s="12" t="str">
        <x:v>CUST-1263</x:v>
      </x:c>
      <x:c r="E460" s="12" t="str">
        <x:v>Karan Malhotra</x:v>
      </x:c>
      <x:c r="F460" s="12" t="str">
        <x:v>Corporate</x:v>
      </x:c>
      <x:c r="G460" s="12" t="str">
        <x:v>North</x:v>
      </x:c>
      <x:c r="H460" s="12" t="str">
        <x:v>Rajasthan</x:v>
      </x:c>
      <x:c r="I460" s="12" t="str">
        <x:v>Jaipur</x:v>
      </x:c>
      <x:c r="J460" s="12" t="str">
        <x:v>Technology</x:v>
      </x:c>
      <x:c r="K460" s="12" t="str">
        <x:v>Phones</x:v>
      </x:c>
      <x:c r="L460" s="12" t="str">
        <x:v>Pro Phones 907</x:v>
      </x:c>
      <x:c r="M460" s="12" t="str">
        <x:v>Second Class</x:v>
      </x:c>
      <x:c r="N460" s="12" t="n">
        <x:v>3</x:v>
      </x:c>
      <x:c r="O460" s="12" t="n">
        <x:v>3183.72</x:v>
      </x:c>
      <x:c r="P460" s="12" t="n">
        <x:v>0.1</x:v>
      </x:c>
      <x:c r="Q460" s="12" t="n">
        <x:v>8596.04</x:v>
      </x:c>
      <x:c r="R460" s="12" t="n">
        <x:v>5378.16</x:v>
      </x:c>
      <x:c r="S460" s="12" t="n">
        <x:v>3217.88</x:v>
      </x:c>
      <x:c r="T460" s="12" t="str">
        <x:v>Paid</x:v>
      </x:c>
      <x:c r="U460" s="12" t="str">
        <x:v>Completed</x:v>
      </x:c>
    </x:row>
    <x:row r="461">
      <x:c r="A461" s="12" t="str">
        <x:v>ORD-2024-10460</x:v>
      </x:c>
      <x:c r="B461" s="12" t="str">
        <x:v>03/28/2024</x:v>
      </x:c>
      <x:c r="C461" s="12" t="str">
        <x:v>04-04-2024</x:v>
      </x:c>
      <x:c r="D461" s="12" t="str">
        <x:v>CUST-4745</x:v>
      </x:c>
      <x:c r="E461" s="12" t="str">
        <x:v>Ananya Rao</x:v>
      </x:c>
      <x:c r="F461" s="12" t="str">
        <x:v>Home Office</x:v>
      </x:c>
      <x:c r="G461" s="12" t="str">
        <x:v>West</x:v>
      </x:c>
      <x:c r="H461" s="12" t="str">
        <x:v>Goa</x:v>
      </x:c>
      <x:c r="I461" s="12" t="str">
        <x:v>Panaji</x:v>
      </x:c>
      <x:c r="J461" s="12" t="str">
        <x:v>Office Supplies</x:v>
      </x:c>
      <x:c r="K461" s="12" t="str">
        <x:v>Paper</x:v>
      </x:c>
      <x:c r="L461" s="12" t="str">
        <x:v>Basic Paper 233</x:v>
      </x:c>
      <x:c r="M461" s="12" t="str">
        <x:v>First Class</x:v>
      </x:c>
      <x:c r="N461" s="12" t="n">
        <x:v>3</x:v>
      </x:c>
      <x:c r="O461" s="12" t="n">
        <x:v>1150.92</x:v>
      </x:c>
      <x:c r="P461" s="12" t="n">
        <x:v>0</x:v>
      </x:c>
      <x:c r="Q461" s="12" t="n">
        <x:v>3452.76</x:v>
      </x:c>
      <x:c r="R461" s="12" t="n">
        <x:v>2077.96</x:v>
      </x:c>
      <x:c r="S461" s="12" t="n">
        <x:v>1374.8</x:v>
      </x:c>
      <x:c r="T461" s="12" t="str">
        <x:v>Paid</x:v>
      </x:c>
      <x:c r="U461" s="12" t="str">
        <x:v>Completed</x:v>
      </x:c>
    </x:row>
    <x:row r="462">
      <x:c r="A462" s="12" t="str">
        <x:v>ORD-2025-10461</x:v>
      </x:c>
      <x:c r="B462" s="12" t="str">
        <x:v>30 Sep 2025</x:v>
      </x:c>
      <x:c r="C462" s="12" t="str">
        <x:v>06 Oct 2025</x:v>
      </x:c>
      <x:c r="D462" s="12" t="str">
        <x:v>CUST-5551</x:v>
      </x:c>
      <x:c r="E462" s="12" t="str">
        <x:v>Aarav Sharma</x:v>
      </x:c>
      <x:c r="F462" s="12" t="str">
        <x:v>Corporate</x:v>
      </x:c>
      <x:c r="G462" s="12"/>
      <x:c r="H462" s="12" t="str">
        <x:v>Rajasthan</x:v>
      </x:c>
      <x:c r="I462" s="12" t="str">
        <x:v>Jaipur</x:v>
      </x:c>
      <x:c r="J462" s="12" t="str">
        <x:v>Technology</x:v>
      </x:c>
      <x:c r="K462" s="12" t="str">
        <x:v>Copiers</x:v>
      </x:c>
      <x:c r="L462" s="12" t="str">
        <x:v>Eco Copiers 603</x:v>
      </x:c>
      <x:c r="M462" s="12" t="str">
        <x:v>Second Class</x:v>
      </x:c>
      <x:c r="N462" s="12" t="n">
        <x:v>9</x:v>
      </x:c>
      <x:c r="O462" s="12" t="n">
        <x:v>1359.88</x:v>
      </x:c>
      <x:c r="P462" s="12" t="n">
        <x:v>0.05</x:v>
      </x:c>
      <x:c r="Q462" s="12" t="n">
        <x:v>11626.97</x:v>
      </x:c>
      <x:c r="R462" s="12" t="n">
        <x:v>7394.07</x:v>
      </x:c>
      <x:c r="S462" s="12" t="n">
        <x:v>4232.9</x:v>
      </x:c>
      <x:c r="T462" s="12" t="str">
        <x:v>Paid</x:v>
      </x:c>
      <x:c r="U462" s="12" t="str">
        <x:v>Completed</x:v>
      </x:c>
    </x:row>
    <x:row r="463">
      <x:c r="A463" s="12" t="str">
        <x:v>ORD-2025-10462</x:v>
      </x:c>
      <x:c r="B463" s="12" t="str">
        <x:v>05/25/2025</x:v>
      </x:c>
      <x:c r="C463" s="12" t="str">
        <x:v>05/26/2025</x:v>
      </x:c>
      <x:c r="D463" s="12" t="str">
        <x:v>CUST-3659</x:v>
      </x:c>
      <x:c r="E463" s="12" t="str">
        <x:v>Neha Gupta</x:v>
      </x:c>
      <x:c r="F463" s="12" t="str">
        <x:v>Corporate</x:v>
      </x:c>
      <x:c r="G463" s="12" t="str">
        <x:v>South</x:v>
      </x:c>
      <x:c r="H463" s="12" t="str">
        <x:v>Andhra Pradesh</x:v>
      </x:c>
      <x:c r="I463" s="12" t="str">
        <x:v>Vijayawada</x:v>
      </x:c>
      <x:c r="J463" s="12" t="str">
        <x:v>Office Supplies</x:v>
      </x:c>
      <x:c r="K463" s="12" t="str">
        <x:v>Paper</x:v>
      </x:c>
      <x:c r="L463" s="12" t="str">
        <x:v>Max Paper 700</x:v>
      </x:c>
      <x:c r="M463" s="12" t="str">
        <x:v>Standard Class</x:v>
      </x:c>
      <x:c r="N463" s="12" t="n">
        <x:v>3</x:v>
      </x:c>
      <x:c r="O463" s="12" t="n">
        <x:v>3378.15</x:v>
      </x:c>
      <x:c r="P463" s="12" t="n">
        <x:v>0.15</x:v>
      </x:c>
      <x:c r="Q463" s="12" t="n">
        <x:v>8614.28</x:v>
      </x:c>
      <x:c r="R463" s="12" t="n">
        <x:v>7052.08</x:v>
      </x:c>
      <x:c r="S463" s="12" t="n">
        <x:v>1562.2</x:v>
      </x:c>
      <x:c r="T463" s="12" t="str">
        <x:v>Paid</x:v>
      </x:c>
      <x:c r="U463" s="12" t="str">
        <x:v>Completed</x:v>
      </x:c>
    </x:row>
    <x:row r="464">
      <x:c r="A464" s="12" t="str">
        <x:v>ORD-2024-10463</x:v>
      </x:c>
      <x:c r="B464" s="12" t="str">
        <x:v>09/23/2024</x:v>
      </x:c>
      <x:c r="C464" s="12" t="str">
        <x:v>25-09-2024</x:v>
      </x:c>
      <x:c r="D464" s="12" t="str">
        <x:v>CUST-6594</x:v>
      </x:c>
      <x:c r="E464" s="12" t="str">
        <x:v>Aarav Sharma</x:v>
      </x:c>
      <x:c r="F464" s="12" t="str">
        <x:v>Home Office</x:v>
      </x:c>
      <x:c r="G464" s="12" t="str">
        <x:v>North</x:v>
      </x:c>
      <x:c r="H464" s="12" t="str">
        <x:v>Delhi</x:v>
      </x:c>
      <x:c r="I464" s="12" t="str">
        <x:v>New Delhi</x:v>
      </x:c>
      <x:c r="J464" s="12" t="str">
        <x:v>Office Supplies</x:v>
      </x:c>
      <x:c r="K464" s="12" t="str">
        <x:v>Binders</x:v>
      </x:c>
      <x:c r="L464" s="12" t="str">
        <x:v>Pro Binders 404</x:v>
      </x:c>
      <x:c r="M464" s="12" t="str">
        <x:v>First Class</x:v>
      </x:c>
      <x:c r="N464" s="12" t="n">
        <x:v>2</x:v>
      </x:c>
      <x:c r="O464" s="12" t="n">
        <x:v>1275.14</x:v>
      </x:c>
      <x:c r="P464" s="12" t="n">
        <x:v>0.2</x:v>
      </x:c>
      <x:c r="Q464" s="12" t="n">
        <x:v>2040.22</x:v>
      </x:c>
      <x:c r="R464" s="12" t="n">
        <x:v>1395.71</x:v>
      </x:c>
      <x:c r="S464" s="12" t="n">
        <x:v>644.51</x:v>
      </x:c>
      <x:c r="T464" s="12" t="str">
        <x:v>Paid</x:v>
      </x:c>
      <x:c r="U464" s="12" t="str">
        <x:v>Completed</x:v>
      </x:c>
    </x:row>
    <x:row r="465">
      <x:c r="A465" s="12" t="str">
        <x:v>ORD-2025-10464</x:v>
      </x:c>
      <x:c r="B465" s="12" t="str">
        <x:v>07-02-2025</x:v>
      </x:c>
      <x:c r="C465" s="12" t="str">
        <x:v>2025-02-08</x:v>
      </x:c>
      <x:c r="D465" s="12" t="str">
        <x:v>CUST-2626</x:v>
      </x:c>
      <x:c r="E465" s="12" t="str">
        <x:v>Arjun Bose</x:v>
      </x:c>
      <x:c r="F465" s="12" t="str">
        <x:v>Corporate</x:v>
      </x:c>
      <x:c r="G465" s="12" t="str">
        <x:v>West</x:v>
      </x:c>
      <x:c r="H465" s="12" t="str">
        <x:v>Madhya Pradesh</x:v>
      </x:c>
      <x:c r="I465" s="12" t="str">
        <x:v>Indore</x:v>
      </x:c>
      <x:c r="J465" s="12" t="str">
        <x:v>Technology</x:v>
      </x:c>
      <x:c r="K465" s="12" t="str">
        <x:v>Phones</x:v>
      </x:c>
      <x:c r="L465" s="12" t="str">
        <x:v>Eco Phones 208</x:v>
      </x:c>
      <x:c r="M465" s="12" t="str">
        <x:v>Standard Class</x:v>
      </x:c>
      <x:c r="N465" s="12" t="n">
        <x:v>4</x:v>
      </x:c>
      <x:c r="O465" s="12" t="n">
        <x:v>889.5</x:v>
      </x:c>
      <x:c r="P465" s="12" t="n">
        <x:v>0.2</x:v>
      </x:c>
      <x:c r="Q465" s="12" t="n">
        <x:v>2846.4</x:v>
      </x:c>
      <x:c r="R465" s="12" t="n">
        <x:v>2132.37</x:v>
      </x:c>
      <x:c r="S465" s="12" t="n">
        <x:v>714.03</x:v>
      </x:c>
      <x:c r="T465" s="12" t="str">
        <x:v>Paid</x:v>
      </x:c>
      <x:c r="U465" s="12" t="str">
        <x:v>Completed</x:v>
      </x:c>
    </x:row>
    <x:row r="466">
      <x:c r="A466" s="12" t="str">
        <x:v>ORD-2025-10465</x:v>
      </x:c>
      <x:c r="B466" s="12" t="str">
        <x:v>11-03-2025</x:v>
      </x:c>
      <x:c r="C466" s="12" t="str">
        <x:v>03/15/2025</x:v>
      </x:c>
      <x:c r="D466" s="12" t="str">
        <x:v>CUST-7362</x:v>
      </x:c>
      <x:c r="E466" s="12" t="str">
        <x:v>Arjun Bose</x:v>
      </x:c>
      <x:c r="F466" s="12" t="str">
        <x:v>Corporate</x:v>
      </x:c>
      <x:c r="G466" s="12" t="str">
        <x:v>East</x:v>
      </x:c>
      <x:c r="H466" s="12" t="str">
        <x:v>Bihar</x:v>
      </x:c>
      <x:c r="I466" s="12" t="str">
        <x:v>Patna</x:v>
      </x:c>
      <x:c r="J466" s="12" t="str">
        <x:v>Office Supplies</x:v>
      </x:c>
      <x:c r="K466" s="12" t="str">
        <x:v>Paper</x:v>
      </x:c>
      <x:c r="L466" s="12" t="str">
        <x:v>Elite Paper 106</x:v>
      </x:c>
      <x:c r="M466" s="12" t="str">
        <x:v>Same Day</x:v>
      </x:c>
      <x:c r="N466" s="12" t="n">
        <x:v>3</x:v>
      </x:c>
      <x:c r="O466" s="12" t="n">
        <x:v>3625.08</x:v>
      </x:c>
      <x:c r="P466" s="12" t="n">
        <x:v>0.05</x:v>
      </x:c>
      <x:c r="Q466" s="12" t="n">
        <x:v>10331.48</x:v>
      </x:c>
      <x:c r="R466" s="12" t="n">
        <x:v>7131.91</x:v>
      </x:c>
      <x:c r="S466" s="12" t="n">
        <x:v>3199.57</x:v>
      </x:c>
      <x:c r="T466" s="12" t="str">
        <x:v>Pending</x:v>
      </x:c>
      <x:c r="U466" s="12" t="str">
        <x:v>Cancelled</x:v>
      </x:c>
    </x:row>
    <x:row r="467">
      <x:c r="A467" s="12" t="str">
        <x:v>ORD-2024-10466</x:v>
      </x:c>
      <x:c r="B467" s="12" t="str">
        <x:v>29-01-2024</x:v>
      </x:c>
      <x:c r="C467" s="12" t="str">
        <x:v>2024-02-06</x:v>
      </x:c>
      <x:c r="D467" s="12" t="str">
        <x:v>CUST-1748</x:v>
      </x:c>
      <x:c r="E467" s="12" t="str">
        <x:v>Aarav Sharma</x:v>
      </x:c>
      <x:c r="F467" s="12" t="str">
        <x:v>Small Business</x:v>
      </x:c>
      <x:c r="G467" s="12" t="str">
        <x:v>West</x:v>
      </x:c>
      <x:c r="H467" s="12" t="str">
        <x:v>Madhya Pradesh</x:v>
      </x:c>
      <x:c r="I467" s="12" t="str">
        <x:v>Indore</x:v>
      </x:c>
      <x:c r="J467" s="12" t="str">
        <x:v>Office Supplies</x:v>
      </x:c>
      <x:c r="K467" s="12" t="str">
        <x:v>Labels</x:v>
      </x:c>
      <x:c r="L467" s="12" t="str">
        <x:v>Eco Labels 914</x:v>
      </x:c>
      <x:c r="M467" s="12" t="str">
        <x:v>Standard Class</x:v>
      </x:c>
      <x:c r="N467" s="12" t="n">
        <x:v>2</x:v>
      </x:c>
      <x:c r="O467" s="12" t="n">
        <x:v>1258.9</x:v>
      </x:c>
      <x:c r="P467" s="12" t="n">
        <x:v>0</x:v>
      </x:c>
      <x:c r="Q467" s="12" t="n">
        <x:v>2517.8</x:v>
      </x:c>
      <x:c r="R467" s="12" t="n">
        <x:v>1478.54</x:v>
      </x:c>
      <x:c r="S467" s="12" t="n">
        <x:v>1039.26</x:v>
      </x:c>
      <x:c r="T467" s="12" t="str">
        <x:v>Paid</x:v>
      </x:c>
      <x:c r="U467" s="12" t="str">
        <x:v>Completed</x:v>
      </x:c>
    </x:row>
    <x:row r="468">
      <x:c r="A468" s="12" t="str">
        <x:v>ORD-2024-10467</x:v>
      </x:c>
      <x:c r="B468" s="12" t="str">
        <x:v>04-01-2024</x:v>
      </x:c>
      <x:c r="C468" s="12" t="str">
        <x:v>01/08/2024</x:v>
      </x:c>
      <x:c r="D468" s="12" t="str">
        <x:v>CUST-2725</x:v>
      </x:c>
      <x:c r="E468" s="12" t="str">
        <x:v>Mira Das</x:v>
      </x:c>
      <x:c r="F468" s="12" t="str">
        <x:v>Small Business</x:v>
      </x:c>
      <x:c r="G468" s="12" t="str">
        <x:v>East</x:v>
      </x:c>
      <x:c r="H468" s="12" t="str">
        <x:v>Bihar</x:v>
      </x:c>
      <x:c r="I468" s="12" t="str">
        <x:v>Patna</x:v>
      </x:c>
      <x:c r="J468" s="12" t="str">
        <x:v>Technology</x:v>
      </x:c>
      <x:c r="K468" s="12" t="str">
        <x:v>Accessories</x:v>
      </x:c>
      <x:c r="L468" s="12" t="str">
        <x:v>Max Accessories 486</x:v>
      </x:c>
      <x:c r="M468" s="12" t="str">
        <x:v>Same Day</x:v>
      </x:c>
      <x:c r="N468" s="12" t="n">
        <x:v>9</x:v>
      </x:c>
      <x:c r="O468" s="12" t="n">
        <x:v>1591.96</x:v>
      </x:c>
      <x:c r="P468" s="12" t="n">
        <x:v>0.2</x:v>
      </x:c>
      <x:c r="Q468" s="12" t="n">
        <x:v>11462.11</x:v>
      </x:c>
      <x:c r="R468" s="12" t="n">
        <x:v>7105.48</x:v>
      </x:c>
      <x:c r="S468" s="12" t="n">
        <x:v>4356.63</x:v>
      </x:c>
      <x:c r="T468" s="12" t="str">
        <x:v>Paid</x:v>
      </x:c>
      <x:c r="U468" s="12" t="str">
        <x:v>Completed</x:v>
      </x:c>
    </x:row>
    <x:row r="469">
      <x:c r="A469" s="12" t="str">
        <x:v>ORD-2024-10468</x:v>
      </x:c>
      <x:c r="B469" s="12" t="str">
        <x:v>20-08-2024</x:v>
      </x:c>
      <x:c r="C469" s="12" t="str">
        <x:v>21 Aug 2024</x:v>
      </x:c>
      <x:c r="D469" s="12" t="str">
        <x:v>CUST-9470</x:v>
      </x:c>
      <x:c r="E469" s="12" t="str">
        <x:v>Aditi Sen</x:v>
      </x:c>
      <x:c r="F469" s="12" t="str">
        <x:v>Corporate</x:v>
      </x:c>
      <x:c r="G469" s="12" t="str">
        <x:v>East</x:v>
      </x:c>
      <x:c r="H469" s="12" t="str">
        <x:v>Odisha</x:v>
      </x:c>
      <x:c r="I469" s="12" t="str">
        <x:v>Bhubaneswar</x:v>
      </x:c>
      <x:c r="J469" s="12" t="str">
        <x:v>Technology</x:v>
      </x:c>
      <x:c r="K469" s="12" t="str">
        <x:v>Copiers</x:v>
      </x:c>
      <x:c r="L469" s="12" t="str">
        <x:v>Max Copiers 867</x:v>
      </x:c>
      <x:c r="M469" s="12" t="str">
        <x:v>First Class</x:v>
      </x:c>
      <x:c r="N469" s="12" t="n">
        <x:v>5</x:v>
      </x:c>
      <x:c r="O469" s="12" t="n">
        <x:v>4288.33</x:v>
      </x:c>
      <x:c r="P469" s="12" t="n">
        <x:v>0.1</x:v>
      </x:c>
      <x:c r="Q469" s="12" t="n">
        <x:v>19297.49</x:v>
      </x:c>
      <x:c r="R469" s="12" t="n">
        <x:v>15451.66</x:v>
      </x:c>
      <x:c r="S469" s="12" t="n">
        <x:v>3845.83</x:v>
      </x:c>
      <x:c r="T469" s="12" t="str">
        <x:v>Refunded</x:v>
      </x:c>
      <x:c r="U469" s="12" t="str">
        <x:v>Cancelled</x:v>
      </x:c>
    </x:row>
    <x:row r="470">
      <x:c r="A470" s="12" t="str">
        <x:v>ORD-2025-10469</x:v>
      </x:c>
      <x:c r="B470" s="12" t="str">
        <x:v>09 Jan 2025</x:v>
      </x:c>
      <x:c r="C470" s="12" t="str">
        <x:v>07 Jan 2025</x:v>
      </x:c>
      <x:c r="D470" s="12" t="str">
        <x:v>CUST-4176</x:v>
      </x:c>
      <x:c r="E470" s="12" t="str">
        <x:v>Aarav Sharma</x:v>
      </x:c>
      <x:c r="F470" s="12" t="str">
        <x:v>Home Office</x:v>
      </x:c>
      <x:c r="G470" s="12" t="str">
        <x:v>East</x:v>
      </x:c>
      <x:c r="H470" s="12" t="str">
        <x:v>West Bengal</x:v>
      </x:c>
      <x:c r="I470" s="12" t="str">
        <x:v>Kolkata</x:v>
      </x:c>
      <x:c r="J470" s="12" t="str">
        <x:v>Office Supplies</x:v>
      </x:c>
      <x:c r="K470" s="12" t="str">
        <x:v>Binders</x:v>
      </x:c>
      <x:c r="L470" s="12" t="str">
        <x:v>Pro Binders 555</x:v>
      </x:c>
      <x:c r="M470" s="12" t="str">
        <x:v>Second Class</x:v>
      </x:c>
      <x:c r="N470" s="12" t="n">
        <x:v>3</x:v>
      </x:c>
      <x:c r="O470" s="12" t="n">
        <x:v>2188.33</x:v>
      </x:c>
      <x:c r="P470" s="12" t="n">
        <x:v>0</x:v>
      </x:c>
      <x:c r="Q470" s="12" t="n">
        <x:v>6564.99</x:v>
      </x:c>
      <x:c r="R470" s="12" t="n">
        <x:v>5407.24</x:v>
      </x:c>
      <x:c r="S470" s="12" t="n">
        <x:v>1157.75</x:v>
      </x:c>
      <x:c r="T470" s="12" t="str">
        <x:v>Paid</x:v>
      </x:c>
      <x:c r="U470" s="12" t="str">
        <x:v>Completed</x:v>
      </x:c>
    </x:row>
    <x:row r="471">
      <x:c r="A471" s="12" t="str">
        <x:v>ORD-2024-10470</x:v>
      </x:c>
      <x:c r="B471" s="12" t="str">
        <x:v>2024-01-19</x:v>
      </x:c>
      <x:c r="C471" s="12" t="str">
        <x:v>01/25/2024</x:v>
      </x:c>
      <x:c r="D471" s="12" t="str">
        <x:v>CUST-3448</x:v>
      </x:c>
      <x:c r="E471" s="12" t="str">
        <x:v>Aditi Sen</x:v>
      </x:c>
      <x:c r="F471" s="12" t="str">
        <x:v>Corporate</x:v>
      </x:c>
      <x:c r="G471" s="12" t="str">
        <x:v>West</x:v>
      </x:c>
      <x:c r="H471" s="12" t="str">
        <x:v>Goa</x:v>
      </x:c>
      <x:c r="I471" s="12" t="str">
        <x:v>Panaji</x:v>
      </x:c>
      <x:c r="J471" s="12" t="str">
        <x:v>Technology</x:v>
      </x:c>
      <x:c r="K471" s="12" t="str">
        <x:v>Copiers</x:v>
      </x:c>
      <x:c r="L471" s="12" t="str">
        <x:v>Pro Copiers 971</x:v>
      </x:c>
      <x:c r="M471" s="12" t="str">
        <x:v>First Class</x:v>
      </x:c>
      <x:c r="N471" s="12" t="n">
        <x:v>3</x:v>
      </x:c>
      <x:c r="O471" s="12" t="n">
        <x:v>1041.66</x:v>
      </x:c>
      <x:c r="P471" s="12" t="n">
        <x:v>0.1</x:v>
      </x:c>
      <x:c r="Q471" s="12" t="n">
        <x:v>2812.48</x:v>
      </x:c>
      <x:c r="R471" s="12" t="n">
        <x:v>2282.12</x:v>
      </x:c>
      <x:c r="S471" s="12" t="n">
        <x:v>530.36</x:v>
      </x:c>
      <x:c r="T471" s="12" t="str">
        <x:v>Paid</x:v>
      </x:c>
      <x:c r="U471" s="12" t="str">
        <x:v>Completed</x:v>
      </x:c>
    </x:row>
    <x:row r="472">
      <x:c r="A472" s="12" t="str">
        <x:v>ORD-2024-10471</x:v>
      </x:c>
      <x:c r="B472" s="12" t="str">
        <x:v>28-07-2024</x:v>
      </x:c>
      <x:c r="C472" s="12" t="str">
        <x:v>07/31/2024</x:v>
      </x:c>
      <x:c r="D472" s="12" t="str">
        <x:v>CUST-4970</x:v>
      </x:c>
      <x:c r="E472" s="12" t="str">
        <x:v>Aditi Sen</x:v>
      </x:c>
      <x:c r="F472" s="12" t="str">
        <x:v>Consumer</x:v>
      </x:c>
      <x:c r="G472" s="12" t="str">
        <x:v>North</x:v>
      </x:c>
      <x:c r="H472" s="12" t="str">
        <x:v>Rajasthan</x:v>
      </x:c>
      <x:c r="I472" s="12" t="str">
        <x:v>Jaipur</x:v>
      </x:c>
      <x:c r="J472" s="12" t="str">
        <x:v>Furniture</x:v>
      </x:c>
      <x:c r="K472" s="12" t="str">
        <x:v>Tables</x:v>
      </x:c>
      <x:c r="L472" s="12" t="str">
        <x:v>Pro Tables 833</x:v>
      </x:c>
      <x:c r="M472" s="12" t="str">
        <x:v>Same Day</x:v>
      </x:c>
      <x:c r="N472" s="12" t="n">
        <x:v>2</x:v>
      </x:c>
      <x:c r="O472" s="12" t="n">
        <x:v>4424.78</x:v>
      </x:c>
      <x:c r="P472" s="12" t="n">
        <x:v>0.2</x:v>
      </x:c>
      <x:c r="Q472" s="12" t="n">
        <x:v>7079.65</x:v>
      </x:c>
      <x:c r="R472" s="12" t="n">
        <x:v>4465.91</x:v>
      </x:c>
      <x:c r="S472" s="12" t="n">
        <x:v>2613.74</x:v>
      </x:c>
      <x:c r="T472" s="12" t="str">
        <x:v>Paid</x:v>
      </x:c>
      <x:c r="U472" s="12" t="str">
        <x:v>Completed</x:v>
      </x:c>
    </x:row>
    <x:row r="473">
      <x:c r="A473" s="12" t="str">
        <x:v>ORD-2024-10472</x:v>
      </x:c>
      <x:c r="B473" s="12" t="str">
        <x:v>11-02-2024</x:v>
      </x:c>
      <x:c r="C473" s="12" t="str">
        <x:v>02/15/2024</x:v>
      </x:c>
      <x:c r="D473" s="12" t="str">
        <x:v>CUST-6147</x:v>
      </x:c>
      <x:c r="E473" s="12" t="str">
        <x:v>Kabir Singh</x:v>
      </x:c>
      <x:c r="F473" s="12" t="str">
        <x:v>Consumer</x:v>
      </x:c>
      <x:c r="G473" s="12" t="str">
        <x:v>South</x:v>
      </x:c>
      <x:c r="H473" s="12" t="str">
        <x:v>Telangana</x:v>
      </x:c>
      <x:c r="I473" s="12" t="str">
        <x:v>Hyderabad</x:v>
      </x:c>
      <x:c r="J473" s="12" t="str">
        <x:v>Office Supplies</x:v>
      </x:c>
      <x:c r="K473" s="12" t="str">
        <x:v>Binders</x:v>
      </x:c>
      <x:c r="L473" s="12" t="str">
        <x:v>Prime Binders 497</x:v>
      </x:c>
      <x:c r="M473" s="12" t="str">
        <x:v>Standard Class</x:v>
      </x:c>
      <x:c r="N473" s="12" t="n">
        <x:v>3</x:v>
      </x:c>
      <x:c r="O473" s="12" t="n">
        <x:v>3019.14</x:v>
      </x:c>
      <x:c r="P473" s="12" t="n">
        <x:v>0.25</x:v>
      </x:c>
      <x:c r="Q473" s="12" t="n">
        <x:v>6793.07</x:v>
      </x:c>
      <x:c r="R473" s="12" t="n">
        <x:v>4985.22</x:v>
      </x:c>
      <x:c r="S473" s="12" t="n">
        <x:v>1807.85</x:v>
      </x:c>
      <x:c r="T473" s="12" t="str">
        <x:v>Paid</x:v>
      </x:c>
      <x:c r="U473" s="12" t="str">
        <x:v>Completed</x:v>
      </x:c>
    </x:row>
    <x:row r="474">
      <x:c r="A474" s="12" t="str">
        <x:v>ORD-2024-10473</x:v>
      </x:c>
      <x:c r="B474" s="12" t="str">
        <x:v>02-03-2024</x:v>
      </x:c>
      <x:c r="C474" s="12" t="str">
        <x:v>03/07/2024</x:v>
      </x:c>
      <x:c r="D474" s="12" t="str">
        <x:v>CUST-7208</x:v>
      </x:c>
      <x:c r="E474" s="12" t="str">
        <x:v>Rohan Mehta</x:v>
      </x:c>
      <x:c r="F474" s="12" t="str">
        <x:v>Corporate</x:v>
      </x:c>
      <x:c r="G474" s="12" t="str">
        <x:v>East</x:v>
      </x:c>
      <x:c r="H474" s="12" t="str">
        <x:v>Odisha</x:v>
      </x:c>
      <x:c r="I474" s="12" t="str">
        <x:v>Bhubaneswar</x:v>
      </x:c>
      <x:c r="J474" s="12" t="str">
        <x:v>Office Supplies</x:v>
      </x:c>
      <x:c r="K474" s="12" t="str">
        <x:v>Storage</x:v>
      </x:c>
      <x:c r="L474" s="12" t="str">
        <x:v>Pro Storage 756</x:v>
      </x:c>
      <x:c r="M474" s="12" t="str">
        <x:v>Standard Class</x:v>
      </x:c>
      <x:c r="N474" s="12" t="n">
        <x:v>7</x:v>
      </x:c>
      <x:c r="O474" s="12" t="n">
        <x:v>263.46</x:v>
      </x:c>
      <x:c r="P474" s="12" t="n">
        <x:v>0</x:v>
      </x:c>
      <x:c r="Q474" s="12" t="n">
        <x:v>1844.22</x:v>
      </x:c>
      <x:c r="R474" s="12" t="n">
        <x:v>1094.21</x:v>
      </x:c>
      <x:c r="S474" s="12" t="n">
        <x:v>750.01</x:v>
      </x:c>
      <x:c r="T474" s="12" t="str">
        <x:v>Paid</x:v>
      </x:c>
      <x:c r="U474" s="12" t="str">
        <x:v>Completed</x:v>
      </x:c>
    </x:row>
    <x:row r="475">
      <x:c r="A475" s="12" t="str">
        <x:v>ORD-2024-10474</x:v>
      </x:c>
      <x:c r="B475" s="12" t="str">
        <x:v>13-11-2024</x:v>
      </x:c>
      <x:c r="C475" s="12" t="str">
        <x:v>13 Nov 2024</x:v>
      </x:c>
      <x:c r="D475" s="12" t="str">
        <x:v>CUST-2794</x:v>
      </x:c>
      <x:c r="E475" s="12" t="str">
        <x:v>Priya Menon</x:v>
      </x:c>
      <x:c r="F475" s="12" t="str">
        <x:v>Consumer</x:v>
      </x:c>
      <x:c r="G475" s="12" t="str">
        <x:v>West</x:v>
      </x:c>
      <x:c r="H475" s="12" t="str">
        <x:v>Goa</x:v>
      </x:c>
      <x:c r="I475" s="12" t="str">
        <x:v>Panaji</x:v>
      </x:c>
      <x:c r="J475" s="12" t="str">
        <x:v>Technology</x:v>
      </x:c>
      <x:c r="K475" s="12" t="str">
        <x:v>Copiers</x:v>
      </x:c>
      <x:c r="L475" s="12" t="str">
        <x:v>Max Copiers 829</x:v>
      </x:c>
      <x:c r="M475" s="12" t="str">
        <x:v>Standard Class</x:v>
      </x:c>
      <x:c r="N475" s="12" t="n">
        <x:v>6</x:v>
      </x:c>
      <x:c r="O475" s="12" t="n">
        <x:v>191.45</x:v>
      </x:c>
      <x:c r="P475" s="12" t="n">
        <x:v>0.2</x:v>
      </x:c>
      <x:c r="Q475" s="12" t="n">
        <x:v>918.96</x:v>
      </x:c>
      <x:c r="R475" s="12" t="n">
        <x:v>554.18</x:v>
      </x:c>
      <x:c r="S475" s="12" t="n">
        <x:v>364.78</x:v>
      </x:c>
      <x:c r="T475" s="12" t="str">
        <x:v>Paid</x:v>
      </x:c>
      <x:c r="U475" s="12" t="str">
        <x:v>Completed</x:v>
      </x:c>
    </x:row>
    <x:row r="476">
      <x:c r="A476" s="12" t="str">
        <x:v>ORD-2024-10475</x:v>
      </x:c>
      <x:c r="B476" s="12" t="str">
        <x:v>03-06-2024</x:v>
      </x:c>
      <x:c r="C476" s="12" t="str">
        <x:v>2024-06-10</x:v>
      </x:c>
      <x:c r="D476" s="12" t="str">
        <x:v>CUST-6249</x:v>
      </x:c>
      <x:c r="E476" s="12" t="str">
        <x:v>Diya Patel</x:v>
      </x:c>
      <x:c r="F476" s="12" t="str">
        <x:v>Corporate</x:v>
      </x:c>
      <x:c r="G476" s="12" t="str">
        <x:v>North</x:v>
      </x:c>
      <x:c r="H476" s="12" t="str">
        <x:v>Punjab</x:v>
      </x:c>
      <x:c r="I476" s="12" t="str">
        <x:v>Ludhiana</x:v>
      </x:c>
      <x:c r="J476" s="12" t="str">
        <x:v>Furniture</x:v>
      </x:c>
      <x:c r="K476" s="12" t="str">
        <x:v>Furnishings</x:v>
      </x:c>
      <x:c r="L476" s="12" t="str">
        <x:v>Prime Furnishings 827</x:v>
      </x:c>
      <x:c r="M476" s="12" t="str">
        <x:v>Standard Class</x:v>
      </x:c>
      <x:c r="N476" s="12" t="n">
        <x:v>3</x:v>
      </x:c>
      <x:c r="O476" s="12" t="n">
        <x:v>1633.57</x:v>
      </x:c>
      <x:c r="P476" s="12" t="n">
        <x:v>0</x:v>
      </x:c>
      <x:c r="Q476" s="12" t="n">
        <x:v>4900.71</x:v>
      </x:c>
      <x:c r="R476" s="12" t="n">
        <x:v>2713.9</x:v>
      </x:c>
      <x:c r="S476" s="12" t="n">
        <x:v>2186.81</x:v>
      </x:c>
      <x:c r="T476" s="12" t="str">
        <x:v>Paid</x:v>
      </x:c>
      <x:c r="U476" s="12" t="str">
        <x:v>Completed</x:v>
      </x:c>
    </x:row>
    <x:row r="477">
      <x:c r="A477" s="12" t="str">
        <x:v>ORD-2025-10476</x:v>
      </x:c>
      <x:c r="B477" s="12" t="str">
        <x:v>03/01/2025</x:v>
      </x:c>
      <x:c r="C477" s="12" t="str">
        <x:v>08 Mar 2025</x:v>
      </x:c>
      <x:c r="D477" s="12" t="str">
        <x:v>CUST-5712</x:v>
      </x:c>
      <x:c r="E477" s="12" t="str">
        <x:v>Vikram Iyer</x:v>
      </x:c>
      <x:c r="F477" s="12" t="str">
        <x:v>Consumer</x:v>
      </x:c>
      <x:c r="G477" s="12" t="str">
        <x:v>East</x:v>
      </x:c>
      <x:c r="H477" s="12" t="str">
        <x:v>West Bengal</x:v>
      </x:c>
      <x:c r="I477" s="12" t="str">
        <x:v>Kolkata</x:v>
      </x:c>
      <x:c r="J477" s="12" t="str">
        <x:v>Furniture</x:v>
      </x:c>
      <x:c r="K477" s="12" t="str">
        <x:v>Chairs</x:v>
      </x:c>
      <x:c r="L477" s="12" t="str">
        <x:v>Eco Chairs 365</x:v>
      </x:c>
      <x:c r="M477" s="12" t="str">
        <x:v>Same Day</x:v>
      </x:c>
      <x:c r="N477" s="12" t="n">
        <x:v>8</x:v>
      </x:c>
      <x:c r="O477" s="12" t="n">
        <x:v>3378.82</x:v>
      </x:c>
      <x:c r="P477" s="12" t="n">
        <x:v>0.25</x:v>
      </x:c>
      <x:c r="Q477" s="12" t="n">
        <x:v>20272.92</x:v>
      </x:c>
      <x:c r="R477" s="12" t="n">
        <x:v>15873.38</x:v>
      </x:c>
      <x:c r="S477" s="12" t="n">
        <x:v>4399.54</x:v>
      </x:c>
      <x:c r="T477" s="12" t="str">
        <x:v>Pending</x:v>
      </x:c>
      <x:c r="U477" s="12" t="str">
        <x:v>Returned</x:v>
      </x:c>
    </x:row>
    <x:row r="478">
      <x:c r="A478" s="12" t="str">
        <x:v>ORD-2024-10477</x:v>
      </x:c>
      <x:c r="B478" s="12" t="str">
        <x:v>05/07/2024</x:v>
      </x:c>
      <x:c r="C478" s="12" t="str">
        <x:v>05/14/2024</x:v>
      </x:c>
      <x:c r="D478" s="12" t="str">
        <x:v>CUST-3004</x:v>
      </x:c>
      <x:c r="E478" s="12" t="str">
        <x:v>Sneha Kapoor</x:v>
      </x:c>
      <x:c r="F478" s="12" t="str">
        <x:v>Small Business</x:v>
      </x:c>
      <x:c r="G478" s="12" t="str">
        <x:v>North</x:v>
      </x:c>
      <x:c r="H478" s="12" t="str">
        <x:v>Rajasthan</x:v>
      </x:c>
      <x:c r="I478" s="12" t="str">
        <x:v>Jaipur</x:v>
      </x:c>
      <x:c r="J478" s="12" t="str">
        <x:v>Office Supplies</x:v>
      </x:c>
      <x:c r="K478" s="12" t="str">
        <x:v>Storage</x:v>
      </x:c>
      <x:c r="L478" s="12" t="str">
        <x:v>Classic Storage 545</x:v>
      </x:c>
      <x:c r="M478" s="12" t="str">
        <x:v>First Class</x:v>
      </x:c>
      <x:c r="N478" s="12" t="n">
        <x:v>3</x:v>
      </x:c>
      <x:c r="O478" s="12" t="n">
        <x:v>383.58</x:v>
      </x:c>
      <x:c r="P478" s="12" t="n">
        <x:v>0.1</x:v>
      </x:c>
      <x:c r="Q478" s="12" t="n">
        <x:v>1035.67</x:v>
      </x:c>
      <x:c r="R478" s="12" t="n">
        <x:v>595.42</x:v>
      </x:c>
      <x:c r="S478" s="12" t="n">
        <x:v>440.25</x:v>
      </x:c>
      <x:c r="T478" s="12" t="str">
        <x:v>Paid</x:v>
      </x:c>
      <x:c r="U478" s="12" t="str">
        <x:v>Completed</x:v>
      </x:c>
    </x:row>
    <x:row r="479">
      <x:c r="A479" s="12" t="str">
        <x:v>ORD-2025-10478</x:v>
      </x:c>
      <x:c r="B479" s="12" t="str">
        <x:v>08/23/2025</x:v>
      </x:c>
      <x:c r="C479" s="12" t="str">
        <x:v>28-08-2025</x:v>
      </x:c>
      <x:c r="D479" s="12" t="str">
        <x:v>CUST-6920</x:v>
      </x:c>
      <x:c r="E479" s="12" t="str">
        <x:v>Vikram Iyer</x:v>
      </x:c>
      <x:c r="F479" s="12" t="str">
        <x:v>Corporate</x:v>
      </x:c>
      <x:c r="G479" s="12" t="str">
        <x:v>West</x:v>
      </x:c>
      <x:c r="H479" s="12" t="str">
        <x:v>Gujarat</x:v>
      </x:c>
      <x:c r="I479" s="12" t="str">
        <x:v>Ahmedabad</x:v>
      </x:c>
      <x:c r="J479" s="12" t="str">
        <x:v>Furniture</x:v>
      </x:c>
      <x:c r="K479" s="12" t="str">
        <x:v>Chairs</x:v>
      </x:c>
      <x:c r="L479" s="12" t="str">
        <x:v>Pro Chairs 186</x:v>
      </x:c>
      <x:c r="M479" s="12" t="str">
        <x:v>Standard Class</x:v>
      </x:c>
      <x:c r="N479" s="12" t="n">
        <x:v>6</x:v>
      </x:c>
      <x:c r="O479" s="12" t="n">
        <x:v>2193.23</x:v>
      </x:c>
      <x:c r="P479" s="12" t="n">
        <x:v>0.1</x:v>
      </x:c>
      <x:c r="Q479" s="12" t="n">
        <x:v>11843.44</x:v>
      </x:c>
      <x:c r="R479" s="12" t="n">
        <x:v>9356.88</x:v>
      </x:c>
      <x:c r="S479" s="12" t="n">
        <x:v>2486.56</x:v>
      </x:c>
      <x:c r="T479" s="12" t="str">
        <x:v>Paid</x:v>
      </x:c>
      <x:c r="U479" s="12" t="str">
        <x:v>Cancelled</x:v>
      </x:c>
    </x:row>
    <x:row r="480">
      <x:c r="A480" s="12" t="str">
        <x:v>ORD-2024-10479</x:v>
      </x:c>
      <x:c r="B480" s="12" t="str">
        <x:v>06/09/2024</x:v>
      </x:c>
      <x:c r="C480" s="12" t="str">
        <x:v>2024-06-13</x:v>
      </x:c>
      <x:c r="D480" s="12" t="str">
        <x:v>CUST-4838</x:v>
      </x:c>
      <x:c r="E480" s="12" t="str">
        <x:v>Mira Das</x:v>
      </x:c>
      <x:c r="F480" s="12" t="str">
        <x:v>Home Office</x:v>
      </x:c>
      <x:c r="G480" s="12"/>
      <x:c r="H480" s="12" t="str">
        <x:v>Uttar Pradesh</x:v>
      </x:c>
      <x:c r="I480" s="12" t="str">
        <x:v>Noida</x:v>
      </x:c>
      <x:c r="J480" s="12" t="str">
        <x:v>Technology</x:v>
      </x:c>
      <x:c r="K480" s="12" t="str">
        <x:v>Machines</x:v>
      </x:c>
      <x:c r="L480" s="12" t="str">
        <x:v>Classic Machines 561</x:v>
      </x:c>
      <x:c r="M480" s="12" t="str">
        <x:v>Same Day</x:v>
      </x:c>
      <x:c r="N480" s="12" t="n">
        <x:v>7</x:v>
      </x:c>
      <x:c r="O480" s="12" t="n">
        <x:v>4079.71</x:v>
      </x:c>
      <x:c r="P480" s="12" t="n">
        <x:v>0.1</x:v>
      </x:c>
      <x:c r="Q480" s="12" t="n">
        <x:v>25702.17</x:v>
      </x:c>
      <x:c r="R480" s="12" t="n">
        <x:v>14571.48</x:v>
      </x:c>
      <x:c r="S480" s="12" t="n">
        <x:v>11130.69</x:v>
      </x:c>
      <x:c r="T480" s="12" t="str">
        <x:v>Refunded</x:v>
      </x:c>
      <x:c r="U480" s="12" t="str">
        <x:v>Returned</x:v>
      </x:c>
    </x:row>
    <x:row r="481">
      <x:c r="A481" s="12" t="str">
        <x:v>ORD-2024-10480</x:v>
      </x:c>
      <x:c r="B481" s="12" t="str">
        <x:v>23 Feb 2024</x:v>
      </x:c>
      <x:c r="C481" s="12" t="str">
        <x:v>2024-02-20</x:v>
      </x:c>
      <x:c r="D481" s="12" t="str">
        <x:v>CUST-7520</x:v>
      </x:c>
      <x:c r="E481" s="12" t="str">
        <x:v>Arjun Bose</x:v>
      </x:c>
      <x:c r="F481" s="12" t="str">
        <x:v>Corporate</x:v>
      </x:c>
      <x:c r="G481" s="12" t="str">
        <x:v>East</x:v>
      </x:c>
      <x:c r="H481" s="12" t="str">
        <x:v>Odisha</x:v>
      </x:c>
      <x:c r="I481" s="12" t="str">
        <x:v>Bhubaneswar</x:v>
      </x:c>
      <x:c r="J481" s="12" t="str">
        <x:v>Furniture</x:v>
      </x:c>
      <x:c r="K481" s="12" t="str">
        <x:v>Chairs</x:v>
      </x:c>
      <x:c r="L481" s="12" t="str">
        <x:v>Max Chairs 594</x:v>
      </x:c>
      <x:c r="M481" s="12" t="str">
        <x:v>Second Class</x:v>
      </x:c>
      <x:c r="N481" s="12" t="n">
        <x:v>1</x:v>
      </x:c>
      <x:c r="O481" s="12" t="n">
        <x:v>2202.55</x:v>
      </x:c>
      <x:c r="P481" s="12"/>
      <x:c r="Q481" s="12" t="n">
        <x:v>1651.91</x:v>
      </x:c>
      <x:c r="R481" s="12" t="n">
        <x:v>1034.57</x:v>
      </x:c>
      <x:c r="S481" s="12" t="n">
        <x:v>617.34</x:v>
      </x:c>
      <x:c r="T481" s="12" t="str">
        <x:v>Paid</x:v>
      </x:c>
      <x:c r="U481" s="12" t="str">
        <x:v>Completed</x:v>
      </x:c>
    </x:row>
    <x:row r="482">
      <x:c r="A482" s="12" t="str">
        <x:v>ORD-2025-10481</x:v>
      </x:c>
      <x:c r="B482" s="12" t="str">
        <x:v>2025-01-05</x:v>
      </x:c>
      <x:c r="C482" s="12" t="str">
        <x:v>09 Jan 2025</x:v>
      </x:c>
      <x:c r="D482" s="12" t="str">
        <x:v>CUST-9947</x:v>
      </x:c>
      <x:c r="E482" s="12" t="str">
        <x:v>Neha Gupta</x:v>
      </x:c>
      <x:c r="F482" s="12" t="str">
        <x:v>Small Business</x:v>
      </x:c>
      <x:c r="G482" s="12" t="str">
        <x:v>South</x:v>
      </x:c>
      <x:c r="H482" s="12" t="str">
        <x:v>Tamil Nadu</x:v>
      </x:c>
      <x:c r="I482" s="12" t="str">
        <x:v>Chennai</x:v>
      </x:c>
      <x:c r="J482" s="12" t="str">
        <x:v>Office Supplies</x:v>
      </x:c>
      <x:c r="K482" s="12" t="str">
        <x:v>Storage</x:v>
      </x:c>
      <x:c r="L482" s="12" t="str">
        <x:v>Eco Storage 923</x:v>
      </x:c>
      <x:c r="M482" s="12"/>
      <x:c r="N482" s="12" t="n">
        <x:v>5</x:v>
      </x:c>
      <x:c r="O482" s="12" t="n">
        <x:v>905.16</x:v>
      </x:c>
      <x:c r="P482" s="12" t="n">
        <x:v>0</x:v>
      </x:c>
      <x:c r="Q482" s="12" t="n">
        <x:v>4525.8</x:v>
      </x:c>
      <x:c r="R482" s="12" t="n">
        <x:v>2714.51</x:v>
      </x:c>
      <x:c r="S482" s="12" t="n">
        <x:v>1811.29</x:v>
      </x:c>
      <x:c r="T482" s="12" t="str">
        <x:v>Paid</x:v>
      </x:c>
      <x:c r="U482" s="12" t="str">
        <x:v>Completed</x:v>
      </x:c>
    </x:row>
    <x:row r="483">
      <x:c r="A483" s="12" t="str">
        <x:v>ORD-2025-10482</x:v>
      </x:c>
      <x:c r="B483" s="12" t="str">
        <x:v>2025-06-05</x:v>
      </x:c>
      <x:c r="C483" s="12" t="str">
        <x:v>06/13/2025</x:v>
      </x:c>
      <x:c r="D483" s="12" t="str">
        <x:v>CUST-4403</x:v>
      </x:c>
      <x:c r="E483" s="12" t="str">
        <x:v>Isha Nair</x:v>
      </x:c>
      <x:c r="F483" s="12" t="str">
        <x:v>Consumer</x:v>
      </x:c>
      <x:c r="G483" s="12" t="str">
        <x:v>North</x:v>
      </x:c>
      <x:c r="H483" s="12" t="str">
        <x:v>Uttar Pradesh</x:v>
      </x:c>
      <x:c r="I483" s="12" t="str">
        <x:v>Noida</x:v>
      </x:c>
      <x:c r="J483" s="12" t="str">
        <x:v>Technology</x:v>
      </x:c>
      <x:c r="K483" s="12" t="str">
        <x:v>Machines</x:v>
      </x:c>
      <x:c r="L483" s="12" t="str">
        <x:v>Classic Machines 287</x:v>
      </x:c>
      <x:c r="M483" s="12" t="str">
        <x:v>Same Day</x:v>
      </x:c>
      <x:c r="N483" s="12" t="n">
        <x:v>4</x:v>
      </x:c>
      <x:c r="O483" s="12" t="n">
        <x:v>2793.88</x:v>
      </x:c>
      <x:c r="P483" s="12" t="str">
        <x:v>85%</x:v>
      </x:c>
      <x:c r="Q483" s="12" t="n">
        <x:v>10616.74</x:v>
      </x:c>
      <x:c r="R483" s="12" t="n">
        <x:v>6353.59</x:v>
      </x:c>
      <x:c r="S483" s="12" t="n">
        <x:v>4263.15</x:v>
      </x:c>
      <x:c r="T483" s="12" t="str">
        <x:v>Paid</x:v>
      </x:c>
      <x:c r="U483" s="12" t="str">
        <x:v>Completed</x:v>
      </x:c>
    </x:row>
    <x:row r="484">
      <x:c r="A484" s="12" t="str">
        <x:v>ORD-2024-10483</x:v>
      </x:c>
      <x:c r="B484" s="12" t="str">
        <x:v>07/22/2024</x:v>
      </x:c>
      <x:c r="C484" s="12" t="str">
        <x:v>07/22/2024</x:v>
      </x:c>
      <x:c r="D484" s="12" t="str">
        <x:v>CUST-3583</x:v>
      </x:c>
      <x:c r="E484" s="12" t="str">
        <x:v>Priya Menon</x:v>
      </x:c>
      <x:c r="F484" s="12" t="str">
        <x:v>Consumer</x:v>
      </x:c>
      <x:c r="G484" s="12" t="str">
        <x:v>South</x:v>
      </x:c>
      <x:c r="H484" s="12" t="str">
        <x:v>Karnataka</x:v>
      </x:c>
      <x:c r="I484" s="12" t="str">
        <x:v>Bengaluru</x:v>
      </x:c>
      <x:c r="J484" s="12" t="str">
        <x:v>Technology</x:v>
      </x:c>
      <x:c r="K484" s="12" t="str">
        <x:v>Accessories</x:v>
      </x:c>
      <x:c r="L484" s="12" t="str">
        <x:v>Basic Accessories 518</x:v>
      </x:c>
      <x:c r="M484" s="12" t="str">
        <x:v>Second Class</x:v>
      </x:c>
      <x:c r="N484" s="12" t="n">
        <x:v>3</x:v>
      </x:c>
      <x:c r="O484" s="12" t="n">
        <x:v>1286.22</x:v>
      </x:c>
      <x:c r="P484" s="12" t="n">
        <x:v>0.25</x:v>
      </x:c>
      <x:c r="Q484" s="12" t="n">
        <x:v>2893.99</x:v>
      </x:c>
      <x:c r="R484" s="12" t="n">
        <x:v>1856.03</x:v>
      </x:c>
      <x:c r="S484" s="12" t="n">
        <x:v>1037.96</x:v>
      </x:c>
      <x:c r="T484" s="12" t="str">
        <x:v>Paid</x:v>
      </x:c>
      <x:c r="U484" s="12" t="str">
        <x:v>Completed</x:v>
      </x:c>
    </x:row>
    <x:row r="485">
      <x:c r="A485" s="12" t="str">
        <x:v>ORD-2024-10484</x:v>
      </x:c>
      <x:c r="B485" s="12" t="str">
        <x:v>25 Dec 2024</x:v>
      </x:c>
      <x:c r="C485" s="12" t="str">
        <x:v>25-12-2024</x:v>
      </x:c>
      <x:c r="D485" s="12" t="str">
        <x:v>CUST-9432</x:v>
      </x:c>
      <x:c r="E485" s="12" t="str">
        <x:v>Mira Das</x:v>
      </x:c>
      <x:c r="F485" s="12" t="str">
        <x:v>Corporate</x:v>
      </x:c>
      <x:c r="G485" s="12" t="str">
        <x:v>East</x:v>
      </x:c>
      <x:c r="H485" s="12" t="str">
        <x:v>Bihar</x:v>
      </x:c>
      <x:c r="I485" s="12" t="str">
        <x:v>Patna</x:v>
      </x:c>
      <x:c r="J485" s="12" t="str">
        <x:v>Technology</x:v>
      </x:c>
      <x:c r="K485" s="12" t="str">
        <x:v>Copiers</x:v>
      </x:c>
      <x:c r="L485" s="12" t="str">
        <x:v>Pro Copiers 984</x:v>
      </x:c>
      <x:c r="M485" s="12" t="str">
        <x:v>Standard Class</x:v>
      </x:c>
      <x:c r="N485" s="12" t="n">
        <x:v>1</x:v>
      </x:c>
      <x:c r="O485" s="12" t="n">
        <x:v>829.66</x:v>
      </x:c>
      <x:c r="P485" s="12" t="n">
        <x:v>0.15</x:v>
      </x:c>
      <x:c r="Q485" s="12" t="n">
        <x:v>705.21</x:v>
      </x:c>
      <x:c r="R485" s="12" t="n">
        <x:v>438.32</x:v>
      </x:c>
      <x:c r="S485" s="12" t="n">
        <x:v>266.89</x:v>
      </x:c>
      <x:c r="T485" s="12" t="str">
        <x:v>Paid</x:v>
      </x:c>
      <x:c r="U485" s="12" t="str">
        <x:v>Completed</x:v>
      </x:c>
    </x:row>
    <x:row r="486">
      <x:c r="A486" s="12" t="str">
        <x:v>ORD-2024-10485</x:v>
      </x:c>
      <x:c r="B486" s="12" t="str">
        <x:v>2024-12-28</x:v>
      </x:c>
      <x:c r="C486" s="12" t="str">
        <x:v>12/31/2024</x:v>
      </x:c>
      <x:c r="D486" s="12" t="str">
        <x:v>CUST-1801</x:v>
      </x:c>
      <x:c r="E486" s="12" t="str">
        <x:v>Mira Das</x:v>
      </x:c>
      <x:c r="F486" s="12" t="str">
        <x:v>Small Business</x:v>
      </x:c>
      <x:c r="G486" s="12" t="str">
        <x:v>South</x:v>
      </x:c>
      <x:c r="H486" s="12" t="str">
        <x:v>Andhra Pradesh</x:v>
      </x:c>
      <x:c r="I486" s="12" t="str">
        <x:v>Vijayawada</x:v>
      </x:c>
      <x:c r="J486" s="12" t="str">
        <x:v>Furniture</x:v>
      </x:c>
      <x:c r="K486" s="12" t="str">
        <x:v>Furnishings</x:v>
      </x:c>
      <x:c r="L486" s="12" t="str">
        <x:v>Max Furnishings 297</x:v>
      </x:c>
      <x:c r="M486" s="12" t="str">
        <x:v>First Class</x:v>
      </x:c>
      <x:c r="N486" s="12" t="n">
        <x:v>6</x:v>
      </x:c>
      <x:c r="O486" s="12" t="n">
        <x:v>3641.22</x:v>
      </x:c>
      <x:c r="P486" s="12" t="n">
        <x:v>0.25</x:v>
      </x:c>
      <x:c r="Q486" s="12" t="n">
        <x:v>16385.49</x:v>
      </x:c>
      <x:c r="R486" s="12" t="n">
        <x:v>13679.24</x:v>
      </x:c>
      <x:c r="S486" s="12" t="n">
        <x:v>2706.25</x:v>
      </x:c>
      <x:c r="T486" s="12" t="str">
        <x:v>Paid</x:v>
      </x:c>
      <x:c r="U486" s="12" t="str">
        <x:v>Completed</x:v>
      </x:c>
    </x:row>
    <x:row r="487">
      <x:c r="A487" s="12" t="str">
        <x:v>ORD-2025-10486</x:v>
      </x:c>
      <x:c r="B487" s="12" t="str">
        <x:v>2025-01-22</x:v>
      </x:c>
      <x:c r="C487" s="12" t="str">
        <x:v>23 Jan 2025</x:v>
      </x:c>
      <x:c r="D487" s="12" t="str">
        <x:v>CUST-1594</x:v>
      </x:c>
      <x:c r="E487" s="12" t="str">
        <x:v>Rahul Verma</x:v>
      </x:c>
      <x:c r="F487" s="12" t="str">
        <x:v>Corporate</x:v>
      </x:c>
      <x:c r="G487" s="12" t="str">
        <x:v>West</x:v>
      </x:c>
      <x:c r="H487" s="12" t="str">
        <x:v>Goa</x:v>
      </x:c>
      <x:c r="I487" s="12" t="str">
        <x:v>Panaji</x:v>
      </x:c>
      <x:c r="J487" s="12" t="str">
        <x:v>Furniture</x:v>
      </x:c>
      <x:c r="K487" s="12" t="str">
        <x:v>Bookcases</x:v>
      </x:c>
      <x:c r="L487" s="12" t="str">
        <x:v>Elite Bookcases 802</x:v>
      </x:c>
      <x:c r="M487" s="12" t="str">
        <x:v>Standard Class</x:v>
      </x:c>
      <x:c r="N487" s="12" t="n">
        <x:v>4</x:v>
      </x:c>
      <x:c r="O487" s="12" t="n">
        <x:v>2555.19</x:v>
      </x:c>
      <x:c r="P487" s="12" t="n">
        <x:v>0.25</x:v>
      </x:c>
      <x:c r="Q487" s="12" t="n">
        <x:v>7665.57</x:v>
      </x:c>
      <x:c r="R487" s="12" t="n">
        <x:v>5595.6</x:v>
      </x:c>
      <x:c r="S487" s="12" t="n">
        <x:v>2069.97</x:v>
      </x:c>
      <x:c r="T487" s="12" t="str">
        <x:v>Paid</x:v>
      </x:c>
      <x:c r="U487" s="12" t="str">
        <x:v>Completed</x:v>
      </x:c>
    </x:row>
    <x:row r="488">
      <x:c r="A488" s="12" t="str">
        <x:v>ORD-2025-10487</x:v>
      </x:c>
      <x:c r="B488" s="12" t="str">
        <x:v>22-06-2025</x:v>
      </x:c>
      <x:c r="C488" s="12" t="str">
        <x:v>06/26/2025</x:v>
      </x:c>
      <x:c r="D488" s="12" t="str">
        <x:v>CUST-8132</x:v>
      </x:c>
      <x:c r="E488" s="12" t="str">
        <x:v>Rahul Verma</x:v>
      </x:c>
      <x:c r="F488" s="12" t="str">
        <x:v>Corporate</x:v>
      </x:c>
      <x:c r="G488" s="12" t="str">
        <x:v>West</x:v>
      </x:c>
      <x:c r="H488" s="12" t="str">
        <x:v>Goa</x:v>
      </x:c>
      <x:c r="I488" s="12" t="str">
        <x:v>Panaji</x:v>
      </x:c>
      <x:c r="J488" s="12" t="str">
        <x:v>Furniture</x:v>
      </x:c>
      <x:c r="K488" s="12" t="str">
        <x:v>Tables</x:v>
      </x:c>
      <x:c r="L488" s="12" t="str">
        <x:v>Pro Tables 257</x:v>
      </x:c>
      <x:c r="M488" s="12" t="str">
        <x:v>Standard Class</x:v>
      </x:c>
      <x:c r="N488" s="12" t="n">
        <x:v>3</x:v>
      </x:c>
      <x:c r="O488" s="12" t="n">
        <x:v>1946.18</x:v>
      </x:c>
      <x:c r="P488" s="12" t="n">
        <x:v>0.2</x:v>
      </x:c>
      <x:c r="Q488" s="12" t="n">
        <x:v>4670.83</x:v>
      </x:c>
      <x:c r="R488" s="12" t="n">
        <x:v>3166.49</x:v>
      </x:c>
      <x:c r="S488" s="12" t="n">
        <x:v>1504.34</x:v>
      </x:c>
      <x:c r="T488" s="12" t="str">
        <x:v>Paid</x:v>
      </x:c>
      <x:c r="U488" s="12" t="str">
        <x:v>Completed</x:v>
      </x:c>
    </x:row>
    <x:row r="489">
      <x:c r="A489" s="12" t="str">
        <x:v>ORD-2025-10488</x:v>
      </x:c>
      <x:c r="B489" s="12" t="str">
        <x:v>10 Jun 2025</x:v>
      </x:c>
      <x:c r="C489" s="12" t="str">
        <x:v>06/17/2025</x:v>
      </x:c>
      <x:c r="D489" s="12" t="str">
        <x:v>CUST-7685</x:v>
      </x:c>
      <x:c r="E489" s="12" t="str">
        <x:v>Rahul Verma</x:v>
      </x:c>
      <x:c r="F489" s="12" t="str">
        <x:v>Corporate</x:v>
      </x:c>
      <x:c r="G489" s="12" t="str">
        <x:v>South</x:v>
      </x:c>
      <x:c r="H489" s="12" t="str">
        <x:v>Telangana</x:v>
      </x:c>
      <x:c r="I489" s="12" t="str">
        <x:v>Hyderabad</x:v>
      </x:c>
      <x:c r="J489" s="12" t="str">
        <x:v>Furniture</x:v>
      </x:c>
      <x:c r="K489" s="12" t="str">
        <x:v>Furnishings</x:v>
      </x:c>
      <x:c r="L489" s="12" t="str">
        <x:v>Prime Furnishings 299</x:v>
      </x:c>
      <x:c r="M489" s="12" t="str">
        <x:v>Standard Class</x:v>
      </x:c>
      <x:c r="N489" s="12" t="n">
        <x:v>5</x:v>
      </x:c>
      <x:c r="O489" s="12" t="n">
        <x:v>1231.1</x:v>
      </x:c>
      <x:c r="P489" s="12" t="n">
        <x:v>0</x:v>
      </x:c>
      <x:c r="Q489" s="12" t="n">
        <x:v>6155.5</x:v>
      </x:c>
      <x:c r="R489" s="12" t="n">
        <x:v>4282.09</x:v>
      </x:c>
      <x:c r="S489" s="12" t="n">
        <x:v>1873.41</x:v>
      </x:c>
      <x:c r="T489" s="12" t="str">
        <x:v>Refunded</x:v>
      </x:c>
      <x:c r="U489" s="12" t="str">
        <x:v>Returned</x:v>
      </x:c>
    </x:row>
    <x:row r="490">
      <x:c r="A490" s="12" t="str">
        <x:v>ORD-2024-10489</x:v>
      </x:c>
      <x:c r="B490" s="12" t="str">
        <x:v>14 Oct 2024</x:v>
      </x:c>
      <x:c r="C490" s="12" t="str">
        <x:v>2024-10-20</x:v>
      </x:c>
      <x:c r="D490" s="12" t="str">
        <x:v>CUST-2183</x:v>
      </x:c>
      <x:c r="E490" s="12" t="str">
        <x:v>Aditi Sen</x:v>
      </x:c>
      <x:c r="F490" s="12" t="str">
        <x:v>Small Business</x:v>
      </x:c>
      <x:c r="G490" s="12" t="str">
        <x:v>North </x:v>
      </x:c>
      <x:c r="H490" s="12" t="str">
        <x:v>Rajasthan</x:v>
      </x:c>
      <x:c r="I490" s="12" t="str">
        <x:v>Jaipur</x:v>
      </x:c>
      <x:c r="J490" s="12" t="str">
        <x:v>Furniture</x:v>
      </x:c>
      <x:c r="K490" s="12" t="str">
        <x:v>Tables</x:v>
      </x:c>
      <x:c r="L490" s="12" t="str">
        <x:v>Eco Tables 487</x:v>
      </x:c>
      <x:c r="M490" s="12" t="str">
        <x:v>Same Day</x:v>
      </x:c>
      <x:c r="N490" s="12" t="n">
        <x:v>7</x:v>
      </x:c>
      <x:c r="O490" s="12" t="n">
        <x:v>1547.6</x:v>
      </x:c>
      <x:c r="P490" s="12" t="n">
        <x:v>0.2</x:v>
      </x:c>
      <x:c r="Q490" s="12" t="n">
        <x:v>8666.56</x:v>
      </x:c>
      <x:c r="R490" s="12" t="n">
        <x:v>5967.44</x:v>
      </x:c>
      <x:c r="S490" s="12" t="n">
        <x:v>2699.12</x:v>
      </x:c>
      <x:c r="T490" s="12" t="str">
        <x:v>Paid</x:v>
      </x:c>
      <x:c r="U490" s="12" t="str">
        <x:v>Completed</x:v>
      </x:c>
    </x:row>
    <x:row r="491">
      <x:c r="A491" s="12" t="str">
        <x:v>ORD-2024-10490</x:v>
      </x:c>
      <x:c r="B491" s="12" t="str">
        <x:v>2024-02-07</x:v>
      </x:c>
      <x:c r="C491" s="12" t="str">
        <x:v>2024-02-12</x:v>
      </x:c>
      <x:c r="D491" s="12" t="str">
        <x:v>CUST-1636</x:v>
      </x:c>
      <x:c r="E491" s="12" t="str">
        <x:v>Arjun Bose</x:v>
      </x:c>
      <x:c r="F491" s="12" t="str">
        <x:v>Home Office</x:v>
      </x:c>
      <x:c r="G491" s="12" t="str">
        <x:v>East</x:v>
      </x:c>
      <x:c r="H491" s="12" t="str">
        <x:v>West Bengal</x:v>
      </x:c>
      <x:c r="I491" s="12" t="str">
        <x:v>Kolkata</x:v>
      </x:c>
      <x:c r="J491" s="12" t="str">
        <x:v>Technology</x:v>
      </x:c>
      <x:c r="K491" s="12" t="str">
        <x:v>Accessories</x:v>
      </x:c>
      <x:c r="L491" s="12" t="str">
        <x:v>Prime Accessories 960</x:v>
      </x:c>
      <x:c r="M491" s="12" t="str">
        <x:v>Second Class</x:v>
      </x:c>
      <x:c r="N491" s="12" t="n">
        <x:v>1</x:v>
      </x:c>
      <x:c r="O491" s="12" t="n">
        <x:v>452.19</x:v>
      </x:c>
      <x:c r="P491" s="12" t="n">
        <x:v>0.2</x:v>
      </x:c>
      <x:c r="Q491" s="12" t="n">
        <x:v>361.75</x:v>
      </x:c>
      <x:c r="R491" s="12" t="n">
        <x:v>262.53</x:v>
      </x:c>
      <x:c r="S491" s="12" t="n">
        <x:v>99.22</x:v>
      </x:c>
      <x:c r="T491" s="12" t="str">
        <x:v>Paid</x:v>
      </x:c>
      <x:c r="U491" s="12" t="str">
        <x:v>Completed</x:v>
      </x:c>
    </x:row>
    <x:row r="492">
      <x:c r="A492" s="12" t="str">
        <x:v>ORD-2024-10491</x:v>
      </x:c>
      <x:c r="B492" s="12" t="str">
        <x:v>2024-09-16</x:v>
      </x:c>
      <x:c r="C492" s="12" t="str">
        <x:v>09/19/2024</x:v>
      </x:c>
      <x:c r="D492" s="12" t="str">
        <x:v>CUST-1350</x:v>
      </x:c>
      <x:c r="E492" s="12" t="str">
        <x:v>Aditi Sen</x:v>
      </x:c>
      <x:c r="F492" s="12" t="str">
        <x:v>Consumer</x:v>
      </x:c>
      <x:c r="G492" s="12" t="str">
        <x:v>West</x:v>
      </x:c>
      <x:c r="H492" s="12" t="str">
        <x:v>Rajasthan</x:v>
      </x:c>
      <x:c r="I492" s="12" t="str">
        <x:v>Udaipur</x:v>
      </x:c>
      <x:c r="J492" s="12" t="str">
        <x:v>Office Supplies</x:v>
      </x:c>
      <x:c r="K492" s="12" t="str">
        <x:v>Binders</x:v>
      </x:c>
      <x:c r="L492" s="12" t="str">
        <x:v>Smart Binders 191</x:v>
      </x:c>
      <x:c r="M492" s="12" t="str">
        <x:v>First Class</x:v>
      </x:c>
      <x:c r="N492" s="12" t="n">
        <x:v>7</x:v>
      </x:c>
      <x:c r="O492" s="12" t="n">
        <x:v>406.42</x:v>
      </x:c>
      <x:c r="P492" s="12" t="n">
        <x:v>0.15</x:v>
      </x:c>
      <x:c r="Q492" s="12" t="n">
        <x:v>2418.2</x:v>
      </x:c>
      <x:c r="R492" s="12" t="n">
        <x:v>1613.82</x:v>
      </x:c>
      <x:c r="S492" s="12" t="n">
        <x:v>804.38</x:v>
      </x:c>
      <x:c r="T492" s="12" t="str">
        <x:v>Paid</x:v>
      </x:c>
      <x:c r="U492" s="12" t="str">
        <x:v>Completed</x:v>
      </x:c>
    </x:row>
    <x:row r="493">
      <x:c r="A493" s="12" t="str">
        <x:v>ORD-2025-10492</x:v>
      </x:c>
      <x:c r="B493" s="12" t="str">
        <x:v>2025-04-29</x:v>
      </x:c>
      <x:c r="C493" s="12" t="str">
        <x:v>30-04-2025</x:v>
      </x:c>
      <x:c r="D493" s="12" t="str">
        <x:v>CUST-4101</x:v>
      </x:c>
      <x:c r="E493" s="12" t="str">
        <x:v>Mira Das</x:v>
      </x:c>
      <x:c r="F493" s="12" t="str">
        <x:v>Corporate</x:v>
      </x:c>
      <x:c r="G493" s="12" t="str">
        <x:v>South</x:v>
      </x:c>
      <x:c r="H493" s="12" t="str">
        <x:v>Kerala</x:v>
      </x:c>
      <x:c r="I493" s="12" t="str">
        <x:v>Kochi</x:v>
      </x:c>
      <x:c r="J493" s="12" t="str">
        <x:v>Technology</x:v>
      </x:c>
      <x:c r="K493" s="12" t="str">
        <x:v>Accessories</x:v>
      </x:c>
      <x:c r="L493" s="12" t="str">
        <x:v>Prime Accessories 118</x:v>
      </x:c>
      <x:c r="M493" s="12" t="str">
        <x:v>Standard Class</x:v>
      </x:c>
      <x:c r="N493" s="12" t="n">
        <x:v>4</x:v>
      </x:c>
      <x:c r="O493" s="12" t="n">
        <x:v>606.58</x:v>
      </x:c>
      <x:c r="P493" s="12" t="n">
        <x:v>0.2</x:v>
      </x:c>
      <x:c r="Q493" s="12" t="n">
        <x:v>1941.06</x:v>
      </x:c>
      <x:c r="R493" s="12" t="n">
        <x:v>1207.42</x:v>
      </x:c>
      <x:c r="S493" s="12" t="n">
        <x:v>733.64</x:v>
      </x:c>
      <x:c r="T493" s="12" t="str">
        <x:v>Paid</x:v>
      </x:c>
      <x:c r="U493" s="12" t="str">
        <x:v>Completed</x:v>
      </x:c>
    </x:row>
    <x:row r="494">
      <x:c r="A494" s="12" t="str">
        <x:v>ORD-2025-10493</x:v>
      </x:c>
      <x:c r="B494" s="12" t="str">
        <x:v>28-06-2025</x:v>
      </x:c>
      <x:c r="C494" s="12" t="str">
        <x:v>07/02/2025</x:v>
      </x:c>
      <x:c r="D494" s="12" t="str">
        <x:v>CUST-4679</x:v>
      </x:c>
      <x:c r="E494" s="12" t="str">
        <x:v>Ananya Rao</x:v>
      </x:c>
      <x:c r="F494" s="12" t="str">
        <x:v>Corporate</x:v>
      </x:c>
      <x:c r="G494" s="12" t="str">
        <x:v>South</x:v>
      </x:c>
      <x:c r="H494" s="12" t="str">
        <x:v>Andhra Pradesh</x:v>
      </x:c>
      <x:c r="I494" s="12" t="str">
        <x:v>Vijayawada</x:v>
      </x:c>
      <x:c r="J494" s="12" t="str">
        <x:v>Office Supplies</x:v>
      </x:c>
      <x:c r="K494" s="12" t="str">
        <x:v>Storage</x:v>
      </x:c>
      <x:c r="L494" s="12" t="str">
        <x:v>Elite Storage 331</x:v>
      </x:c>
      <x:c r="M494" s="12" t="str">
        <x:v>Second Class</x:v>
      </x:c>
      <x:c r="N494" s="12" t="n">
        <x:v>2</x:v>
      </x:c>
      <x:c r="O494" s="12" t="n">
        <x:v>2725.44</x:v>
      </x:c>
      <x:c r="P494" s="12" t="n">
        <x:v>0.25</x:v>
      </x:c>
      <x:c r="Q494" s="12" t="n">
        <x:v>4088.16</x:v>
      </x:c>
      <x:c r="R494" s="12" t="n">
        <x:v>3205.68</x:v>
      </x:c>
      <x:c r="S494" s="12" t="n">
        <x:v>882.48</x:v>
      </x:c>
      <x:c r="T494" s="12" t="str">
        <x:v>Paid</x:v>
      </x:c>
      <x:c r="U494" s="12" t="str">
        <x:v>Completed</x:v>
      </x:c>
    </x:row>
    <x:row r="495">
      <x:c r="A495" s="12" t="str">
        <x:v>ORD-2025-10494</x:v>
      </x:c>
      <x:c r="B495" s="12" t="str">
        <x:v>13 Feb 2025</x:v>
      </x:c>
      <x:c r="C495" s="12" t="str">
        <x:v>2025-02-13</x:v>
      </x:c>
      <x:c r="D495" s="12" t="str">
        <x:v>CUST-3765</x:v>
      </x:c>
      <x:c r="E495" s="12" t="str">
        <x:v>Kabir Singh</x:v>
      </x:c>
      <x:c r="F495" s="12" t="str">
        <x:v>Corporate</x:v>
      </x:c>
      <x:c r="G495" s="12" t="str">
        <x:v>East</x:v>
      </x:c>
      <x:c r="H495" s="12" t="str">
        <x:v>Odisha</x:v>
      </x:c>
      <x:c r="I495" s="12" t="str">
        <x:v>Bhubaneswar</x:v>
      </x:c>
      <x:c r="J495" s="12" t="str">
        <x:v>Office Supplies</x:v>
      </x:c>
      <x:c r="K495" s="12" t="str">
        <x:v>Paper</x:v>
      </x:c>
      <x:c r="L495" s="12" t="str">
        <x:v>Prime Paper 996</x:v>
      </x:c>
      <x:c r="M495" s="12" t="str">
        <x:v>Second Class</x:v>
      </x:c>
      <x:c r="N495" s="12" t="n">
        <x:v>7</x:v>
      </x:c>
      <x:c r="O495" s="12" t="n">
        <x:v>2296.7</x:v>
      </x:c>
      <x:c r="P495" s="12" t="n">
        <x:v>0.05</x:v>
      </x:c>
      <x:c r="Q495" s="12" t="n">
        <x:v>15273.05</x:v>
      </x:c>
      <x:c r="R495" s="12" t="n">
        <x:v>11088.76</x:v>
      </x:c>
      <x:c r="S495" s="12" t="n">
        <x:v>4184.29</x:v>
      </x:c>
      <x:c r="T495" s="12" t="str">
        <x:v>Paid</x:v>
      </x:c>
      <x:c r="U495" s="12" t="str">
        <x:v>COMPLETED</x:v>
      </x:c>
    </x:row>
    <x:row r="496">
      <x:c r="A496" s="12" t="str">
        <x:v>ORD-2024-10495</x:v>
      </x:c>
      <x:c r="B496" s="12" t="str">
        <x:v>2024-11-14</x:v>
      </x:c>
      <x:c r="C496" s="12" t="str">
        <x:v>2024-11-22</x:v>
      </x:c>
      <x:c r="D496" s="12" t="str">
        <x:v>CUST-9056</x:v>
      </x:c>
      <x:c r="E496" s="12" t="str">
        <x:v>Isha Nair</x:v>
      </x:c>
      <x:c r="F496" s="12" t="str">
        <x:v>Consumer</x:v>
      </x:c>
      <x:c r="G496" s="12" t="str">
        <x:v>West</x:v>
      </x:c>
      <x:c r="H496" s="12" t="str">
        <x:v>Madhya Pradesh</x:v>
      </x:c>
      <x:c r="I496" s="12" t="str">
        <x:v>Indore</x:v>
      </x:c>
      <x:c r="J496" s="12" t="str">
        <x:v>Technology</x:v>
      </x:c>
      <x:c r="K496" s="12" t="str">
        <x:v>Phones</x:v>
      </x:c>
      <x:c r="L496" s="12" t="str">
        <x:v>Smart Phones 125</x:v>
      </x:c>
      <x:c r="M496" s="12" t="str">
        <x:v>Standard Class</x:v>
      </x:c>
      <x:c r="N496" s="12" t="n">
        <x:v>3</x:v>
      </x:c>
      <x:c r="O496" s="12" t="n">
        <x:v>671.68</x:v>
      </x:c>
      <x:c r="P496" s="12" t="n">
        <x:v>-0.13</x:v>
      </x:c>
      <x:c r="Q496" s="12" t="n">
        <x:v>1712.78</x:v>
      </x:c>
      <x:c r="R496" s="12" t="n">
        <x:v>1569.38</x:v>
      </x:c>
      <x:c r="S496" s="12" t="n">
        <x:v>360.66</x:v>
      </x:c>
      <x:c r="T496" s="12" t="str">
        <x:v>Failed</x:v>
      </x:c>
      <x:c r="U496" s="12" t="str">
        <x:v>Cancelled</x:v>
      </x:c>
    </x:row>
    <x:row r="497">
      <x:c r="A497" s="12" t="str">
        <x:v>ORD-2024-10496</x:v>
      </x:c>
      <x:c r="B497" s="12" t="str">
        <x:v>05/09/2024</x:v>
      </x:c>
      <x:c r="C497" s="12" t="str">
        <x:v>05/15/2024</x:v>
      </x:c>
      <x:c r="D497" s="12" t="str">
        <x:v>CUST-9801</x:v>
      </x:c>
      <x:c r="E497" s="12" t="str">
        <x:v>Mira Das</x:v>
      </x:c>
      <x:c r="F497" s="12" t="str">
        <x:v>Small Business</x:v>
      </x:c>
      <x:c r="G497" s="12" t="str">
        <x:v>East</x:v>
      </x:c>
      <x:c r="H497" s="12" t="str">
        <x:v>Assam</x:v>
      </x:c>
      <x:c r="I497" s="12" t="str">
        <x:v>Guwahati</x:v>
      </x:c>
      <x:c r="J497" s="12" t="str">
        <x:v>Technology</x:v>
      </x:c>
      <x:c r="K497" s="12" t="str">
        <x:v>Phones</x:v>
      </x:c>
      <x:c r="L497" s="12" t="str">
        <x:v>Eco Phones 220</x:v>
      </x:c>
      <x:c r="M497" s="12" t="str">
        <x:v>Second Class</x:v>
      </x:c>
      <x:c r="N497" s="12" t="n">
        <x:v>4</x:v>
      </x:c>
      <x:c r="O497" s="12" t="n">
        <x:v>995.98</x:v>
      </x:c>
      <x:c r="P497" s="12" t="n">
        <x:v>0.05</x:v>
      </x:c>
      <x:c r="Q497" s="12" t="n">
        <x:v>3784.72</x:v>
      </x:c>
      <x:c r="R497" s="12" t="n">
        <x:v>2419.24</x:v>
      </x:c>
      <x:c r="S497" s="12" t="n">
        <x:v>1365.48</x:v>
      </x:c>
      <x:c r="T497" s="12" t="str">
        <x:v>Refunded</x:v>
      </x:c>
      <x:c r="U497" s="12" t="str">
        <x:v>Returned</x:v>
      </x:c>
    </x:row>
    <x:row r="498">
      <x:c r="A498" s="12" t="str">
        <x:v>ORD-2025-10497</x:v>
      </x:c>
      <x:c r="B498" s="12" t="str">
        <x:v>2025-07-04</x:v>
      </x:c>
      <x:c r="C498" s="12" t="str">
        <x:v>2025-07-06</x:v>
      </x:c>
      <x:c r="D498" s="12" t="str">
        <x:v>CUST-2038</x:v>
      </x:c>
      <x:c r="E498" s="12" t="str">
        <x:v>Kabir Singh</x:v>
      </x:c>
      <x:c r="F498" s="12" t="str">
        <x:v>Small Business</x:v>
      </x:c>
      <x:c r="G498" s="12" t="str">
        <x:v>East</x:v>
      </x:c>
      <x:c r="H498" s="12" t="str">
        <x:v>Jharkhand</x:v>
      </x:c>
      <x:c r="I498" s="12" t="str">
        <x:v>Ranchi</x:v>
      </x:c>
      <x:c r="J498" s="12" t="str">
        <x:v>Furniture</x:v>
      </x:c>
      <x:c r="K498" s="12" t="str">
        <x:v>Chairs</x:v>
      </x:c>
      <x:c r="L498" s="12" t="str">
        <x:v>Eco Chairs 795</x:v>
      </x:c>
      <x:c r="M498" s="12" t="str">
        <x:v>Second Class</x:v>
      </x:c>
      <x:c r="N498" s="12" t="n">
        <x:v>2</x:v>
      </x:c>
      <x:c r="O498" s="12" t="n">
        <x:v>3686.42</x:v>
      </x:c>
      <x:c r="P498" s="12" t="n">
        <x:v>0.1</x:v>
      </x:c>
      <x:c r="Q498" s="12" t="n">
        <x:v>6635.56</x:v>
      </x:c>
      <x:c r="R498" s="12" t="n">
        <x:v>3652.91</x:v>
      </x:c>
      <x:c r="S498" s="12" t="n">
        <x:v>2982.65</x:v>
      </x:c>
      <x:c r="T498" s="12" t="str">
        <x:v>Paid</x:v>
      </x:c>
      <x:c r="U498" s="12" t="str">
        <x:v>Completed</x:v>
      </x:c>
    </x:row>
    <x:row r="499">
      <x:c r="A499" s="12" t="str">
        <x:v>ORD-2024-10498</x:v>
      </x:c>
      <x:c r="B499" s="12" t="str">
        <x:v>29 Aug 2024</x:v>
      </x:c>
      <x:c r="C499" s="12" t="str">
        <x:v>29 Aug 2024</x:v>
      </x:c>
      <x:c r="D499" s="12" t="str">
        <x:v>CUST-1567</x:v>
      </x:c>
      <x:c r="E499" s="12" t="str">
        <x:v>Sneha Kapoor</x:v>
      </x:c>
      <x:c r="F499" s="12" t="str">
        <x:v>Small Business</x:v>
      </x:c>
      <x:c r="G499" s="12" t="str">
        <x:v>NORTH</x:v>
      </x:c>
      <x:c r="H499" s="12" t="str">
        <x:v>Uttar Pradesh</x:v>
      </x:c>
      <x:c r="I499" s="12" t="str">
        <x:v>Noida</x:v>
      </x:c>
      <x:c r="J499" s="12" t="str">
        <x:v>Technology</x:v>
      </x:c>
      <x:c r="K499" s="12" t="str">
        <x:v>Accessories</x:v>
      </x:c>
      <x:c r="L499" s="12" t="str">
        <x:v>Smart Accessories 896</x:v>
      </x:c>
      <x:c r="M499" s="12" t="str">
        <x:v>Second Class</x:v>
      </x:c>
      <x:c r="N499" s="12" t="n">
        <x:v>1</x:v>
      </x:c>
      <x:c r="O499" s="12" t="n">
        <x:v>3106.88</x:v>
      </x:c>
      <x:c r="P499" s="12" t="n">
        <x:v>0.2</x:v>
      </x:c>
      <x:c r="Q499" s="12" t="n">
        <x:v>2485.5</x:v>
      </x:c>
      <x:c r="R499" s="12" t="n">
        <x:v>2028.43</x:v>
      </x:c>
      <x:c r="S499" s="12" t="n">
        <x:v>457.07</x:v>
      </x:c>
      <x:c r="T499" s="12" t="str">
        <x:v>Paid</x:v>
      </x:c>
      <x:c r="U499" s="12" t="str">
        <x:v>Cancelled</x:v>
      </x:c>
    </x:row>
    <x:row r="500">
      <x:c r="A500" s="12" t="str">
        <x:v>ORD-2025-10499</x:v>
      </x:c>
      <x:c r="B500" s="12" t="str">
        <x:v>2025-09-07</x:v>
      </x:c>
      <x:c r="C500" s="12" t="str">
        <x:v>10 Sep 2025</x:v>
      </x:c>
      <x:c r="D500" s="12" t="str">
        <x:v>CUST-1190</x:v>
      </x:c>
      <x:c r="E500" s="12" t="str">
        <x:v>Karan Malhotra</x:v>
      </x:c>
      <x:c r="F500" s="12" t="str">
        <x:v>Consumer</x:v>
      </x:c>
      <x:c r="G500" s="12" t="str">
        <x:v>North</x:v>
      </x:c>
      <x:c r="H500" s="12" t="str">
        <x:v>Punjab</x:v>
      </x:c>
      <x:c r="I500" s="12" t="str">
        <x:v>Ludhiana</x:v>
      </x:c>
      <x:c r="J500" s="12" t="str">
        <x:v>Furniture</x:v>
      </x:c>
      <x:c r="K500" s="12" t="str">
        <x:v>Chairs</x:v>
      </x:c>
      <x:c r="L500" s="12" t="str">
        <x:v>Basic Chairs 255</x:v>
      </x:c>
      <x:c r="M500" s="12" t="str">
        <x:v>Same Day</x:v>
      </x:c>
      <x:c r="N500" s="12" t="n">
        <x:v>2</x:v>
      </x:c>
      <x:c r="O500" s="12" t="n">
        <x:v>447.55</x:v>
      </x:c>
      <x:c r="P500" s="12" t="n">
        <x:v>0.05</x:v>
      </x:c>
      <x:c r="Q500" s="12" t="n">
        <x:v>850.35</x:v>
      </x:c>
      <x:c r="R500" s="12" t="n">
        <x:v>600.98</x:v>
      </x:c>
      <x:c r="S500" s="12" t="n">
        <x:v>249.37</x:v>
      </x:c>
      <x:c r="T500" s="12" t="str">
        <x:v>Refunded</x:v>
      </x:c>
      <x:c r="U500" s="12" t="str">
        <x:v>cancelled</x:v>
      </x:c>
    </x:row>
    <x:row r="501">
      <x:c r="A501" s="12" t="str">
        <x:v>ORD-2024-10500</x:v>
      </x:c>
      <x:c r="B501" s="12" t="str">
        <x:v>2024-12-22</x:v>
      </x:c>
      <x:c r="C501" s="12" t="str">
        <x:v>26-12-2024</x:v>
      </x:c>
      <x:c r="D501" s="12" t="str">
        <x:v>CUST-5604</x:v>
      </x:c>
      <x:c r="E501" s="12" t="str">
        <x:v>Rahul Verma</x:v>
      </x:c>
      <x:c r="F501" s="12" t="str">
        <x:v>Home Office</x:v>
      </x:c>
      <x:c r="G501" s="12" t="str">
        <x:v>North</x:v>
      </x:c>
      <x:c r="H501" s="12" t="str">
        <x:v>Uttar Pradesh</x:v>
      </x:c>
      <x:c r="I501" s="12" t="str">
        <x:v>Noida</x:v>
      </x:c>
      <x:c r="J501" s="12" t="str">
        <x:v>Furniture</x:v>
      </x:c>
      <x:c r="K501" s="12" t="str">
        <x:v>Chairs</x:v>
      </x:c>
      <x:c r="L501" s="12" t="str">
        <x:v>Eco Chairs 210</x:v>
      </x:c>
      <x:c r="M501" s="12" t="str">
        <x:v>Standard Class</x:v>
      </x:c>
      <x:c r="N501" s="12" t="n">
        <x:v>9</x:v>
      </x:c>
      <x:c r="O501" s="12" t="n">
        <x:v>1110.87</x:v>
      </x:c>
      <x:c r="P501" s="12"/>
      <x:c r="Q501" s="12" t="n">
        <x:v>7498.37</x:v>
      </x:c>
      <x:c r="R501" s="12" t="n">
        <x:v>6059.07</x:v>
      </x:c>
      <x:c r="S501" s="12" t="n">
        <x:v>1439.3</x:v>
      </x:c>
      <x:c r="T501" s="12" t="str">
        <x:v>Paid</x:v>
      </x:c>
      <x:c r="U501" s="12" t="str">
        <x:v>Cancelled</x:v>
      </x:c>
    </x:row>
    <x:row r="502">
      <x:c r="A502" s="12" t="str">
        <x:v>ORD-2024-10501</x:v>
      </x:c>
      <x:c r="B502" s="12" t="str">
        <x:v>05/17/2024</x:v>
      </x:c>
      <x:c r="C502" s="12" t="str">
        <x:v>05/22/2024</x:v>
      </x:c>
      <x:c r="D502" s="12" t="str">
        <x:v>CUST-7661</x:v>
      </x:c>
      <x:c r="E502" s="12" t="str">
        <x:v>Sneha Kapoor</x:v>
      </x:c>
      <x:c r="F502" s="12" t="str">
        <x:v>Consumer</x:v>
      </x:c>
      <x:c r="G502" s="12" t="str">
        <x:v>South</x:v>
      </x:c>
      <x:c r="H502" s="12" t="str">
        <x:v>Kerala</x:v>
      </x:c>
      <x:c r="I502" s="12" t="str">
        <x:v>Kochi</x:v>
      </x:c>
      <x:c r="J502" s="12" t="str">
        <x:v>Technology</x:v>
      </x:c>
      <x:c r="K502" s="12" t="str">
        <x:v>Phones</x:v>
      </x:c>
      <x:c r="L502" s="12" t="str">
        <x:v>Prime Phones 533</x:v>
      </x:c>
      <x:c r="M502" s="12" t="str">
        <x:v>Same Day</x:v>
      </x:c>
      <x:c r="N502" s="12" t="n">
        <x:v>9</x:v>
      </x:c>
      <x:c r="O502" s="12" t="n">
        <x:v>3795.99</x:v>
      </x:c>
      <x:c r="P502" s="12" t="str">
        <x:v>85%</x:v>
      </x:c>
      <x:c r="Q502" s="12" t="n">
        <x:v>34163.91</x:v>
      </x:c>
      <x:c r="R502" s="12" t="n">
        <x:v>28577.15</x:v>
      </x:c>
      <x:c r="S502" s="12" t="n">
        <x:v>5586.76</x:v>
      </x:c>
      <x:c r="T502" s="12" t="str">
        <x:v>Paid</x:v>
      </x:c>
      <x:c r="U502" s="12" t="str">
        <x:v>Completed</x:v>
      </x:c>
    </x:row>
    <x:row r="503">
      <x:c r="A503" s="12" t="str">
        <x:v>ORD-2024-10502</x:v>
      </x:c>
      <x:c r="B503" s="12" t="str">
        <x:v>11 Aug 2024</x:v>
      </x:c>
      <x:c r="C503" s="12" t="str">
        <x:v>08/17/2024</x:v>
      </x:c>
      <x:c r="D503" s="12" t="str">
        <x:v>CUST-3710</x:v>
      </x:c>
      <x:c r="E503" s="12" t="str">
        <x:v>Neha Gupta</x:v>
      </x:c>
      <x:c r="F503" s="12" t="str">
        <x:v>Consumer</x:v>
      </x:c>
      <x:c r="G503" s="12" t="str">
        <x:v>East</x:v>
      </x:c>
      <x:c r="H503" s="12" t="str">
        <x:v>Jharkhand</x:v>
      </x:c>
      <x:c r="I503" s="12" t="str">
        <x:v>Ranchi</x:v>
      </x:c>
      <x:c r="J503" s="12" t="str">
        <x:v>Office Supplies</x:v>
      </x:c>
      <x:c r="K503" s="12" t="str">
        <x:v>Art</x:v>
      </x:c>
      <x:c r="L503" s="12" t="str">
        <x:v>Elite Art 325</x:v>
      </x:c>
      <x:c r="M503" s="12" t="str">
        <x:v>Second Class</x:v>
      </x:c>
      <x:c r="N503" s="12" t="n">
        <x:v>6</x:v>
      </x:c>
      <x:c r="O503" s="12" t="n">
        <x:v>3497.54</x:v>
      </x:c>
      <x:c r="P503" s="12" t="n">
        <x:v>0.15</x:v>
      </x:c>
      <x:c r="Q503" s="12" t="n">
        <x:v>17837.45</x:v>
      </x:c>
      <x:c r="R503" s="12" t="n">
        <x:v>13627.02</x:v>
      </x:c>
      <x:c r="S503" s="12" t="n">
        <x:v>4210.43</x:v>
      </x:c>
      <x:c r="T503" s="12" t="str">
        <x:v>Paid</x:v>
      </x:c>
      <x:c r="U503" s="12" t="str">
        <x:v>Completed</x:v>
      </x:c>
    </x:row>
    <x:row r="504">
      <x:c r="A504" s="12" t="str">
        <x:v>ORD-2024-10503</x:v>
      </x:c>
      <x:c r="B504" s="12" t="str">
        <x:v>04/01/2024</x:v>
      </x:c>
      <x:c r="C504" s="12" t="str">
        <x:v>2024-04-09</x:v>
      </x:c>
      <x:c r="D504" s="12" t="str">
        <x:v>CUST-1534</x:v>
      </x:c>
      <x:c r="E504" s="12" t="str">
        <x:v>Priya Menon</x:v>
      </x:c>
      <x:c r="F504" s="12" t="str">
        <x:v>Small Business</x:v>
      </x:c>
      <x:c r="G504" s="12" t="str">
        <x:v>  East </x:v>
      </x:c>
      <x:c r="H504" s="12" t="str">
        <x:v>Odisha</x:v>
      </x:c>
      <x:c r="I504" s="12" t="str">
        <x:v>Bhubaneswar</x:v>
      </x:c>
      <x:c r="J504" s="12" t="str">
        <x:v>Technology</x:v>
      </x:c>
      <x:c r="K504" s="12" t="str">
        <x:v>Copiers</x:v>
      </x:c>
      <x:c r="L504" s="12" t="str">
        <x:v>Prime Copiers 557</x:v>
      </x:c>
      <x:c r="M504" s="12" t="str">
        <x:v>Second Class</x:v>
      </x:c>
      <x:c r="N504" s="12" t="n">
        <x:v>6</x:v>
      </x:c>
      <x:c r="O504" s="12" t="n">
        <x:v>826.93</x:v>
      </x:c>
      <x:c r="P504" s="12" t="n">
        <x:v>0.1</x:v>
      </x:c>
      <x:c r="Q504" s="12" t="n">
        <x:v>4465.42</x:v>
      </x:c>
      <x:c r="R504" s="12" t="n">
        <x:v>3377.1</x:v>
      </x:c>
      <x:c r="S504" s="12" t="n">
        <x:v>1088.32</x:v>
      </x:c>
      <x:c r="T504" s="12" t="str">
        <x:v>Paid</x:v>
      </x:c>
      <x:c r="U504" s="12" t="str">
        <x:v>Completed</x:v>
      </x:c>
    </x:row>
    <x:row r="505">
      <x:c r="A505" s="12" t="str">
        <x:v>ORD-2024-10504</x:v>
      </x:c>
      <x:c r="B505" s="12" t="str">
        <x:v>2024-09-28</x:v>
      </x:c>
      <x:c r="C505" s="12" t="str">
        <x:v>2024-10-05</x:v>
      </x:c>
      <x:c r="D505" s="12" t="str">
        <x:v>CUST-7422</x:v>
      </x:c>
      <x:c r="E505" s="12" t="str">
        <x:v>Aarav Sharma</x:v>
      </x:c>
      <x:c r="F505" s="12" t="str">
        <x:v>Consumer</x:v>
      </x:c>
      <x:c r="G505" s="12" t="str">
        <x:v>South</x:v>
      </x:c>
      <x:c r="H505" s="12" t="str">
        <x:v>Tamil Nadu</x:v>
      </x:c>
      <x:c r="I505" s="12" t="str">
        <x:v>Chennai</x:v>
      </x:c>
      <x:c r="J505" s="12" t="str">
        <x:v>Technology</x:v>
      </x:c>
      <x:c r="K505" s="12" t="str">
        <x:v>Phones</x:v>
      </x:c>
      <x:c r="L505" s="12" t="str">
        <x:v>Smart Phones 674</x:v>
      </x:c>
      <x:c r="M505" s="12" t="str">
        <x:v>Standard Class</x:v>
      </x:c>
      <x:c r="N505" s="12" t="n">
        <x:v>7</x:v>
      </x:c>
      <x:c r="O505" s="12" t="n">
        <x:v>1681.6</x:v>
      </x:c>
      <x:c r="P505" s="12" t="n">
        <x:v>0.1</x:v>
      </x:c>
      <x:c r="Q505" s="12" t="n">
        <x:v>10594.08</x:v>
      </x:c>
      <x:c r="R505" s="12" t="n">
        <x:v>7160.31</x:v>
      </x:c>
      <x:c r="S505" s="12" t="n">
        <x:v>3433.77</x:v>
      </x:c>
      <x:c r="T505" s="12" t="str">
        <x:v>Paid</x:v>
      </x:c>
      <x:c r="U505" s="12" t="str">
        <x:v>Completed</x:v>
      </x:c>
    </x:row>
    <x:row r="506">
      <x:c r="A506" s="12" t="str">
        <x:v>ORD-2025-10505</x:v>
      </x:c>
      <x:c r="B506" s="12" t="str">
        <x:v>2025-02-12</x:v>
      </x:c>
      <x:c r="C506" s="12" t="str">
        <x:v>2025-02-17</x:v>
      </x:c>
      <x:c r="D506" s="12" t="str">
        <x:v>CUST-9693</x:v>
      </x:c>
      <x:c r="E506" s="12" t="str">
        <x:v>Arjun Bose</x:v>
      </x:c>
      <x:c r="F506" s="12" t="str">
        <x:v>Corporate</x:v>
      </x:c>
      <x:c r="G506" s="12" t="str">
        <x:v>West</x:v>
      </x:c>
      <x:c r="H506" s="12" t="str">
        <x:v>Gujarat</x:v>
      </x:c>
      <x:c r="I506" s="12" t="str">
        <x:v>Ahmedabad</x:v>
      </x:c>
      <x:c r="J506" s="12" t="str">
        <x:v>Office Supplies</x:v>
      </x:c>
      <x:c r="K506" s="12" t="str">
        <x:v>Art</x:v>
      </x:c>
      <x:c r="L506" s="12" t="str">
        <x:v>Elite Art 553</x:v>
      </x:c>
      <x:c r="M506" s="12" t="str">
        <x:v>Standard Class</x:v>
      </x:c>
      <x:c r="N506" s="12" t="n">
        <x:v>4</x:v>
      </x:c>
      <x:c r="O506" s="12" t="n">
        <x:v>4328.12</x:v>
      </x:c>
      <x:c r="P506" s="12" t="n">
        <x:v>0</x:v>
      </x:c>
      <x:c r="Q506" s="12" t="n">
        <x:v>17312.48</x:v>
      </x:c>
      <x:c r="R506" s="12" t="n">
        <x:v>14424.22</x:v>
      </x:c>
      <x:c r="S506" s="12" t="n">
        <x:v>2888.26</x:v>
      </x:c>
      <x:c r="T506" s="12" t="str">
        <x:v>Paid</x:v>
      </x:c>
      <x:c r="U506" s="12" t="str">
        <x:v>Completed</x:v>
      </x:c>
    </x:row>
    <x:row r="507">
      <x:c r="A507" s="12" t="str">
        <x:v>ORD-2024-10506</x:v>
      </x:c>
      <x:c r="B507" s="12" t="str">
        <x:v>2024-11-09</x:v>
      </x:c>
      <x:c r="C507" s="12" t="str">
        <x:v>14 Nov 2024</x:v>
      </x:c>
      <x:c r="D507" s="12" t="str">
        <x:v>CUST-5458</x:v>
      </x:c>
      <x:c r="E507" s="12" t="str">
        <x:v>Neha Gupta</x:v>
      </x:c>
      <x:c r="F507" s="12" t="str">
        <x:v>Corporate</x:v>
      </x:c>
      <x:c r="G507" s="12" t="str">
        <x:v>West</x:v>
      </x:c>
      <x:c r="H507" s="12" t="str">
        <x:v>Madhya Pradesh</x:v>
      </x:c>
      <x:c r="I507" s="12" t="str">
        <x:v>Indore</x:v>
      </x:c>
      <x:c r="J507" s="12" t="str">
        <x:v>Office Supplies</x:v>
      </x:c>
      <x:c r="K507" s="12" t="str">
        <x:v>Art</x:v>
      </x:c>
      <x:c r="L507" s="12" t="str">
        <x:v>Classic Art 339</x:v>
      </x:c>
      <x:c r="M507" s="12" t="str">
        <x:v>First Class</x:v>
      </x:c>
      <x:c r="N507" s="12" t="n">
        <x:v>9</x:v>
      </x:c>
      <x:c r="O507" s="12" t="n">
        <x:v>2438.29</x:v>
      </x:c>
      <x:c r="P507" s="12" t="n">
        <x:v>0.2</x:v>
      </x:c>
      <x:c r="Q507" s="12" t="n">
        <x:v>17555.69</x:v>
      </x:c>
      <x:c r="R507" s="12" t="n">
        <x:v>13293.2</x:v>
      </x:c>
      <x:c r="S507" s="12" t="n">
        <x:v>4262.49</x:v>
      </x:c>
      <x:c r="T507" s="12" t="str">
        <x:v>Paid</x:v>
      </x:c>
      <x:c r="U507" s="12" t="str">
        <x:v>Cancelled</x:v>
      </x:c>
    </x:row>
    <x:row r="508">
      <x:c r="A508" s="12" t="str">
        <x:v>ORD-2024-10507</x:v>
      </x:c>
      <x:c r="B508" s="12" t="str">
        <x:v>15-12-2024</x:v>
      </x:c>
      <x:c r="C508" s="12" t="str">
        <x:v>2024-12-15</x:v>
      </x:c>
      <x:c r="D508" s="12" t="str">
        <x:v>CUST-3011</x:v>
      </x:c>
      <x:c r="E508" s="12" t="str">
        <x:v>Aarav Sharma</x:v>
      </x:c>
      <x:c r="F508" s="12" t="str">
        <x:v>Small Business</x:v>
      </x:c>
      <x:c r="G508" s="12" t="str">
        <x:v>North</x:v>
      </x:c>
      <x:c r="H508" s="12" t="str">
        <x:v>Punjab</x:v>
      </x:c>
      <x:c r="I508" s="12" t="str">
        <x:v>Ludhiana</x:v>
      </x:c>
      <x:c r="J508" s="12" t="str">
        <x:v>Furniture</x:v>
      </x:c>
      <x:c r="K508" s="12" t="str">
        <x:v>Furnishings</x:v>
      </x:c>
      <x:c r="L508" s="12" t="str">
        <x:v>Smart Furnishings 352</x:v>
      </x:c>
      <x:c r="M508" s="12" t="str">
        <x:v>First Class</x:v>
      </x:c>
      <x:c r="N508" s="12" t="n">
        <x:v>2</x:v>
      </x:c>
      <x:c r="O508" s="12" t="n">
        <x:v>669.8</x:v>
      </x:c>
      <x:c r="P508" s="12" t="n">
        <x:v>0.1</x:v>
      </x:c>
      <x:c r="Q508" s="12" t="n">
        <x:v>1205.64</x:v>
      </x:c>
      <x:c r="R508" s="12" t="n">
        <x:v>842.07</x:v>
      </x:c>
      <x:c r="S508" s="12" t="n">
        <x:v>363.57</x:v>
      </x:c>
      <x:c r="T508" s="12" t="str">
        <x:v>Refunded</x:v>
      </x:c>
      <x:c r="U508" s="12" t="str">
        <x:v>Returned</x:v>
      </x:c>
    </x:row>
    <x:row r="509">
      <x:c r="A509" s="12" t="str">
        <x:v>ORD-2025-10508</x:v>
      </x:c>
      <x:c r="B509" s="12" t="str">
        <x:v>2025-04-15</x:v>
      </x:c>
      <x:c r="C509" s="12" t="str">
        <x:v>2025-04-22</x:v>
      </x:c>
      <x:c r="D509" s="12" t="str">
        <x:v>CUST-1826</x:v>
      </x:c>
      <x:c r="E509" s="12" t="str">
        <x:v>Isha Nair</x:v>
      </x:c>
      <x:c r="F509" s="12" t="str">
        <x:v>Small Business</x:v>
      </x:c>
      <x:c r="G509" s="12" t="str">
        <x:v>North</x:v>
      </x:c>
      <x:c r="H509" s="12" t="str">
        <x:v>Haryana</x:v>
      </x:c>
      <x:c r="I509" s="12" t="str">
        <x:v>Gurugram</x:v>
      </x:c>
      <x:c r="J509" s="12" t="str">
        <x:v>Office Supplies</x:v>
      </x:c>
      <x:c r="K509" s="12" t="str">
        <x:v>Binders</x:v>
      </x:c>
      <x:c r="L509" s="12" t="str">
        <x:v>Classic Binders 602</x:v>
      </x:c>
      <x:c r="M509" s="12" t="str">
        <x:v>Same Day</x:v>
      </x:c>
      <x:c r="N509" s="12" t="n">
        <x:v>4</x:v>
      </x:c>
      <x:c r="O509" s="12" t="n">
        <x:v>2990.42</x:v>
      </x:c>
      <x:c r="P509" s="12" t="n">
        <x:v>0.25</x:v>
      </x:c>
      <x:c r="Q509" s="12" t="n">
        <x:v>8971.26</x:v>
      </x:c>
      <x:c r="R509" s="12" t="n">
        <x:v>6814.35</x:v>
      </x:c>
      <x:c r="S509" s="12" t="n">
        <x:v>2156.91</x:v>
      </x:c>
      <x:c r="T509" s="12" t="str">
        <x:v>Paid</x:v>
      </x:c>
      <x:c r="U509" s="12" t="str">
        <x:v>Completed</x:v>
      </x:c>
    </x:row>
    <x:row r="510">
      <x:c r="A510" s="12" t="str">
        <x:v>ORD-2024-10509</x:v>
      </x:c>
      <x:c r="B510" s="12" t="str">
        <x:v>31 Mar 2024</x:v>
      </x:c>
      <x:c r="C510" s="12" t="str">
        <x:v>07-04-2024</x:v>
      </x:c>
      <x:c r="D510" s="12" t="str">
        <x:v>CUST-3333</x:v>
      </x:c>
      <x:c r="E510" s="12" t="str">
        <x:v>Isha Nair</x:v>
      </x:c>
      <x:c r="F510" s="12" t="str">
        <x:v>Small Business</x:v>
      </x:c>
      <x:c r="G510" s="12" t="str">
        <x:v>North</x:v>
      </x:c>
      <x:c r="H510" s="12" t="str">
        <x:v>Haryana</x:v>
      </x:c>
      <x:c r="I510" s="12" t="str">
        <x:v>Gurugram</x:v>
      </x:c>
      <x:c r="J510" s="12" t="str">
        <x:v>Technology</x:v>
      </x:c>
      <x:c r="K510" s="12" t="str">
        <x:v>Machines</x:v>
      </x:c>
      <x:c r="L510" s="12" t="str">
        <x:v>Smart Machines 853</x:v>
      </x:c>
      <x:c r="M510" s="12" t="str">
        <x:v>Second Class</x:v>
      </x:c>
      <x:c r="N510" s="12" t="n">
        <x:v>4</x:v>
      </x:c>
      <x:c r="O510" s="12" t="n">
        <x:v>1831</x:v>
      </x:c>
      <x:c r="P510" s="12" t="n">
        <x:v>0</x:v>
      </x:c>
      <x:c r="Q510" s="12" t="n">
        <x:v>7324</x:v>
      </x:c>
      <x:c r="R510" s="12" t="n">
        <x:v>4179.63</x:v>
      </x:c>
      <x:c r="S510" s="12" t="n">
        <x:v>3144.37</x:v>
      </x:c>
      <x:c r="T510" s="12" t="str">
        <x:v>Paid</x:v>
      </x:c>
      <x:c r="U510" s="12" t="str">
        <x:v>Completed</x:v>
      </x:c>
    </x:row>
    <x:row r="511">
      <x:c r="A511" s="12" t="str">
        <x:v>ORD-2025-10510</x:v>
      </x:c>
      <x:c r="B511" s="12" t="str">
        <x:v>2025-05-12</x:v>
      </x:c>
      <x:c r="C511" s="12" t="str">
        <x:v>05/14/2025</x:v>
      </x:c>
      <x:c r="D511" s="12" t="str">
        <x:v>CUST-7901</x:v>
      </x:c>
      <x:c r="E511" s="12" t="str">
        <x:v>Neha Gupta</x:v>
      </x:c>
      <x:c r="F511" s="12" t="str">
        <x:v>Consumer</x:v>
      </x:c>
      <x:c r="G511" s="12" t="str">
        <x:v>West</x:v>
      </x:c>
      <x:c r="H511" s="12" t="str">
        <x:v>Gujarat</x:v>
      </x:c>
      <x:c r="I511" s="12" t="str">
        <x:v>Ahmedabad</x:v>
      </x:c>
      <x:c r="J511" s="12" t="str">
        <x:v>Technology</x:v>
      </x:c>
      <x:c r="K511" s="12" t="str">
        <x:v>Machines</x:v>
      </x:c>
      <x:c r="L511" s="12" t="str">
        <x:v>Classic Machines 599</x:v>
      </x:c>
      <x:c r="M511" s="12" t="str">
        <x:v>Same Day</x:v>
      </x:c>
      <x:c r="N511" s="12" t="n">
        <x:v>8</x:v>
      </x:c>
      <x:c r="O511" s="12" t="n">
        <x:v>3631.44</x:v>
      </x:c>
      <x:c r="P511" s="12" t="n">
        <x:v>0.2</x:v>
      </x:c>
      <x:c r="Q511" s="12" t="n">
        <x:v>23241.22</x:v>
      </x:c>
      <x:c r="R511" s="12" t="n">
        <x:v>17220.9</x:v>
      </x:c>
      <x:c r="S511" s="12" t="n">
        <x:v>6020.32</x:v>
      </x:c>
      <x:c r="T511" s="12" t="str">
        <x:v>Paid</x:v>
      </x:c>
      <x:c r="U511" s="12" t="str">
        <x:v>Completed</x:v>
      </x:c>
    </x:row>
    <x:row r="512">
      <x:c r="A512" s="12" t="str">
        <x:v>ORD-2024-10511</x:v>
      </x:c>
      <x:c r="B512" s="12" t="str">
        <x:v>10/18/2024</x:v>
      </x:c>
      <x:c r="C512" s="12" t="str">
        <x:v>21-10-2024</x:v>
      </x:c>
      <x:c r="D512" s="12" t="str">
        <x:v>CUST-9759</x:v>
      </x:c>
      <x:c r="E512" s="12" t="str">
        <x:v>Aarav  Sharma</x:v>
      </x:c>
      <x:c r="F512" s="12" t="str">
        <x:v>Consumer</x:v>
      </x:c>
      <x:c r="G512" s="12" t="str">
        <x:v>South</x:v>
      </x:c>
      <x:c r="H512" s="12" t="str">
        <x:v>Karnataka</x:v>
      </x:c>
      <x:c r="I512" s="12" t="str">
        <x:v>Bengaluru</x:v>
      </x:c>
      <x:c r="J512" s="12" t="str">
        <x:v>Office Supplies</x:v>
      </x:c>
      <x:c r="K512" s="12" t="str">
        <x:v>Storage</x:v>
      </x:c>
      <x:c r="L512" s="12" t="str">
        <x:v>Pro Storage 373</x:v>
      </x:c>
      <x:c r="M512" s="12" t="str">
        <x:v>Second Class</x:v>
      </x:c>
      <x:c r="N512" s="12" t="n">
        <x:v>2</x:v>
      </x:c>
      <x:c r="O512" s="12" t="n">
        <x:v>4238.51</x:v>
      </x:c>
      <x:c r="P512" s="12" t="n">
        <x:v>0</x:v>
      </x:c>
      <x:c r="Q512" s="12" t="n">
        <x:v>8477.02</x:v>
      </x:c>
      <x:c r="R512" s="12" t="n">
        <x:v>6884.96</x:v>
      </x:c>
      <x:c r="S512" s="12" t="n">
        <x:v>1592.06</x:v>
      </x:c>
      <x:c r="T512" s="12" t="str">
        <x:v>Paid</x:v>
      </x:c>
      <x:c r="U512" s="12" t="str">
        <x:v>Completed</x:v>
      </x:c>
    </x:row>
    <x:row r="513">
      <x:c r="A513" s="12" t="str">
        <x:v>ORD-2024-10512</x:v>
      </x:c>
      <x:c r="B513" s="12" t="str">
        <x:v>10/23/2024</x:v>
      </x:c>
      <x:c r="C513" s="12" t="str">
        <x:v>26 Oct 2024</x:v>
      </x:c>
      <x:c r="D513" s="12" t="str">
        <x:v>CUST-7232</x:v>
      </x:c>
      <x:c r="E513" s="12" t="str">
        <x:v>Sneha Kapoor</x:v>
      </x:c>
      <x:c r="F513" s="12" t="str">
        <x:v>Consumer</x:v>
      </x:c>
      <x:c r="G513" s="12" t="str">
        <x:v>West</x:v>
      </x:c>
      <x:c r="H513" s="12" t="str">
        <x:v>Madhya Pradesh</x:v>
      </x:c>
      <x:c r="I513" s="12" t="str">
        <x:v>Indore</x:v>
      </x:c>
      <x:c r="J513" s="12" t="str">
        <x:v>Furniture</x:v>
      </x:c>
      <x:c r="K513" s="12" t="str">
        <x:v>Bookcases</x:v>
      </x:c>
      <x:c r="L513" s="12" t="str">
        <x:v>Smart Bookcases 920</x:v>
      </x:c>
      <x:c r="M513" s="12" t="str">
        <x:v>Standard Class</x:v>
      </x:c>
      <x:c r="N513" s="12" t="n">
        <x:v>9</x:v>
      </x:c>
      <x:c r="O513" s="12" t="n">
        <x:v>544.27</x:v>
      </x:c>
      <x:c r="P513" s="12" t="n">
        <x:v>0.25</x:v>
      </x:c>
      <x:c r="Q513" s="12" t="n">
        <x:v>3673.82</x:v>
      </x:c>
      <x:c r="R513" s="12" t="n">
        <x:v>2088.15</x:v>
      </x:c>
      <x:c r="S513" s="12" t="n">
        <x:v>1585.67</x:v>
      </x:c>
      <x:c r="T513" s="12" t="str">
        <x:v>Paid</x:v>
      </x:c>
      <x:c r="U513" s="12" t="str">
        <x:v>Completed</x:v>
      </x:c>
    </x:row>
    <x:row r="514">
      <x:c r="A514" s="12" t="str">
        <x:v>ORD-2025-10513</x:v>
      </x:c>
      <x:c r="B514" s="12" t="str">
        <x:v>03/02/2025</x:v>
      </x:c>
      <x:c r="C514" s="12" t="str">
        <x:v>2025-03-03</x:v>
      </x:c>
      <x:c r="D514" s="12" t="str">
        <x:v>CUST-9943</x:v>
      </x:c>
      <x:c r="E514" s="12" t="str">
        <x:v>Isha Nair</x:v>
      </x:c>
      <x:c r="F514" s="12" t="str">
        <x:v>Corporate</x:v>
      </x:c>
      <x:c r="G514" s="12" t="str">
        <x:v>South</x:v>
      </x:c>
      <x:c r="H514" s="12" t="str">
        <x:v>Kerala</x:v>
      </x:c>
      <x:c r="I514" s="12" t="str">
        <x:v>Kochi</x:v>
      </x:c>
      <x:c r="J514" s="12" t="str">
        <x:v>Office Supplies</x:v>
      </x:c>
      <x:c r="K514" s="12" t="str">
        <x:v>Labels</x:v>
      </x:c>
      <x:c r="L514" s="12" t="str">
        <x:v>Pro Labels 849</x:v>
      </x:c>
      <x:c r="M514" s="12" t="str">
        <x:v>Second Class</x:v>
      </x:c>
      <x:c r="N514" s="12" t="n">
        <x:v>2</x:v>
      </x:c>
      <x:c r="O514" s="12" t="n">
        <x:v>4031.45</x:v>
      </x:c>
      <x:c r="P514" s="12" t="n">
        <x:v>0.25</x:v>
      </x:c>
      <x:c r="Q514" s="12" t="n">
        <x:v>6047.17</x:v>
      </x:c>
      <x:c r="R514" s="12" t="n">
        <x:v>3368.79</x:v>
      </x:c>
      <x:c r="S514" s="12" t="n">
        <x:v>2678.38</x:v>
      </x:c>
      <x:c r="T514" s="12" t="str">
        <x:v>Paid</x:v>
      </x:c>
      <x:c r="U514" s="12" t="str">
        <x:v>Completed</x:v>
      </x:c>
    </x:row>
    <x:row r="515">
      <x:c r="A515" s="12" t="str">
        <x:v>ORD-2025-10514</x:v>
      </x:c>
      <x:c r="B515" s="12" t="str">
        <x:v>27-06-2025</x:v>
      </x:c>
      <x:c r="C515" s="12" t="str">
        <x:v>07/02/2025</x:v>
      </x:c>
      <x:c r="D515" s="12" t="str">
        <x:v>CUST-8993</x:v>
      </x:c>
      <x:c r="E515" s="12" t="str">
        <x:v>Aarav Sharma</x:v>
      </x:c>
      <x:c r="F515" s="12" t="str">
        <x:v>Corporate</x:v>
      </x:c>
      <x:c r="G515" s="12" t="str">
        <x:v>South</x:v>
      </x:c>
      <x:c r="H515" s="12" t="str">
        <x:v>Kerala</x:v>
      </x:c>
      <x:c r="I515" s="12" t="str">
        <x:v>Kochi</x:v>
      </x:c>
      <x:c r="J515" s="12" t="str">
        <x:v>Technology</x:v>
      </x:c>
      <x:c r="K515" s="12" t="str">
        <x:v>Accessories </x:v>
      </x:c>
      <x:c r="L515" s="12" t="str">
        <x:v>Prime Accessories 849</x:v>
      </x:c>
      <x:c r="M515" s="12" t="str">
        <x:v>First Class</x:v>
      </x:c>
      <x:c r="N515" s="12" t="n">
        <x:v>6</x:v>
      </x:c>
      <x:c r="O515" s="12" t="n">
        <x:v>1099.49</x:v>
      </x:c>
      <x:c r="P515" s="12" t="n">
        <x:v>0.1</x:v>
      </x:c>
      <x:c r="Q515" s="12" t="n">
        <x:v>6212.38</x:v>
      </x:c>
      <x:c r="R515" s="12" t="n">
        <x:v>4088.46</x:v>
      </x:c>
      <x:c r="S515" s="12" t="n">
        <x:v>1848.79</x:v>
      </x:c>
      <x:c r="T515" s="12" t="str">
        <x:v>Paid</x:v>
      </x:c>
      <x:c r="U515" s="12" t="str">
        <x:v>Completed</x:v>
      </x:c>
    </x:row>
    <x:row r="516">
      <x:c r="A516" s="12" t="str">
        <x:v>ORD-2024-10515</x:v>
      </x:c>
      <x:c r="B516" s="12" t="str">
        <x:v>18 Nov 2024</x:v>
      </x:c>
      <x:c r="C516" s="12" t="str">
        <x:v>2024-11-22</x:v>
      </x:c>
      <x:c r="D516" s="12" t="str">
        <x:v>CUST-7729</x:v>
      </x:c>
      <x:c r="E516" s="12" t="str">
        <x:v>Karan Malhotra</x:v>
      </x:c>
      <x:c r="F516" s="12" t="str">
        <x:v>Home Office</x:v>
      </x:c>
      <x:c r="G516" s="12" t="str">
        <x:v>South</x:v>
      </x:c>
      <x:c r="H516" s="12" t="str">
        <x:v>Kerala</x:v>
      </x:c>
      <x:c r="I516" s="12" t="str">
        <x:v>Kochi</x:v>
      </x:c>
      <x:c r="J516" s="12" t="str">
        <x:v>Technology</x:v>
      </x:c>
      <x:c r="K516" s="12" t="str">
        <x:v>Accessories</x:v>
      </x:c>
      <x:c r="L516" s="12" t="str">
        <x:v>Smart Accessories 388</x:v>
      </x:c>
      <x:c r="M516" s="12" t="str">
        <x:v>Standard Class</x:v>
      </x:c>
      <x:c r="N516" s="12" t="n">
        <x:v>6</x:v>
      </x:c>
      <x:c r="O516" s="12" t="n">
        <x:v>3872.94</x:v>
      </x:c>
      <x:c r="P516" s="12" t="n">
        <x:v>0.1</x:v>
      </x:c>
      <x:c r="Q516" s="12" t="n">
        <x:v>20913.88</x:v>
      </x:c>
      <x:c r="R516" s="12" t="n">
        <x:v>11684.68</x:v>
      </x:c>
      <x:c r="S516" s="12" t="n">
        <x:v>9229.2</x:v>
      </x:c>
      <x:c r="T516" s="12" t="str">
        <x:v>Paid</x:v>
      </x:c>
      <x:c r="U516" s="12" t="str">
        <x:v>Completed</x:v>
      </x:c>
    </x:row>
    <x:row r="517">
      <x:c r="A517" s="12" t="str">
        <x:v>ORD-2025-10516</x:v>
      </x:c>
      <x:c r="B517" s="12" t="str">
        <x:v>04/11/2025</x:v>
      </x:c>
      <x:c r="C517" s="12" t="str">
        <x:v>2025-04-11</x:v>
      </x:c>
      <x:c r="D517" s="12" t="str">
        <x:v>CUST-9986</x:v>
      </x:c>
      <x:c r="E517" s="12" t="str">
        <x:v>Rahul Verma</x:v>
      </x:c>
      <x:c r="F517" s="12" t="str">
        <x:v>Corporate</x:v>
      </x:c>
      <x:c r="G517" s="12" t="str">
        <x:v>North</x:v>
      </x:c>
      <x:c r="H517" s="12" t="str">
        <x:v>Delhi</x:v>
      </x:c>
      <x:c r="I517" s="12" t="str">
        <x:v>New Delhi</x:v>
      </x:c>
      <x:c r="J517" s="12" t="str">
        <x:v>Office Supplies</x:v>
      </x:c>
      <x:c r="K517" s="12" t="str">
        <x:v>Paper</x:v>
      </x:c>
      <x:c r="L517" s="12" t="str">
        <x:v>Classic Paper 752</x:v>
      </x:c>
      <x:c r="M517" s="12" t="str">
        <x:v>Standard Class</x:v>
      </x:c>
      <x:c r="N517" s="12" t="n">
        <x:v>1</x:v>
      </x:c>
      <x:c r="O517" s="12" t="n">
        <x:v>4458.49</x:v>
      </x:c>
      <x:c r="P517" s="12" t="n">
        <x:v>-0.07</x:v>
      </x:c>
      <x:c r="Q517" s="12" t="n">
        <x:v>3566.79</x:v>
      </x:c>
      <x:c r="R517" s="12" t="n">
        <x:v>2083.41</x:v>
      </x:c>
      <x:c r="S517" s="12" t="n">
        <x:v>1483.38</x:v>
      </x:c>
      <x:c r="T517" s="12" t="str">
        <x:v>Paid</x:v>
      </x:c>
      <x:c r="U517" s="12" t="str">
        <x:v>Completed</x:v>
      </x:c>
    </x:row>
    <x:row r="518">
      <x:c r="A518" s="12" t="str">
        <x:v>ORD-2024-10517</x:v>
      </x:c>
      <x:c r="B518" s="12" t="str">
        <x:v>09/28/2024</x:v>
      </x:c>
      <x:c r="C518" s="12" t="str">
        <x:v>04 Oct 2024</x:v>
      </x:c>
      <x:c r="D518" s="12" t="str">
        <x:v>CUST-2731</x:v>
      </x:c>
      <x:c r="E518" s="12" t="str">
        <x:v>Kabir Singh</x:v>
      </x:c>
      <x:c r="F518" s="12" t="str">
        <x:v>Home Office</x:v>
      </x:c>
      <x:c r="G518" s="12" t="str">
        <x:v>North</x:v>
      </x:c>
      <x:c r="H518" s="12" t="str">
        <x:v>Delhi</x:v>
      </x:c>
      <x:c r="I518" s="12" t="str">
        <x:v>New Delhi</x:v>
      </x:c>
      <x:c r="J518" s="12" t="str">
        <x:v>Technology</x:v>
      </x:c>
      <x:c r="K518" s="12" t="str">
        <x:v>Copiers</x:v>
      </x:c>
      <x:c r="L518" s="12" t="str">
        <x:v>Classic Copiers 143</x:v>
      </x:c>
      <x:c r="M518" s="12" t="str">
        <x:v>Standard Class</x:v>
      </x:c>
      <x:c r="N518" s="12" t="n">
        <x:v>1</x:v>
      </x:c>
      <x:c r="O518" s="12" t="n">
        <x:v>2233.18</x:v>
      </x:c>
      <x:c r="P518" s="12" t="n">
        <x:v>0</x:v>
      </x:c>
      <x:c r="Q518" s="12" t="n">
        <x:v>2233.18</x:v>
      </x:c>
      <x:c r="R518" s="12" t="n">
        <x:v>1585.82</x:v>
      </x:c>
      <x:c r="S518" s="12" t="n">
        <x:v>647.36</x:v>
      </x:c>
      <x:c r="T518" s="12" t="str">
        <x:v>Failed</x:v>
      </x:c>
      <x:c r="U518" s="12" t="str">
        <x:v>Returned</x:v>
      </x:c>
    </x:row>
    <x:row r="519">
      <x:c r="A519" s="12" t="str">
        <x:v>ORD-2025-10518</x:v>
      </x:c>
      <x:c r="B519" s="12" t="str">
        <x:v>2025-05-25</x:v>
      </x:c>
      <x:c r="C519" s="12" t="str">
        <x:v>27 May 2025</x:v>
      </x:c>
      <x:c r="D519" s="12" t="str">
        <x:v>CUST-4235</x:v>
      </x:c>
      <x:c r="E519" s="12" t="str">
        <x:v>Rahul Verma</x:v>
      </x:c>
      <x:c r="F519" s="12" t="str">
        <x:v>Consumer</x:v>
      </x:c>
      <x:c r="G519" s="12" t="str">
        <x:v>East</x:v>
      </x:c>
      <x:c r="H519" s="12" t="str">
        <x:v>Odisha</x:v>
      </x:c>
      <x:c r="I519" s="12" t="str">
        <x:v>Bhubaneswar</x:v>
      </x:c>
      <x:c r="J519" s="12" t="str">
        <x:v>Furniture</x:v>
      </x:c>
      <x:c r="K519" s="12" t="str">
        <x:v>Furnishings</x:v>
      </x:c>
      <x:c r="L519" s="12" t="str">
        <x:v>Basic Furnishings 386</x:v>
      </x:c>
      <x:c r="M519" s="12" t="str">
        <x:v>Second Class</x:v>
      </x:c>
      <x:c r="N519" s="12" t="n">
        <x:v>7</x:v>
      </x:c>
      <x:c r="O519" s="12" t="n">
        <x:v>2123.28</x:v>
      </x:c>
      <x:c r="P519" s="12" t="n">
        <x:v>0.2</x:v>
      </x:c>
      <x:c r="Q519" s="12" t="n">
        <x:v>11890.37</x:v>
      </x:c>
      <x:c r="R519" s="12" t="n">
        <x:v>9234.53</x:v>
      </x:c>
      <x:c r="S519" s="12" t="n">
        <x:v>2655.84</x:v>
      </x:c>
      <x:c r="T519" s="12" t="str">
        <x:v>Refunded</x:v>
      </x:c>
      <x:c r="U519" s="12" t="str">
        <x:v>Returned</x:v>
      </x:c>
    </x:row>
    <x:row r="520">
      <x:c r="A520" s="12" t="str">
        <x:v>ORD-2025-10519</x:v>
      </x:c>
      <x:c r="B520" s="12" t="str">
        <x:v>30-04-2025</x:v>
      </x:c>
      <x:c r="C520" s="12" t="str">
        <x:v>26 Apr 2025</x:v>
      </x:c>
      <x:c r="D520" s="12" t="str">
        <x:v>CUST-3377</x:v>
      </x:c>
      <x:c r="E520" s="12" t="str">
        <x:v>Diya Patel</x:v>
      </x:c>
      <x:c r="F520" s="12" t="str">
        <x:v>Corporate</x:v>
      </x:c>
      <x:c r="G520" s="12" t="str">
        <x:v>East</x:v>
      </x:c>
      <x:c r="H520" s="12" t="str">
        <x:v>Odisha</x:v>
      </x:c>
      <x:c r="I520" s="12" t="str">
        <x:v>Bhubaneswar</x:v>
      </x:c>
      <x:c r="J520" s="12" t="str">
        <x:v>Furniture</x:v>
      </x:c>
      <x:c r="K520" s="12" t="str">
        <x:v>Tables</x:v>
      </x:c>
      <x:c r="L520" s="12" t="str">
        <x:v>Classic Tables 592</x:v>
      </x:c>
      <x:c r="M520" s="12" t="str">
        <x:v>First Class</x:v>
      </x:c>
      <x:c r="N520" s="12" t="n">
        <x:v>7</x:v>
      </x:c>
      <x:c r="O520" s="12" t="n">
        <x:v>1604.13</x:v>
      </x:c>
      <x:c r="P520" s="12" t="n">
        <x:v>0.25</x:v>
      </x:c>
      <x:c r="Q520" s="12" t="n">
        <x:v>8421.68</x:v>
      </x:c>
      <x:c r="R520" s="12" t="n">
        <x:v>6534.47</x:v>
      </x:c>
      <x:c r="S520" s="12" t="n">
        <x:v>1887.21</x:v>
      </x:c>
      <x:c r="T520" s="12" t="str">
        <x:v>Paid</x:v>
      </x:c>
      <x:c r="U520" s="12" t="str">
        <x:v>Cancelled</x:v>
      </x:c>
    </x:row>
    <x:row r="521">
      <x:c r="A521" s="12" t="str">
        <x:v>ORD-2025-10520</x:v>
      </x:c>
      <x:c r="B521" s="12" t="str">
        <x:v>03-07-2025</x:v>
      </x:c>
      <x:c r="C521" s="12" t="str">
        <x:v>2025-07-07</x:v>
      </x:c>
      <x:c r="D521" s="12" t="str">
        <x:v>CUST-3258</x:v>
      </x:c>
      <x:c r="E521" s="12" t="str">
        <x:v>Priya Menon</x:v>
      </x:c>
      <x:c r="F521" s="12" t="str">
        <x:v>Consumer</x:v>
      </x:c>
      <x:c r="G521" s="12" t="str">
        <x:v>North</x:v>
      </x:c>
      <x:c r="H521" s="12" t="str">
        <x:v>Uttar Pradesh</x:v>
      </x:c>
      <x:c r="I521" s="12" t="str">
        <x:v>Noida</x:v>
      </x:c>
      <x:c r="J521" s="12" t="str">
        <x:v>Furniture</x:v>
      </x:c>
      <x:c r="K521" s="12" t="str">
        <x:v>Tables</x:v>
      </x:c>
      <x:c r="L521" s="12" t="str">
        <x:v>Pro Tables 412</x:v>
      </x:c>
      <x:c r="M521" s="12" t="str">
        <x:v>Standard Class</x:v>
      </x:c>
      <x:c r="N521" s="12" t="n">
        <x:v>4</x:v>
      </x:c>
      <x:c r="O521" s="12" t="n">
        <x:v>4365.21</x:v>
      </x:c>
      <x:c r="P521" s="12" t="n">
        <x:v>0.2</x:v>
      </x:c>
      <x:c r="Q521" s="12" t="n">
        <x:v>13968.67</x:v>
      </x:c>
      <x:c r="R521" s="12" t="n">
        <x:v>8857.58</x:v>
      </x:c>
      <x:c r="S521" s="12" t="n">
        <x:v>5111.09</x:v>
      </x:c>
      <x:c r="T521" s="12" t="str">
        <x:v>Pending</x:v>
      </x:c>
      <x:c r="U521" s="12" t="str">
        <x:v>Cancelled</x:v>
      </x:c>
    </x:row>
    <x:row r="522">
      <x:c r="A522" s="12" t="str">
        <x:v>ORD-2024-10521</x:v>
      </x:c>
      <x:c r="B522" s="12" t="str">
        <x:v>2024-07-16</x:v>
      </x:c>
      <x:c r="C522" s="12" t="str">
        <x:v>23 Jul 2024</x:v>
      </x:c>
      <x:c r="D522" s="12" t="str">
        <x:v>CUST-2155</x:v>
      </x:c>
      <x:c r="E522" s="12" t="str">
        <x:v>Aarav Sharma</x:v>
      </x:c>
      <x:c r="F522" s="12" t="str">
        <x:v>Home Office</x:v>
      </x:c>
      <x:c r="G522" s="12" t="str">
        <x:v>South</x:v>
      </x:c>
      <x:c r="H522" s="12" t="str">
        <x:v>Karnataka</x:v>
      </x:c>
      <x:c r="I522" s="12" t="str">
        <x:v>Bengaluru</x:v>
      </x:c>
      <x:c r="J522" s="12" t="str">
        <x:v>Technology</x:v>
      </x:c>
      <x:c r="K522" s="12" t="str">
        <x:v>Machines</x:v>
      </x:c>
      <x:c r="L522" s="12" t="str">
        <x:v>Prime Machines 393</x:v>
      </x:c>
      <x:c r="M522" s="12" t="str">
        <x:v>Same Day</x:v>
      </x:c>
      <x:c r="N522" s="12" t="n">
        <x:v>1</x:v>
      </x:c>
      <x:c r="O522" s="12" t="n">
        <x:v>1695.91</x:v>
      </x:c>
      <x:c r="P522" s="12" t="n">
        <x:v>0.05</x:v>
      </x:c>
      <x:c r="Q522" s="12" t="n">
        <x:v>1611.11</x:v>
      </x:c>
      <x:c r="R522" s="12" t="n">
        <x:v>895.15</x:v>
      </x:c>
      <x:c r="S522" s="12" t="n">
        <x:v>715.96</x:v>
      </x:c>
      <x:c r="T522" s="12" t="str">
        <x:v>Paid</x:v>
      </x:c>
      <x:c r="U522" s="12" t="str">
        <x:v>Completed</x:v>
      </x:c>
    </x:row>
    <x:row r="523">
      <x:c r="A523" s="12" t="str">
        <x:v>ORD-2025-10522</x:v>
      </x:c>
      <x:c r="B523" s="12" t="str">
        <x:v>2025-03-25</x:v>
      </x:c>
      <x:c r="C523" s="12" t="str">
        <x:v>2025-04-01</x:v>
      </x:c>
      <x:c r="D523" s="12" t="str">
        <x:v>CUST-8012</x:v>
      </x:c>
      <x:c r="E523" s="12" t="str">
        <x:v>Diya Patel</x:v>
      </x:c>
      <x:c r="F523" s="12" t="str">
        <x:v>Consumer</x:v>
      </x:c>
      <x:c r="G523" s="12" t="str">
        <x:v>North</x:v>
      </x:c>
      <x:c r="H523" s="12" t="str">
        <x:v>Punjab</x:v>
      </x:c>
      <x:c r="I523" s="12" t="str">
        <x:v>Ludhiana</x:v>
      </x:c>
      <x:c r="J523" s="12" t="str">
        <x:v>Office Supplies</x:v>
      </x:c>
      <x:c r="K523" s="12" t="str">
        <x:v>Labels</x:v>
      </x:c>
      <x:c r="L523" s="12" t="str">
        <x:v>Classic Labels 776</x:v>
      </x:c>
      <x:c r="M523" s="12" t="str">
        <x:v>Second Class</x:v>
      </x:c>
      <x:c r="N523" s="12" t="n">
        <x:v>6</x:v>
      </x:c>
      <x:c r="O523" s="12" t="n">
        <x:v>2192.11</x:v>
      </x:c>
      <x:c r="P523" s="12" t="n">
        <x:v>0.05</x:v>
      </x:c>
      <x:c r="Q523" s="12" t="n">
        <x:v>12495.03</x:v>
      </x:c>
      <x:c r="R523" s="12" t="n">
        <x:v>9184.52</x:v>
      </x:c>
      <x:c r="S523" s="12" t="n">
        <x:v>3310.51</x:v>
      </x:c>
      <x:c r="T523" s="12" t="str">
        <x:v>Paid</x:v>
      </x:c>
      <x:c r="U523" s="12" t="str">
        <x:v>Completed</x:v>
      </x:c>
    </x:row>
    <x:row r="524">
      <x:c r="A524" s="12" t="str">
        <x:v>ORD-2025-10523</x:v>
      </x:c>
      <x:c r="B524" s="12" t="str">
        <x:v>02/28/2025</x:v>
      </x:c>
      <x:c r="C524" s="12" t="str">
        <x:v>08 Mar 2025</x:v>
      </x:c>
      <x:c r="D524" s="12" t="str">
        <x:v>CUST-2917</x:v>
      </x:c>
      <x:c r="E524" s="12" t="str">
        <x:v>Neha Gupta</x:v>
      </x:c>
      <x:c r="F524" s="12" t="str">
        <x:v>Small Business</x:v>
      </x:c>
      <x:c r="G524" s="12" t="str">
        <x:v>East</x:v>
      </x:c>
      <x:c r="H524" s="12" t="str">
        <x:v>Jharkhand</x:v>
      </x:c>
      <x:c r="I524" s="12" t="str">
        <x:v>Ranchi</x:v>
      </x:c>
      <x:c r="J524" s="12" t="str">
        <x:v>Technology</x:v>
      </x:c>
      <x:c r="K524" s="12" t="str">
        <x:v>Phones</x:v>
      </x:c>
      <x:c r="L524" s="12" t="str">
        <x:v>Max Phones 612</x:v>
      </x:c>
      <x:c r="M524" s="12" t="str">
        <x:v>First Class</x:v>
      </x:c>
      <x:c r="N524" s="12" t="n">
        <x:v>9</x:v>
      </x:c>
      <x:c r="O524" s="12" t="n">
        <x:v>3670.54</x:v>
      </x:c>
      <x:c r="P524" s="12" t="n">
        <x:v>0</x:v>
      </x:c>
      <x:c r="Q524" s="12" t="n">
        <x:v>33034.86</x:v>
      </x:c>
      <x:c r="R524" s="12" t="n">
        <x:v>24539.83</x:v>
      </x:c>
      <x:c r="S524" s="12" t="n">
        <x:v>8495.03</x:v>
      </x:c>
      <x:c r="T524" s="12" t="str">
        <x:v>Paid</x:v>
      </x:c>
      <x:c r="U524" s="12" t="str">
        <x:v>Completed</x:v>
      </x:c>
    </x:row>
    <x:row r="525">
      <x:c r="A525" s="12" t="str">
        <x:v>ORD-2024-10524</x:v>
      </x:c>
      <x:c r="B525" s="12" t="str">
        <x:v>02-04-2024</x:v>
      </x:c>
      <x:c r="C525" s="12" t="str">
        <x:v>2024-04-03</x:v>
      </x:c>
      <x:c r="D525" s="12" t="str">
        <x:v>CUST-4653</x:v>
      </x:c>
      <x:c r="E525" s="12" t="str">
        <x:v>Kabir Singh</x:v>
      </x:c>
      <x:c r="F525" s="12" t="str">
        <x:v>Home Office</x:v>
      </x:c>
      <x:c r="G525" s="12" t="str">
        <x:v>West</x:v>
      </x:c>
      <x:c r="H525" s="12" t="str">
        <x:v>Goa</x:v>
      </x:c>
      <x:c r="I525" s="12" t="str">
        <x:v>Panaji</x:v>
      </x:c>
      <x:c r="J525" s="12" t="str">
        <x:v>Office Supplies</x:v>
      </x:c>
      <x:c r="K525" s="12" t="str">
        <x:v>Paper</x:v>
      </x:c>
      <x:c r="L525" s="12" t="str">
        <x:v>Basic Paper 315</x:v>
      </x:c>
      <x:c r="M525" s="12" t="str">
        <x:v>Second Class</x:v>
      </x:c>
      <x:c r="N525" s="12" t="n">
        <x:v>2</x:v>
      </x:c>
      <x:c r="O525" s="12" t="n">
        <x:v>2902.63</x:v>
      </x:c>
      <x:c r="P525" s="12" t="n">
        <x:v>0</x:v>
      </x:c>
      <x:c r="Q525" s="12" t="n">
        <x:v>5805.26</x:v>
      </x:c>
      <x:c r="R525" s="12" t="n">
        <x:v>4654.36</x:v>
      </x:c>
      <x:c r="S525" s="12" t="n">
        <x:v>1150.9</x:v>
      </x:c>
      <x:c r="T525" s="12" t="str">
        <x:v>Paid</x:v>
      </x:c>
      <x:c r="U525" s="12" t="str">
        <x:v>Returned</x:v>
      </x:c>
    </x:row>
    <x:row r="526">
      <x:c r="A526" s="12" t="str">
        <x:v>ORD-2024-10525</x:v>
      </x:c>
      <x:c r="B526" s="12" t="str">
        <x:v>30 Nov 2024</x:v>
      </x:c>
      <x:c r="C526" s="12" t="str">
        <x:v>01 Dec 2024</x:v>
      </x:c>
      <x:c r="D526" s="12" t="str">
        <x:v>CUST-3311</x:v>
      </x:c>
      <x:c r="E526" s="12" t="str">
        <x:v>Ananya Rao</x:v>
      </x:c>
      <x:c r="F526" s="12" t="str">
        <x:v>Corporate</x:v>
      </x:c>
      <x:c r="G526" s="12" t="str">
        <x:v>West</x:v>
      </x:c>
      <x:c r="H526" s="12" t="str">
        <x:v>Gujarat</x:v>
      </x:c>
      <x:c r="I526" s="12" t="str">
        <x:v>Ahmedabad</x:v>
      </x:c>
      <x:c r="J526" s="12" t="str">
        <x:v>Furniture</x:v>
      </x:c>
      <x:c r="K526" s="12" t="str">
        <x:v>Chairs</x:v>
      </x:c>
      <x:c r="L526" s="12" t="str">
        <x:v>Basic Chairs 333</x:v>
      </x:c>
      <x:c r="M526" s="12" t="str">
        <x:v>First Class</x:v>
      </x:c>
      <x:c r="N526" s="12" t="n">
        <x:v>9</x:v>
      </x:c>
      <x:c r="O526" s="12" t="n">
        <x:v>4207.36</x:v>
      </x:c>
      <x:c r="P526" s="12" t="n">
        <x:v>0.1</x:v>
      </x:c>
      <x:c r="Q526" s="12" t="n">
        <x:v>34079.62</x:v>
      </x:c>
      <x:c r="R526" s="12" t="n">
        <x:v>21871.39</x:v>
      </x:c>
      <x:c r="S526" s="12" t="n">
        <x:v>12208.23</x:v>
      </x:c>
      <x:c r="T526" s="12" t="str">
        <x:v>Paid</x:v>
      </x:c>
      <x:c r="U526" s="12" t="str">
        <x:v>Completed</x:v>
      </x:c>
    </x:row>
    <x:row r="527">
      <x:c r="A527" s="12" t="str">
        <x:v>ORD-2024-10526</x:v>
      </x:c>
      <x:c r="B527" s="12" t="str">
        <x:v>10/17/2024</x:v>
      </x:c>
      <x:c r="C527" s="12" t="str">
        <x:v>2024-10-17</x:v>
      </x:c>
      <x:c r="D527" s="12" t="str">
        <x:v>CUST-2924</x:v>
      </x:c>
      <x:c r="E527" s="12" t="str">
        <x:v>Priya Menon</x:v>
      </x:c>
      <x:c r="F527" s="12" t="str">
        <x:v>Home Office</x:v>
      </x:c>
      <x:c r="G527" s="12" t="str">
        <x:v>East</x:v>
      </x:c>
      <x:c r="H527" s="12" t="str">
        <x:v>West Bengal</x:v>
      </x:c>
      <x:c r="I527" s="12" t="str">
        <x:v>Kolkata</x:v>
      </x:c>
      <x:c r="J527" s="12" t="str">
        <x:v>Furniture</x:v>
      </x:c>
      <x:c r="K527" s="12" t="str">
        <x:v>Chairs</x:v>
      </x:c>
      <x:c r="L527" s="12" t="str">
        <x:v>Prime Chairs 215</x:v>
      </x:c>
      <x:c r="M527" s="12" t="str">
        <x:v>Standard Class</x:v>
      </x:c>
      <x:c r="N527" s="12" t="n">
        <x:v>5</x:v>
      </x:c>
      <x:c r="O527" s="12" t="n">
        <x:v>2524.4</x:v>
      </x:c>
      <x:c r="P527" s="12" t="n">
        <x:v>0.1</x:v>
      </x:c>
      <x:c r="Q527" s="12" t="n">
        <x:v>11359.8</x:v>
      </x:c>
      <x:c r="R527" s="12" t="n">
        <x:v>7062.44</x:v>
      </x:c>
      <x:c r="S527" s="12" t="n">
        <x:v>4297.36</x:v>
      </x:c>
      <x:c r="T527" s="12" t="str">
        <x:v>Paid</x:v>
      </x:c>
      <x:c r="U527" s="12" t="str">
        <x:v>Completed</x:v>
      </x:c>
    </x:row>
    <x:row r="528">
      <x:c r="A528" s="12" t="str">
        <x:v>ORD-2025-10527</x:v>
      </x:c>
      <x:c r="B528" s="12" t="str">
        <x:v>2025-07-18</x:v>
      </x:c>
      <x:c r="C528" s="12" t="str">
        <x:v>21 Jul 2025</x:v>
      </x:c>
      <x:c r="D528" s="12" t="str">
        <x:v>CUST-7198</x:v>
      </x:c>
      <x:c r="E528" s="12" t="str">
        <x:v>Priya Menon</x:v>
      </x:c>
      <x:c r="F528" s="12" t="str">
        <x:v>Consumer</x:v>
      </x:c>
      <x:c r="G528" s="12" t="str">
        <x:v>East</x:v>
      </x:c>
      <x:c r="H528" s="12" t="str">
        <x:v>Odisha</x:v>
      </x:c>
      <x:c r="I528" s="12" t="str">
        <x:v>Bhubaneswar</x:v>
      </x:c>
      <x:c r="J528" s="12" t="str">
        <x:v>Furniture</x:v>
      </x:c>
      <x:c r="K528" s="12" t="str">
        <x:v>Tables</x:v>
      </x:c>
      <x:c r="L528" s="12" t="str">
        <x:v>Elite Tables 815</x:v>
      </x:c>
      <x:c r="M528" s="12" t="str">
        <x:v>Second Class</x:v>
      </x:c>
      <x:c r="N528" s="12" t="n">
        <x:v>4</x:v>
      </x:c>
      <x:c r="O528" s="12" t="n">
        <x:v>284.04</x:v>
      </x:c>
      <x:c r="P528" s="12"/>
      <x:c r="Q528" s="12" t="n">
        <x:v>908.93</x:v>
      </x:c>
      <x:c r="R528" s="12" t="n">
        <x:v>572.08</x:v>
      </x:c>
      <x:c r="S528" s="12" t="n">
        <x:v>336.85</x:v>
      </x:c>
      <x:c r="T528" s="12" t="str">
        <x:v>Paid</x:v>
      </x:c>
      <x:c r="U528" s="12" t="str">
        <x:v>Completed</x:v>
      </x:c>
    </x:row>
    <x:row r="529">
      <x:c r="A529" s="12" t="str">
        <x:v>ORD-2025-10528</x:v>
      </x:c>
      <x:c r="B529" s="12" t="str">
        <x:v>01-10-2025</x:v>
      </x:c>
      <x:c r="C529" s="12" t="str">
        <x:v>2025-10-05</x:v>
      </x:c>
      <x:c r="D529" s="12" t="str">
        <x:v>CUST-3419</x:v>
      </x:c>
      <x:c r="E529" s="12" t="str">
        <x:v>Aditi Sen</x:v>
      </x:c>
      <x:c r="F529" s="12" t="str">
        <x:v>Home Office</x:v>
      </x:c>
      <x:c r="G529" s="12" t="str">
        <x:v>North</x:v>
      </x:c>
      <x:c r="H529" s="12" t="str">
        <x:v>Haryana</x:v>
      </x:c>
      <x:c r="I529" s="12" t="str">
        <x:v>Gurugram</x:v>
      </x:c>
      <x:c r="J529" s="12" t="str">
        <x:v>Office Supplies</x:v>
      </x:c>
      <x:c r="K529" s="12" t="str">
        <x:v>Paper</x:v>
      </x:c>
      <x:c r="L529" s="12" t="str">
        <x:v>Basic Paper 388</x:v>
      </x:c>
      <x:c r="M529" s="12" t="str">
        <x:v>First Class</x:v>
      </x:c>
      <x:c r="N529" s="12" t="n">
        <x:v>5</x:v>
      </x:c>
      <x:c r="O529" s="12" t="n">
        <x:v>3247.56</x:v>
      </x:c>
      <x:c r="P529" s="12" t="n">
        <x:v>0.15</x:v>
      </x:c>
      <x:c r="Q529" s="12" t="n">
        <x:v>13802.13</x:v>
      </x:c>
      <x:c r="R529" s="12" t="n">
        <x:v>10075.93</x:v>
      </x:c>
      <x:c r="S529" s="12" t="n">
        <x:v>3726.2</x:v>
      </x:c>
      <x:c r="T529" s="12" t="str">
        <x:v>Paid</x:v>
      </x:c>
      <x:c r="U529" s="12" t="str">
        <x:v>Completed</x:v>
      </x:c>
    </x:row>
    <x:row r="530">
      <x:c r="A530" s="12" t="str">
        <x:v>ORD-2024-10529</x:v>
      </x:c>
      <x:c r="B530" s="12" t="str">
        <x:v>2024-10-07</x:v>
      </x:c>
      <x:c r="C530" s="12" t="str">
        <x:v>09-10-2024</x:v>
      </x:c>
      <x:c r="D530" s="12" t="str">
        <x:v>CUST-2390</x:v>
      </x:c>
      <x:c r="E530" s="12" t="str">
        <x:v>Diya Patel</x:v>
      </x:c>
      <x:c r="F530" s="12" t="str">
        <x:v>Consumer</x:v>
      </x:c>
      <x:c r="G530" s="12" t="str">
        <x:v>South</x:v>
      </x:c>
      <x:c r="H530" s="12" t="str">
        <x:v>Tamil Nadu</x:v>
      </x:c>
      <x:c r="I530" s="12" t="str">
        <x:v>Chennai</x:v>
      </x:c>
      <x:c r="J530" s="12" t="str">
        <x:v>Office Supplies</x:v>
      </x:c>
      <x:c r="K530" s="12" t="str">
        <x:v>Binders</x:v>
      </x:c>
      <x:c r="L530" s="12" t="str">
        <x:v>Eco Binders 855</x:v>
      </x:c>
      <x:c r="M530" s="12" t="str">
        <x:v>Standard Class</x:v>
      </x:c>
      <x:c r="N530" s="12" t="n">
        <x:v>9</x:v>
      </x:c>
      <x:c r="O530" s="12" t="n">
        <x:v>3457.09</x:v>
      </x:c>
      <x:c r="P530" s="12" t="n">
        <x:v>0.05</x:v>
      </x:c>
      <x:c r="Q530" s="12" t="n">
        <x:v>29558.12</x:v>
      </x:c>
      <x:c r="R530" s="12" t="n">
        <x:v>21302.13</x:v>
      </x:c>
      <x:c r="S530" s="12" t="n">
        <x:v>8255.99</x:v>
      </x:c>
      <x:c r="T530" s="12" t="str">
        <x:v>Pending</x:v>
      </x:c>
      <x:c r="U530" s="12" t="str">
        <x:v>Returned</x:v>
      </x:c>
    </x:row>
    <x:row r="531">
      <x:c r="A531" s="12" t="str">
        <x:v>ORD-2024-10530</x:v>
      </x:c>
      <x:c r="B531" s="12" t="str">
        <x:v>2024-02-06</x:v>
      </x:c>
      <x:c r="C531" s="12" t="str">
        <x:v>2024-02-08</x:v>
      </x:c>
      <x:c r="D531" s="12" t="str">
        <x:v>CUST-3362</x:v>
      </x:c>
      <x:c r="E531" s="12" t="str">
        <x:v>Karan Malhotra</x:v>
      </x:c>
      <x:c r="F531" s="12" t="str">
        <x:v>Consumer</x:v>
      </x:c>
      <x:c r="G531" s="12" t="str">
        <x:v>East</x:v>
      </x:c>
      <x:c r="H531" s="12" t="str">
        <x:v>Jharkhand</x:v>
      </x:c>
      <x:c r="I531" s="12" t="str">
        <x:v>Ranchi</x:v>
      </x:c>
      <x:c r="J531" s="12" t="str">
        <x:v>Furniture</x:v>
      </x:c>
      <x:c r="K531" s="12" t="str">
        <x:v>Bookcases</x:v>
      </x:c>
      <x:c r="L531" s="12" t="str">
        <x:v>Classic Bookcases 947</x:v>
      </x:c>
      <x:c r="M531" s="12" t="str">
        <x:v>Second Class</x:v>
      </x:c>
      <x:c r="N531" s="12" t="n">
        <x:v>9</x:v>
      </x:c>
      <x:c r="O531" s="12" t="n">
        <x:v>1822.25</x:v>
      </x:c>
      <x:c r="P531" s="12" t="n">
        <x:v>0</x:v>
      </x:c>
      <x:c r="Q531" s="12" t="n">
        <x:v>16400.25</x:v>
      </x:c>
      <x:c r="R531" s="12" t="n">
        <x:v>12146.96</x:v>
      </x:c>
      <x:c r="S531" s="12" t="n">
        <x:v>4253.29</x:v>
      </x:c>
      <x:c r="T531" s="12" t="str">
        <x:v>Paid</x:v>
      </x:c>
      <x:c r="U531" s="12" t="str">
        <x:v>Completed</x:v>
      </x:c>
    </x:row>
    <x:row r="532">
      <x:c r="A532" s="12" t="str">
        <x:v>ORD-2025-10531</x:v>
      </x:c>
      <x:c r="B532" s="12" t="str">
        <x:v>05/30/2025</x:v>
      </x:c>
      <x:c r="C532" s="12" t="str">
        <x:v>2025-06-01</x:v>
      </x:c>
      <x:c r="D532" s="12" t="str">
        <x:v>CUST-8177</x:v>
      </x:c>
      <x:c r="E532" s="12" t="str">
        <x:v>Rahul Verma</x:v>
      </x:c>
      <x:c r="F532" s="12" t="str">
        <x:v>Home Office</x:v>
      </x:c>
      <x:c r="G532" s="12" t="str">
        <x:v>South</x:v>
      </x:c>
      <x:c r="H532" s="12" t="str">
        <x:v>Tamil Nadu</x:v>
      </x:c>
      <x:c r="I532" s="12" t="str">
        <x:v>Chennai</x:v>
      </x:c>
      <x:c r="J532" s="12" t="str">
        <x:v>Office Supplies</x:v>
      </x:c>
      <x:c r="K532" s="12" t="str">
        <x:v>Binders</x:v>
      </x:c>
      <x:c r="L532" s="12" t="str">
        <x:v>Eco Binders 352</x:v>
      </x:c>
      <x:c r="M532" s="12" t="str">
        <x:v>Standard Class</x:v>
      </x:c>
      <x:c r="N532" s="12" t="n">
        <x:v>9</x:v>
      </x:c>
      <x:c r="O532" s="12" t="n">
        <x:v>1994.51</x:v>
      </x:c>
      <x:c r="P532" s="12" t="n">
        <x:v>0.05</x:v>
      </x:c>
      <x:c r="Q532" s="12" t="n">
        <x:v>17053.06</x:v>
      </x:c>
      <x:c r="R532" s="12" t="n">
        <x:v>10742.38</x:v>
      </x:c>
      <x:c r="S532" s="12" t="n">
        <x:v>6310.68</x:v>
      </x:c>
      <x:c r="T532" s="12" t="str">
        <x:v>Paid</x:v>
      </x:c>
      <x:c r="U532" s="12" t="str">
        <x:v>Completed</x:v>
      </x:c>
    </x:row>
    <x:row r="533">
      <x:c r="A533" s="12" t="str">
        <x:v>ORD-2024-10532</x:v>
      </x:c>
      <x:c r="B533" s="12" t="str">
        <x:v>01 Aug 2024</x:v>
      </x:c>
      <x:c r="C533" s="12" t="str">
        <x:v>08-08-2024</x:v>
      </x:c>
      <x:c r="D533" s="12" t="str">
        <x:v>CUST-6357</x:v>
      </x:c>
      <x:c r="E533" s="12" t="str">
        <x:v>Diya Patel</x:v>
      </x:c>
      <x:c r="F533" s="12" t="str">
        <x:v>Small Business</x:v>
      </x:c>
      <x:c r="G533" s="12" t="str">
        <x:v>West</x:v>
      </x:c>
      <x:c r="H533" s="12" t="str">
        <x:v>Maharashtra</x:v>
      </x:c>
      <x:c r="I533" s="12" t="str">
        <x:v>Mumbai</x:v>
      </x:c>
      <x:c r="J533" s="12" t="str">
        <x:v>Office Supplies</x:v>
      </x:c>
      <x:c r="K533" s="12" t="str">
        <x:v>Storage</x:v>
      </x:c>
      <x:c r="L533" s="12" t="str">
        <x:v>Pro Storage 364</x:v>
      </x:c>
      <x:c r="M533" s="12"/>
      <x:c r="N533" s="12" t="n">
        <x:v>1</x:v>
      </x:c>
      <x:c r="O533" s="12" t="n">
        <x:v>442.97</x:v>
      </x:c>
      <x:c r="P533" s="12" t="n">
        <x:v>0.1</x:v>
      </x:c>
      <x:c r="Q533" s="12" t="n">
        <x:v>398.67</x:v>
      </x:c>
      <x:c r="R533" s="12" t="n">
        <x:v>311.66</x:v>
      </x:c>
      <x:c r="S533" s="12" t="n">
        <x:v>87.01</x:v>
      </x:c>
      <x:c r="T533" s="12" t="str">
        <x:v>Paid</x:v>
      </x:c>
      <x:c r="U533" s="12" t="str">
        <x:v>Completed</x:v>
      </x:c>
    </x:row>
    <x:row r="534">
      <x:c r="A534" s="12" t="str">
        <x:v>ORD-2025-10533</x:v>
      </x:c>
      <x:c r="B534" s="12" t="str">
        <x:v>2025-10-05</x:v>
      </x:c>
      <x:c r="C534" s="12" t="str">
        <x:v>2025-10-10</x:v>
      </x:c>
      <x:c r="D534" s="12" t="str">
        <x:v>CUST-7690</x:v>
      </x:c>
      <x:c r="E534" s="12" t="str">
        <x:v>Priya Menon</x:v>
      </x:c>
      <x:c r="F534" s="12" t="str">
        <x:v>Corporate</x:v>
      </x:c>
      <x:c r="G534" s="12" t="str">
        <x:v>East</x:v>
      </x:c>
      <x:c r="H534" s="12" t="str">
        <x:v>Assam</x:v>
      </x:c>
      <x:c r="I534" s="12" t="str">
        <x:v>Guwahati</x:v>
      </x:c>
      <x:c r="J534" s="12" t="str">
        <x:v>Furniture</x:v>
      </x:c>
      <x:c r="K534" s="12" t="str">
        <x:v>Tables</x:v>
      </x:c>
      <x:c r="L534" s="12" t="str">
        <x:v>Classic Tables 213</x:v>
      </x:c>
      <x:c r="M534" s="12" t="str">
        <x:v>Second Class</x:v>
      </x:c>
      <x:c r="N534" s="12" t="n">
        <x:v>9</x:v>
      </x:c>
      <x:c r="O534" s="12" t="n">
        <x:v>2089.14</x:v>
      </x:c>
      <x:c r="P534" s="12" t="n">
        <x:v>0.05</x:v>
      </x:c>
      <x:c r="Q534" s="12" t="n">
        <x:v>17862.15</x:v>
      </x:c>
      <x:c r="R534" s="12" t="n">
        <x:v>9892.21</x:v>
      </x:c>
      <x:c r="S534" s="12" t="n">
        <x:v>7969.94</x:v>
      </x:c>
      <x:c r="T534" s="12" t="str">
        <x:v>Failed</x:v>
      </x:c>
      <x:c r="U534" s="12" t="str">
        <x:v>Cancelled</x:v>
      </x:c>
    </x:row>
    <x:row r="535">
      <x:c r="A535" s="12" t="str">
        <x:v>ORD-2024-10534</x:v>
      </x:c>
      <x:c r="B535" s="12" t="str">
        <x:v>25 Aug 2024</x:v>
      </x:c>
      <x:c r="C535" s="12" t="str">
        <x:v>2024-09-01</x:v>
      </x:c>
      <x:c r="D535" s="12" t="str">
        <x:v>CUST-4487</x:v>
      </x:c>
      <x:c r="E535" s="12" t="str">
        <x:v>Isha Nair</x:v>
      </x:c>
      <x:c r="F535" s="12" t="str">
        <x:v>Home Office</x:v>
      </x:c>
      <x:c r="G535" s="12" t="str">
        <x:v>North</x:v>
      </x:c>
      <x:c r="H535" s="12" t="str">
        <x:v>Rajasthan</x:v>
      </x:c>
      <x:c r="I535" s="12" t="str">
        <x:v>Jaipur</x:v>
      </x:c>
      <x:c r="J535" s="12" t="str">
        <x:v>Furniture</x:v>
      </x:c>
      <x:c r="K535" s="12" t="str">
        <x:v>Tables</x:v>
      </x:c>
      <x:c r="L535" s="12" t="str">
        <x:v>Smart Tables 659</x:v>
      </x:c>
      <x:c r="M535" s="12" t="str">
        <x:v>Same Day</x:v>
      </x:c>
      <x:c r="N535" s="12" t="n">
        <x:v>6</x:v>
      </x:c>
      <x:c r="O535" s="12" t="n">
        <x:v>481.3</x:v>
      </x:c>
      <x:c r="P535" s="12" t="n">
        <x:v>0.25</x:v>
      </x:c>
      <x:c r="Q535" s="12" t="n">
        <x:v>2165.85</x:v>
      </x:c>
      <x:c r="R535" s="12" t="n">
        <x:v>2124.48</x:v>
      </x:c>
      <x:c r="S535" s="12" t="n">
        <x:v>430.45</x:v>
      </x:c>
      <x:c r="T535" s="12" t="str">
        <x:v>Paid</x:v>
      </x:c>
      <x:c r="U535" s="12" t="str">
        <x:v>Completed</x:v>
      </x:c>
    </x:row>
    <x:row r="536">
      <x:c r="A536" s="12" t="str">
        <x:v>ORD-2025-10535</x:v>
      </x:c>
      <x:c r="B536" s="12" t="str">
        <x:v>04/27/2025</x:v>
      </x:c>
      <x:c r="C536" s="12" t="str">
        <x:v>2025-05-05</x:v>
      </x:c>
      <x:c r="D536" s="12" t="str">
        <x:v>CUST-8204</x:v>
      </x:c>
      <x:c r="E536" s="12" t="str">
        <x:v>Rohan Mehta</x:v>
      </x:c>
      <x:c r="F536" s="12" t="str">
        <x:v>Home Office</x:v>
      </x:c>
      <x:c r="G536" s="12" t="str">
        <x:v>East</x:v>
      </x:c>
      <x:c r="H536" s="12" t="str">
        <x:v>Bihar</x:v>
      </x:c>
      <x:c r="I536" s="12" t="str">
        <x:v>Patna</x:v>
      </x:c>
      <x:c r="J536" s="12" t="str">
        <x:v>Technology</x:v>
      </x:c>
      <x:c r="K536" s="12" t="str">
        <x:v>Accessories</x:v>
      </x:c>
      <x:c r="L536" s="12" t="str">
        <x:v>Classic Accessories 325</x:v>
      </x:c>
      <x:c r="M536" s="12" t="str">
        <x:v>Second Class</x:v>
      </x:c>
      <x:c r="N536" s="12" t="n">
        <x:v>4</x:v>
      </x:c>
      <x:c r="O536" s="12" t="n">
        <x:v>3963.39</x:v>
      </x:c>
      <x:c r="P536" s="12" t="n">
        <x:v>0.1</x:v>
      </x:c>
      <x:c r="Q536" s="12" t="n">
        <x:v>14268.2</x:v>
      </x:c>
      <x:c r="R536" s="12" t="n">
        <x:v>11705.3</x:v>
      </x:c>
      <x:c r="S536" s="12" t="n">
        <x:v>2562.9</x:v>
      </x:c>
      <x:c r="T536" s="12" t="str">
        <x:v>Pending</x:v>
      </x:c>
      <x:c r="U536" s="12" t="str">
        <x:v>Returned</x:v>
      </x:c>
    </x:row>
    <x:row r="537">
      <x:c r="A537" s="12" t="str">
        <x:v>ORD-2024-10536</x:v>
      </x:c>
      <x:c r="B537" s="12" t="str">
        <x:v>19-05-2024</x:v>
      </x:c>
      <x:c r="C537" s="12" t="str">
        <x:v>21 May 2024</x:v>
      </x:c>
      <x:c r="D537" s="12" t="str">
        <x:v>CUST-1729</x:v>
      </x:c>
      <x:c r="E537" s="12" t="str">
        <x:v>Diya Patel</x:v>
      </x:c>
      <x:c r="F537" s="12" t="str">
        <x:v>Small Business</x:v>
      </x:c>
      <x:c r="G537" s="12" t="str">
        <x:v>West</x:v>
      </x:c>
      <x:c r="H537" s="12" t="str">
        <x:v>Maharashtra</x:v>
      </x:c>
      <x:c r="I537" s="12" t="str">
        <x:v>Mumbai</x:v>
      </x:c>
      <x:c r="J537" s="12" t="str">
        <x:v>Technology</x:v>
      </x:c>
      <x:c r="K537" s="12" t="str">
        <x:v>Copiers</x:v>
      </x:c>
      <x:c r="L537" s="12" t="str">
        <x:v>Eco Copiers 243</x:v>
      </x:c>
      <x:c r="M537" s="12" t="str">
        <x:v>First Class</x:v>
      </x:c>
      <x:c r="N537" s="12" t="n">
        <x:v>3</x:v>
      </x:c>
      <x:c r="O537" s="12" t="n">
        <x:v>4000.98</x:v>
      </x:c>
      <x:c r="P537" s="12" t="n">
        <x:v>0.2</x:v>
      </x:c>
      <x:c r="Q537" s="12" t="n">
        <x:v>9602.35</x:v>
      </x:c>
      <x:c r="R537" s="12" t="n">
        <x:v>7387.57</x:v>
      </x:c>
      <x:c r="S537" s="12" t="n">
        <x:v>2214.78</x:v>
      </x:c>
      <x:c r="T537" s="12" t="str">
        <x:v>Paid</x:v>
      </x:c>
      <x:c r="U537" s="12" t="str">
        <x:v>Completed</x:v>
      </x:c>
    </x:row>
    <x:row r="538">
      <x:c r="A538" s="12" t="str">
        <x:v>ORD-2025-10537</x:v>
      </x:c>
      <x:c r="B538" s="12" t="str">
        <x:v>2025-04-10</x:v>
      </x:c>
      <x:c r="C538" s="12" t="str">
        <x:v>2025-04-17</x:v>
      </x:c>
      <x:c r="D538" s="12" t="str">
        <x:v>CUST-4269</x:v>
      </x:c>
      <x:c r="E538" s="12" t="str">
        <x:v>Ananya Rao</x:v>
      </x:c>
      <x:c r="F538" s="12" t="str">
        <x:v>Small Business</x:v>
      </x:c>
      <x:c r="G538" s="12" t="str">
        <x:v>West</x:v>
      </x:c>
      <x:c r="H538" s="12" t="str">
        <x:v>Rajasthan</x:v>
      </x:c>
      <x:c r="I538" s="12" t="str">
        <x:v>Udaipur</x:v>
      </x:c>
      <x:c r="J538" s="12" t="str">
        <x:v>Furniture</x:v>
      </x:c>
      <x:c r="K538" s="12" t="str">
        <x:v>Chairs</x:v>
      </x:c>
      <x:c r="L538" s="12" t="str">
        <x:v>Elite Chairs 777</x:v>
      </x:c>
      <x:c r="M538" s="12" t="str">
        <x:v>First Class</x:v>
      </x:c>
      <x:c r="N538" s="12" t="n">
        <x:v>7</x:v>
      </x:c>
      <x:c r="O538" s="12" t="n">
        <x:v>3788.9</x:v>
      </x:c>
      <x:c r="P538" s="12" t="n">
        <x:v>0.25</x:v>
      </x:c>
      <x:c r="Q538" s="12" t="n">
        <x:v>19891.72</x:v>
      </x:c>
      <x:c r="R538" s="12" t="n">
        <x:v>12295.76</x:v>
      </x:c>
      <x:c r="S538" s="12" t="n">
        <x:v>7595.96</x:v>
      </x:c>
      <x:c r="T538" s="12" t="str">
        <x:v>Failed</x:v>
      </x:c>
      <x:c r="U538" s="12" t="str">
        <x:v>Cancelled</x:v>
      </x:c>
    </x:row>
    <x:row r="539">
      <x:c r="A539" s="12" t="str">
        <x:v>ORD-2024-10538</x:v>
      </x:c>
      <x:c r="B539" s="12" t="str">
        <x:v>2024-01-22</x:v>
      </x:c>
      <x:c r="C539" s="12" t="str">
        <x:v>2024-01-30</x:v>
      </x:c>
      <x:c r="D539" s="12" t="str">
        <x:v>CUST-1370</x:v>
      </x:c>
      <x:c r="E539" s="12" t="str">
        <x:v>Ananya Rao</x:v>
      </x:c>
      <x:c r="F539" s="12" t="str">
        <x:v>Small Business</x:v>
      </x:c>
      <x:c r="G539" s="12" t="str">
        <x:v>North</x:v>
      </x:c>
      <x:c r="H539" s="12" t="str">
        <x:v>Haryana</x:v>
      </x:c>
      <x:c r="I539" s="12" t="str">
        <x:v>Gurugram</x:v>
      </x:c>
      <x:c r="J539" s="12" t="str">
        <x:v>Office Supplies</x:v>
      </x:c>
      <x:c r="K539" s="12" t="str">
        <x:v>Art</x:v>
      </x:c>
      <x:c r="L539" s="12" t="str">
        <x:v>Classic Art 772</x:v>
      </x:c>
      <x:c r="M539" s="12" t="str">
        <x:v>Same Day</x:v>
      </x:c>
      <x:c r="N539" s="12" t="n">
        <x:v>3</x:v>
      </x:c>
      <x:c r="O539" s="12" t="n">
        <x:v>676.37</x:v>
      </x:c>
      <x:c r="P539" s="12" t="n">
        <x:v>0.05</x:v>
      </x:c>
      <x:c r="Q539" s="12" t="n">
        <x:v>1927.65</x:v>
      </x:c>
      <x:c r="R539" s="12" t="n">
        <x:v>1460.6</x:v>
      </x:c>
      <x:c r="S539" s="12" t="n">
        <x:v>467.05</x:v>
      </x:c>
      <x:c r="T539" s="12" t="str">
        <x:v>Failed</x:v>
      </x:c>
      <x:c r="U539" s="12" t="str">
        <x:v>Cancelled</x:v>
      </x:c>
    </x:row>
    <x:row r="540">
      <x:c r="A540" s="12" t="str">
        <x:v>ORD-2024-10539</x:v>
      </x:c>
      <x:c r="B540" s="12" t="str">
        <x:v>25-09-2024</x:v>
      </x:c>
      <x:c r="C540" s="12" t="str">
        <x:v>01-10-2024</x:v>
      </x:c>
      <x:c r="D540" s="12" t="str">
        <x:v>CUST-5381</x:v>
      </x:c>
      <x:c r="E540" s="12" t="str">
        <x:v>Diya Patel</x:v>
      </x:c>
      <x:c r="F540" s="12" t="str">
        <x:v>Small Business</x:v>
      </x:c>
      <x:c r="G540" s="12" t="str">
        <x:v>East</x:v>
      </x:c>
      <x:c r="H540" s="12" t="str">
        <x:v>Jharkhand</x:v>
      </x:c>
      <x:c r="I540" s="12" t="str">
        <x:v>Ranchi</x:v>
      </x:c>
      <x:c r="J540" s="12" t="str">
        <x:v>Furniture</x:v>
      </x:c>
      <x:c r="K540" s="12" t="str">
        <x:v>Tables</x:v>
      </x:c>
      <x:c r="L540" s="12" t="str">
        <x:v>Elite Tables 888</x:v>
      </x:c>
      <x:c r="M540" s="12" t="str">
        <x:v>Second Class</x:v>
      </x:c>
      <x:c r="N540" s="12" t="n">
        <x:v>9</x:v>
      </x:c>
      <x:c r="O540" s="12" t="n">
        <x:v>3908.6</x:v>
      </x:c>
      <x:c r="P540" s="12" t="n">
        <x:v>0.15</x:v>
      </x:c>
      <x:c r="Q540" s="12" t="n">
        <x:v>29900.79</x:v>
      </x:c>
      <x:c r="R540" s="12" t="n">
        <x:v>24650.67</x:v>
      </x:c>
      <x:c r="S540" s="12" t="n">
        <x:v>5250.12</x:v>
      </x:c>
      <x:c r="T540" s="12" t="str">
        <x:v>Paid</x:v>
      </x:c>
      <x:c r="U540" s="12" t="str">
        <x:v>Completed</x:v>
      </x:c>
    </x:row>
    <x:row r="541">
      <x:c r="A541" s="12" t="str">
        <x:v>ORD-2025-10540</x:v>
      </x:c>
      <x:c r="B541" s="12" t="str">
        <x:v>07/04/2025</x:v>
      </x:c>
      <x:c r="C541" s="12" t="str">
        <x:v>2025-07-04</x:v>
      </x:c>
      <x:c r="D541" s="12" t="str">
        <x:v>CUST-3694</x:v>
      </x:c>
      <x:c r="E541" s="12" t="str">
        <x:v>mira das</x:v>
      </x:c>
      <x:c r="F541" s="12" t="str">
        <x:v>Small Business</x:v>
      </x:c>
      <x:c r="G541" s="12" t="str">
        <x:v>South</x:v>
      </x:c>
      <x:c r="H541" s="12" t="str">
        <x:v>Tamil Nadu</x:v>
      </x:c>
      <x:c r="I541" s="12" t="str">
        <x:v>Chennai</x:v>
      </x:c>
      <x:c r="J541" s="12" t="str">
        <x:v>Furniture</x:v>
      </x:c>
      <x:c r="K541" s="12" t="str">
        <x:v>Chairs</x:v>
      </x:c>
      <x:c r="L541" s="12" t="str">
        <x:v>Classic Chairs 666</x:v>
      </x:c>
      <x:c r="M541" s="12" t="str">
        <x:v>Standard Class</x:v>
      </x:c>
      <x:c r="N541" s="12" t="n">
        <x:v>3</x:v>
      </x:c>
      <x:c r="O541" s="12" t="n">
        <x:v>705.35</x:v>
      </x:c>
      <x:c r="P541" s="12" t="n">
        <x:v>0.1</x:v>
      </x:c>
      <x:c r="Q541" s="12" t="n">
        <x:v>1904.45</x:v>
      </x:c>
      <x:c r="R541" s="12" t="n">
        <x:v>1316.54</x:v>
      </x:c>
      <x:c r="S541" s="12" t="n">
        <x:v>587.91</x:v>
      </x:c>
      <x:c r="T541" s="12" t="str">
        <x:v>Paid</x:v>
      </x:c>
      <x:c r="U541" s="12" t="str">
        <x:v>Cancelled</x:v>
      </x:c>
    </x:row>
    <x:row r="542">
      <x:c r="A542" s="12" t="str">
        <x:v>ORD-2024-10541</x:v>
      </x:c>
      <x:c r="B542" s="12" t="str">
        <x:v>26-02-2024</x:v>
      </x:c>
      <x:c r="C542" s="12" t="str">
        <x:v>23 Feb 2024</x:v>
      </x:c>
      <x:c r="D542" s="12" t="str">
        <x:v>CUST-7563</x:v>
      </x:c>
      <x:c r="E542" s="12" t="str">
        <x:v>Kabir Singh</x:v>
      </x:c>
      <x:c r="F542" s="12" t="str">
        <x:v>Consumer</x:v>
      </x:c>
      <x:c r="G542" s="12" t="str">
        <x:v>West</x:v>
      </x:c>
      <x:c r="H542" s="12" t="str">
        <x:v>Gujarat</x:v>
      </x:c>
      <x:c r="I542" s="12" t="str">
        <x:v>Ahmedabad</x:v>
      </x:c>
      <x:c r="J542" s="12" t="str">
        <x:v>Furniture</x:v>
      </x:c>
      <x:c r="K542" s="12" t="str">
        <x:v>Furnishings</x:v>
      </x:c>
      <x:c r="L542" s="12" t="str">
        <x:v>Basic Furnishings 350</x:v>
      </x:c>
      <x:c r="M542" s="12" t="str">
        <x:v>Standard Class</x:v>
      </x:c>
      <x:c r="N542" s="12" t="n">
        <x:v>7</x:v>
      </x:c>
      <x:c r="O542" s="12" t="n">
        <x:v>3852.07</x:v>
      </x:c>
      <x:c r="P542" s="12" t="n">
        <x:v>0.2</x:v>
      </x:c>
      <x:c r="Q542" s="12" t="n">
        <x:v>21571.59</x:v>
      </x:c>
      <x:c r="R542" s="12" t="n">
        <x:v>17118.07</x:v>
      </x:c>
      <x:c r="S542" s="12" t="n">
        <x:v>4453.52</x:v>
      </x:c>
      <x:c r="T542" s="12" t="str">
        <x:v>Paid</x:v>
      </x:c>
      <x:c r="U542" s="12" t="str">
        <x:v>Completed</x:v>
      </x:c>
    </x:row>
    <x:row r="543">
      <x:c r="A543" s="12" t="str">
        <x:v>ORD-2025-10542</x:v>
      </x:c>
      <x:c r="B543" s="12" t="str">
        <x:v>08-07-2025</x:v>
      </x:c>
      <x:c r="C543" s="12" t="str">
        <x:v>2025-07-09</x:v>
      </x:c>
      <x:c r="D543" s="12" t="str">
        <x:v>CUST-4188</x:v>
      </x:c>
      <x:c r="E543" s="12" t="str">
        <x:v>Sneha Kapoor</x:v>
      </x:c>
      <x:c r="F543" s="12" t="str">
        <x:v>Consumer</x:v>
      </x:c>
      <x:c r="G543" s="12" t="str">
        <x:v>West</x:v>
      </x:c>
      <x:c r="H543" s="12" t="str">
        <x:v>Maharashtra</x:v>
      </x:c>
      <x:c r="I543" s="12" t="str">
        <x:v>Mumbai</x:v>
      </x:c>
      <x:c r="J543" s="12" t="str">
        <x:v>Technology</x:v>
      </x:c>
      <x:c r="K543" s="12" t="str">
        <x:v>Copiers</x:v>
      </x:c>
      <x:c r="L543" s="12" t="str">
        <x:v>Elite Copiers 831</x:v>
      </x:c>
      <x:c r="M543" s="12" t="str">
        <x:v>Same Day</x:v>
      </x:c>
      <x:c r="N543" s="12" t="n">
        <x:v>3</x:v>
      </x:c>
      <x:c r="O543" s="12" t="n">
        <x:v>2880.56</x:v>
      </x:c>
      <x:c r="P543" s="12" t="n">
        <x:v>0</x:v>
      </x:c>
      <x:c r="Q543" s="12" t="n">
        <x:v>8641.68</x:v>
      </x:c>
      <x:c r="R543" s="12" t="n">
        <x:v>5747.09</x:v>
      </x:c>
      <x:c r="S543" s="12" t="n">
        <x:v>2894.59</x:v>
      </x:c>
      <x:c r="T543" s="12" t="str">
        <x:v>Paid</x:v>
      </x:c>
      <x:c r="U543" s="12" t="str">
        <x:v>Returned</x:v>
      </x:c>
    </x:row>
    <x:row r="544">
      <x:c r="A544" s="12" t="str">
        <x:v>ORD-2024-10543</x:v>
      </x:c>
      <x:c r="B544" s="12" t="str">
        <x:v>09/17/2024</x:v>
      </x:c>
      <x:c r="C544" s="12" t="str">
        <x:v>2024-09-23</x:v>
      </x:c>
      <x:c r="D544" s="12" t="str">
        <x:v>CUST-9376</x:v>
      </x:c>
      <x:c r="E544" s="12" t="str">
        <x:v>Rahul Verma</x:v>
      </x:c>
      <x:c r="F544" s="12" t="str">
        <x:v>Home Office</x:v>
      </x:c>
      <x:c r="G544" s="12" t="str">
        <x:v>South</x:v>
      </x:c>
      <x:c r="H544" s="12" t="str">
        <x:v>Kerala</x:v>
      </x:c>
      <x:c r="I544" s="12" t="str">
        <x:v>Kochi</x:v>
      </x:c>
      <x:c r="J544" s="12" t="str">
        <x:v>Furniture</x:v>
      </x:c>
      <x:c r="K544" s="12" t="str">
        <x:v>Bookcases</x:v>
      </x:c>
      <x:c r="L544" s="12" t="str">
        <x:v>Eco Bookcases 759</x:v>
      </x:c>
      <x:c r="M544" s="12" t="str">
        <x:v>Second Class</x:v>
      </x:c>
      <x:c r="N544" s="12" t="n">
        <x:v>3</x:v>
      </x:c>
      <x:c r="O544" s="12" t="n">
        <x:v>4067.62</x:v>
      </x:c>
      <x:c r="P544" s="12" t="n">
        <x:v>0.2</x:v>
      </x:c>
      <x:c r="Q544" s="12" t="n">
        <x:v>9988.53</x:v>
      </x:c>
      <x:c r="R544" s="12" t="n">
        <x:v>8368.24</x:v>
      </x:c>
      <x:c r="S544" s="12" t="n">
        <x:v>1394.05</x:v>
      </x:c>
      <x:c r="T544" s="12" t="str">
        <x:v>Paid</x:v>
      </x:c>
      <x:c r="U544" s="12" t="str">
        <x:v>CANCELLED</x:v>
      </x:c>
    </x:row>
    <x:row r="545">
      <x:c r="A545" s="12" t="str">
        <x:v>ORD-2024-10544</x:v>
      </x:c>
      <x:c r="B545" s="12" t="str">
        <x:v>2024-07-14</x:v>
      </x:c>
      <x:c r="C545" s="12" t="str">
        <x:v>20-07-2024</x:v>
      </x:c>
      <x:c r="D545" s="12" t="str">
        <x:v>CUST-9094</x:v>
      </x:c>
      <x:c r="E545" s="12" t="str">
        <x:v>Mira Das</x:v>
      </x:c>
      <x:c r="F545" s="12" t="str">
        <x:v>Consumer</x:v>
      </x:c>
      <x:c r="G545" s="12" t="str">
        <x:v>East</x:v>
      </x:c>
      <x:c r="H545" s="12" t="str">
        <x:v>Bihar</x:v>
      </x:c>
      <x:c r="I545" s="12" t="str">
        <x:v>Patna</x:v>
      </x:c>
      <x:c r="J545" s="12" t="str">
        <x:v>Technology</x:v>
      </x:c>
      <x:c r="K545" s="12" t="str">
        <x:v>Copiers</x:v>
      </x:c>
      <x:c r="L545" s="12" t="str">
        <x:v>Max Copiers 440</x:v>
      </x:c>
      <x:c r="M545" s="12" t="str">
        <x:v>Same Day</x:v>
      </x:c>
      <x:c r="N545" s="12" t="n">
        <x:v>1</x:v>
      </x:c>
      <x:c r="O545" s="12" t="n">
        <x:v>492.67</x:v>
      </x:c>
      <x:c r="P545" s="12" t="n">
        <x:v>0.15</x:v>
      </x:c>
      <x:c r="Q545" s="12" t="n">
        <x:v>418.77</x:v>
      </x:c>
      <x:c r="R545" s="12" t="n">
        <x:v>313.72</x:v>
      </x:c>
      <x:c r="S545" s="12" t="n">
        <x:v>105.05</x:v>
      </x:c>
      <x:c r="T545" s="12" t="str">
        <x:v>Paid</x:v>
      </x:c>
      <x:c r="U545" s="12" t="str">
        <x:v>Completed</x:v>
      </x:c>
    </x:row>
    <x:row r="546">
      <x:c r="A546" s="12" t="str">
        <x:v>ORD-2025-10545</x:v>
      </x:c>
      <x:c r="B546" s="12" t="str">
        <x:v>2025-01-29</x:v>
      </x:c>
      <x:c r="C546" s="12" t="str">
        <x:v>02/05/2025</x:v>
      </x:c>
      <x:c r="D546" s="12" t="str">
        <x:v>CUST-2366</x:v>
      </x:c>
      <x:c r="E546" s="12" t="str">
        <x:v>Ananya Rao</x:v>
      </x:c>
      <x:c r="F546" s="12" t="str">
        <x:v>Consumer</x:v>
      </x:c>
      <x:c r="G546" s="12" t="str">
        <x:v>South</x:v>
      </x:c>
      <x:c r="H546" s="12" t="str">
        <x:v>Kerala</x:v>
      </x:c>
      <x:c r="I546" s="12" t="str">
        <x:v>Kochi</x:v>
      </x:c>
      <x:c r="J546" s="12" t="str">
        <x:v>Office Supplies</x:v>
      </x:c>
      <x:c r="K546" s="12" t="str">
        <x:v>Art</x:v>
      </x:c>
      <x:c r="L546" s="12" t="str">
        <x:v>Smart Art 201</x:v>
      </x:c>
      <x:c r="M546" s="12" t="str">
        <x:v>Same Day</x:v>
      </x:c>
      <x:c r="N546" s="12" t="n">
        <x:v>8</x:v>
      </x:c>
      <x:c r="O546" s="12" t="n">
        <x:v>3643.62</x:v>
      </x:c>
      <x:c r="P546" s="12" t="n">
        <x:v>0.25</x:v>
      </x:c>
      <x:c r="Q546" s="12" t="n">
        <x:v>21861.72</x:v>
      </x:c>
      <x:c r="R546" s="12" t="n">
        <x:v>18464.34</x:v>
      </x:c>
      <x:c r="S546" s="12" t="n">
        <x:v>3397.38</x:v>
      </x:c>
      <x:c r="T546" s="12" t="str">
        <x:v>Paid</x:v>
      </x:c>
      <x:c r="U546" s="12" t="str">
        <x:v>Cancelled</x:v>
      </x:c>
    </x:row>
    <x:row r="547">
      <x:c r="A547" s="12" t="str">
        <x:v>ORD-2024-10546</x:v>
      </x:c>
      <x:c r="B547" s="12" t="str">
        <x:v>05/27/2024</x:v>
      </x:c>
      <x:c r="C547" s="12" t="str">
        <x:v>30 May 2024</x:v>
      </x:c>
      <x:c r="D547" s="12" t="str">
        <x:v>CUST-7168</x:v>
      </x:c>
      <x:c r="E547" s="12" t="str">
        <x:v>Kabir Singh</x:v>
      </x:c>
      <x:c r="F547" s="12" t="str">
        <x:v>Small Business</x:v>
      </x:c>
      <x:c r="G547" s="12" t="str">
        <x:v>East</x:v>
      </x:c>
      <x:c r="H547" s="12" t="str">
        <x:v>Jharkhand</x:v>
      </x:c>
      <x:c r="I547" s="12" t="str">
        <x:v>Ranchi</x:v>
      </x:c>
      <x:c r="J547" s="12" t="str">
        <x:v>Office Supplies</x:v>
      </x:c>
      <x:c r="K547" s="12" t="str">
        <x:v>Storage</x:v>
      </x:c>
      <x:c r="L547" s="12" t="str">
        <x:v>Classic Storage 755</x:v>
      </x:c>
      <x:c r="M547" s="12" t="str">
        <x:v>Same Day</x:v>
      </x:c>
      <x:c r="N547" s="12" t="n">
        <x:v>7</x:v>
      </x:c>
      <x:c r="O547" s="12" t="n">
        <x:v>2900.86</x:v>
      </x:c>
      <x:c r="P547" s="12" t="n">
        <x:v>0.15</x:v>
      </x:c>
      <x:c r="Q547" s="12" t="n">
        <x:v>17260.12</x:v>
      </x:c>
      <x:c r="R547" s="12" t="n">
        <x:v>13513.51</x:v>
      </x:c>
      <x:c r="S547" s="12" t="n">
        <x:v>3746.61</x:v>
      </x:c>
      <x:c r="T547" s="12" t="str">
        <x:v>Paid</x:v>
      </x:c>
      <x:c r="U547" s="12" t="str">
        <x:v>Completed</x:v>
      </x:c>
    </x:row>
    <x:row r="548">
      <x:c r="A548" s="12" t="str">
        <x:v>ORD-2025-10547</x:v>
      </x:c>
      <x:c r="B548" s="12" t="str">
        <x:v>2025-08-14</x:v>
      </x:c>
      <x:c r="C548" s="12" t="str">
        <x:v>22 Aug 2025</x:v>
      </x:c>
      <x:c r="D548" s="12" t="str">
        <x:v>CUST-8157</x:v>
      </x:c>
      <x:c r="E548" s="12" t="str">
        <x:v>Arjun Bose</x:v>
      </x:c>
      <x:c r="F548" s="12" t="str">
        <x:v>Corporate</x:v>
      </x:c>
      <x:c r="G548" s="12" t="str">
        <x:v>West</x:v>
      </x:c>
      <x:c r="H548" s="12" t="str">
        <x:v>Gujarat</x:v>
      </x:c>
      <x:c r="I548" s="12" t="str">
        <x:v>Ahmedabad</x:v>
      </x:c>
      <x:c r="J548" s="12" t="str">
        <x:v>office supplies</x:v>
      </x:c>
      <x:c r="K548" s="12" t="str">
        <x:v>Paper</x:v>
      </x:c>
      <x:c r="L548" s="12" t="str">
        <x:v>Prime Paper 143</x:v>
      </x:c>
      <x:c r="M548" s="12" t="str">
        <x:v>First Class</x:v>
      </x:c>
      <x:c r="N548" s="12" t="n">
        <x:v>5</x:v>
      </x:c>
      <x:c r="O548" s="12" t="n">
        <x:v>2567.37</x:v>
      </x:c>
      <x:c r="P548" s="12" t="n">
        <x:v>0.15</x:v>
      </x:c>
      <x:c r="Q548" s="12" t="n">
        <x:v>10911.32</x:v>
      </x:c>
      <x:c r="R548" s="12" t="n">
        <x:v>6966.44</x:v>
      </x:c>
      <x:c r="S548" s="12" t="n">
        <x:v>4395.17</x:v>
      </x:c>
      <x:c r="T548" s="12" t="str">
        <x:v>Paid</x:v>
      </x:c>
      <x:c r="U548" s="12" t="str">
        <x:v>Completed</x:v>
      </x:c>
    </x:row>
    <x:row r="549">
      <x:c r="A549" s="12" t="str">
        <x:v>ORD-2024-10548</x:v>
      </x:c>
      <x:c r="B549" s="12" t="str">
        <x:v>16 May 2024</x:v>
      </x:c>
      <x:c r="C549" s="12" t="str">
        <x:v>23 May 2024</x:v>
      </x:c>
      <x:c r="D549" s="12" t="str">
        <x:v>CUST-9146</x:v>
      </x:c>
      <x:c r="E549" s="12" t="str">
        <x:v>Neha Gupta</x:v>
      </x:c>
      <x:c r="F549" s="12" t="str">
        <x:v>Small Business</x:v>
      </x:c>
      <x:c r="G549" s="12" t="str">
        <x:v>North</x:v>
      </x:c>
      <x:c r="H549" s="12" t="str">
        <x:v>Uttar Pradesh</x:v>
      </x:c>
      <x:c r="I549" s="12" t="str">
        <x:v>Noida</x:v>
      </x:c>
      <x:c r="J549" s="12" t="str">
        <x:v>Technology</x:v>
      </x:c>
      <x:c r="K549" s="12" t="str">
        <x:v>Copiers</x:v>
      </x:c>
      <x:c r="L549" s="12" t="str">
        <x:v>Max Copiers 607</x:v>
      </x:c>
      <x:c r="M549" s="12" t="str">
        <x:v>Standard Class</x:v>
      </x:c>
      <x:c r="N549" s="12" t="n">
        <x:v>9</x:v>
      </x:c>
      <x:c r="O549" s="12" t="n">
        <x:v>3722.09</x:v>
      </x:c>
      <x:c r="P549" s="12" t="n">
        <x:v>0.1</x:v>
      </x:c>
      <x:c r="Q549" s="12" t="n">
        <x:v>30148.93</x:v>
      </x:c>
      <x:c r="R549" s="12" t="n">
        <x:v>25155.07</x:v>
      </x:c>
      <x:c r="S549" s="12" t="n">
        <x:v>4993.86</x:v>
      </x:c>
      <x:c r="T549" s="12" t="str">
        <x:v>Paid</x:v>
      </x:c>
      <x:c r="U549" s="12" t="str">
        <x:v>Completed</x:v>
      </x:c>
    </x:row>
    <x:row r="550">
      <x:c r="A550" s="12" t="str">
        <x:v>ORD-2024-10549</x:v>
      </x:c>
      <x:c r="B550" s="12" t="str">
        <x:v>29 May 2024</x:v>
      </x:c>
      <x:c r="C550" s="12" t="str">
        <x:v>29-05-2024</x:v>
      </x:c>
      <x:c r="D550" s="12" t="str">
        <x:v>CUST-5129</x:v>
      </x:c>
      <x:c r="E550" s="12" t="str">
        <x:v>Rohan Mehta</x:v>
      </x:c>
      <x:c r="F550" s="12" t="str">
        <x:v>Corporate</x:v>
      </x:c>
      <x:c r="G550" s="12" t="str">
        <x:v>East</x:v>
      </x:c>
      <x:c r="H550" s="12" t="str">
        <x:v>Bihar</x:v>
      </x:c>
      <x:c r="I550" s="12" t="str">
        <x:v>Patna</x:v>
      </x:c>
      <x:c r="J550" s="12" t="str">
        <x:v>Furniture</x:v>
      </x:c>
      <x:c r="K550" s="12" t="str">
        <x:v>Bookcases</x:v>
      </x:c>
      <x:c r="L550" s="12" t="str">
        <x:v>Prime Bookcases 402</x:v>
      </x:c>
      <x:c r="M550" s="12" t="str">
        <x:v>Same Day</x:v>
      </x:c>
      <x:c r="N550" s="12" t="n">
        <x:v>1</x:v>
      </x:c>
      <x:c r="O550" s="12" t="n">
        <x:v>1072.01</x:v>
      </x:c>
      <x:c r="P550" s="12" t="n">
        <x:v>0</x:v>
      </x:c>
      <x:c r="Q550" s="12" t="n">
        <x:v>1072.01</x:v>
      </x:c>
      <x:c r="R550" s="12" t="n">
        <x:v>852.62</x:v>
      </x:c>
      <x:c r="S550" s="12" t="n">
        <x:v>219.39</x:v>
      </x:c>
      <x:c r="T550" s="12" t="str">
        <x:v>Pending</x:v>
      </x:c>
      <x:c r="U550" s="12" t="str">
        <x:v>Cancelled</x:v>
      </x:c>
    </x:row>
    <x:row r="551">
      <x:c r="A551" s="12" t="str">
        <x:v>ORD-2025-10550</x:v>
      </x:c>
      <x:c r="B551" s="12" t="str">
        <x:v>10/11/2025</x:v>
      </x:c>
      <x:c r="C551" s="12" t="str">
        <x:v>13 Oct 2025</x:v>
      </x:c>
      <x:c r="D551" s="12" t="str">
        <x:v>CUST-6028</x:v>
      </x:c>
      <x:c r="E551" s="12" t="str">
        <x:v>Mira Das</x:v>
      </x:c>
      <x:c r="F551" s="12" t="str">
        <x:v>Corporate</x:v>
      </x:c>
      <x:c r="G551" s="12" t="str">
        <x:v>South</x:v>
      </x:c>
      <x:c r="H551" s="12" t="str">
        <x:v>Telangana</x:v>
      </x:c>
      <x:c r="I551" s="12" t="str">
        <x:v>Hyderabad</x:v>
      </x:c>
      <x:c r="J551" s="12" t="str">
        <x:v>Office Supplies</x:v>
      </x:c>
      <x:c r="K551" s="12" t="str">
        <x:v>Art</x:v>
      </x:c>
      <x:c r="L551" s="12" t="str">
        <x:v>Pro Art 287</x:v>
      </x:c>
      <x:c r="M551" s="12" t="str">
        <x:v>Second Class</x:v>
      </x:c>
      <x:c r="N551" s="12" t="n">
        <x:v>3</x:v>
      </x:c>
      <x:c r="O551" s="12" t="n">
        <x:v>3804.27</x:v>
      </x:c>
      <x:c r="P551" s="12" t="n">
        <x:v>0.1</x:v>
      </x:c>
      <x:c r="Q551" s="12" t="n">
        <x:v>10271.53</x:v>
      </x:c>
      <x:c r="R551" s="12" t="n">
        <x:v>8272.24</x:v>
      </x:c>
      <x:c r="S551" s="12" t="n">
        <x:v>1999.29</x:v>
      </x:c>
      <x:c r="T551" s="12" t="str">
        <x:v>Paid</x:v>
      </x:c>
      <x:c r="U551" s="12" t="str">
        <x:v>Completed</x:v>
      </x:c>
    </x:row>
    <x:row r="552">
      <x:c r="A552" s="12" t="str">
        <x:v>ORD-2024-10551</x:v>
      </x:c>
      <x:c r="B552" s="12" t="str">
        <x:v>02-08-2024</x:v>
      </x:c>
      <x:c r="C552" s="12" t="str">
        <x:v>08/10/2024</x:v>
      </x:c>
      <x:c r="D552" s="12" t="str">
        <x:v>CUST-8687</x:v>
      </x:c>
      <x:c r="E552" s="12" t="str">
        <x:v>Mira Das</x:v>
      </x:c>
      <x:c r="F552" s="12" t="str">
        <x:v>Home Office</x:v>
      </x:c>
      <x:c r="G552" s="12" t="str">
        <x:v>East</x:v>
      </x:c>
      <x:c r="H552" s="12" t="str">
        <x:v>Odisha</x:v>
      </x:c>
      <x:c r="I552" s="12" t="str">
        <x:v>Bhubaneswar</x:v>
      </x:c>
      <x:c r="J552" s="12" t="str">
        <x:v>Technology</x:v>
      </x:c>
      <x:c r="K552" s="12" t="str">
        <x:v>Accessories</x:v>
      </x:c>
      <x:c r="L552" s="12" t="str">
        <x:v>Max Accessories 591</x:v>
      </x:c>
      <x:c r="M552" s="12" t="str">
        <x:v>Standard Class</x:v>
      </x:c>
      <x:c r="N552" s="12" t="n">
        <x:v>6</x:v>
      </x:c>
      <x:c r="O552" s="12" t="n">
        <x:v>2126.44</x:v>
      </x:c>
      <x:c r="P552" s="12" t="n">
        <x:v>0.2</x:v>
      </x:c>
      <x:c r="Q552" s="12" t="n">
        <x:v>10206.91</x:v>
      </x:c>
      <x:c r="R552" s="12" t="n">
        <x:v>6764.53</x:v>
      </x:c>
      <x:c r="S552" s="12" t="n">
        <x:v>3442.38</x:v>
      </x:c>
      <x:c r="T552" s="12" t="str">
        <x:v>Paid</x:v>
      </x:c>
      <x:c r="U552" s="12" t="str">
        <x:v>Completed</x:v>
      </x:c>
    </x:row>
    <x:row r="553">
      <x:c r="A553" s="12" t="str">
        <x:v>ORD-2024-10552</x:v>
      </x:c>
      <x:c r="B553" s="12" t="str">
        <x:v>27-02-2024</x:v>
      </x:c>
      <x:c r="C553" s="12" t="str">
        <x:v>2024-02-27</x:v>
      </x:c>
      <x:c r="D553" s="12" t="str">
        <x:v>CUST-8172</x:v>
      </x:c>
      <x:c r="E553" s="12" t="str">
        <x:v>Sneha Kapoor</x:v>
      </x:c>
      <x:c r="F553" s="12" t="str">
        <x:v>Consumer</x:v>
      </x:c>
      <x:c r="G553" s="12" t="str">
        <x:v>East</x:v>
      </x:c>
      <x:c r="H553" s="12" t="str">
        <x:v>Jharkhand</x:v>
      </x:c>
      <x:c r="I553" s="12" t="str">
        <x:v>Ranchi</x:v>
      </x:c>
      <x:c r="J553" s="12" t="str">
        <x:v>Furniture</x:v>
      </x:c>
      <x:c r="K553" s="12" t="str">
        <x:v>Chairs</x:v>
      </x:c>
      <x:c r="L553" s="12" t="str">
        <x:v>Elite Chairs 314</x:v>
      </x:c>
      <x:c r="M553" s="12" t="str">
        <x:v>Second Class</x:v>
      </x:c>
      <x:c r="N553" s="12" t="n">
        <x:v>3</x:v>
      </x:c>
      <x:c r="O553" s="12" t="n">
        <x:v>3148.09</x:v>
      </x:c>
      <x:c r="P553" s="12" t="n">
        <x:v>0.15</x:v>
      </x:c>
      <x:c r="Q553" s="12" t="n">
        <x:v>8027.63</x:v>
      </x:c>
      <x:c r="R553" s="12" t="n">
        <x:v>5496.09</x:v>
      </x:c>
      <x:c r="S553" s="12" t="n">
        <x:v>2531.54</x:v>
      </x:c>
      <x:c r="T553" s="12" t="str">
        <x:v>Paid</x:v>
      </x:c>
      <x:c r="U553" s="12" t="str">
        <x:v>Completed</x:v>
      </x:c>
    </x:row>
    <x:row r="554">
      <x:c r="A554" s="12" t="str">
        <x:v>ORD-2025-10553</x:v>
      </x:c>
      <x:c r="B554" s="12" t="str">
        <x:v>24-01-2025</x:v>
      </x:c>
      <x:c r="C554" s="12" t="str">
        <x:v>30 Jan 2025</x:v>
      </x:c>
      <x:c r="D554" s="12" t="str">
        <x:v>CUST-8861</x:v>
      </x:c>
      <x:c r="E554" s="12" t="str">
        <x:v>Ananya Rao</x:v>
      </x:c>
      <x:c r="F554" s="12" t="str">
        <x:v>Corporate</x:v>
      </x:c>
      <x:c r="G554" s="12" t="str">
        <x:v>East</x:v>
      </x:c>
      <x:c r="H554" s="12" t="str">
        <x:v>West Bengal</x:v>
      </x:c>
      <x:c r="I554" s="12" t="str">
        <x:v>Kolkata</x:v>
      </x:c>
      <x:c r="J554" s="12" t="str">
        <x:v>Technology</x:v>
      </x:c>
      <x:c r="K554" s="12" t="str">
        <x:v>Copiers</x:v>
      </x:c>
      <x:c r="L554" s="12" t="str">
        <x:v>Pro Copiers 246</x:v>
      </x:c>
      <x:c r="M554" s="12" t="str">
        <x:v>Standard Class</x:v>
      </x:c>
      <x:c r="N554" s="12" t="n">
        <x:v>8</x:v>
      </x:c>
      <x:c r="O554" s="12" t="n">
        <x:v>312.53</x:v>
      </x:c>
      <x:c r="P554" s="12" t="str">
        <x:v>70%</x:v>
      </x:c>
      <x:c r="Q554" s="12" t="n">
        <x:v>1875.18</x:v>
      </x:c>
      <x:c r="R554" s="12" t="n">
        <x:v>1579.17</x:v>
      </x:c>
      <x:c r="S554" s="12" t="n">
        <x:v>296.01</x:v>
      </x:c>
      <x:c r="T554" s="12" t="str">
        <x:v>Paid</x:v>
      </x:c>
      <x:c r="U554" s="12" t="str">
        <x:v>Completed</x:v>
      </x:c>
    </x:row>
    <x:row r="555">
      <x:c r="A555" s="12" t="str">
        <x:v>ORD-2025-10554</x:v>
      </x:c>
      <x:c r="B555" s="12" t="str">
        <x:v>04/25/2025</x:v>
      </x:c>
      <x:c r="C555" s="12" t="str">
        <x:v>2025-04-28</x:v>
      </x:c>
      <x:c r="D555" s="12" t="str">
        <x:v>CUST-9241</x:v>
      </x:c>
      <x:c r="E555" s="12" t="str">
        <x:v>Aarav Sharma</x:v>
      </x:c>
      <x:c r="F555" s="12" t="str">
        <x:v>Small Business</x:v>
      </x:c>
      <x:c r="G555" s="12" t="str">
        <x:v>West</x:v>
      </x:c>
      <x:c r="H555" s="12" t="str">
        <x:v>Gujarat</x:v>
      </x:c>
      <x:c r="I555" s="12" t="str">
        <x:v>Ahmedabad</x:v>
      </x:c>
      <x:c r="J555" s="12" t="str">
        <x:v>Office Supplies</x:v>
      </x:c>
      <x:c r="K555" s="12" t="str">
        <x:v>Storage</x:v>
      </x:c>
      <x:c r="L555" s="12" t="str">
        <x:v>Pro Storage 128</x:v>
      </x:c>
      <x:c r="M555" s="12" t="str">
        <x:v>First Class</x:v>
      </x:c>
      <x:c r="N555" s="12" t="n">
        <x:v>9</x:v>
      </x:c>
      <x:c r="O555" s="12" t="n">
        <x:v>1294.11</x:v>
      </x:c>
      <x:c r="P555" s="12" t="n">
        <x:v>0.25</x:v>
      </x:c>
      <x:c r="Q555" s="12" t="n">
        <x:v>8735.24</x:v>
      </x:c>
      <x:c r="R555" s="12" t="n">
        <x:v>6620.07</x:v>
      </x:c>
      <x:c r="S555" s="12" t="n">
        <x:v>2115.17</x:v>
      </x:c>
      <x:c r="T555" s="12" t="str">
        <x:v>Paid</x:v>
      </x:c>
      <x:c r="U555" s="12" t="str">
        <x:v>Completed</x:v>
      </x:c>
    </x:row>
    <x:row r="556">
      <x:c r="A556" s="12" t="str">
        <x:v>ORD-2024-10555</x:v>
      </x:c>
      <x:c r="B556" s="12" t="str">
        <x:v>2024-10-12</x:v>
      </x:c>
      <x:c r="C556" s="12" t="str">
        <x:v>17 Oct 2024</x:v>
      </x:c>
      <x:c r="D556" s="12" t="str">
        <x:v>CUST-2126</x:v>
      </x:c>
      <x:c r="E556" s="12" t="str">
        <x:v>Arjun Bose</x:v>
      </x:c>
      <x:c r="F556" s="12" t="str">
        <x:v>Consumer</x:v>
      </x:c>
      <x:c r="G556" s="12"/>
      <x:c r="H556" s="12" t="str">
        <x:v>Jharkhand</x:v>
      </x:c>
      <x:c r="I556" s="12" t="str">
        <x:v>Ranchi</x:v>
      </x:c>
      <x:c r="J556" s="12" t="str">
        <x:v>Furniture</x:v>
      </x:c>
      <x:c r="K556" s="12" t="str">
        <x:v>Furnishings</x:v>
      </x:c>
      <x:c r="L556" s="12" t="str">
        <x:v>Prime Furnishings 892</x:v>
      </x:c>
      <x:c r="M556" s="12" t="str">
        <x:v>Standard Class</x:v>
      </x:c>
      <x:c r="N556" s="12" t="n">
        <x:v>4</x:v>
      </x:c>
      <x:c r="O556" s="12" t="n">
        <x:v>1071.22</x:v>
      </x:c>
      <x:c r="P556" s="12" t="n">
        <x:v>0.05</x:v>
      </x:c>
      <x:c r="Q556" s="12" t="n">
        <x:v>4070.64</x:v>
      </x:c>
      <x:c r="R556" s="12" t="n">
        <x:v>2831.62</x:v>
      </x:c>
      <x:c r="S556" s="12" t="n">
        <x:v>1239.02</x:v>
      </x:c>
      <x:c r="T556" s="12" t="str">
        <x:v>Paid</x:v>
      </x:c>
      <x:c r="U556" s="12" t="str">
        <x:v>Completed</x:v>
      </x:c>
    </x:row>
    <x:row r="557">
      <x:c r="A557" s="12" t="str">
        <x:v>ORD-2025-10556</x:v>
      </x:c>
      <x:c r="B557" s="12" t="str">
        <x:v>04-02-2025</x:v>
      </x:c>
      <x:c r="C557" s="12" t="str">
        <x:v>10 Feb 2025</x:v>
      </x:c>
      <x:c r="D557" s="12" t="str">
        <x:v>CUST-7513</x:v>
      </x:c>
      <x:c r="E557" s="12" t="str">
        <x:v>Ananya Rao</x:v>
      </x:c>
      <x:c r="F557" s="12" t="str">
        <x:v>Small Business</x:v>
      </x:c>
      <x:c r="G557" s="12" t="str">
        <x:v>South</x:v>
      </x:c>
      <x:c r="H557" s="12" t="str">
        <x:v>Telangana</x:v>
      </x:c>
      <x:c r="I557" s="12" t="str">
        <x:v>Hyderabad</x:v>
      </x:c>
      <x:c r="J557" s="12" t="str">
        <x:v>Office Supplies</x:v>
      </x:c>
      <x:c r="K557" s="12" t="str">
        <x:v>Storage</x:v>
      </x:c>
      <x:c r="L557" s="12" t="str">
        <x:v>Prime Storage 689</x:v>
      </x:c>
      <x:c r="M557" s="12" t="str">
        <x:v>Standard Class</x:v>
      </x:c>
      <x:c r="N557" s="12" t="n">
        <x:v>6</x:v>
      </x:c>
      <x:c r="O557" s="12" t="n">
        <x:v>1042.8</x:v>
      </x:c>
      <x:c r="P557" s="12" t="n">
        <x:v>0.05</x:v>
      </x:c>
      <x:c r="Q557" s="12" t="n">
        <x:v>5943.96</x:v>
      </x:c>
      <x:c r="R557" s="12" t="n">
        <x:v>3604.14</x:v>
      </x:c>
      <x:c r="S557" s="12" t="n">
        <x:v>2339.82</x:v>
      </x:c>
      <x:c r="T557" s="12" t="str">
        <x:v>Paid</x:v>
      </x:c>
      <x:c r="U557" s="12" t="str">
        <x:v>Completed</x:v>
      </x:c>
    </x:row>
    <x:row r="558">
      <x:c r="A558" s="12" t="str">
        <x:v>ORD-2024-10557</x:v>
      </x:c>
      <x:c r="B558" s="12" t="str">
        <x:v>23 Jun 2024</x:v>
      </x:c>
      <x:c r="C558" s="12" t="str">
        <x:v>2024-06-29</x:v>
      </x:c>
      <x:c r="D558" s="12" t="str">
        <x:v>CUST-1992</x:v>
      </x:c>
      <x:c r="E558" s="12" t="str">
        <x:v>Neha Gupta</x:v>
      </x:c>
      <x:c r="F558" s="12" t="str">
        <x:v>Consumer</x:v>
      </x:c>
      <x:c r="G558" s="12" t="str">
        <x:v>North</x:v>
      </x:c>
      <x:c r="H558" s="12" t="str">
        <x:v>Haryana</x:v>
      </x:c>
      <x:c r="I558" s="12" t="str">
        <x:v>Gurugram</x:v>
      </x:c>
      <x:c r="J558" s="12" t="str">
        <x:v>Furniture</x:v>
      </x:c>
      <x:c r="K558" s="12" t="str">
        <x:v>Tables</x:v>
      </x:c>
      <x:c r="L558" s="12" t="str">
        <x:v>Classic Tables 769</x:v>
      </x:c>
      <x:c r="M558" s="12" t="str">
        <x:v>First Class</x:v>
      </x:c>
      <x:c r="N558" s="12" t="n">
        <x:v>1</x:v>
      </x:c>
      <x:c r="O558" s="12" t="n">
        <x:v>4426.66</x:v>
      </x:c>
      <x:c r="P558" s="12" t="n">
        <x:v>0</x:v>
      </x:c>
      <x:c r="Q558" s="12" t="n">
        <x:v>4426.66</x:v>
      </x:c>
      <x:c r="R558" s="12" t="n">
        <x:v>3035.2</x:v>
      </x:c>
      <x:c r="S558" s="12" t="n">
        <x:v>1816.23</x:v>
      </x:c>
      <x:c r="T558" s="12" t="str">
        <x:v>Paid</x:v>
      </x:c>
      <x:c r="U558" s="12" t="str">
        <x:v>Returned</x:v>
      </x:c>
    </x:row>
    <x:row r="559">
      <x:c r="A559" s="12" t="str">
        <x:v>ORD-2024-10558</x:v>
      </x:c>
      <x:c r="B559" s="12" t="str">
        <x:v>2024-05-08</x:v>
      </x:c>
      <x:c r="C559" s="12" t="str">
        <x:v>14-05-2024</x:v>
      </x:c>
      <x:c r="D559" s="12" t="str">
        <x:v>CUST-8848</x:v>
      </x:c>
      <x:c r="E559" s="12" t="str">
        <x:v>Vikram Iyer</x:v>
      </x:c>
      <x:c r="F559" s="12" t="str">
        <x:v>Home Office</x:v>
      </x:c>
      <x:c r="G559" s="12" t="str">
        <x:v>North</x:v>
      </x:c>
      <x:c r="H559" s="12" t="str">
        <x:v>Haryana</x:v>
      </x:c>
      <x:c r="I559" s="12" t="str">
        <x:v>Gurugram</x:v>
      </x:c>
      <x:c r="J559" s="12" t="str">
        <x:v>Technology</x:v>
      </x:c>
      <x:c r="K559" s="12" t="str">
        <x:v>Phones</x:v>
      </x:c>
      <x:c r="L559" s="12" t="str">
        <x:v>Prime Phones 503</x:v>
      </x:c>
      <x:c r="M559" s="12" t="str">
        <x:v>First Class</x:v>
      </x:c>
      <x:c r="N559" s="12" t="n">
        <x:v>9</x:v>
      </x:c>
      <x:c r="O559" s="12" t="n">
        <x:v>3769.46</x:v>
      </x:c>
      <x:c r="P559" s="12" t="n">
        <x:v>0.05</x:v>
      </x:c>
      <x:c r="Q559" s="12" t="n">
        <x:v>32228.88</x:v>
      </x:c>
      <x:c r="R559" s="12" t="n">
        <x:v>24971.36</x:v>
      </x:c>
      <x:c r="S559" s="12" t="n">
        <x:v>7257.52</x:v>
      </x:c>
      <x:c r="T559" s="12" t="str">
        <x:v>Paid</x:v>
      </x:c>
      <x:c r="U559" s="12" t="str">
        <x:v>Cancelled</x:v>
      </x:c>
    </x:row>
    <x:row r="560">
      <x:c r="A560" s="12" t="str">
        <x:v>ORD-2025-10559</x:v>
      </x:c>
      <x:c r="B560" s="12" t="str">
        <x:v>2025-09-04</x:v>
      </x:c>
      <x:c r="C560" s="12" t="str">
        <x:v>09/04/2025</x:v>
      </x:c>
      <x:c r="D560" s="12" t="str">
        <x:v>CUST-9368</x:v>
      </x:c>
      <x:c r="E560" s="12" t="str">
        <x:v>Aditi Sen</x:v>
      </x:c>
      <x:c r="F560" s="12" t="str">
        <x:v>Corporate</x:v>
      </x:c>
      <x:c r="G560" s="12" t="str">
        <x:v>North</x:v>
      </x:c>
      <x:c r="H560" s="12" t="str">
        <x:v>Punjab</x:v>
      </x:c>
      <x:c r="I560" s="12" t="str">
        <x:v>Ludhiana</x:v>
      </x:c>
      <x:c r="J560" s="12" t="str">
        <x:v>Technology</x:v>
      </x:c>
      <x:c r="K560" s="12" t="str">
        <x:v>Machines</x:v>
      </x:c>
      <x:c r="L560" s="12" t="str">
        <x:v>Basic Machines 136</x:v>
      </x:c>
      <x:c r="M560" s="12" t="str">
        <x:v>First Class</x:v>
      </x:c>
      <x:c r="N560" s="12" t="n">
        <x:v>8</x:v>
      </x:c>
      <x:c r="O560" s="12" t="n">
        <x:v>3079.95</x:v>
      </x:c>
      <x:c r="P560" s="12" t="n">
        <x:v>0.2</x:v>
      </x:c>
      <x:c r="Q560" s="12" t="n">
        <x:v>19711.68</x:v>
      </x:c>
      <x:c r="R560" s="12" t="n">
        <x:v>14461.8</x:v>
      </x:c>
      <x:c r="S560" s="12" t="n">
        <x:v>5249.88</x:v>
      </x:c>
      <x:c r="T560" s="12" t="str">
        <x:v>Paid</x:v>
      </x:c>
      <x:c r="U560" s="12" t="str">
        <x:v>Completed</x:v>
      </x:c>
    </x:row>
    <x:row r="561">
      <x:c r="A561" s="12" t="str">
        <x:v>ORD-2025-10560</x:v>
      </x:c>
      <x:c r="B561" s="12" t="str">
        <x:v>30 Sep 2025</x:v>
      </x:c>
      <x:c r="C561" s="12" t="str">
        <x:v>2025-10-07</x:v>
      </x:c>
      <x:c r="D561" s="12" t="str">
        <x:v>CUST-6797</x:v>
      </x:c>
      <x:c r="E561" s="12" t="str">
        <x:v>Diya Patel</x:v>
      </x:c>
      <x:c r="F561" s="12" t="str">
        <x:v>Corporate</x:v>
      </x:c>
      <x:c r="G561" s="12" t="str">
        <x:v>East</x:v>
      </x:c>
      <x:c r="H561" s="12" t="str">
        <x:v>Bihar</x:v>
      </x:c>
      <x:c r="I561" s="12" t="str">
        <x:v>Patna</x:v>
      </x:c>
      <x:c r="J561" s="12" t="str">
        <x:v>Technology</x:v>
      </x:c>
      <x:c r="K561" s="12" t="str">
        <x:v>Copiers</x:v>
      </x:c>
      <x:c r="L561" s="12" t="str">
        <x:v>Basic Copiers 512</x:v>
      </x:c>
      <x:c r="M561" s="12" t="str">
        <x:v>Second Class</x:v>
      </x:c>
      <x:c r="N561" s="12" t="n">
        <x:v>5</x:v>
      </x:c>
      <x:c r="O561" s="12" t="n">
        <x:v>3277.82</x:v>
      </x:c>
      <x:c r="P561" s="12" t="n">
        <x:v>0.1</x:v>
      </x:c>
      <x:c r="Q561" s="12" t="n">
        <x:v>14750.19</x:v>
      </x:c>
      <x:c r="R561" s="12" t="n">
        <x:v>9482.58</x:v>
      </x:c>
      <x:c r="S561" s="12" t="n">
        <x:v>5267.61</x:v>
      </x:c>
      <x:c r="T561" s="12" t="str">
        <x:v>Paid</x:v>
      </x:c>
      <x:c r="U561" s="12" t="str">
        <x:v>Returned</x:v>
      </x:c>
    </x:row>
    <x:row r="562">
      <x:c r="A562" s="12" t="str">
        <x:v>ORD-2024-10561</x:v>
      </x:c>
      <x:c r="B562" s="12" t="str">
        <x:v>2024-01-16</x:v>
      </x:c>
      <x:c r="C562" s="12" t="str">
        <x:v>22-01-2024</x:v>
      </x:c>
      <x:c r="D562" s="12" t="str">
        <x:v>CUST-9333</x:v>
      </x:c>
      <x:c r="E562" s="12" t="str">
        <x:v>Arjun Bose</x:v>
      </x:c>
      <x:c r="F562" s="12" t="str">
        <x:v>Consumer</x:v>
      </x:c>
      <x:c r="G562" s="12" t="str">
        <x:v>West</x:v>
      </x:c>
      <x:c r="H562" s="12" t="str">
        <x:v>Goa</x:v>
      </x:c>
      <x:c r="I562" s="12" t="str">
        <x:v>Panaji</x:v>
      </x:c>
      <x:c r="J562" s="12" t="str">
        <x:v>Office Supplies</x:v>
      </x:c>
      <x:c r="K562" s="12" t="str">
        <x:v>Storage</x:v>
      </x:c>
      <x:c r="L562" s="12" t="str">
        <x:v>Smart Storage 767</x:v>
      </x:c>
      <x:c r="M562" s="12" t="str">
        <x:v>Standard Class</x:v>
      </x:c>
      <x:c r="N562" s="12" t="n">
        <x:v>4</x:v>
      </x:c>
      <x:c r="O562" s="12" t="n">
        <x:v>282.53</x:v>
      </x:c>
      <x:c r="P562" s="12" t="n">
        <x:v>0</x:v>
      </x:c>
      <x:c r="Q562" s="12" t="n">
        <x:v>1130.12</x:v>
      </x:c>
      <x:c r="R562" s="12" t="n">
        <x:v>848.62</x:v>
      </x:c>
      <x:c r="S562" s="12" t="n">
        <x:v>281.5</x:v>
      </x:c>
      <x:c r="T562" s="12" t="str">
        <x:v>Paid</x:v>
      </x:c>
      <x:c r="U562" s="12" t="str">
        <x:v>Cancelled</x:v>
      </x:c>
    </x:row>
    <x:row r="563">
      <x:c r="A563" s="12" t="str">
        <x:v>ORD-2025-10562</x:v>
      </x:c>
      <x:c r="B563" s="12" t="str">
        <x:v>2025-07-14</x:v>
      </x:c>
      <x:c r="C563" s="12" t="str">
        <x:v>18 Jul 2025</x:v>
      </x:c>
      <x:c r="D563" s="12" t="str">
        <x:v>CUST-6654</x:v>
      </x:c>
      <x:c r="E563" s="12" t="str">
        <x:v>Aditi Sen</x:v>
      </x:c>
      <x:c r="F563" s="12" t="str">
        <x:v>Consumer</x:v>
      </x:c>
      <x:c r="G563" s="12" t="str">
        <x:v>North</x:v>
      </x:c>
      <x:c r="H563" s="12" t="str">
        <x:v>Punjab</x:v>
      </x:c>
      <x:c r="I563" s="12" t="str">
        <x:v>Ludhiana</x:v>
      </x:c>
      <x:c r="J563" s="12" t="str">
        <x:v>Technology</x:v>
      </x:c>
      <x:c r="K563" s="12" t="str">
        <x:v>Copiers</x:v>
      </x:c>
      <x:c r="L563" s="12" t="str">
        <x:v>Eco Copiers 954</x:v>
      </x:c>
      <x:c r="M563" s="12" t="str">
        <x:v>First Class</x:v>
      </x:c>
      <x:c r="N563" s="12" t="n">
        <x:v>4</x:v>
      </x:c>
      <x:c r="O563" s="12" t="n">
        <x:v>725.22</x:v>
      </x:c>
      <x:c r="P563" s="12" t="n">
        <x:v>0</x:v>
      </x:c>
      <x:c r="Q563" s="12" t="n">
        <x:v>2900.88</x:v>
      </x:c>
      <x:c r="R563" s="12" t="n">
        <x:v>2391.85</x:v>
      </x:c>
      <x:c r="S563" s="12" t="n">
        <x:v>509.03</x:v>
      </x:c>
      <x:c r="T563" s="12" t="str">
        <x:v>Pending</x:v>
      </x:c>
      <x:c r="U563" s="12" t="str">
        <x:v>Returned</x:v>
      </x:c>
    </x:row>
    <x:row r="564">
      <x:c r="A564" s="12" t="str">
        <x:v>ORD-2024-10563</x:v>
      </x:c>
      <x:c r="B564" s="12" t="str">
        <x:v>10 May 2024</x:v>
      </x:c>
      <x:c r="C564" s="12" t="str">
        <x:v>16 May 2024</x:v>
      </x:c>
      <x:c r="D564" s="12" t="str">
        <x:v>CUST-8622</x:v>
      </x:c>
      <x:c r="E564" s="12" t="str">
        <x:v>Karan Malhotra</x:v>
      </x:c>
      <x:c r="F564" s="12" t="str">
        <x:v>Consumer</x:v>
      </x:c>
      <x:c r="G564" s="12" t="str">
        <x:v>North</x:v>
      </x:c>
      <x:c r="H564" s="12" t="str">
        <x:v>Punjab</x:v>
      </x:c>
      <x:c r="I564" s="12" t="str">
        <x:v>Ludhiana</x:v>
      </x:c>
      <x:c r="J564" s="12" t="str">
        <x:v>Office Supplies</x:v>
      </x:c>
      <x:c r="K564" s="12" t="str">
        <x:v>Binders</x:v>
      </x:c>
      <x:c r="L564" s="12" t="str">
        <x:v>Elite Binders 143</x:v>
      </x:c>
      <x:c r="M564" s="12" t="str">
        <x:v>Same Day</x:v>
      </x:c>
      <x:c r="N564" s="12" t="n">
        <x:v>7</x:v>
      </x:c>
      <x:c r="O564" s="12" t="n">
        <x:v>121.54</x:v>
      </x:c>
      <x:c r="P564" s="12" t="n">
        <x:v>0.2</x:v>
      </x:c>
      <x:c r="Q564" s="12" t="n">
        <x:v>680.62</x:v>
      </x:c>
      <x:c r="R564" s="12" t="n">
        <x:v>463.49</x:v>
      </x:c>
      <x:c r="S564" s="12" t="n">
        <x:v>217.13</x:v>
      </x:c>
      <x:c r="T564" s="12" t="str">
        <x:v>Failed</x:v>
      </x:c>
      <x:c r="U564" s="12" t="str">
        <x:v>Returned</x:v>
      </x:c>
    </x:row>
    <x:row r="565">
      <x:c r="A565" s="12" t="str">
        <x:v>ORD-2024-10564</x:v>
      </x:c>
      <x:c r="B565" s="12" t="str">
        <x:v>05/06/2024</x:v>
      </x:c>
      <x:c r="C565" s="12" t="str">
        <x:v>12-05-2024</x:v>
      </x:c>
      <x:c r="D565" s="12" t="str">
        <x:v>CUST-8776</x:v>
      </x:c>
      <x:c r="E565" s="12" t="str">
        <x:v>Arjun Bose</x:v>
      </x:c>
      <x:c r="F565" s="12" t="str">
        <x:v>Corporate</x:v>
      </x:c>
      <x:c r="G565" s="12" t="str">
        <x:v>West</x:v>
      </x:c>
      <x:c r="H565" s="12" t="str">
        <x:v>Goa</x:v>
      </x:c>
      <x:c r="I565" s="12" t="str">
        <x:v>Panaji</x:v>
      </x:c>
      <x:c r="J565" s="12" t="str">
        <x:v>Furniture</x:v>
      </x:c>
      <x:c r="K565" s="12" t="str">
        <x:v>Tables</x:v>
      </x:c>
      <x:c r="L565" s="12" t="str">
        <x:v>Classic Tables 560</x:v>
      </x:c>
      <x:c r="M565" s="12" t="str">
        <x:v>Standard Class</x:v>
      </x:c>
      <x:c r="N565" s="12" t="n">
        <x:v>9</x:v>
      </x:c>
      <x:c r="O565" s="12" t="n">
        <x:v>790.97</x:v>
      </x:c>
      <x:c r="P565" s="12" t="n">
        <x:v>0.2</x:v>
      </x:c>
      <x:c r="Q565" s="12" t="n">
        <x:v>5694.98</x:v>
      </x:c>
      <x:c r="R565" s="12" t="n">
        <x:v>4618.33</x:v>
      </x:c>
      <x:c r="S565" s="12" t="n">
        <x:v>1076.65</x:v>
      </x:c>
      <x:c r="T565" s="12" t="str">
        <x:v>Pending</x:v>
      </x:c>
      <x:c r="U565" s="12" t="str">
        <x:v>Cancelled</x:v>
      </x:c>
    </x:row>
    <x:row r="566">
      <x:c r="A566" s="12" t="str">
        <x:v>ORD-2024-10565</x:v>
      </x:c>
      <x:c r="B566" s="12" t="str">
        <x:v>11/10/2024</x:v>
      </x:c>
      <x:c r="C566" s="12" t="str">
        <x:v>14-11-2024</x:v>
      </x:c>
      <x:c r="D566" s="12" t="str">
        <x:v>CUST-9100</x:v>
      </x:c>
      <x:c r="E566" s="12" t="str">
        <x:v>Sneha Kapoor</x:v>
      </x:c>
      <x:c r="F566" s="12" t="str">
        <x:v>Corporate</x:v>
      </x:c>
      <x:c r="G566" s="12" t="str">
        <x:v>South</x:v>
      </x:c>
      <x:c r="H566" s="12" t="str">
        <x:v>Andhra Pradesh</x:v>
      </x:c>
      <x:c r="I566" s="12" t="str">
        <x:v>Vijayawada</x:v>
      </x:c>
      <x:c r="J566" s="12" t="str">
        <x:v>Furniture</x:v>
      </x:c>
      <x:c r="K566" s="12" t="str">
        <x:v>Tables</x:v>
      </x:c>
      <x:c r="L566" s="12" t="str">
        <x:v>Basic Tables 759</x:v>
      </x:c>
      <x:c r="M566" s="12" t="str">
        <x:v>First Class</x:v>
      </x:c>
      <x:c r="N566" s="12" t="n">
        <x:v>2</x:v>
      </x:c>
      <x:c r="O566" s="12" t="n">
        <x:v>921.34</x:v>
      </x:c>
      <x:c r="P566" s="12" t="n">
        <x:v>0.2</x:v>
      </x:c>
      <x:c r="Q566" s="12" t="n">
        <x:v>1474.14</x:v>
      </x:c>
      <x:c r="R566" s="12" t="n">
        <x:v>968.46</x:v>
      </x:c>
      <x:c r="S566" s="12" t="n">
        <x:v>505.68</x:v>
      </x:c>
      <x:c r="T566" s="12" t="str">
        <x:v>Paid</x:v>
      </x:c>
      <x:c r="U566" s="12" t="str">
        <x:v>Completed</x:v>
      </x:c>
    </x:row>
    <x:row r="567">
      <x:c r="A567" s="12" t="str">
        <x:v>ORD-2025-10566</x:v>
      </x:c>
      <x:c r="B567" s="12" t="str">
        <x:v>07 Aug 2025</x:v>
      </x:c>
      <x:c r="C567" s="12" t="str">
        <x:v>13-08-2025</x:v>
      </x:c>
      <x:c r="D567" s="12" t="str">
        <x:v>CUST-5601</x:v>
      </x:c>
      <x:c r="E567" s="12" t="str">
        <x:v>Mira Das</x:v>
      </x:c>
      <x:c r="F567" s="12" t="str">
        <x:v>Corporate</x:v>
      </x:c>
      <x:c r="G567" s="12" t="str">
        <x:v>North</x:v>
      </x:c>
      <x:c r="H567" s="12" t="str">
        <x:v>Delhi</x:v>
      </x:c>
      <x:c r="I567" s="12" t="str">
        <x:v>New Delhi</x:v>
      </x:c>
      <x:c r="J567" s="12" t="str">
        <x:v>Technology</x:v>
      </x:c>
      <x:c r="K567" s="12" t="str">
        <x:v>Phones</x:v>
      </x:c>
      <x:c r="L567" s="12" t="str">
        <x:v>Prime Phones 564</x:v>
      </x:c>
      <x:c r="M567" s="12" t="str">
        <x:v>Standard Class</x:v>
      </x:c>
      <x:c r="N567" s="12" t="n">
        <x:v>6</x:v>
      </x:c>
      <x:c r="O567" s="12" t="n">
        <x:v>1921.86</x:v>
      </x:c>
      <x:c r="P567" s="12" t="n">
        <x:v>0.2</x:v>
      </x:c>
      <x:c r="Q567" s="12" t="n">
        <x:v>9224.93</x:v>
      </x:c>
      <x:c r="R567" s="12" t="n">
        <x:v>7005.2</x:v>
      </x:c>
      <x:c r="S567" s="12" t="n">
        <x:v>2219.73</x:v>
      </x:c>
      <x:c r="T567" s="12" t="str">
        <x:v>Refunded</x:v>
      </x:c>
      <x:c r="U567" s="12" t="str">
        <x:v>Cancelled</x:v>
      </x:c>
    </x:row>
    <x:row r="568">
      <x:c r="A568" s="12" t="str">
        <x:v>ORD-2024-10567</x:v>
      </x:c>
      <x:c r="B568" s="12" t="str">
        <x:v>11 Aug 2024</x:v>
      </x:c>
      <x:c r="C568" s="12" t="str">
        <x:v>2024-08-19</x:v>
      </x:c>
      <x:c r="D568" s="12" t="str">
        <x:v>CUST-5246</x:v>
      </x:c>
      <x:c r="E568" s="12" t="str">
        <x:v>Sneha Kapoor</x:v>
      </x:c>
      <x:c r="F568" s="12" t="str">
        <x:v>Small Business</x:v>
      </x:c>
      <x:c r="G568" s="12" t="str">
        <x:v>West</x:v>
      </x:c>
      <x:c r="H568" s="12" t="str">
        <x:v>Maharashtra</x:v>
      </x:c>
      <x:c r="I568" s="12" t="str">
        <x:v>Mumbai</x:v>
      </x:c>
      <x:c r="J568" s="12" t="str">
        <x:v>Office Supplies</x:v>
      </x:c>
      <x:c r="K568" s="12" t="str">
        <x:v>Paper</x:v>
      </x:c>
      <x:c r="L568" s="12" t="str">
        <x:v>Smart Paper 807</x:v>
      </x:c>
      <x:c r="M568" s="12" t="str">
        <x:v>Same Day</x:v>
      </x:c>
      <x:c r="N568" s="12" t="n">
        <x:v>2</x:v>
      </x:c>
      <x:c r="O568" s="12" t="n">
        <x:v>2617.89</x:v>
      </x:c>
      <x:c r="P568" s="12" t="n">
        <x:v>0.1</x:v>
      </x:c>
      <x:c r="Q568" s="12" t="n">
        <x:v>4712.2</x:v>
      </x:c>
      <x:c r="R568" s="12" t="n">
        <x:v>3851.91</x:v>
      </x:c>
      <x:c r="S568" s="12" t="n">
        <x:v>860.29</x:v>
      </x:c>
      <x:c r="T568" s="12" t="str">
        <x:v>Failed</x:v>
      </x:c>
      <x:c r="U568" s="12" t="str">
        <x:v>Returned</x:v>
      </x:c>
    </x:row>
    <x:row r="569">
      <x:c r="A569" s="12" t="str">
        <x:v>ORD-2024-10568</x:v>
      </x:c>
      <x:c r="B569" s="12" t="str">
        <x:v>06 Feb 2024</x:v>
      </x:c>
      <x:c r="C569" s="12" t="str">
        <x:v>10-02-2024</x:v>
      </x:c>
      <x:c r="D569" s="12" t="str">
        <x:v>CUST-3128</x:v>
      </x:c>
      <x:c r="E569" s="12" t="str">
        <x:v>Arjun Bose</x:v>
      </x:c>
      <x:c r="F569" s="12" t="str">
        <x:v>Home Office</x:v>
      </x:c>
      <x:c r="G569" s="12" t="str">
        <x:v>North</x:v>
      </x:c>
      <x:c r="H569" s="12" t="str">
        <x:v>Uttar Pradesh</x:v>
      </x:c>
      <x:c r="I569" s="12" t="str">
        <x:v>Noida</x:v>
      </x:c>
      <x:c r="J569" s="12" t="str">
        <x:v>Furniture</x:v>
      </x:c>
      <x:c r="K569" s="12" t="str">
        <x:v>Furnishings</x:v>
      </x:c>
      <x:c r="L569" s="12" t="str">
        <x:v>Pro Furnishings 108</x:v>
      </x:c>
      <x:c r="M569" s="12" t="str">
        <x:v>Same Day</x:v>
      </x:c>
      <x:c r="N569" s="12" t="n">
        <x:v>1</x:v>
      </x:c>
      <x:c r="O569" s="12" t="n">
        <x:v>1374.06</x:v>
      </x:c>
      <x:c r="P569" s="12" t="n">
        <x:v>0.05</x:v>
      </x:c>
      <x:c r="Q569" s="12" t="n">
        <x:v>1305.36</x:v>
      </x:c>
      <x:c r="R569" s="12" t="n">
        <x:v>731.89</x:v>
      </x:c>
      <x:c r="S569" s="12" t="n">
        <x:v>573.47</x:v>
      </x:c>
      <x:c r="T569" s="12" t="str">
        <x:v>Paid</x:v>
      </x:c>
      <x:c r="U569" s="12" t="str">
        <x:v>Completed</x:v>
      </x:c>
    </x:row>
    <x:row r="570">
      <x:c r="A570" s="12" t="str">
        <x:v>ORD-2024-10569</x:v>
      </x:c>
      <x:c r="B570" s="12" t="str">
        <x:v>21 Jan 2024</x:v>
      </x:c>
      <x:c r="C570" s="12" t="str">
        <x:v>24 Jan 2024</x:v>
      </x:c>
      <x:c r="D570" s="12" t="str">
        <x:v>CUST-4604</x:v>
      </x:c>
      <x:c r="E570" s="12" t="str">
        <x:v>Kabir Singh</x:v>
      </x:c>
      <x:c r="F570" s="12" t="str">
        <x:v>Corporate</x:v>
      </x:c>
      <x:c r="G570" s="12" t="str">
        <x:v>North</x:v>
      </x:c>
      <x:c r="H570" s="12" t="str">
        <x:v>Punjab</x:v>
      </x:c>
      <x:c r="I570" s="12" t="str">
        <x:v>Ludhiana</x:v>
      </x:c>
      <x:c r="J570" s="12" t="str">
        <x:v>Technology</x:v>
      </x:c>
      <x:c r="K570" s="12" t="str">
        <x:v>Machines</x:v>
      </x:c>
      <x:c r="L570" s="12" t="str">
        <x:v>Classic Machines 522</x:v>
      </x:c>
      <x:c r="M570" s="12" t="str">
        <x:v>Same Day</x:v>
      </x:c>
      <x:c r="N570" s="12" t="n">
        <x:v>1</x:v>
      </x:c>
      <x:c r="O570" s="12" t="n">
        <x:v>3806.3</x:v>
      </x:c>
      <x:c r="P570" s="12" t="n">
        <x:v>0.25</x:v>
      </x:c>
      <x:c r="Q570" s="12" t="n">
        <x:v>2854.73</x:v>
      </x:c>
      <x:c r="R570" s="12" t="n">
        <x:v>1968.12</x:v>
      </x:c>
      <x:c r="S570" s="12" t="n">
        <x:v>886.61</x:v>
      </x:c>
      <x:c r="T570" s="12" t="str">
        <x:v>Paid</x:v>
      </x:c>
      <x:c r="U570" s="12" t="str">
        <x:v>Completed</x:v>
      </x:c>
    </x:row>
    <x:row r="571">
      <x:c r="A571" s="12" t="str">
        <x:v>ORD-2025-10570</x:v>
      </x:c>
      <x:c r="B571" s="12" t="str">
        <x:v>09/08/2025</x:v>
      </x:c>
      <x:c r="C571" s="12" t="str">
        <x:v>2025-09-10</x:v>
      </x:c>
      <x:c r="D571" s="12" t="str">
        <x:v>CUST-2586</x:v>
      </x:c>
      <x:c r="E571" s="12" t="str">
        <x:v>Rahul Verma</x:v>
      </x:c>
      <x:c r="F571" s="12" t="str">
        <x:v>Home Office</x:v>
      </x:c>
      <x:c r="G571" s="12" t="str">
        <x:v>West</x:v>
      </x:c>
      <x:c r="H571" s="12" t="str">
        <x:v>Maharashtra</x:v>
      </x:c>
      <x:c r="I571" s="12" t="str">
        <x:v>Mumbai</x:v>
      </x:c>
      <x:c r="J571" s="12" t="str">
        <x:v>Furniture</x:v>
      </x:c>
      <x:c r="K571" s="12" t="str">
        <x:v>Furnishings</x:v>
      </x:c>
      <x:c r="L571" s="12" t="str">
        <x:v>Elite Furnishings 822</x:v>
      </x:c>
      <x:c r="M571" s="12" t="str">
        <x:v>Standard Class</x:v>
      </x:c>
      <x:c r="N571" s="12" t="n">
        <x:v>6</x:v>
      </x:c>
      <x:c r="O571" s="12" t="n">
        <x:v>3251.17</x:v>
      </x:c>
      <x:c r="P571" s="12" t="n">
        <x:v>0.25</x:v>
      </x:c>
      <x:c r="Q571" s="12" t="n">
        <x:v>14630.26</x:v>
      </x:c>
      <x:c r="R571" s="12" t="n">
        <x:v>11906.36</x:v>
      </x:c>
      <x:c r="S571" s="12" t="n">
        <x:v>2723.9</x:v>
      </x:c>
      <x:c r="T571" s="12" t="str">
        <x:v>Refunded</x:v>
      </x:c>
      <x:c r="U571" s="12" t="str">
        <x:v>Returned</x:v>
      </x:c>
    </x:row>
    <x:row r="572">
      <x:c r="A572" s="12" t="str">
        <x:v>ORD-2025-10571</x:v>
      </x:c>
      <x:c r="B572" s="12" t="str">
        <x:v>2025-08-18</x:v>
      </x:c>
      <x:c r="C572" s="12" t="str">
        <x:v>08/22/2025</x:v>
      </x:c>
      <x:c r="D572" s="12" t="str">
        <x:v>CUST-6585</x:v>
      </x:c>
      <x:c r="E572" s="12" t="str">
        <x:v>Arjun Bose</x:v>
      </x:c>
      <x:c r="F572" s="12" t="str">
        <x:v>Consumer</x:v>
      </x:c>
      <x:c r="G572" s="12" t="str">
        <x:v>East</x:v>
      </x:c>
      <x:c r="H572" s="12" t="str">
        <x:v>Jharkhand</x:v>
      </x:c>
      <x:c r="I572" s="12" t="str">
        <x:v>Ranchi</x:v>
      </x:c>
      <x:c r="J572" s="12" t="str">
        <x:v>Furniture</x:v>
      </x:c>
      <x:c r="K572" s="12" t="str">
        <x:v>Furnishings</x:v>
      </x:c>
      <x:c r="L572" s="12" t="str">
        <x:v>Max Furnishings 647</x:v>
      </x:c>
      <x:c r="M572" s="12" t="str">
        <x:v>Second Class</x:v>
      </x:c>
      <x:c r="N572" s="12" t="n">
        <x:v>3</x:v>
      </x:c>
      <x:c r="O572" s="12" t="n">
        <x:v>3946.44</x:v>
      </x:c>
      <x:c r="P572" s="12" t="n">
        <x:v>0.25</x:v>
      </x:c>
      <x:c r="Q572" s="12" t="n">
        <x:v>8879.49</x:v>
      </x:c>
      <x:c r="R572" s="12" t="n">
        <x:v>6344.57</x:v>
      </x:c>
      <x:c r="S572" s="12" t="n">
        <x:v>2534.92</x:v>
      </x:c>
      <x:c r="T572" s="12" t="str">
        <x:v>Failed</x:v>
      </x:c>
      <x:c r="U572" s="12" t="str">
        <x:v>Returned</x:v>
      </x:c>
    </x:row>
    <x:row r="573">
      <x:c r="A573" s="12" t="str">
        <x:v>ORD-2025-10572</x:v>
      </x:c>
      <x:c r="B573" s="12" t="str">
        <x:v>10 Feb 2025</x:v>
      </x:c>
      <x:c r="C573" s="12" t="str">
        <x:v>2025-02-14</x:v>
      </x:c>
      <x:c r="D573" s="12" t="str">
        <x:v>CUST-3425</x:v>
      </x:c>
      <x:c r="E573" s="12" t="str">
        <x:v>Priya Menon</x:v>
      </x:c>
      <x:c r="F573" s="12" t="str">
        <x:v>Small Business</x:v>
      </x:c>
      <x:c r="G573" s="12" t="str">
        <x:v>North</x:v>
      </x:c>
      <x:c r="H573" s="12" t="str">
        <x:v>Uttar Pradesh</x:v>
      </x:c>
      <x:c r="I573" s="12" t="str">
        <x:v>Noida</x:v>
      </x:c>
      <x:c r="J573" s="12" t="str">
        <x:v>Technology</x:v>
      </x:c>
      <x:c r="K573" s="12" t="str">
        <x:v>Phones</x:v>
      </x:c>
      <x:c r="L573" s="12" t="str">
        <x:v>Prime Phones 895</x:v>
      </x:c>
      <x:c r="M573" s="12"/>
      <x:c r="N573" s="12" t="n">
        <x:v>5</x:v>
      </x:c>
      <x:c r="O573" s="12" t="n">
        <x:v>4276.29</x:v>
      </x:c>
      <x:c r="P573" s="12" t="n">
        <x:v>0</x:v>
      </x:c>
      <x:c r="Q573" s="12" t="n">
        <x:v>21381.45</x:v>
      </x:c>
      <x:c r="R573" s="12" t="n">
        <x:v>13240.21</x:v>
      </x:c>
      <x:c r="S573" s="12" t="n">
        <x:v>8141.24</x:v>
      </x:c>
      <x:c r="T573" s="12" t="str">
        <x:v>Failed</x:v>
      </x:c>
      <x:c r="U573" s="12" t="str">
        <x:v>Returned</x:v>
      </x:c>
    </x:row>
    <x:row r="574">
      <x:c r="A574" s="12" t="str">
        <x:v>ORD-2024-10573</x:v>
      </x:c>
      <x:c r="B574" s="12" t="str">
        <x:v>01/02/2024</x:v>
      </x:c>
      <x:c r="C574" s="12" t="str">
        <x:v>09-01-2024</x:v>
      </x:c>
      <x:c r="D574" s="12" t="str">
        <x:v>CUST-8633</x:v>
      </x:c>
      <x:c r="E574" s="12" t="str">
        <x:v>  Diya Patel </x:v>
      </x:c>
      <x:c r="F574" s="12" t="str">
        <x:v>Corporate</x:v>
      </x:c>
      <x:c r="G574" s="12" t="str">
        <x:v>North</x:v>
      </x:c>
      <x:c r="H574" s="12" t="str">
        <x:v>Delhi</x:v>
      </x:c>
      <x:c r="I574" s="12" t="str">
        <x:v>New Delhi</x:v>
      </x:c>
      <x:c r="J574" s="12" t="str">
        <x:v>Technology</x:v>
      </x:c>
      <x:c r="K574" s="12" t="str">
        <x:v>Phones</x:v>
      </x:c>
      <x:c r="L574" s="12" t="str">
        <x:v>Eco Phones 368</x:v>
      </x:c>
      <x:c r="M574" s="12" t="str">
        <x:v>Standard Class</x:v>
      </x:c>
      <x:c r="N574" s="12" t="n">
        <x:v>3</x:v>
      </x:c>
      <x:c r="O574" s="12" t="n">
        <x:v>739.56</x:v>
      </x:c>
      <x:c r="P574" s="12" t="n">
        <x:v>0.2</x:v>
      </x:c>
      <x:c r="Q574" s="12" t="n">
        <x:v>1774.94</x:v>
      </x:c>
      <x:c r="R574" s="12" t="n">
        <x:v>1007.4</x:v>
      </x:c>
      <x:c r="S574" s="12" t="n">
        <x:v>767.54</x:v>
      </x:c>
      <x:c r="T574" s="12" t="str">
        <x:v>Paid</x:v>
      </x:c>
      <x:c r="U574" s="12" t="str">
        <x:v>Completed</x:v>
      </x:c>
    </x:row>
    <x:row r="575">
      <x:c r="A575" s="12" t="str">
        <x:v>ORD-2025-10574</x:v>
      </x:c>
      <x:c r="B575" s="12" t="str">
        <x:v>09/22/2025</x:v>
      </x:c>
      <x:c r="C575" s="12" t="str">
        <x:v>09/26/2025</x:v>
      </x:c>
      <x:c r="D575" s="12" t="str">
        <x:v>CUST-8243</x:v>
      </x:c>
      <x:c r="E575" s="12" t="str">
        <x:v>Isha Nair</x:v>
      </x:c>
      <x:c r="F575" s="12" t="str">
        <x:v>Consumer</x:v>
      </x:c>
      <x:c r="G575" s="12" t="str">
        <x:v>South</x:v>
      </x:c>
      <x:c r="H575" s="12" t="str">
        <x:v>Andhra Pradesh</x:v>
      </x:c>
      <x:c r="I575" s="12" t="str">
        <x:v>Vijayawada</x:v>
      </x:c>
      <x:c r="J575" s="12" t="str">
        <x:v>Technology</x:v>
      </x:c>
      <x:c r="K575" s="12" t="str">
        <x:v>Phones</x:v>
      </x:c>
      <x:c r="L575" s="12" t="str">
        <x:v>Pro Phones 644</x:v>
      </x:c>
      <x:c r="M575" s="12" t="str">
        <x:v>Standard Class</x:v>
      </x:c>
      <x:c r="N575" s="12" t="n">
        <x:v>1</x:v>
      </x:c>
      <x:c r="O575" s="12" t="n">
        <x:v>573.65</x:v>
      </x:c>
      <x:c r="P575" s="12" t="n">
        <x:v>0</x:v>
      </x:c>
      <x:c r="Q575" s="12" t="n">
        <x:v>573.65</x:v>
      </x:c>
      <x:c r="R575" s="12" t="n">
        <x:v>322.67</x:v>
      </x:c>
      <x:c r="S575" s="12" t="n">
        <x:v>250.98</x:v>
      </x:c>
      <x:c r="T575" s="12" t="str">
        <x:v>Paid</x:v>
      </x:c>
      <x:c r="U575" s="12" t="str">
        <x:v>Completed</x:v>
      </x:c>
    </x:row>
    <x:row r="576">
      <x:c r="A576" s="12" t="str">
        <x:v>ORD-2024-10575</x:v>
      </x:c>
      <x:c r="B576" s="12" t="str">
        <x:v>20 Feb 2024</x:v>
      </x:c>
      <x:c r="C576" s="12" t="str">
        <x:v>25-02-2024</x:v>
      </x:c>
      <x:c r="D576" s="12" t="str">
        <x:v>CUST-9139</x:v>
      </x:c>
      <x:c r="E576" s="12" t="str">
        <x:v>Diya Patel</x:v>
      </x:c>
      <x:c r="F576" s="12" t="str">
        <x:v>Home Office</x:v>
      </x:c>
      <x:c r="G576" s="12" t="str">
        <x:v>North</x:v>
      </x:c>
      <x:c r="H576" s="12" t="str">
        <x:v>Punjab</x:v>
      </x:c>
      <x:c r="I576" s="12" t="str">
        <x:v>Ludhiana</x:v>
      </x:c>
      <x:c r="J576" s="12" t="str">
        <x:v>Technology</x:v>
      </x:c>
      <x:c r="K576" s="12" t="str">
        <x:v>Machines</x:v>
      </x:c>
      <x:c r="L576" s="12" t="str">
        <x:v>Smart Machines 566</x:v>
      </x:c>
      <x:c r="M576" s="12" t="str">
        <x:v>Standard Class</x:v>
      </x:c>
      <x:c r="N576" s="12" t="n">
        <x:v>4</x:v>
      </x:c>
      <x:c r="O576" s="12" t="n">
        <x:v>1355.8</x:v>
      </x:c>
      <x:c r="P576" s="12" t="n">
        <x:v>0</x:v>
      </x:c>
      <x:c r="Q576" s="12" t="n">
        <x:v>5423.2</x:v>
      </x:c>
      <x:c r="R576" s="12" t="n">
        <x:v>4072.44</x:v>
      </x:c>
      <x:c r="S576" s="12" t="n">
        <x:v>1350.76</x:v>
      </x:c>
      <x:c r="T576" s="12" t="str">
        <x:v>Paid</x:v>
      </x:c>
      <x:c r="U576" s="12" t="str">
        <x:v>Completed</x:v>
      </x:c>
    </x:row>
    <x:row r="577">
      <x:c r="A577" s="12" t="str">
        <x:v>ORD-2025-10576</x:v>
      </x:c>
      <x:c r="B577" s="12" t="str">
        <x:v>11 Mar 2025</x:v>
      </x:c>
      <x:c r="C577" s="12" t="str">
        <x:v>14 Mar 2025</x:v>
      </x:c>
      <x:c r="D577" s="12" t="str">
        <x:v>CUST-5496</x:v>
      </x:c>
      <x:c r="E577" s="12" t="str">
        <x:v>Sneha Kapoor</x:v>
      </x:c>
      <x:c r="F577" s="12" t="str">
        <x:v>Home Office</x:v>
      </x:c>
      <x:c r="G577" s="12" t="str">
        <x:v>South</x:v>
      </x:c>
      <x:c r="H577" s="12" t="str">
        <x:v>Kerala</x:v>
      </x:c>
      <x:c r="I577" s="12" t="str">
        <x:v>Kochi</x:v>
      </x:c>
      <x:c r="J577" s="12" t="str">
        <x:v>Furniture</x:v>
      </x:c>
      <x:c r="K577" s="12" t="str">
        <x:v>Furnishings</x:v>
      </x:c>
      <x:c r="L577" s="12" t="str">
        <x:v>Elite Furnishings 173</x:v>
      </x:c>
      <x:c r="M577" s="12" t="str">
        <x:v>Same Day</x:v>
      </x:c>
      <x:c r="N577" s="12" t="n">
        <x:v>4</x:v>
      </x:c>
      <x:c r="O577" s="12" t="n">
        <x:v>1244.82</x:v>
      </x:c>
      <x:c r="P577" s="12" t="n">
        <x:v>0.2</x:v>
      </x:c>
      <x:c r="Q577" s="12" t="n">
        <x:v>3983.42</x:v>
      </x:c>
      <x:c r="R577" s="12" t="n">
        <x:v>3174.91</x:v>
      </x:c>
      <x:c r="S577" s="12" t="n">
        <x:v>808.51</x:v>
      </x:c>
      <x:c r="T577" s="12" t="str">
        <x:v>Failed</x:v>
      </x:c>
      <x:c r="U577" s="12" t="str">
        <x:v>Returned</x:v>
      </x:c>
    </x:row>
    <x:row r="578">
      <x:c r="A578" s="12" t="str">
        <x:v>ORD-2024-10577</x:v>
      </x:c>
      <x:c r="B578" s="12" t="str">
        <x:v>17-02-2024</x:v>
      </x:c>
      <x:c r="C578" s="12" t="str">
        <x:v>02/23/2024</x:v>
      </x:c>
      <x:c r="D578" s="12" t="str">
        <x:v>CUST-2228</x:v>
      </x:c>
      <x:c r="E578" s="12" t="str">
        <x:v>Rohan Mehta</x:v>
      </x:c>
      <x:c r="F578" s="12" t="str">
        <x:v>Home Office</x:v>
      </x:c>
      <x:c r="G578" s="12"/>
      <x:c r="H578" s="12" t="str">
        <x:v>Bihar</x:v>
      </x:c>
      <x:c r="I578" s="12" t="str">
        <x:v>Patna</x:v>
      </x:c>
      <x:c r="J578" s="12" t="str">
        <x:v>Office Supplies</x:v>
      </x:c>
      <x:c r="K578" s="12" t="str">
        <x:v>Binders</x:v>
      </x:c>
      <x:c r="L578" s="12" t="str">
        <x:v>Smart Binders 417</x:v>
      </x:c>
      <x:c r="M578" s="12" t="str">
        <x:v>Standard Class</x:v>
      </x:c>
      <x:c r="N578" s="12" t="n">
        <x:v>9</x:v>
      </x:c>
      <x:c r="O578" s="12" t="n">
        <x:v>2614.46</x:v>
      </x:c>
      <x:c r="P578" s="12" t="n">
        <x:v>0</x:v>
      </x:c>
      <x:c r="Q578" s="12" t="n">
        <x:v>23530.14</x:v>
      </x:c>
      <x:c r="R578" s="12" t="n">
        <x:v>19537.79</x:v>
      </x:c>
      <x:c r="S578" s="12" t="n">
        <x:v>3992.35</x:v>
      </x:c>
      <x:c r="T578" s="12" t="str">
        <x:v>Refunded</x:v>
      </x:c>
      <x:c r="U578" s="12" t="str">
        <x:v>Returned</x:v>
      </x:c>
    </x:row>
    <x:row r="579">
      <x:c r="A579" s="12" t="str">
        <x:v>ORD-2025-10578</x:v>
      </x:c>
      <x:c r="B579" s="12" t="str">
        <x:v>08/28/2025</x:v>
      </x:c>
      <x:c r="C579" s="12" t="str">
        <x:v>2025-09-03</x:v>
      </x:c>
      <x:c r="D579" s="12" t="str">
        <x:v>CUST-4151</x:v>
      </x:c>
      <x:c r="E579" s="12" t="str">
        <x:v>Priya Menon</x:v>
      </x:c>
      <x:c r="F579" s="12" t="str">
        <x:v>Corporate</x:v>
      </x:c>
      <x:c r="G579" s="12" t="str">
        <x:v>West</x:v>
      </x:c>
      <x:c r="H579" s="12" t="str">
        <x:v>Madhya Pradesh</x:v>
      </x:c>
      <x:c r="I579" s="12" t="str">
        <x:v>Indore</x:v>
      </x:c>
      <x:c r="J579" s="12" t="str">
        <x:v>Furniture</x:v>
      </x:c>
      <x:c r="K579" s="12" t="str">
        <x:v>Furnishings</x:v>
      </x:c>
      <x:c r="L579" s="12" t="str">
        <x:v>Smart Furnishings 714</x:v>
      </x:c>
      <x:c r="M579" s="12" t="str">
        <x:v>Standard Class</x:v>
      </x:c>
      <x:c r="N579" s="12" t="n">
        <x:v>7</x:v>
      </x:c>
      <x:c r="O579" s="12" t="n">
        <x:v>268.45</x:v>
      </x:c>
      <x:c r="P579" s="12" t="n">
        <x:v>0</x:v>
      </x:c>
      <x:c r="Q579" s="12" t="n">
        <x:v>1879.15</x:v>
      </x:c>
      <x:c r="R579" s="12" t="n">
        <x:v>1134.9</x:v>
      </x:c>
      <x:c r="S579" s="12" t="n">
        <x:v>744.25</x:v>
      </x:c>
      <x:c r="T579" s="12" t="str">
        <x:v>Paid</x:v>
      </x:c>
      <x:c r="U579" s="12" t="str">
        <x:v>Completed</x:v>
      </x:c>
    </x:row>
    <x:row r="580">
      <x:c r="A580" s="12" t="str">
        <x:v>ORD-2024-10579</x:v>
      </x:c>
      <x:c r="B580" s="12" t="str">
        <x:v>2024-02-21</x:v>
      </x:c>
      <x:c r="C580" s="12" t="str">
        <x:v>23-02-2024</x:v>
      </x:c>
      <x:c r="D580" s="12" t="str">
        <x:v>CUST-4900</x:v>
      </x:c>
      <x:c r="E580" s="12" t="str">
        <x:v>Neha Gupta</x:v>
      </x:c>
      <x:c r="F580" s="12" t="str">
        <x:v>Small Business</x:v>
      </x:c>
      <x:c r="G580" s="12" t="str">
        <x:v>West</x:v>
      </x:c>
      <x:c r="H580" s="12" t="str">
        <x:v>Gujarat</x:v>
      </x:c>
      <x:c r="I580" s="12" t="str">
        <x:v>Ahmedabad</x:v>
      </x:c>
      <x:c r="J580" s="12" t="str">
        <x:v>Technology</x:v>
      </x:c>
      <x:c r="K580" s="12" t="str">
        <x:v>Copiers</x:v>
      </x:c>
      <x:c r="L580" s="12" t="str">
        <x:v>Elite Copiers 682</x:v>
      </x:c>
      <x:c r="M580" s="12" t="str">
        <x:v>First Class</x:v>
      </x:c>
      <x:c r="N580" s="12" t="n">
        <x:v>6</x:v>
      </x:c>
      <x:c r="O580" s="12" t="n">
        <x:v>2633.65</x:v>
      </x:c>
      <x:c r="P580" s="12" t="n">
        <x:v>0.05</x:v>
      </x:c>
      <x:c r="Q580" s="12" t="n">
        <x:v>15011.81</x:v>
      </x:c>
      <x:c r="R580" s="12" t="n">
        <x:v>9660.36</x:v>
      </x:c>
      <x:c r="S580" s="12" t="n">
        <x:v>5351.45</x:v>
      </x:c>
      <x:c r="T580" s="12" t="str">
        <x:v>Paid</x:v>
      </x:c>
      <x:c r="U580" s="12" t="str">
        <x:v>Completed</x:v>
      </x:c>
    </x:row>
    <x:row r="581">
      <x:c r="A581" s="12" t="str">
        <x:v>ORD-2024-10580</x:v>
      </x:c>
      <x:c r="B581" s="12" t="str">
        <x:v>19-06-2024</x:v>
      </x:c>
      <x:c r="C581" s="12" t="str">
        <x:v>24 Jun 2024</x:v>
      </x:c>
      <x:c r="D581" s="12" t="str">
        <x:v>CUST-9617</x:v>
      </x:c>
      <x:c r="E581" s="12" t="str">
        <x:v>Aarav Sharma</x:v>
      </x:c>
      <x:c r="F581" s="12" t="str">
        <x:v>Small Business</x:v>
      </x:c>
      <x:c r="G581" s="12" t="str">
        <x:v>South</x:v>
      </x:c>
      <x:c r="H581" s="12" t="str">
        <x:v>Tamil Nadu</x:v>
      </x:c>
      <x:c r="I581" s="12" t="str">
        <x:v>Chennai</x:v>
      </x:c>
      <x:c r="J581" s="12" t="str">
        <x:v>Office Supplies</x:v>
      </x:c>
      <x:c r="K581" s="12" t="str">
        <x:v>Storage</x:v>
      </x:c>
      <x:c r="L581" s="12" t="str">
        <x:v>Pro Storage 482</x:v>
      </x:c>
      <x:c r="M581" s="12" t="str">
        <x:v>Same Day</x:v>
      </x:c>
      <x:c r="N581" s="12" t="n">
        <x:v>1</x:v>
      </x:c>
      <x:c r="O581" s="12" t="n">
        <x:v>3202.41</x:v>
      </x:c>
      <x:c r="P581" s="12" t="n">
        <x:v>0</x:v>
      </x:c>
      <x:c r="Q581" s="12" t="n">
        <x:v>3202.41</x:v>
      </x:c>
      <x:c r="R581" s="12" t="n">
        <x:v>2608.44</x:v>
      </x:c>
      <x:c r="S581" s="12" t="n">
        <x:v>593.97</x:v>
      </x:c>
      <x:c r="T581" s="12" t="str">
        <x:v>Paid</x:v>
      </x:c>
      <x:c r="U581" s="12" t="str">
        <x:v>Completed</x:v>
      </x:c>
    </x:row>
    <x:row r="582">
      <x:c r="A582" s="12" t="str">
        <x:v>ORD-2025-10581</x:v>
      </x:c>
      <x:c r="B582" s="12" t="str">
        <x:v>06-03-2025</x:v>
      </x:c>
      <x:c r="C582" s="12" t="str">
        <x:v>03/13/2025</x:v>
      </x:c>
      <x:c r="D582" s="12" t="str">
        <x:v>CUST-7958</x:v>
      </x:c>
      <x:c r="E582" s="12" t="str">
        <x:v>Kabir Singh</x:v>
      </x:c>
      <x:c r="F582" s="12" t="str">
        <x:v>Consumer</x:v>
      </x:c>
      <x:c r="G582" s="12" t="str">
        <x:v>South</x:v>
      </x:c>
      <x:c r="H582" s="12" t="str">
        <x:v>Kerala</x:v>
      </x:c>
      <x:c r="I582" s="12" t="str">
        <x:v>Kochi</x:v>
      </x:c>
      <x:c r="J582" s="12" t="str">
        <x:v>Furniture</x:v>
      </x:c>
      <x:c r="K582" s="12" t="str">
        <x:v>Chairs</x:v>
      </x:c>
      <x:c r="L582" s="12" t="str">
        <x:v>Pro Chairs 888</x:v>
      </x:c>
      <x:c r="M582" s="12" t="str">
        <x:v>Standard Class</x:v>
      </x:c>
      <x:c r="N582" s="12" t="n">
        <x:v>3</x:v>
      </x:c>
      <x:c r="O582" s="12" t="n">
        <x:v>163.72</x:v>
      </x:c>
      <x:c r="P582" s="12" t="n">
        <x:v>0.15</x:v>
      </x:c>
      <x:c r="Q582" s="12" t="n">
        <x:v>417.49</x:v>
      </x:c>
      <x:c r="R582" s="12" t="n">
        <x:v>261.67</x:v>
      </x:c>
      <x:c r="S582" s="12" t="n">
        <x:v>155.82</x:v>
      </x:c>
      <x:c r="T582" s="12" t="str">
        <x:v>Failed</x:v>
      </x:c>
      <x:c r="U582" s="12" t="str">
        <x:v>Returned</x:v>
      </x:c>
    </x:row>
    <x:row r="583">
      <x:c r="A583" s="12" t="str">
        <x:v>ORD-2025-10582</x:v>
      </x:c>
      <x:c r="B583" s="12" t="str">
        <x:v>2025-08-09</x:v>
      </x:c>
      <x:c r="C583" s="12" t="str">
        <x:v>08/10/2025</x:v>
      </x:c>
      <x:c r="D583" s="12" t="str">
        <x:v>CUST-9931</x:v>
      </x:c>
      <x:c r="E583" s="12" t="str">
        <x:v>Neha Gupta</x:v>
      </x:c>
      <x:c r="F583" s="12" t="str">
        <x:v>Consumer</x:v>
      </x:c>
      <x:c r="G583" s="12" t="str">
        <x:v>North</x:v>
      </x:c>
      <x:c r="H583" s="12" t="str">
        <x:v>Delhi</x:v>
      </x:c>
      <x:c r="I583" s="12" t="str">
        <x:v>New Delhi</x:v>
      </x:c>
      <x:c r="J583" s="12" t="str">
        <x:v>Office Supplies</x:v>
      </x:c>
      <x:c r="K583" s="12" t="str">
        <x:v>Art</x:v>
      </x:c>
      <x:c r="L583" s="12" t="str">
        <x:v>Classic Art 611</x:v>
      </x:c>
      <x:c r="M583" s="12" t="str">
        <x:v>Second Class</x:v>
      </x:c>
      <x:c r="N583" s="12" t="n">
        <x:v>4</x:v>
      </x:c>
      <x:c r="O583" s="12" t="n">
        <x:v>4080.95</x:v>
      </x:c>
      <x:c r="P583" s="12" t="n">
        <x:v>0</x:v>
      </x:c>
      <x:c r="Q583" s="12" t="n">
        <x:v>16323.8</x:v>
      </x:c>
      <x:c r="R583" s="12" t="n">
        <x:v>9965.79</x:v>
      </x:c>
      <x:c r="S583" s="12" t="n">
        <x:v>6358.01</x:v>
      </x:c>
      <x:c r="T583" s="12" t="str">
        <x:v>Refunded</x:v>
      </x:c>
      <x:c r="U583" s="12" t="str">
        <x:v>Returned</x:v>
      </x:c>
    </x:row>
    <x:row r="584">
      <x:c r="A584" s="12" t="str">
        <x:v>ORD-2024-10583</x:v>
      </x:c>
      <x:c r="B584" s="12" t="str">
        <x:v>2024-10-15</x:v>
      </x:c>
      <x:c r="C584" s="12" t="str">
        <x:v>10/20/2024</x:v>
      </x:c>
      <x:c r="D584" s="12" t="str">
        <x:v>CUST-2088</x:v>
      </x:c>
      <x:c r="E584" s="12" t="str">
        <x:v>Ananya Rao</x:v>
      </x:c>
      <x:c r="F584" s="12" t="str">
        <x:v>Consumer</x:v>
      </x:c>
      <x:c r="G584" s="12" t="str">
        <x:v>East</x:v>
      </x:c>
      <x:c r="H584" s="12" t="str">
        <x:v>Odisha</x:v>
      </x:c>
      <x:c r="I584" s="12" t="str">
        <x:v>Bhubaneswar</x:v>
      </x:c>
      <x:c r="J584" s="12" t="str">
        <x:v>Office Supplies</x:v>
      </x:c>
      <x:c r="K584" s="12" t="str">
        <x:v>Art</x:v>
      </x:c>
      <x:c r="L584" s="12" t="str">
        <x:v>Basic Art 174</x:v>
      </x:c>
      <x:c r="M584" s="12" t="str">
        <x:v>First Class</x:v>
      </x:c>
      <x:c r="N584" s="12" t="n">
        <x:v>5</x:v>
      </x:c>
      <x:c r="O584" s="12" t="n">
        <x:v>671.24</x:v>
      </x:c>
      <x:c r="P584" s="12" t="n">
        <x:v>0</x:v>
      </x:c>
      <x:c r="Q584" s="12" t="n">
        <x:v>3356.2</x:v>
      </x:c>
      <x:c r="R584" s="12" t="n">
        <x:v>2205.72</x:v>
      </x:c>
      <x:c r="S584" s="12" t="n">
        <x:v>1150.48</x:v>
      </x:c>
      <x:c r="T584" s="12" t="str">
        <x:v>Pending</x:v>
      </x:c>
      <x:c r="U584" s="12" t="str">
        <x:v>Returned</x:v>
      </x:c>
    </x:row>
    <x:row r="585">
      <x:c r="A585" s="12" t="str">
        <x:v>ORD-2024-10584</x:v>
      </x:c>
      <x:c r="B585" s="12" t="str">
        <x:v>28 Feb 2024</x:v>
      </x:c>
      <x:c r="C585" s="12" t="str">
        <x:v>02/28/2024</x:v>
      </x:c>
      <x:c r="D585" s="12" t="str">
        <x:v>CUST-1686</x:v>
      </x:c>
      <x:c r="E585" s="12" t="str">
        <x:v>Rohan Mehta</x:v>
      </x:c>
      <x:c r="F585" s="12" t="str">
        <x:v>Small Business</x:v>
      </x:c>
      <x:c r="G585" s="12" t="str">
        <x:v>East</x:v>
      </x:c>
      <x:c r="H585" s="12" t="str">
        <x:v>West Bengal</x:v>
      </x:c>
      <x:c r="I585" s="12" t="str">
        <x:v>Kolkata</x:v>
      </x:c>
      <x:c r="J585" s="12" t="str">
        <x:v>Office Supplies</x:v>
      </x:c>
      <x:c r="K585" s="12" t="str">
        <x:v>Storage</x:v>
      </x:c>
      <x:c r="L585" s="12" t="str">
        <x:v>Classic Storage 451</x:v>
      </x:c>
      <x:c r="M585" s="12" t="str">
        <x:v>First Class</x:v>
      </x:c>
      <x:c r="N585" s="12" t="n">
        <x:v>1</x:v>
      </x:c>
      <x:c r="O585" s="12" t="n">
        <x:v>2626.84</x:v>
      </x:c>
      <x:c r="P585" s="12" t="n">
        <x:v>0.2</x:v>
      </x:c>
      <x:c r="Q585" s="12" t="n">
        <x:v>2101.47</x:v>
      </x:c>
      <x:c r="R585" s="12" t="n">
        <x:v>1217.83</x:v>
      </x:c>
      <x:c r="S585" s="12" t="n">
        <x:v>883.64</x:v>
      </x:c>
      <x:c r="T585" s="12" t="str">
        <x:v>Failed</x:v>
      </x:c>
      <x:c r="U585" s="12" t="str">
        <x:v>Returned</x:v>
      </x:c>
    </x:row>
    <x:row r="586">
      <x:c r="A586" s="12" t="str">
        <x:v>ORD-2024-10585</x:v>
      </x:c>
      <x:c r="B586" s="12" t="str">
        <x:v>08/04/2024</x:v>
      </x:c>
      <x:c r="C586" s="12" t="str">
        <x:v>10-08-2024</x:v>
      </x:c>
      <x:c r="D586" s="12" t="str">
        <x:v>CUST-4894</x:v>
      </x:c>
      <x:c r="E586" s="12" t="str">
        <x:v>Vikram Iyer</x:v>
      </x:c>
      <x:c r="F586" s="12" t="str">
        <x:v>Consumer</x:v>
      </x:c>
      <x:c r="G586" s="12" t="str">
        <x:v>East</x:v>
      </x:c>
      <x:c r="H586" s="12" t="str">
        <x:v>Bihar</x:v>
      </x:c>
      <x:c r="I586" s="12" t="str">
        <x:v>Patna</x:v>
      </x:c>
      <x:c r="J586" s="12" t="str">
        <x:v>Office Supplies</x:v>
      </x:c>
      <x:c r="K586" s="12" t="str">
        <x:v>Art</x:v>
      </x:c>
      <x:c r="L586" s="12" t="str">
        <x:v>Pro Art 172</x:v>
      </x:c>
      <x:c r="M586" s="12" t="str">
        <x:v>Same Day</x:v>
      </x:c>
      <x:c r="N586" s="12" t="n">
        <x:v>1</x:v>
      </x:c>
      <x:c r="O586" s="12" t="n">
        <x:v>984.93</x:v>
      </x:c>
      <x:c r="P586" s="12" t="n">
        <x:v>0.15</x:v>
      </x:c>
      <x:c r="Q586" s="12" t="n">
        <x:v>837.19</x:v>
      </x:c>
      <x:c r="R586" s="12" t="n">
        <x:v>583.79</x:v>
      </x:c>
      <x:c r="S586" s="12" t="n">
        <x:v>253.4</x:v>
      </x:c>
      <x:c r="T586" s="12" t="str">
        <x:v>Pending</x:v>
      </x:c>
      <x:c r="U586" s="12" t="str">
        <x:v>Returned</x:v>
      </x:c>
    </x:row>
    <x:row r="587">
      <x:c r="A587" s="12" t="str">
        <x:v>ORD-2025-10586</x:v>
      </x:c>
      <x:c r="B587" s="12" t="str">
        <x:v>22 Jun 2025</x:v>
      </x:c>
      <x:c r="C587" s="12" t="str">
        <x:v>2025-06-25</x:v>
      </x:c>
      <x:c r="D587" s="12" t="str">
        <x:v>CUST-5201</x:v>
      </x:c>
      <x:c r="E587" s="12" t="str">
        <x:v>Diya Patel</x:v>
      </x:c>
      <x:c r="F587" s="12" t="str">
        <x:v>Small Business</x:v>
      </x:c>
      <x:c r="G587" s="12" t="str">
        <x:v>WEST</x:v>
      </x:c>
      <x:c r="H587" s="12" t="str">
        <x:v>Maharashtra</x:v>
      </x:c>
      <x:c r="I587" s="12" t="str">
        <x:v>Mumbai</x:v>
      </x:c>
      <x:c r="J587" s="12" t="str">
        <x:v>Technology</x:v>
      </x:c>
      <x:c r="K587" s="12" t="str">
        <x:v>Phones</x:v>
      </x:c>
      <x:c r="L587" s="12" t="str">
        <x:v>Prime Phones 744</x:v>
      </x:c>
      <x:c r="M587" s="12" t="str">
        <x:v>First Class</x:v>
      </x:c>
      <x:c r="N587" s="12" t="n">
        <x:v>8</x:v>
      </x:c>
      <x:c r="O587" s="12" t="n">
        <x:v>3453.66</x:v>
      </x:c>
      <x:c r="P587" s="12" t="n">
        <x:v>0</x:v>
      </x:c>
      <x:c r="Q587" s="12" t="n">
        <x:v>27629.28</x:v>
      </x:c>
      <x:c r="R587" s="12" t="n">
        <x:v>22026.48</x:v>
      </x:c>
      <x:c r="S587" s="12" t="n">
        <x:v>5602.8</x:v>
      </x:c>
      <x:c r="T587" s="12" t="str">
        <x:v>Paid</x:v>
      </x:c>
      <x:c r="U587" s="12" t="str">
        <x:v>Completed</x:v>
      </x:c>
    </x:row>
    <x:row r="588">
      <x:c r="A588" s="12" t="str">
        <x:v>ORD-2025-10587</x:v>
      </x:c>
      <x:c r="B588" s="12" t="str">
        <x:v>12-04-2025</x:v>
      </x:c>
      <x:c r="C588" s="12" t="str">
        <x:v>12 Apr 2025</x:v>
      </x:c>
      <x:c r="D588" s="12" t="str">
        <x:v>CUST-8626</x:v>
      </x:c>
      <x:c r="E588" s="12" t="str">
        <x:v>Mira Das</x:v>
      </x:c>
      <x:c r="F588" s="12" t="str">
        <x:v>Home Office</x:v>
      </x:c>
      <x:c r="G588" s="12" t="str">
        <x:v>North</x:v>
      </x:c>
      <x:c r="H588" s="12" t="str">
        <x:v>Punjab</x:v>
      </x:c>
      <x:c r="I588" s="12" t="str">
        <x:v>Ludhiana</x:v>
      </x:c>
      <x:c r="J588" s="12" t="str">
        <x:v>Office Supplies</x:v>
      </x:c>
      <x:c r="K588" s="12" t="str">
        <x:v>Binders</x:v>
      </x:c>
      <x:c r="L588" s="12" t="str">
        <x:v>Prime Binders 249</x:v>
      </x:c>
      <x:c r="M588" s="12" t="str">
        <x:v>Second Class</x:v>
      </x:c>
      <x:c r="N588" s="12" t="n">
        <x:v>7</x:v>
      </x:c>
      <x:c r="O588" s="12" t="n">
        <x:v>1334.2</x:v>
      </x:c>
      <x:c r="P588" s="12" t="n">
        <x:v>0.2</x:v>
      </x:c>
      <x:c r="Q588" s="12" t="n">
        <x:v>7471.52</x:v>
      </x:c>
      <x:c r="R588" s="12" t="n">
        <x:v>6184.32</x:v>
      </x:c>
      <x:c r="S588" s="12" t="n">
        <x:v>1287.2</x:v>
      </x:c>
      <x:c r="T588" s="12" t="str">
        <x:v>Paid</x:v>
      </x:c>
      <x:c r="U588" s="12" t="str">
        <x:v>Completed</x:v>
      </x:c>
    </x:row>
    <x:row r="589">
      <x:c r="A589" s="12" t="str">
        <x:v>ORD-2025-10588</x:v>
      </x:c>
      <x:c r="B589" s="12" t="str">
        <x:v>23-07-2025</x:v>
      </x:c>
      <x:c r="C589" s="12" t="str">
        <x:v>2025-07-31</x:v>
      </x:c>
      <x:c r="D589" s="12" t="str">
        <x:v>CUST-1013</x:v>
      </x:c>
      <x:c r="E589" s="12" t="str">
        <x:v>Kabir Singh</x:v>
      </x:c>
      <x:c r="F589" s="12" t="str">
        <x:v>Home Office</x:v>
      </x:c>
      <x:c r="G589" s="12" t="str">
        <x:v>West</x:v>
      </x:c>
      <x:c r="H589" s="12" t="str">
        <x:v>Madhya Pradesh</x:v>
      </x:c>
      <x:c r="I589" s="12" t="str">
        <x:v>Indore</x:v>
      </x:c>
      <x:c r="J589" s="12" t="str">
        <x:v>Technology</x:v>
      </x:c>
      <x:c r="K589" s="12" t="str">
        <x:v>Accessories</x:v>
      </x:c>
      <x:c r="L589" s="12" t="str">
        <x:v>Eco Accessories 948</x:v>
      </x:c>
      <x:c r="M589" s="12" t="str">
        <x:v>First Class</x:v>
      </x:c>
      <x:c r="N589" s="12" t="n">
        <x:v>1</x:v>
      </x:c>
      <x:c r="O589" s="12" t="n">
        <x:v>4253.84</x:v>
      </x:c>
      <x:c r="P589" s="12" t="n">
        <x:v>0.15</x:v>
      </x:c>
      <x:c r="Q589" s="12" t="n">
        <x:v>3615.76</x:v>
      </x:c>
      <x:c r="R589" s="12" t="n">
        <x:v>2951.52</x:v>
      </x:c>
      <x:c r="S589" s="12" t="n">
        <x:v>664.24</x:v>
      </x:c>
      <x:c r="T589" s="12" t="str">
        <x:v>Refunded</x:v>
      </x:c>
      <x:c r="U589" s="12" t="str">
        <x:v>Cancelled</x:v>
      </x:c>
    </x:row>
    <x:row r="590">
      <x:c r="A590" s="12" t="str">
        <x:v>ORD-2025-10589</x:v>
      </x:c>
      <x:c r="B590" s="12" t="str">
        <x:v>2025-03-11</x:v>
      </x:c>
      <x:c r="C590" s="12" t="str">
        <x:v>15 Mar 2025</x:v>
      </x:c>
      <x:c r="D590" s="12" t="str">
        <x:v>CUST-3601</x:v>
      </x:c>
      <x:c r="E590" s="12" t="str">
        <x:v>Aarav Sharma</x:v>
      </x:c>
      <x:c r="F590" s="12" t="str">
        <x:v>Home Office</x:v>
      </x:c>
      <x:c r="G590" s="12" t="str">
        <x:v>South</x:v>
      </x:c>
      <x:c r="H590" s="12" t="str">
        <x:v>Karnataka</x:v>
      </x:c>
      <x:c r="I590" s="12" t="str">
        <x:v>Bengaluru</x:v>
      </x:c>
      <x:c r="J590" s="12" t="str">
        <x:v>Technology</x:v>
      </x:c>
      <x:c r="K590" s="12" t="str">
        <x:v>Accessories</x:v>
      </x:c>
      <x:c r="L590" s="12" t="str">
        <x:v>Classic Accessories 458</x:v>
      </x:c>
      <x:c r="M590" s="12" t="str">
        <x:v>Second Class</x:v>
      </x:c>
      <x:c r="N590" s="12" t="n">
        <x:v>8</x:v>
      </x:c>
      <x:c r="O590" s="12" t="n">
        <x:v>4446.36</x:v>
      </x:c>
      <x:c r="P590" s="12" t="n">
        <x:v>0.1</x:v>
      </x:c>
      <x:c r="Q590" s="12" t="n">
        <x:v>32013.79</x:v>
      </x:c>
      <x:c r="R590" s="12" t="n">
        <x:v>20896.88</x:v>
      </x:c>
      <x:c r="S590" s="12" t="n">
        <x:v>11116.91</x:v>
      </x:c>
      <x:c r="T590" s="12" t="str">
        <x:v>Refunded</x:v>
      </x:c>
      <x:c r="U590" s="12" t="str">
        <x:v>Cancelled</x:v>
      </x:c>
    </x:row>
    <x:row r="591">
      <x:c r="A591" s="12" t="str">
        <x:v>ORD-2024-10590</x:v>
      </x:c>
      <x:c r="B591" s="12" t="str">
        <x:v>06 Dec 2024</x:v>
      </x:c>
      <x:c r="C591" s="12" t="str">
        <x:v>12/12/2024</x:v>
      </x:c>
      <x:c r="D591" s="12" t="str">
        <x:v>CUST-7846</x:v>
      </x:c>
      <x:c r="E591" s="12" t="str">
        <x:v>Rohan Mehta</x:v>
      </x:c>
      <x:c r="F591" s="12" t="str">
        <x:v>Corporate</x:v>
      </x:c>
      <x:c r="G591" s="12" t="str">
        <x:v>North</x:v>
      </x:c>
      <x:c r="H591" s="12" t="str">
        <x:v>Uttar Pradesh</x:v>
      </x:c>
      <x:c r="I591" s="12" t="str">
        <x:v>Noida</x:v>
      </x:c>
      <x:c r="J591" s="12" t="str">
        <x:v>Technology</x:v>
      </x:c>
      <x:c r="K591" s="12" t="str">
        <x:v>Phones</x:v>
      </x:c>
      <x:c r="L591" s="12" t="str">
        <x:v>Max Phones 318</x:v>
      </x:c>
      <x:c r="M591" s="12" t="str">
        <x:v>First Class</x:v>
      </x:c>
      <x:c r="N591" s="12" t="n">
        <x:v>3</x:v>
      </x:c>
      <x:c r="O591" s="12" t="n">
        <x:v>524.75</x:v>
      </x:c>
      <x:c r="P591" s="12" t="n">
        <x:v>0</x:v>
      </x:c>
      <x:c r="Q591" s="12" t="n">
        <x:v>1574.25</x:v>
      </x:c>
      <x:c r="R591" s="12" t="n">
        <x:v>1326.12</x:v>
      </x:c>
      <x:c r="S591" s="12" t="n">
        <x:v>248.13</x:v>
      </x:c>
      <x:c r="T591" s="12" t="str">
        <x:v>Paid</x:v>
      </x:c>
      <x:c r="U591" s="12" t="str">
        <x:v>Completed</x:v>
      </x:c>
    </x:row>
    <x:row r="592">
      <x:c r="A592" s="12" t="str">
        <x:v>ORD-2024-10591</x:v>
      </x:c>
      <x:c r="B592" s="12" t="str">
        <x:v>29-05-2024</x:v>
      </x:c>
      <x:c r="C592" s="12" t="str">
        <x:v>2024-05-29</x:v>
      </x:c>
      <x:c r="D592" s="12" t="str">
        <x:v>CUST-3433</x:v>
      </x:c>
      <x:c r="E592" s="12" t="str">
        <x:v>Aarav Sharma</x:v>
      </x:c>
      <x:c r="F592" s="12" t="str">
        <x:v>Home Office</x:v>
      </x:c>
      <x:c r="G592" s="12" t="str">
        <x:v>North</x:v>
      </x:c>
      <x:c r="H592" s="12" t="str">
        <x:v>Delhi</x:v>
      </x:c>
      <x:c r="I592" s="12" t="str">
        <x:v>New Delhi</x:v>
      </x:c>
      <x:c r="J592" s="12" t="str">
        <x:v>Furniture</x:v>
      </x:c>
      <x:c r="K592" s="12" t="str">
        <x:v>Chairs</x:v>
      </x:c>
      <x:c r="L592" s="12" t="str">
        <x:v>Elite Chairs 372</x:v>
      </x:c>
      <x:c r="M592" s="12" t="str">
        <x:v>Same Day</x:v>
      </x:c>
      <x:c r="N592" s="12" t="n">
        <x:v>6</x:v>
      </x:c>
      <x:c r="O592" s="12" t="n">
        <x:v>3430.35</x:v>
      </x:c>
      <x:c r="P592" s="12" t="n">
        <x:v>0</x:v>
      </x:c>
      <x:c r="Q592" s="12" t="n">
        <x:v>20582.1</x:v>
      </x:c>
      <x:c r="R592" s="12" t="n">
        <x:v>15897.65</x:v>
      </x:c>
      <x:c r="S592" s="12" t="n">
        <x:v>4684.45</x:v>
      </x:c>
      <x:c r="T592" s="12" t="str">
        <x:v>  Pending </x:v>
      </x:c>
      <x:c r="U592" s="12" t="str">
        <x:v>Cancelled</x:v>
      </x:c>
    </x:row>
    <x:row r="593">
      <x:c r="A593" s="12" t="str">
        <x:v>ORD-2024-10592</x:v>
      </x:c>
      <x:c r="B593" s="12" t="str">
        <x:v>2024-02-22</x:v>
      </x:c>
      <x:c r="C593" s="12" t="str">
        <x:v>24-02-2024</x:v>
      </x:c>
      <x:c r="D593" s="12" t="str">
        <x:v>CUST-2423</x:v>
      </x:c>
      <x:c r="E593" s="12" t="str">
        <x:v>Sneha Kapoor</x:v>
      </x:c>
      <x:c r="F593" s="12" t="str">
        <x:v>Consumer</x:v>
      </x:c>
      <x:c r="G593" s="12" t="str">
        <x:v>South</x:v>
      </x:c>
      <x:c r="H593" s="12" t="str">
        <x:v>Karnataka</x:v>
      </x:c>
      <x:c r="I593" s="12" t="str">
        <x:v>Bengaluru</x:v>
      </x:c>
      <x:c r="J593" s="12" t="str">
        <x:v>Technology</x:v>
      </x:c>
      <x:c r="K593" s="12" t="str">
        <x:v>Copiers</x:v>
      </x:c>
      <x:c r="L593" s="12" t="str">
        <x:v>Eco Copiers 324</x:v>
      </x:c>
      <x:c r="M593" s="12" t="str">
        <x:v>First Class</x:v>
      </x:c>
      <x:c r="N593" s="12" t="n">
        <x:v>3</x:v>
      </x:c>
      <x:c r="O593" s="12" t="n">
        <x:v>3545.08</x:v>
      </x:c>
      <x:c r="P593" s="12" t="n">
        <x:v>0</x:v>
      </x:c>
      <x:c r="Q593" s="12" t="n">
        <x:v>10635.24</x:v>
      </x:c>
      <x:c r="R593" s="12" t="n">
        <x:v>6031.88</x:v>
      </x:c>
      <x:c r="S593" s="12" t="n">
        <x:v>4603.36</x:v>
      </x:c>
      <x:c r="T593" s="12" t="str">
        <x:v>Failed</x:v>
      </x:c>
      <x:c r="U593" s="12" t="str">
        <x:v>Returned</x:v>
      </x:c>
    </x:row>
    <x:row r="594">
      <x:c r="A594" s="12" t="str">
        <x:v>ORD-2024-10593</x:v>
      </x:c>
      <x:c r="B594" s="12" t="str">
        <x:v>04-03-2024</x:v>
      </x:c>
      <x:c r="C594" s="12" t="str">
        <x:v>2024-03-09</x:v>
      </x:c>
      <x:c r="D594" s="12" t="str">
        <x:v>CUST-3559</x:v>
      </x:c>
      <x:c r="E594" s="12" t="str">
        <x:v>Mira Das</x:v>
      </x:c>
      <x:c r="F594" s="12" t="str">
        <x:v>Consumer</x:v>
      </x:c>
      <x:c r="G594" s="12" t="str">
        <x:v>East</x:v>
      </x:c>
      <x:c r="H594" s="12" t="str">
        <x:v>West Bengal</x:v>
      </x:c>
      <x:c r="I594" s="12" t="str">
        <x:v>Kolkata</x:v>
      </x:c>
      <x:c r="J594" s="12" t="str">
        <x:v>Technology</x:v>
      </x:c>
      <x:c r="K594" s="12" t="str">
        <x:v>Accessories</x:v>
      </x:c>
      <x:c r="L594" s="12" t="str">
        <x:v>Classic Accessories 131</x:v>
      </x:c>
      <x:c r="M594" s="12" t="str">
        <x:v>Same Day</x:v>
      </x:c>
      <x:c r="N594" s="12" t="n">
        <x:v>8</x:v>
      </x:c>
      <x:c r="O594" s="12" t="n">
        <x:v>4401.41</x:v>
      </x:c>
      <x:c r="P594" s="12" t="n">
        <x:v>0.15</x:v>
      </x:c>
      <x:c r="Q594" s="12" t="n">
        <x:v>29929.59</x:v>
      </x:c>
      <x:c r="R594" s="12" t="n">
        <x:v>22436.03</x:v>
      </x:c>
      <x:c r="S594" s="12" t="n">
        <x:v>7493.56</x:v>
      </x:c>
      <x:c r="T594" s="12" t="str">
        <x:v>Paid</x:v>
      </x:c>
      <x:c r="U594" s="12" t="str">
        <x:v>Completed</x:v>
      </x:c>
    </x:row>
    <x:row r="595">
      <x:c r="A595" s="12" t="str">
        <x:v>ORD-2025-10594</x:v>
      </x:c>
      <x:c r="B595" s="12" t="str">
        <x:v>09/27/2025</x:v>
      </x:c>
      <x:c r="C595" s="12" t="str">
        <x:v>2025-09-29</x:v>
      </x:c>
      <x:c r="D595" s="12" t="str">
        <x:v>CUST-2917</x:v>
      </x:c>
      <x:c r="E595" s="12" t="str">
        <x:v>Arjun Bose</x:v>
      </x:c>
      <x:c r="F595" s="12" t="str">
        <x:v>Home Office</x:v>
      </x:c>
      <x:c r="G595" s="12" t="str">
        <x:v>North</x:v>
      </x:c>
      <x:c r="H595" s="12" t="str">
        <x:v>Uttar Pradesh</x:v>
      </x:c>
      <x:c r="I595" s="12" t="str">
        <x:v>Noida</x:v>
      </x:c>
      <x:c r="J595" s="12" t="str">
        <x:v>Furniture</x:v>
      </x:c>
      <x:c r="K595" s="12" t="str">
        <x:v>Tables</x:v>
      </x:c>
      <x:c r="L595" s="12" t="str">
        <x:v>Eco Tables 550</x:v>
      </x:c>
      <x:c r="M595" s="12" t="str">
        <x:v>Second Class</x:v>
      </x:c>
      <x:c r="N595" s="12" t="n">
        <x:v>9</x:v>
      </x:c>
      <x:c r="O595" s="12" t="n">
        <x:v>4100.11</x:v>
      </x:c>
      <x:c r="P595" s="12" t="n">
        <x:v>0.25</x:v>
      </x:c>
      <x:c r="Q595" s="12" t="n">
        <x:v>27675.74</x:v>
      </x:c>
      <x:c r="R595" s="12" t="n">
        <x:v>15571.08</x:v>
      </x:c>
      <x:c r="S595" s="12" t="n">
        <x:v>12104.66</x:v>
      </x:c>
      <x:c r="T595" s="12" t="str">
        <x:v>Paid</x:v>
      </x:c>
      <x:c r="U595" s="12" t="str">
        <x:v>Completed</x:v>
      </x:c>
    </x:row>
    <x:row r="596">
      <x:c r="A596" s="12" t="str">
        <x:v>ORD-2024-10595</x:v>
      </x:c>
      <x:c r="B596" s="12" t="str">
        <x:v>2024-09-19</x:v>
      </x:c>
      <x:c r="C596" s="12" t="str">
        <x:v>2024-09-21</x:v>
      </x:c>
      <x:c r="D596" s="12" t="str">
        <x:v>CUST-6850</x:v>
      </x:c>
      <x:c r="E596" s="12" t="str">
        <x:v>Karan Malhotra</x:v>
      </x:c>
      <x:c r="F596" s="12" t="str">
        <x:v>Small Business</x:v>
      </x:c>
      <x:c r="G596" s="12" t="str">
        <x:v>East</x:v>
      </x:c>
      <x:c r="H596" s="12" t="str">
        <x:v>West Bengal</x:v>
      </x:c>
      <x:c r="I596" s="12" t="str">
        <x:v>Kolkata</x:v>
      </x:c>
      <x:c r="J596" s="12" t="str">
        <x:v>Furniture</x:v>
      </x:c>
      <x:c r="K596" s="12" t="str">
        <x:v>Chairs</x:v>
      </x:c>
      <x:c r="L596" s="12" t="str">
        <x:v>Basic Chairs 932</x:v>
      </x:c>
      <x:c r="M596" s="12" t="str">
        <x:v>First Class</x:v>
      </x:c>
      <x:c r="N596" s="12" t="n">
        <x:v>3</x:v>
      </x:c>
      <x:c r="O596" s="12" t="n">
        <x:v>3981.76</x:v>
      </x:c>
      <x:c r="P596" s="12" t="n">
        <x:v>0</x:v>
      </x:c>
      <x:c r="Q596" s="12" t="n">
        <x:v>11945.28</x:v>
      </x:c>
      <x:c r="R596" s="12" t="n">
        <x:v>9700.31</x:v>
      </x:c>
      <x:c r="S596" s="12" t="n">
        <x:v>2244.97</x:v>
      </x:c>
      <x:c r="T596" s="12" t="str">
        <x:v>Paid</x:v>
      </x:c>
      <x:c r="U596" s="12" t="str">
        <x:v>Completed</x:v>
      </x:c>
    </x:row>
    <x:row r="597">
      <x:c r="A597" s="12" t="str">
        <x:v>ORD-2025-10596</x:v>
      </x:c>
      <x:c r="B597" s="12" t="str">
        <x:v>02/11/2025</x:v>
      </x:c>
      <x:c r="C597" s="12" t="str">
        <x:v>16-02-2025</x:v>
      </x:c>
      <x:c r="D597" s="12" t="str">
        <x:v>CUST-5566</x:v>
      </x:c>
      <x:c r="E597" s="12" t="str">
        <x:v>Mira Das</x:v>
      </x:c>
      <x:c r="F597" s="12" t="str">
        <x:v>Corporate</x:v>
      </x:c>
      <x:c r="G597" s="12" t="str">
        <x:v>North</x:v>
      </x:c>
      <x:c r="H597" s="12" t="str">
        <x:v>Uttar Pradesh</x:v>
      </x:c>
      <x:c r="I597" s="12" t="str">
        <x:v>Noida</x:v>
      </x:c>
      <x:c r="J597" s="12" t="str">
        <x:v>Technology</x:v>
      </x:c>
      <x:c r="K597" s="12" t="str">
        <x:v>Phones</x:v>
      </x:c>
      <x:c r="L597" s="12" t="str">
        <x:v>Classic Phones 294</x:v>
      </x:c>
      <x:c r="M597" s="12" t="str">
        <x:v>First Class</x:v>
      </x:c>
      <x:c r="N597" s="12" t="n">
        <x:v>8</x:v>
      </x:c>
      <x:c r="O597" s="12" t="n">
        <x:v>1825.56</x:v>
      </x:c>
      <x:c r="P597" s="12" t="n">
        <x:v>0.1</x:v>
      </x:c>
      <x:c r="Q597" s="12" t="n">
        <x:v>13144.03</x:v>
      </x:c>
      <x:c r="R597" s="12" t="n">
        <x:v>9764</x:v>
      </x:c>
      <x:c r="S597" s="12" t="n">
        <x:v>3380.03</x:v>
      </x:c>
      <x:c r="T597" s="12" t="str">
        <x:v>Paid</x:v>
      </x:c>
      <x:c r="U597" s="12" t="str">
        <x:v>Completed</x:v>
      </x:c>
    </x:row>
    <x:row r="598">
      <x:c r="A598" s="12" t="str">
        <x:v>ORD-2024-10597</x:v>
      </x:c>
      <x:c r="B598" s="12" t="str">
        <x:v>10 Apr 2024</x:v>
      </x:c>
      <x:c r="C598" s="12" t="str">
        <x:v>04/16/2024</x:v>
      </x:c>
      <x:c r="D598" s="12" t="str">
        <x:v>CUST-2593</x:v>
      </x:c>
      <x:c r="E598" s="12" t="str">
        <x:v>Aditi Sen</x:v>
      </x:c>
      <x:c r="F598" s="12" t="str">
        <x:v>Consumer</x:v>
      </x:c>
      <x:c r="G598" s="12" t="str">
        <x:v>South</x:v>
      </x:c>
      <x:c r="H598" s="12" t="str">
        <x:v>Kerala</x:v>
      </x:c>
      <x:c r="I598" s="12" t="str">
        <x:v>Kochi</x:v>
      </x:c>
      <x:c r="J598" s="12" t="str">
        <x:v>Furniture</x:v>
      </x:c>
      <x:c r="K598" s="12" t="str">
        <x:v>Chairs</x:v>
      </x:c>
      <x:c r="L598" s="12" t="str">
        <x:v>Elite Chairs 700</x:v>
      </x:c>
      <x:c r="M598" s="12" t="str">
        <x:v>Second Class</x:v>
      </x:c>
      <x:c r="N598" s="12" t="n">
        <x:v>9</x:v>
      </x:c>
      <x:c r="O598" s="12" t="n">
        <x:v>2723.26</x:v>
      </x:c>
      <x:c r="P598" s="12" t="n">
        <x:v>0.25</x:v>
      </x:c>
      <x:c r="Q598" s="12" t="n">
        <x:v>18382.01</x:v>
      </x:c>
      <x:c r="R598" s="12" t="n">
        <x:v>13108.2</x:v>
      </x:c>
      <x:c r="S598" s="12" t="n">
        <x:v>5273.81</x:v>
      </x:c>
      <x:c r="T598" s="12" t="str">
        <x:v>Paid</x:v>
      </x:c>
      <x:c r="U598" s="12" t="str">
        <x:v>Completed</x:v>
      </x:c>
    </x:row>
    <x:row r="599">
      <x:c r="A599" s="12" t="str">
        <x:v>ORD-2025-10598</x:v>
      </x:c>
      <x:c r="B599" s="12" t="str">
        <x:v>08 Jul 2025</x:v>
      </x:c>
      <x:c r="C599" s="12" t="str">
        <x:v>07/08/2025</x:v>
      </x:c>
      <x:c r="D599" s="12" t="str">
        <x:v>CUST-6957</x:v>
      </x:c>
      <x:c r="E599" s="12" t="str">
        <x:v>Aditi Sen</x:v>
      </x:c>
      <x:c r="F599" s="12" t="str">
        <x:v>Consumer</x:v>
      </x:c>
      <x:c r="G599" s="12" t="str">
        <x:v>South</x:v>
      </x:c>
      <x:c r="H599" s="12" t="str">
        <x:v>Telangana</x:v>
      </x:c>
      <x:c r="I599" s="12" t="str">
        <x:v>Hyderabad</x:v>
      </x:c>
      <x:c r="J599" s="12" t="str">
        <x:v>Technology</x:v>
      </x:c>
      <x:c r="K599" s="12" t="str">
        <x:v>Copiers</x:v>
      </x:c>
      <x:c r="L599" s="12" t="str">
        <x:v>Prime Copiers 969</x:v>
      </x:c>
      <x:c r="M599" s="12" t="str">
        <x:v>Same Day</x:v>
      </x:c>
      <x:c r="N599" s="12" t="n">
        <x:v>9</x:v>
      </x:c>
      <x:c r="O599" s="12" t="n">
        <x:v>274.88</x:v>
      </x:c>
      <x:c r="P599" s="12" t="n">
        <x:v>0.25</x:v>
      </x:c>
      <x:c r="Q599" s="12" t="n">
        <x:v>1855.44</x:v>
      </x:c>
      <x:c r="R599" s="12" t="n">
        <x:v>1262.74</x:v>
      </x:c>
      <x:c r="S599" s="12" t="n">
        <x:v>592.7</x:v>
      </x:c>
      <x:c r="T599" s="12" t="str">
        <x:v>Paid</x:v>
      </x:c>
      <x:c r="U599" s="12" t="str">
        <x:v>Completed</x:v>
      </x:c>
    </x:row>
    <x:row r="600">
      <x:c r="A600" s="12" t="str">
        <x:v>ORD-2024-10599</x:v>
      </x:c>
      <x:c r="B600" s="12" t="str">
        <x:v>08/17/2024</x:v>
      </x:c>
      <x:c r="C600" s="12" t="str">
        <x:v>08/24/2024</x:v>
      </x:c>
      <x:c r="D600" s="12" t="str">
        <x:v>CUST-8498</x:v>
      </x:c>
      <x:c r="E600" s="12" t="str">
        <x:v>Ananya Rao</x:v>
      </x:c>
      <x:c r="F600" s="12" t="str">
        <x:v>Corporate</x:v>
      </x:c>
      <x:c r="G600" s="12" t="str">
        <x:v>East</x:v>
      </x:c>
      <x:c r="H600" s="12" t="str">
        <x:v>West Bengal</x:v>
      </x:c>
      <x:c r="I600" s="12" t="str">
        <x:v>Kolkata</x:v>
      </x:c>
      <x:c r="J600" s="12" t="str">
        <x:v>Technology</x:v>
      </x:c>
      <x:c r="K600" s="12" t="str">
        <x:v>Copiers</x:v>
      </x:c>
      <x:c r="L600" s="12" t="str">
        <x:v>Eco Copiers 268</x:v>
      </x:c>
      <x:c r="M600" s="12" t="str">
        <x:v>Same Day</x:v>
      </x:c>
      <x:c r="N600" s="12" t="n">
        <x:v>3</x:v>
      </x:c>
      <x:c r="O600" s="12" t="n">
        <x:v>1490.69</x:v>
      </x:c>
      <x:c r="P600" s="12" t="n">
        <x:v>0.25</x:v>
      </x:c>
      <x:c r="Q600" s="12" t="n">
        <x:v>3354.05</x:v>
      </x:c>
      <x:c r="R600" s="12" t="n">
        <x:v>2672.67</x:v>
      </x:c>
      <x:c r="S600" s="12" t="n">
        <x:v>681.38</x:v>
      </x:c>
      <x:c r="T600" s="12" t="str">
        <x:v>Paid</x:v>
      </x:c>
      <x:c r="U600" s="12" t="str">
        <x:v>Completed</x:v>
      </x:c>
    </x:row>
    <x:row r="601">
      <x:c r="A601" s="12" t="str">
        <x:v>ORD-2024-10600</x:v>
      </x:c>
      <x:c r="B601" s="12" t="str">
        <x:v>19-08-2024</x:v>
      </x:c>
      <x:c r="C601" s="12" t="str">
        <x:v>21 Aug 2024</x:v>
      </x:c>
      <x:c r="D601" s="12" t="str">
        <x:v>CUST-2612</x:v>
      </x:c>
      <x:c r="E601" s="12" t="str">
        <x:v>Arjun Bose</x:v>
      </x:c>
      <x:c r="F601" s="12" t="str">
        <x:v>Consumer</x:v>
      </x:c>
      <x:c r="G601" s="12" t="str">
        <x:v>North</x:v>
      </x:c>
      <x:c r="H601" s="12" t="str">
        <x:v>Punjab</x:v>
      </x:c>
      <x:c r="I601" s="12" t="str">
        <x:v>Ludhiana</x:v>
      </x:c>
      <x:c r="J601" s="12" t="str">
        <x:v>Technology</x:v>
      </x:c>
      <x:c r="K601" s="12" t="str">
        <x:v>Phones</x:v>
      </x:c>
      <x:c r="L601" s="12" t="str">
        <x:v>Pro Phones 588</x:v>
      </x:c>
      <x:c r="M601" s="12" t="str">
        <x:v>First Class</x:v>
      </x:c>
      <x:c r="N601" s="12" t="n">
        <x:v>3</x:v>
      </x:c>
      <x:c r="O601" s="12" t="n">
        <x:v>1103.54</x:v>
      </x:c>
      <x:c r="P601" s="12" t="n">
        <x:v>0.25</x:v>
      </x:c>
      <x:c r="Q601" s="12" t="n">
        <x:v>2482.97</x:v>
      </x:c>
      <x:c r="R601" s="12" t="n">
        <x:v>1621.72</x:v>
      </x:c>
      <x:c r="S601" s="12" t="n">
        <x:v>861.25</x:v>
      </x:c>
      <x:c r="T601" s="12" t="str">
        <x:v>Paid</x:v>
      </x:c>
      <x:c r="U601" s="12" t="str">
        <x:v>Completed</x:v>
      </x:c>
    </x:row>
    <x:row r="602">
      <x:c r="A602" s="12" t="str">
        <x:v>ORD-2025-10601</x:v>
      </x:c>
      <x:c r="B602" s="12" t="str">
        <x:v>05-03-2025</x:v>
      </x:c>
      <x:c r="C602" s="12" t="str">
        <x:v>2025-03-12</x:v>
      </x:c>
      <x:c r="D602" s="12" t="str">
        <x:v>CUST-6013</x:v>
      </x:c>
      <x:c r="E602" s="12" t="str">
        <x:v>Ananya Rao</x:v>
      </x:c>
      <x:c r="F602" s="12" t="str">
        <x:v>Corporate</x:v>
      </x:c>
      <x:c r="G602" s="12" t="str">
        <x:v>West</x:v>
      </x:c>
      <x:c r="H602" s="12" t="str">
        <x:v>Madhya Pradesh</x:v>
      </x:c>
      <x:c r="I602" s="12" t="str">
        <x:v>Indore</x:v>
      </x:c>
      <x:c r="J602" s="12" t="str">
        <x:v>Office Supplies</x:v>
      </x:c>
      <x:c r="K602" s="12" t="str">
        <x:v>Storage</x:v>
      </x:c>
      <x:c r="L602" s="12" t="str">
        <x:v>Prime Storage 432</x:v>
      </x:c>
      <x:c r="M602" s="12" t="str">
        <x:v>Same Day</x:v>
      </x:c>
      <x:c r="N602" s="12" t="n">
        <x:v>3</x:v>
      </x:c>
      <x:c r="O602" s="12" t="n">
        <x:v>3682.75</x:v>
      </x:c>
      <x:c r="P602" s="12"/>
      <x:c r="Q602" s="12" t="n">
        <x:v>11048.25</x:v>
      </x:c>
      <x:c r="R602" s="12" t="n">
        <x:v>9062.72</x:v>
      </x:c>
      <x:c r="S602" s="12" t="n">
        <x:v>1985.53</x:v>
      </x:c>
      <x:c r="T602" s="12" t="str">
        <x:v>Paid</x:v>
      </x:c>
      <x:c r="U602" s="12" t="str">
        <x:v>Completed</x:v>
      </x:c>
    </x:row>
    <x:row r="603">
      <x:c r="A603" s="12" t="str">
        <x:v>ORD-2024-10602</x:v>
      </x:c>
      <x:c r="B603" s="12" t="str">
        <x:v>26 Jan 2024</x:v>
      </x:c>
      <x:c r="C603" s="12" t="str">
        <x:v>01/31/2024</x:v>
      </x:c>
      <x:c r="D603" s="12" t="str">
        <x:v>CUST-8289</x:v>
      </x:c>
      <x:c r="E603" s="12" t="str">
        <x:v>Ananya Rao</x:v>
      </x:c>
      <x:c r="F603" s="12" t="str">
        <x:v>Home Office</x:v>
      </x:c>
      <x:c r="G603" s="12" t="str">
        <x:v>East</x:v>
      </x:c>
      <x:c r="H603" s="12" t="str">
        <x:v>West Bengal</x:v>
      </x:c>
      <x:c r="I603" s="12" t="str">
        <x:v>Kolkata</x:v>
      </x:c>
      <x:c r="J603" s="12" t="str">
        <x:v>Office Supplies</x:v>
      </x:c>
      <x:c r="K603" s="12" t="str">
        <x:v>Paper</x:v>
      </x:c>
      <x:c r="L603" s="12" t="str">
        <x:v>Basic Paper 452</x:v>
      </x:c>
      <x:c r="M603" s="12" t="str">
        <x:v>Second Class</x:v>
      </x:c>
      <x:c r="N603" s="12" t="n">
        <x:v>5</x:v>
      </x:c>
      <x:c r="O603" s="12" t="n">
        <x:v>1615.03</x:v>
      </x:c>
      <x:c r="P603" s="12" t="n">
        <x:v>0.2</x:v>
      </x:c>
      <x:c r="Q603" s="12" t="n">
        <x:v>6460.12</x:v>
      </x:c>
      <x:c r="R603" s="12" t="n">
        <x:v>3604.03</x:v>
      </x:c>
      <x:c r="S603" s="12" t="n">
        <x:v>2856.09</x:v>
      </x:c>
      <x:c r="T603" s="12" t="str">
        <x:v>Paid</x:v>
      </x:c>
      <x:c r="U603" s="12" t="str">
        <x:v>Completed</x:v>
      </x:c>
    </x:row>
    <x:row r="604">
      <x:c r="A604" s="12" t="str">
        <x:v>ORD-2024-10603</x:v>
      </x:c>
      <x:c r="B604" s="12" t="str">
        <x:v>23-10-2024</x:v>
      </x:c>
      <x:c r="C604" s="12" t="str">
        <x:v>2024-10-30</x:v>
      </x:c>
      <x:c r="D604" s="12" t="str">
        <x:v>CUST-5668</x:v>
      </x:c>
      <x:c r="E604" s="12" t="str">
        <x:v>Aarav Sharma</x:v>
      </x:c>
      <x:c r="F604" s="12" t="str">
        <x:v>Consumer</x:v>
      </x:c>
      <x:c r="G604" s="12" t="str">
        <x:v>East</x:v>
      </x:c>
      <x:c r="H604" s="12" t="str">
        <x:v>Jharkhand</x:v>
      </x:c>
      <x:c r="I604" s="12" t="str">
        <x:v>Ranchi</x:v>
      </x:c>
      <x:c r="J604" s="12" t="str">
        <x:v>Technology</x:v>
      </x:c>
      <x:c r="K604" s="12" t="str">
        <x:v>Copiers</x:v>
      </x:c>
      <x:c r="L604" s="12" t="str">
        <x:v>Max Copiers 477</x:v>
      </x:c>
      <x:c r="M604" s="12" t="str">
        <x:v>Second Class</x:v>
      </x:c>
      <x:c r="N604" s="12" t="n">
        <x:v>9</x:v>
      </x:c>
      <x:c r="O604" s="12" t="n">
        <x:v>3423.82</x:v>
      </x:c>
      <x:c r="P604" s="12" t="n">
        <x:v>0.15</x:v>
      </x:c>
      <x:c r="Q604" s="12" t="n">
        <x:v>26192.22</x:v>
      </x:c>
      <x:c r="R604" s="12" t="n">
        <x:v>20795.55</x:v>
      </x:c>
      <x:c r="S604" s="12" t="n">
        <x:v>5396.67</x:v>
      </x:c>
      <x:c r="T604" s="12" t="str">
        <x:v>Paid</x:v>
      </x:c>
      <x:c r="U604" s="12" t="str">
        <x:v>Completed</x:v>
      </x:c>
    </x:row>
    <x:row r="605">
      <x:c r="A605" s="12" t="str">
        <x:v>ORD-2025-10604</x:v>
      </x:c>
      <x:c r="B605" s="12" t="str">
        <x:v>01/03/2025</x:v>
      </x:c>
      <x:c r="C605" s="12" t="str">
        <x:v>11-01-2025</x:v>
      </x:c>
      <x:c r="D605" s="12" t="str">
        <x:v>CUST-5808</x:v>
      </x:c>
      <x:c r="E605" s="12" t="str">
        <x:v>Vikram Iyer</x:v>
      </x:c>
      <x:c r="F605" s="12" t="str">
        <x:v>Corporate</x:v>
      </x:c>
      <x:c r="G605" s="12" t="str">
        <x:v>East</x:v>
      </x:c>
      <x:c r="H605" s="12" t="str">
        <x:v>Bihar</x:v>
      </x:c>
      <x:c r="I605" s="12" t="str">
        <x:v>Patna</x:v>
      </x:c>
      <x:c r="J605" s="12" t="str">
        <x:v>Technology </x:v>
      </x:c>
      <x:c r="K605" s="12" t="str">
        <x:v>Accessories</x:v>
      </x:c>
      <x:c r="L605" s="12" t="str">
        <x:v>Prime Accessories 300</x:v>
      </x:c>
      <x:c r="M605" s="12" t="str">
        <x:v>First Class</x:v>
      </x:c>
      <x:c r="N605" s="12" t="n">
        <x:v>8</x:v>
      </x:c>
      <x:c r="O605" s="12" t="n">
        <x:v>2574.29</x:v>
      </x:c>
      <x:c r="P605" s="12" t="n">
        <x:v>0.05</x:v>
      </x:c>
      <x:c r="Q605" s="12" t="n">
        <x:v>19564.6</x:v>
      </x:c>
      <x:c r="R605" s="12" t="n">
        <x:v>11154.59</x:v>
      </x:c>
      <x:c r="S605" s="12" t="n">
        <x:v>8410.01</x:v>
      </x:c>
      <x:c r="T605" s="12" t="str">
        <x:v>Pending</x:v>
      </x:c>
      <x:c r="U605" s="12" t="str">
        <x:v>Cancelled</x:v>
      </x:c>
    </x:row>
    <x:row r="606">
      <x:c r="A606" s="12" t="str">
        <x:v>ORD-2025-10605</x:v>
      </x:c>
      <x:c r="B606" s="12" t="str">
        <x:v>05-02-2025</x:v>
      </x:c>
      <x:c r="C606" s="12" t="str">
        <x:v>02/06/2025</x:v>
      </x:c>
      <x:c r="D606" s="12" t="str">
        <x:v>CUST-4526</x:v>
      </x:c>
      <x:c r="E606" s="12" t="str">
        <x:v>Ananya Rao</x:v>
      </x:c>
      <x:c r="F606" s="12" t="str">
        <x:v>Consumer</x:v>
      </x:c>
      <x:c r="G606" s="12" t="str">
        <x:v>West</x:v>
      </x:c>
      <x:c r="H606" s="12" t="str">
        <x:v>Madhya Pradesh</x:v>
      </x:c>
      <x:c r="I606" s="12" t="str">
        <x:v>Indore</x:v>
      </x:c>
      <x:c r="J606" s="12" t="str">
        <x:v>Office Supplies</x:v>
      </x:c>
      <x:c r="K606" s="12" t="str">
        <x:v>Binders</x:v>
      </x:c>
      <x:c r="L606" s="12" t="str">
        <x:v>Max Binders 547</x:v>
      </x:c>
      <x:c r="M606" s="12" t="str">
        <x:v>Same Day</x:v>
      </x:c>
      <x:c r="N606" s="12" t="n">
        <x:v>3</x:v>
      </x:c>
      <x:c r="O606" s="12" t="n">
        <x:v>1076.3</x:v>
      </x:c>
      <x:c r="P606" s="12" t="n">
        <x:v>0</x:v>
      </x:c>
      <x:c r="Q606" s="12" t="n">
        <x:v>3228.9</x:v>
      </x:c>
      <x:c r="R606" s="12" t="n">
        <x:v>1853.23</x:v>
      </x:c>
      <x:c r="S606" s="12" t="n">
        <x:v>1375.67</x:v>
      </x:c>
      <x:c r="T606" s="12" t="str">
        <x:v>Paid</x:v>
      </x:c>
      <x:c r="U606" s="12" t="str">
        <x:v>Completed</x:v>
      </x:c>
    </x:row>
    <x:row r="607">
      <x:c r="A607" s="12" t="str">
        <x:v>ORD-2025-10606</x:v>
      </x:c>
      <x:c r="B607" s="12" t="str">
        <x:v>2025-07-09</x:v>
      </x:c>
      <x:c r="C607" s="12" t="str">
        <x:v>13 Jul 2025</x:v>
      </x:c>
      <x:c r="D607" s="12" t="str">
        <x:v>CUST-4447</x:v>
      </x:c>
      <x:c r="E607" s="12" t="str">
        <x:v>Kabir Singh</x:v>
      </x:c>
      <x:c r="F607" s="12" t="str">
        <x:v>Corporate</x:v>
      </x:c>
      <x:c r="G607" s="12" t="str">
        <x:v>West</x:v>
      </x:c>
      <x:c r="H607" s="12" t="str">
        <x:v>Goa</x:v>
      </x:c>
      <x:c r="I607" s="12" t="str">
        <x:v>Panaji</x:v>
      </x:c>
      <x:c r="J607" s="12" t="str">
        <x:v>Furniture</x:v>
      </x:c>
      <x:c r="K607" s="12" t="str">
        <x:v>Furnishings</x:v>
      </x:c>
      <x:c r="L607" s="12" t="str">
        <x:v>Pro Furnishings 267</x:v>
      </x:c>
      <x:c r="M607" s="12" t="str">
        <x:v>Second Class</x:v>
      </x:c>
      <x:c r="N607" s="12" t="n">
        <x:v>5</x:v>
      </x:c>
      <x:c r="O607" s="12" t="n">
        <x:v>1680.01</x:v>
      </x:c>
      <x:c r="P607" s="12" t="str">
        <x:v>85%</x:v>
      </x:c>
      <x:c r="Q607" s="12" t="n">
        <x:v>7560.04</x:v>
      </x:c>
      <x:c r="R607" s="12" t="n">
        <x:v>6448.05</x:v>
      </x:c>
      <x:c r="S607" s="12" t="n">
        <x:v>1111.99</x:v>
      </x:c>
      <x:c r="T607" s="12" t="str">
        <x:v>Paid</x:v>
      </x:c>
      <x:c r="U607" s="12" t="str">
        <x:v>Cancelled</x:v>
      </x:c>
    </x:row>
    <x:row r="608">
      <x:c r="A608" s="12" t="str">
        <x:v>ORD-2025-10607</x:v>
      </x:c>
      <x:c r="B608" s="12" t="str">
        <x:v>22 Feb 2025</x:v>
      </x:c>
      <x:c r="C608" s="12" t="str">
        <x:v>02/28/2025</x:v>
      </x:c>
      <x:c r="D608" s="12" t="str">
        <x:v>CUST-2698</x:v>
      </x:c>
      <x:c r="E608" s="12" t="str">
        <x:v>Rahul Verma</x:v>
      </x:c>
      <x:c r="F608" s="12" t="str">
        <x:v>Home Office</x:v>
      </x:c>
      <x:c r="G608" s="12" t="str">
        <x:v>West</x:v>
      </x:c>
      <x:c r="H608" s="12" t="str">
        <x:v>Madhya Pradesh</x:v>
      </x:c>
      <x:c r="I608" s="12" t="str">
        <x:v>Indore</x:v>
      </x:c>
      <x:c r="J608" s="12" t="str">
        <x:v>Technology</x:v>
      </x:c>
      <x:c r="K608" s="12" t="str">
        <x:v>Copiers</x:v>
      </x:c>
      <x:c r="L608" s="12" t="str">
        <x:v>Max Copiers 520</x:v>
      </x:c>
      <x:c r="M608" s="12" t="str">
        <x:v>Same Day</x:v>
      </x:c>
      <x:c r="N608" s="12" t="n">
        <x:v>3</x:v>
      </x:c>
      <x:c r="O608" s="12" t="n">
        <x:v>3890.81</x:v>
      </x:c>
      <x:c r="P608" s="12" t="n">
        <x:v>0.25</x:v>
      </x:c>
      <x:c r="Q608" s="12" t="n">
        <x:v>8754.32</x:v>
      </x:c>
      <x:c r="R608" s="12" t="n">
        <x:v>6238.9</x:v>
      </x:c>
      <x:c r="S608" s="12" t="n">
        <x:v>2515.42</x:v>
      </x:c>
      <x:c r="T608" s="12" t="str">
        <x:v>Paid</x:v>
      </x:c>
      <x:c r="U608" s="12" t="str">
        <x:v>Completed</x:v>
      </x:c>
    </x:row>
    <x:row r="609">
      <x:c r="A609" s="12" t="str">
        <x:v>ORD-2025-10608</x:v>
      </x:c>
      <x:c r="B609" s="12" t="str">
        <x:v>16-02-2025</x:v>
      </x:c>
      <x:c r="C609" s="12" t="str">
        <x:v>22 Feb 2025</x:v>
      </x:c>
      <x:c r="D609" s="12" t="str">
        <x:v>CUST-6297</x:v>
      </x:c>
      <x:c r="E609" s="12" t="str">
        <x:v>Sneha Kapoor</x:v>
      </x:c>
      <x:c r="F609" s="12" t="str">
        <x:v>Home Office</x:v>
      </x:c>
      <x:c r="G609" s="12" t="str">
        <x:v>East</x:v>
      </x:c>
      <x:c r="H609" s="12" t="str">
        <x:v>Bihar</x:v>
      </x:c>
      <x:c r="I609" s="12" t="str">
        <x:v>Patna</x:v>
      </x:c>
      <x:c r="J609" s="12" t="str">
        <x:v>Office Supplies</x:v>
      </x:c>
      <x:c r="K609" s="12" t="str">
        <x:v>Storage</x:v>
      </x:c>
      <x:c r="L609" s="12" t="str">
        <x:v>Max Storage 424</x:v>
      </x:c>
      <x:c r="M609" s="12" t="str">
        <x:v>Same Day</x:v>
      </x:c>
      <x:c r="N609" s="12" t="n">
        <x:v>5</x:v>
      </x:c>
      <x:c r="O609" s="12" t="n">
        <x:v>954.67</x:v>
      </x:c>
      <x:c r="P609" s="12" t="n">
        <x:v>0.15</x:v>
      </x:c>
      <x:c r="Q609" s="12" t="n">
        <x:v>4057.35</x:v>
      </x:c>
      <x:c r="R609" s="12" t="n">
        <x:v>2862.03</x:v>
      </x:c>
      <x:c r="S609" s="12" t="n">
        <x:v>1195.32</x:v>
      </x:c>
      <x:c r="T609" s="12" t="str">
        <x:v>Paid</x:v>
      </x:c>
      <x:c r="U609" s="12" t="str">
        <x:v>Completed</x:v>
      </x:c>
    </x:row>
    <x:row r="610">
      <x:c r="A610" s="12" t="str">
        <x:v>ORD-2024-10609</x:v>
      </x:c>
      <x:c r="B610" s="12" t="str">
        <x:v>21 Jun 2024</x:v>
      </x:c>
      <x:c r="C610" s="12" t="str">
        <x:v>23 Jun 2024</x:v>
      </x:c>
      <x:c r="D610" s="12" t="str">
        <x:v>CUST-7690</x:v>
      </x:c>
      <x:c r="E610" s="12" t="str">
        <x:v>Karan Malhotra</x:v>
      </x:c>
      <x:c r="F610" s="12" t="str">
        <x:v>Home Office</x:v>
      </x:c>
      <x:c r="G610" s="12" t="str">
        <x:v>West</x:v>
      </x:c>
      <x:c r="H610" s="12" t="str">
        <x:v>Goa</x:v>
      </x:c>
      <x:c r="I610" s="12" t="str">
        <x:v>Panaji</x:v>
      </x:c>
      <x:c r="J610" s="12" t="str">
        <x:v>Furniture</x:v>
      </x:c>
      <x:c r="K610" s="12" t="str">
        <x:v>Furnishings</x:v>
      </x:c>
      <x:c r="L610" s="12" t="str">
        <x:v>Elite Furnishings 706</x:v>
      </x:c>
      <x:c r="M610" s="12" t="str">
        <x:v>Second Class</x:v>
      </x:c>
      <x:c r="N610" s="12" t="n">
        <x:v>9</x:v>
      </x:c>
      <x:c r="O610" s="12" t="n">
        <x:v>2153.75</x:v>
      </x:c>
      <x:c r="P610" s="12" t="n">
        <x:v>0</x:v>
      </x:c>
      <x:c r="Q610" s="12" t="n">
        <x:v>19383.75</x:v>
      </x:c>
      <x:c r="R610" s="12" t="n">
        <x:v>11667.43</x:v>
      </x:c>
      <x:c r="S610" s="12" t="n">
        <x:v>7716.32</x:v>
      </x:c>
      <x:c r="T610" s="12" t="str">
        <x:v>Paid</x:v>
      </x:c>
      <x:c r="U610" s="12" t="str">
        <x:v>Completed</x:v>
      </x:c>
    </x:row>
    <x:row r="611">
      <x:c r="A611" s="12" t="str">
        <x:v>ORD-2025-10610</x:v>
      </x:c>
      <x:c r="B611" s="12" t="str">
        <x:v>2025-01-08</x:v>
      </x:c>
      <x:c r="C611" s="12" t="str">
        <x:v>12-01-2025</x:v>
      </x:c>
      <x:c r="D611" s="12" t="str">
        <x:v>CUST-4380</x:v>
      </x:c>
      <x:c r="E611" s="12" t="str">
        <x:v>Sneha Kapoor</x:v>
      </x:c>
      <x:c r="F611" s="12" t="str">
        <x:v>Home Office</x:v>
      </x:c>
      <x:c r="G611" s="12" t="str">
        <x:v>South</x:v>
      </x:c>
      <x:c r="H611" s="12" t="str">
        <x:v>Karnataka</x:v>
      </x:c>
      <x:c r="I611" s="12" t="str">
        <x:v>Bengaluru</x:v>
      </x:c>
      <x:c r="J611" s="12" t="str">
        <x:v>Furniture</x:v>
      </x:c>
      <x:c r="K611" s="12" t="str">
        <x:v>Chairs</x:v>
      </x:c>
      <x:c r="L611" s="12" t="str">
        <x:v>Pro Chairs 908</x:v>
      </x:c>
      <x:c r="M611" s="12" t="str">
        <x:v>Standard Class</x:v>
      </x:c>
      <x:c r="N611" s="12" t="n">
        <x:v>7</x:v>
      </x:c>
      <x:c r="O611" s="12" t="n">
        <x:v>4337.48</x:v>
      </x:c>
      <x:c r="P611" s="12" t="n">
        <x:v>0</x:v>
      </x:c>
      <x:c r="Q611" s="12" t="n">
        <x:v>30362.36</x:v>
      </x:c>
      <x:c r="R611" s="12" t="n">
        <x:v>25065.4</x:v>
      </x:c>
      <x:c r="S611" s="12" t="n">
        <x:v>5296.96</x:v>
      </x:c>
      <x:c r="T611" s="12" t="str">
        <x:v>Paid</x:v>
      </x:c>
      <x:c r="U611" s="12" t="str">
        <x:v>Completed</x:v>
      </x:c>
    </x:row>
    <x:row r="612">
      <x:c r="A612" s="12" t="str">
        <x:v>ORD-2024-10611</x:v>
      </x:c>
      <x:c r="B612" s="12" t="str">
        <x:v>20 May 2024</x:v>
      </x:c>
      <x:c r="C612" s="12" t="str">
        <x:v>05/20/2024</x:v>
      </x:c>
      <x:c r="D612" s="12" t="str">
        <x:v>CUST-2779</x:v>
      </x:c>
      <x:c r="E612" s="12" t="str">
        <x:v>Karan Malhotra</x:v>
      </x:c>
      <x:c r="F612" s="12" t="str">
        <x:v>Home Office</x:v>
      </x:c>
      <x:c r="G612" s="12" t="str">
        <x:v>West</x:v>
      </x:c>
      <x:c r="H612" s="12" t="str">
        <x:v>Madhya Pradesh</x:v>
      </x:c>
      <x:c r="I612" s="12" t="str">
        <x:v>Indore</x:v>
      </x:c>
      <x:c r="J612" s="12" t="str">
        <x:v>Furniture</x:v>
      </x:c>
      <x:c r="K612" s="12" t="str">
        <x:v>Chairs</x:v>
      </x:c>
      <x:c r="L612" s="12" t="str">
        <x:v>Pro Chairs 712</x:v>
      </x:c>
      <x:c r="M612" s="12" t="str">
        <x:v>Standard Class</x:v>
      </x:c>
      <x:c r="N612" s="12" t="n">
        <x:v>1</x:v>
      </x:c>
      <x:c r="O612" s="12" t="n">
        <x:v>3032.95</x:v>
      </x:c>
      <x:c r="P612" s="12" t="n">
        <x:v>0.1</x:v>
      </x:c>
      <x:c r="Q612" s="12" t="n">
        <x:v>2729.65</x:v>
      </x:c>
      <x:c r="R612" s="12" t="n">
        <x:v>1715.36</x:v>
      </x:c>
      <x:c r="S612" s="12" t="n">
        <x:v>1014.29</x:v>
      </x:c>
      <x:c r="T612" s="12" t="str">
        <x:v>Paid</x:v>
      </x:c>
      <x:c r="U612" s="12" t="str">
        <x:v>Completed</x:v>
      </x:c>
    </x:row>
    <x:row r="613">
      <x:c r="A613" s="12" t="str">
        <x:v>ORD-2025-10612</x:v>
      </x:c>
      <x:c r="B613" s="12" t="str">
        <x:v>08-07-2025</x:v>
      </x:c>
      <x:c r="C613" s="12" t="str">
        <x:v>15 Jul 2025</x:v>
      </x:c>
      <x:c r="D613" s="12" t="str">
        <x:v>CUST-6108</x:v>
      </x:c>
      <x:c r="E613" s="12" t="str">
        <x:v>Ananya Rao</x:v>
      </x:c>
      <x:c r="F613" s="12" t="str">
        <x:v>Small Business </x:v>
      </x:c>
      <x:c r="G613" s="12" t="str">
        <x:v>North</x:v>
      </x:c>
      <x:c r="H613" s="12" t="str">
        <x:v>Rajasthan</x:v>
      </x:c>
      <x:c r="I613" s="12" t="str">
        <x:v>Jaipur</x:v>
      </x:c>
      <x:c r="J613" s="12" t="str">
        <x:v>Office Supplies</x:v>
      </x:c>
      <x:c r="K613" s="12" t="str">
        <x:v>Binders</x:v>
      </x:c>
      <x:c r="L613" s="12" t="str">
        <x:v>Max Binders 785</x:v>
      </x:c>
      <x:c r="M613" s="12" t="str">
        <x:v>Same Day</x:v>
      </x:c>
      <x:c r="N613" s="12" t="n">
        <x:v>8</x:v>
      </x:c>
      <x:c r="O613" s="12" t="n">
        <x:v>655.28</x:v>
      </x:c>
      <x:c r="P613" s="12" t="n">
        <x:v>0.1</x:v>
      </x:c>
      <x:c r="Q613" s="12" t="n">
        <x:v>4718.02</x:v>
      </x:c>
      <x:c r="R613" s="12" t="n">
        <x:v>3908.23</x:v>
      </x:c>
      <x:c r="S613" s="12" t="n">
        <x:v>809.79</x:v>
      </x:c>
      <x:c r="T613" s="12" t="str">
        <x:v>Paid</x:v>
      </x:c>
      <x:c r="U613" s="12" t="str">
        <x:v>Completed</x:v>
      </x:c>
    </x:row>
    <x:row r="614">
      <x:c r="A614" s="12" t="str">
        <x:v>ORD-2025-10613</x:v>
      </x:c>
      <x:c r="B614" s="12" t="str">
        <x:v>06 Apr 2025</x:v>
      </x:c>
      <x:c r="C614" s="12" t="str">
        <x:v>13-04-2025</x:v>
      </x:c>
      <x:c r="D614" s="12" t="str">
        <x:v>CUST-5663</x:v>
      </x:c>
      <x:c r="E614" s="12" t="str">
        <x:v>Aditi Sen</x:v>
      </x:c>
      <x:c r="F614" s="12" t="str">
        <x:v>Consumer</x:v>
      </x:c>
      <x:c r="G614" s="12"/>
      <x:c r="H614" s="12" t="str">
        <x:v>Odisha</x:v>
      </x:c>
      <x:c r="I614" s="12" t="str">
        <x:v>Bhubaneswar</x:v>
      </x:c>
      <x:c r="J614" s="12" t="str">
        <x:v>Technology</x:v>
      </x:c>
      <x:c r="K614" s="12" t="str">
        <x:v>Phones</x:v>
      </x:c>
      <x:c r="L614" s="12" t="str">
        <x:v>Elite Phones 239</x:v>
      </x:c>
      <x:c r="M614" s="12" t="str">
        <x:v>Standard Class</x:v>
      </x:c>
      <x:c r="N614" s="12" t="n">
        <x:v>1</x:v>
      </x:c>
      <x:c r="O614" s="12" t="n">
        <x:v>3844.01</x:v>
      </x:c>
      <x:c r="P614" s="12" t="n">
        <x:v>0</x:v>
      </x:c>
      <x:c r="Q614" s="12" t="n">
        <x:v>3844.01</x:v>
      </x:c>
      <x:c r="R614" s="12" t="n">
        <x:v>2195.79</x:v>
      </x:c>
      <x:c r="S614" s="12" t="n">
        <x:v>1648.22</x:v>
      </x:c>
      <x:c r="T614" s="12" t="str">
        <x:v>Paid</x:v>
      </x:c>
      <x:c r="U614" s="12" t="str">
        <x:v>Completed</x:v>
      </x:c>
    </x:row>
    <x:row r="615">
      <x:c r="A615" s="12" t="str">
        <x:v>ORD-2024-10614</x:v>
      </x:c>
      <x:c r="B615" s="12" t="str">
        <x:v>2024-10-05</x:v>
      </x:c>
      <x:c r="C615" s="12" t="str">
        <x:v>10/10/2024</x:v>
      </x:c>
      <x:c r="D615" s="12" t="str">
        <x:v>CUST-9311</x:v>
      </x:c>
      <x:c r="E615" s="12" t="str">
        <x:v>Diya Patel</x:v>
      </x:c>
      <x:c r="F615" s="12" t="str">
        <x:v>Home Office</x:v>
      </x:c>
      <x:c r="G615" s="12" t="str">
        <x:v>West</x:v>
      </x:c>
      <x:c r="H615" s="12" t="str">
        <x:v>Gujarat</x:v>
      </x:c>
      <x:c r="I615" s="12" t="str">
        <x:v>Ahmedabad</x:v>
      </x:c>
      <x:c r="J615" s="12" t="str">
        <x:v>Technology</x:v>
      </x:c>
      <x:c r="K615" s="12" t="str">
        <x:v>Machines</x:v>
      </x:c>
      <x:c r="L615" s="12" t="str">
        <x:v>Basic Machines 413</x:v>
      </x:c>
      <x:c r="M615" s="12" t="str">
        <x:v>Same Day</x:v>
      </x:c>
      <x:c r="N615" s="12" t="n">
        <x:v>9</x:v>
      </x:c>
      <x:c r="O615" s="12" t="n">
        <x:v>3361.3</x:v>
      </x:c>
      <x:c r="P615" s="12" t="n">
        <x:v>0.25</x:v>
      </x:c>
      <x:c r="Q615" s="12" t="n">
        <x:v>22688.78</x:v>
      </x:c>
      <x:c r="R615" s="12" t="n">
        <x:v>14672.41</x:v>
      </x:c>
      <x:c r="S615" s="12" t="n">
        <x:v>8016.37</x:v>
      </x:c>
      <x:c r="T615" s="12" t="str">
        <x:v>Paid</x:v>
      </x:c>
      <x:c r="U615" s="12" t="str">
        <x:v>Completed</x:v>
      </x:c>
    </x:row>
    <x:row r="616">
      <x:c r="A616" s="12" t="str">
        <x:v>ORD-2024-10615</x:v>
      </x:c>
      <x:c r="B616" s="12" t="str">
        <x:v>11-02-2024</x:v>
      </x:c>
      <x:c r="C616" s="12" t="str">
        <x:v>19-02-2024</x:v>
      </x:c>
      <x:c r="D616" s="12" t="str">
        <x:v>CUST-8154</x:v>
      </x:c>
      <x:c r="E616" s="12" t="str">
        <x:v>Ananya Rao</x:v>
      </x:c>
      <x:c r="F616" s="12" t="str">
        <x:v>Home Office</x:v>
      </x:c>
      <x:c r="G616" s="12" t="str">
        <x:v>South</x:v>
      </x:c>
      <x:c r="H616" s="12" t="str">
        <x:v>Telangana</x:v>
      </x:c>
      <x:c r="I616" s="12" t="str">
        <x:v>Hyderabad</x:v>
      </x:c>
      <x:c r="J616" s="12" t="str">
        <x:v>Furniture</x:v>
      </x:c>
      <x:c r="K616" s="12" t="str">
        <x:v>Chairs</x:v>
      </x:c>
      <x:c r="L616" s="12" t="str">
        <x:v>Elite Chairs 140</x:v>
      </x:c>
      <x:c r="M616" s="12" t="str">
        <x:v>Standard Class</x:v>
      </x:c>
      <x:c r="N616" s="12" t="n">
        <x:v>8</x:v>
      </x:c>
      <x:c r="O616" s="12" t="n">
        <x:v>3398.32</x:v>
      </x:c>
      <x:c r="P616" s="12" t="n">
        <x:v>0.25</x:v>
      </x:c>
      <x:c r="Q616" s="12" t="n">
        <x:v>20389.92</x:v>
      </x:c>
      <x:c r="R616" s="12" t="n">
        <x:v>16661.08</x:v>
      </x:c>
      <x:c r="S616" s="12" t="n">
        <x:v>3728.84</x:v>
      </x:c>
      <x:c r="T616" s="12" t="str">
        <x:v>Refunded</x:v>
      </x:c>
      <x:c r="U616" s="12" t="str">
        <x:v>Cancelled</x:v>
      </x:c>
    </x:row>
    <x:row r="617">
      <x:c r="A617" s="12" t="str">
        <x:v>ORD-2024-10616</x:v>
      </x:c>
      <x:c r="B617" s="12" t="str">
        <x:v>2024-10-04</x:v>
      </x:c>
      <x:c r="C617" s="12" t="str">
        <x:v>10/07/2024</x:v>
      </x:c>
      <x:c r="D617" s="12" t="str">
        <x:v>CUST-4462</x:v>
      </x:c>
      <x:c r="E617" s="12" t="str">
        <x:v>Rahul Verma</x:v>
      </x:c>
      <x:c r="F617" s="12" t="str">
        <x:v>Corporate</x:v>
      </x:c>
      <x:c r="G617" s="12" t="str">
        <x:v>South</x:v>
      </x:c>
      <x:c r="H617" s="12" t="str">
        <x:v>Kerala</x:v>
      </x:c>
      <x:c r="I617" s="12" t="str">
        <x:v>Kochi</x:v>
      </x:c>
      <x:c r="J617" s="12" t="str">
        <x:v>Office Supplies</x:v>
      </x:c>
      <x:c r="K617" s="12" t="str">
        <x:v>Art</x:v>
      </x:c>
      <x:c r="L617" s="12" t="str">
        <x:v>Basic Art 771</x:v>
      </x:c>
      <x:c r="M617" s="12" t="str">
        <x:v>Second Class</x:v>
      </x:c>
      <x:c r="N617" s="12" t="n">
        <x:v>2</x:v>
      </x:c>
      <x:c r="O617" s="12" t="n">
        <x:v>3144.38</x:v>
      </x:c>
      <x:c r="P617" s="12" t="n">
        <x:v>0.1</x:v>
      </x:c>
      <x:c r="Q617" s="12" t="n">
        <x:v>5904.57</x:v>
      </x:c>
      <x:c r="R617" s="12" t="n">
        <x:v>4337.79</x:v>
      </x:c>
      <x:c r="S617" s="12" t="n">
        <x:v>1322.09</x:v>
      </x:c>
      <x:c r="T617" s="12" t="str">
        <x:v>Paid</x:v>
      </x:c>
      <x:c r="U617" s="12" t="str">
        <x:v>  Completed </x:v>
      </x:c>
    </x:row>
    <x:row r="618">
      <x:c r="A618" s="12" t="str">
        <x:v>ORD-2024-10617</x:v>
      </x:c>
      <x:c r="B618" s="12" t="str">
        <x:v>16 Aug 2024</x:v>
      </x:c>
      <x:c r="C618" s="12" t="str">
        <x:v>19-08-2024</x:v>
      </x:c>
      <x:c r="D618" s="12" t="str">
        <x:v>CUST-4660</x:v>
      </x:c>
      <x:c r="E618" s="12" t="str">
        <x:v>Kabir Singh</x:v>
      </x:c>
      <x:c r="F618" s="12" t="str">
        <x:v>Consumer</x:v>
      </x:c>
      <x:c r="G618" s="12" t="str">
        <x:v>South</x:v>
      </x:c>
      <x:c r="H618" s="12" t="str">
        <x:v>Telangana</x:v>
      </x:c>
      <x:c r="I618" s="12" t="str">
        <x:v>Hyderabad</x:v>
      </x:c>
      <x:c r="J618" s="12" t="str">
        <x:v>Office Supplies</x:v>
      </x:c>
      <x:c r="K618" s="12" t="str">
        <x:v>Paper</x:v>
      </x:c>
      <x:c r="L618" s="12" t="str">
        <x:v>Prime Paper 664</x:v>
      </x:c>
      <x:c r="M618" s="12" t="str">
        <x:v>Standard Class</x:v>
      </x:c>
      <x:c r="N618" s="12" t="n">
        <x:v>6</x:v>
      </x:c>
      <x:c r="O618" s="12" t="n">
        <x:v>3925.55</x:v>
      </x:c>
      <x:c r="P618" s="12" t="n">
        <x:v>0.2</x:v>
      </x:c>
      <x:c r="Q618" s="12" t="n">
        <x:v>18842.64</x:v>
      </x:c>
      <x:c r="R618" s="12" t="n">
        <x:v>11840.58</x:v>
      </x:c>
      <x:c r="S618" s="12" t="n">
        <x:v>7002.06</x:v>
      </x:c>
      <x:c r="T618" s="12" t="str">
        <x:v>Paid</x:v>
      </x:c>
      <x:c r="U618" s="12" t="str">
        <x:v>Completed</x:v>
      </x:c>
    </x:row>
    <x:row r="619">
      <x:c r="A619" s="12" t="str">
        <x:v>ORD-2024-10618</x:v>
      </x:c>
      <x:c r="B619" s="12" t="str">
        <x:v>09/29/2024</x:v>
      </x:c>
      <x:c r="C619" s="12" t="str">
        <x:v>2024-09-30</x:v>
      </x:c>
      <x:c r="D619" s="12" t="str">
        <x:v>CUST-9002</x:v>
      </x:c>
      <x:c r="E619" s="12" t="str">
        <x:v>Mira Das</x:v>
      </x:c>
      <x:c r="F619" s="12" t="str">
        <x:v>Home Office</x:v>
      </x:c>
      <x:c r="G619" s="12" t="str">
        <x:v>South</x:v>
      </x:c>
      <x:c r="H619" s="12" t="str">
        <x:v>Telangana</x:v>
      </x:c>
      <x:c r="I619" s="12" t="str">
        <x:v>Hyderabad</x:v>
      </x:c>
      <x:c r="J619" s="12" t="str">
        <x:v>Technology</x:v>
      </x:c>
      <x:c r="K619" s="12" t="str">
        <x:v>Phones</x:v>
      </x:c>
      <x:c r="L619" s="12" t="str">
        <x:v>Pro Phones 226</x:v>
      </x:c>
      <x:c r="M619" s="12" t="str">
        <x:v>Standard Class</x:v>
      </x:c>
      <x:c r="N619" s="12" t="n">
        <x:v>9</x:v>
      </x:c>
      <x:c r="O619" s="12" t="n">
        <x:v>2741.91</x:v>
      </x:c>
      <x:c r="P619" s="12" t="n">
        <x:v>0</x:v>
      </x:c>
      <x:c r="Q619" s="12" t="n">
        <x:v>24677.19</x:v>
      </x:c>
      <x:c r="R619" s="12" t="n">
        <x:v>20350.85</x:v>
      </x:c>
      <x:c r="S619" s="12" t="n">
        <x:v>4326.34</x:v>
      </x:c>
      <x:c r="T619" s="12" t="str">
        <x:v>Paid</x:v>
      </x:c>
      <x:c r="U619" s="12" t="str">
        <x:v>Completed</x:v>
      </x:c>
    </x:row>
    <x:row r="620">
      <x:c r="A620" s="12" t="str">
        <x:v>ORD-2024-10619</x:v>
      </x:c>
      <x:c r="B620" s="12" t="str">
        <x:v>2024-07-23</x:v>
      </x:c>
      <x:c r="C620" s="12" t="str">
        <x:v>2024-07-30</x:v>
      </x:c>
      <x:c r="D620" s="12" t="str">
        <x:v>CUST-1057</x:v>
      </x:c>
      <x:c r="E620" s="12" t="str">
        <x:v>Kabir Singh</x:v>
      </x:c>
      <x:c r="F620" s="12" t="str">
        <x:v>Corporate</x:v>
      </x:c>
      <x:c r="G620" s="12" t="str">
        <x:v>North</x:v>
      </x:c>
      <x:c r="H620" s="12" t="str">
        <x:v>Rajasthan</x:v>
      </x:c>
      <x:c r="I620" s="12" t="str">
        <x:v>Jaipur</x:v>
      </x:c>
      <x:c r="J620" s="12" t="str">
        <x:v>Furniture</x:v>
      </x:c>
      <x:c r="K620" s="12" t="str">
        <x:v>Tables</x:v>
      </x:c>
      <x:c r="L620" s="12" t="str">
        <x:v>Basic Tables 684</x:v>
      </x:c>
      <x:c r="M620" s="12" t="str">
        <x:v>Same Day</x:v>
      </x:c>
      <x:c r="N620" s="12" t="n">
        <x:v>9</x:v>
      </x:c>
      <x:c r="O620" s="12" t="n">
        <x:v>1870.11</x:v>
      </x:c>
      <x:c r="P620" s="12" t="n">
        <x:v>0.25</x:v>
      </x:c>
      <x:c r="Q620" s="12" t="n">
        <x:v>12623.24</x:v>
      </x:c>
      <x:c r="R620" s="12" t="n">
        <x:v>10540.8</x:v>
      </x:c>
      <x:c r="S620" s="12" t="n">
        <x:v>2082.44</x:v>
      </x:c>
      <x:c r="T620" s="12" t="str">
        <x:v>Failed</x:v>
      </x:c>
      <x:c r="U620" s="12" t="str">
        <x:v>Cancelled</x:v>
      </x:c>
    </x:row>
    <x:row r="621">
      <x:c r="A621" s="12" t="str">
        <x:v>ORD-2024-10620</x:v>
      </x:c>
      <x:c r="B621" s="12" t="str">
        <x:v>11/22/2024</x:v>
      </x:c>
      <x:c r="C621" s="12" t="str">
        <x:v>27 Nov 2024</x:v>
      </x:c>
      <x:c r="D621" s="12" t="str">
        <x:v>CUST-9596</x:v>
      </x:c>
      <x:c r="E621" s="12" t="str">
        <x:v>Priya Menon</x:v>
      </x:c>
      <x:c r="F621" s="12" t="str">
        <x:v>Corporate</x:v>
      </x:c>
      <x:c r="G621" s="12" t="str">
        <x:v>South</x:v>
      </x:c>
      <x:c r="H621" s="12" t="str">
        <x:v>Tamil Nadu</x:v>
      </x:c>
      <x:c r="I621" s="12" t="str">
        <x:v>Chennai</x:v>
      </x:c>
      <x:c r="J621" s="12" t="str">
        <x:v>Office Supplies</x:v>
      </x:c>
      <x:c r="K621" s="12" t="str">
        <x:v>Binders</x:v>
      </x:c>
      <x:c r="L621" s="12" t="str">
        <x:v>Prime Binders 938</x:v>
      </x:c>
      <x:c r="M621" s="12" t="str">
        <x:v>First Class</x:v>
      </x:c>
      <x:c r="N621" s="12" t="n">
        <x:v>1</x:v>
      </x:c>
      <x:c r="O621" s="12" t="n">
        <x:v>4251.26</x:v>
      </x:c>
      <x:c r="P621" s="12" t="n">
        <x:v>0.2</x:v>
      </x:c>
      <x:c r="Q621" s="12" t="n">
        <x:v>3401.01</x:v>
      </x:c>
      <x:c r="R621" s="12" t="n">
        <x:v>2917.54</x:v>
      </x:c>
      <x:c r="S621" s="12" t="n">
        <x:v>483.47</x:v>
      </x:c>
      <x:c r="T621" s="12" t="str">
        <x:v>Refunded</x:v>
      </x:c>
      <x:c r="U621" s="12" t="str">
        <x:v>Returned</x:v>
      </x:c>
    </x:row>
    <x:row r="622">
      <x:c r="A622" s="12" t="str">
        <x:v>ORD-2024-10621</x:v>
      </x:c>
      <x:c r="B622" s="12" t="str">
        <x:v>18-08-2024</x:v>
      </x:c>
      <x:c r="C622" s="12" t="str">
        <x:v>08/21/2024</x:v>
      </x:c>
      <x:c r="D622" s="12" t="str">
        <x:v>CUST-6947</x:v>
      </x:c>
      <x:c r="E622" s="12" t="str">
        <x:v>Vikram Iyer</x:v>
      </x:c>
      <x:c r="F622" s="12" t="str">
        <x:v>Consumer</x:v>
      </x:c>
      <x:c r="G622" s="12" t="str">
        <x:v>North</x:v>
      </x:c>
      <x:c r="H622" s="12" t="str">
        <x:v>Uttar Pradesh</x:v>
      </x:c>
      <x:c r="I622" s="12" t="str">
        <x:v>Noida</x:v>
      </x:c>
      <x:c r="J622" s="12" t="str">
        <x:v>Technology</x:v>
      </x:c>
      <x:c r="K622" s="12" t="str">
        <x:v>Machines</x:v>
      </x:c>
      <x:c r="L622" s="12" t="str">
        <x:v>Classic Machines 337</x:v>
      </x:c>
      <x:c r="M622" s="12" t="str">
        <x:v>Standard Class</x:v>
      </x:c>
      <x:c r="N622" s="12" t="n">
        <x:v>9</x:v>
      </x:c>
      <x:c r="O622" s="12" t="n">
        <x:v>734.34</x:v>
      </x:c>
      <x:c r="P622" s="12" t="n">
        <x:v>0</x:v>
      </x:c>
      <x:c r="Q622" s="12" t="n">
        <x:v>6609.06</x:v>
      </x:c>
      <x:c r="R622" s="12" t="n">
        <x:v>4946.78</x:v>
      </x:c>
      <x:c r="S622" s="12" t="n">
        <x:v>1662.28</x:v>
      </x:c>
      <x:c r="T622" s="12" t="str">
        <x:v>Paid</x:v>
      </x:c>
      <x:c r="U622" s="12" t="str">
        <x:v>Completed</x:v>
      </x:c>
    </x:row>
    <x:row r="623">
      <x:c r="A623" s="12" t="str">
        <x:v>ORD-2024-10622</x:v>
      </x:c>
      <x:c r="B623" s="12" t="str">
        <x:v>28-11-2024</x:v>
      </x:c>
      <x:c r="C623" s="12" t="str">
        <x:v>06-12-2024</x:v>
      </x:c>
      <x:c r="D623" s="12" t="str">
        <x:v>CUST-7236</x:v>
      </x:c>
      <x:c r="E623" s="12" t="str">
        <x:v>Aditi Sen</x:v>
      </x:c>
      <x:c r="F623" s="12" t="str">
        <x:v>Consumer</x:v>
      </x:c>
      <x:c r="G623" s="12" t="str">
        <x:v>West</x:v>
      </x:c>
      <x:c r="H623" s="12" t="str">
        <x:v>Maharashtra</x:v>
      </x:c>
      <x:c r="I623" s="12" t="str">
        <x:v>Mumbai</x:v>
      </x:c>
      <x:c r="J623" s="12" t="str">
        <x:v>Furniture</x:v>
      </x:c>
      <x:c r="K623" s="12" t="str">
        <x:v>Chairs</x:v>
      </x:c>
      <x:c r="L623" s="12" t="str">
        <x:v>Max Chairs 748</x:v>
      </x:c>
      <x:c r="M623" s="12" t="str">
        <x:v>Same Day</x:v>
      </x:c>
      <x:c r="N623" s="12" t="n">
        <x:v>5</x:v>
      </x:c>
      <x:c r="O623" s="12" t="n">
        <x:v>1092.84</x:v>
      </x:c>
      <x:c r="P623" s="12"/>
      <x:c r="Q623" s="12" t="n">
        <x:v>5464.2</x:v>
      </x:c>
      <x:c r="R623" s="12" t="n">
        <x:v>3318.09</x:v>
      </x:c>
      <x:c r="S623" s="12" t="n">
        <x:v>2146.11</x:v>
      </x:c>
      <x:c r="T623" s="12" t="str">
        <x:v>Paid</x:v>
      </x:c>
      <x:c r="U623" s="12" t="str">
        <x:v>Completed</x:v>
      </x:c>
    </x:row>
    <x:row r="624">
      <x:c r="A624" s="12" t="str">
        <x:v>ORD-2025-10623</x:v>
      </x:c>
      <x:c r="B624" s="12" t="str">
        <x:v>29-01-2025</x:v>
      </x:c>
      <x:c r="C624" s="12" t="str">
        <x:v>06 Feb 2025</x:v>
      </x:c>
      <x:c r="D624" s="12" t="str">
        <x:v>CUST-1127</x:v>
      </x:c>
      <x:c r="E624" s="12" t="str">
        <x:v>Vikram Iyer</x:v>
      </x:c>
      <x:c r="F624" s="12" t="str">
        <x:v>Consumer</x:v>
      </x:c>
      <x:c r="G624" s="12" t="str">
        <x:v>East</x:v>
      </x:c>
      <x:c r="H624" s="12" t="str">
        <x:v>Bihar</x:v>
      </x:c>
      <x:c r="I624" s="12" t="str">
        <x:v>Patna</x:v>
      </x:c>
      <x:c r="J624" s="12" t="str">
        <x:v>Office Supplies</x:v>
      </x:c>
      <x:c r="K624" s="12" t="str">
        <x:v>Storage</x:v>
      </x:c>
      <x:c r="L624" s="12" t="str">
        <x:v>Basic Storage 934</x:v>
      </x:c>
      <x:c r="M624" s="12" t="str">
        <x:v>Standard Class</x:v>
      </x:c>
      <x:c r="N624" s="12" t="n">
        <x:v>4</x:v>
      </x:c>
      <x:c r="O624" s="12" t="n">
        <x:v>2759.01</x:v>
      </x:c>
      <x:c r="P624" s="12" t="n">
        <x:v>0.05</x:v>
      </x:c>
      <x:c r="Q624" s="12" t="n">
        <x:v>10484.24</x:v>
      </x:c>
      <x:c r="R624" s="12" t="n">
        <x:v>6680.15</x:v>
      </x:c>
      <x:c r="S624" s="12" t="n">
        <x:v>3804.09</x:v>
      </x:c>
      <x:c r="T624" s="12" t="str">
        <x:v>Paid</x:v>
      </x:c>
      <x:c r="U624" s="12" t="str">
        <x:v>Completed</x:v>
      </x:c>
    </x:row>
    <x:row r="625">
      <x:c r="A625" s="12" t="str">
        <x:v>ORD-2024-10624</x:v>
      </x:c>
      <x:c r="B625" s="12" t="str">
        <x:v>08 Aug 2024</x:v>
      </x:c>
      <x:c r="C625" s="12" t="str">
        <x:v>14 Aug 2024</x:v>
      </x:c>
      <x:c r="D625" s="12" t="str">
        <x:v>CUST-6262</x:v>
      </x:c>
      <x:c r="E625" s="12" t="str">
        <x:v>Vikram Iyer</x:v>
      </x:c>
      <x:c r="F625" s="12" t="str">
        <x:v>Home Office</x:v>
      </x:c>
      <x:c r="G625" s="12" t="str">
        <x:v>North</x:v>
      </x:c>
      <x:c r="H625" s="12" t="str">
        <x:v>Punjab</x:v>
      </x:c>
      <x:c r="I625" s="12" t="str">
        <x:v>Ludhiana</x:v>
      </x:c>
      <x:c r="J625" s="12" t="str">
        <x:v>Office Supplies</x:v>
      </x:c>
      <x:c r="K625" s="12" t="str">
        <x:v>Storage</x:v>
      </x:c>
      <x:c r="L625" s="12" t="str">
        <x:v>Pro Storage 509</x:v>
      </x:c>
      <x:c r="M625" s="12" t="str">
        <x:v>Second Class</x:v>
      </x:c>
      <x:c r="N625" s="12" t="n">
        <x:v>8</x:v>
      </x:c>
      <x:c r="O625" s="12" t="n">
        <x:v>1359.19</x:v>
      </x:c>
      <x:c r="P625" s="12" t="n">
        <x:v>0.05</x:v>
      </x:c>
      <x:c r="Q625" s="12" t="n">
        <x:v>10329.84</x:v>
      </x:c>
      <x:c r="R625" s="12" t="n">
        <x:v>7512.22</x:v>
      </x:c>
      <x:c r="S625" s="12" t="n">
        <x:v>2817.62</x:v>
      </x:c>
      <x:c r="T625" s="12" t="str">
        <x:v>Paid</x:v>
      </x:c>
      <x:c r="U625" s="12" t="str">
        <x:v>Completed</x:v>
      </x:c>
    </x:row>
    <x:row r="626">
      <x:c r="A626" s="12" t="str">
        <x:v>ORD-2024-10625</x:v>
      </x:c>
      <x:c r="B626" s="12" t="str">
        <x:v>01/30/2024</x:v>
      </x:c>
      <x:c r="C626" s="12" t="str">
        <x:v>2024-02-01</x:v>
      </x:c>
      <x:c r="D626" s="12" t="str">
        <x:v>CUST-5070</x:v>
      </x:c>
      <x:c r="E626" s="12" t="str">
        <x:v>Neha Gupta</x:v>
      </x:c>
      <x:c r="F626" s="12" t="str">
        <x:v>Home Office</x:v>
      </x:c>
      <x:c r="G626" s="12" t="str">
        <x:v>East</x:v>
      </x:c>
      <x:c r="H626" s="12" t="str">
        <x:v>Assam</x:v>
      </x:c>
      <x:c r="I626" s="12" t="str">
        <x:v>Guwahati</x:v>
      </x:c>
      <x:c r="J626" s="12" t="str">
        <x:v>Furniture</x:v>
      </x:c>
      <x:c r="K626" s="12" t="str">
        <x:v>Chairs</x:v>
      </x:c>
      <x:c r="L626" s="12" t="str">
        <x:v>Prime Chairs 765</x:v>
      </x:c>
      <x:c r="M626" s="12" t="str">
        <x:v>First Class</x:v>
      </x:c>
      <x:c r="N626" s="12" t="n">
        <x:v>2</x:v>
      </x:c>
      <x:c r="O626" s="12" t="n">
        <x:v>4451.03</x:v>
      </x:c>
      <x:c r="P626" s="12" t="n">
        <x:v>0.05</x:v>
      </x:c>
      <x:c r="Q626" s="12" t="n">
        <x:v>8456.96</x:v>
      </x:c>
      <x:c r="R626" s="12" t="n">
        <x:v>5462.85</x:v>
      </x:c>
      <x:c r="S626" s="12" t="n">
        <x:v>2994.11</x:v>
      </x:c>
      <x:c r="T626" s="12" t="str">
        <x:v>Paid</x:v>
      </x:c>
      <x:c r="U626" s="12" t="str">
        <x:v>Completed</x:v>
      </x:c>
    </x:row>
    <x:row r="627">
      <x:c r="A627" s="12" t="str">
        <x:v>ORD-2024-10626</x:v>
      </x:c>
      <x:c r="B627" s="12" t="str">
        <x:v>12/15/2024</x:v>
      </x:c>
      <x:c r="C627" s="12" t="str">
        <x:v>21 Dec 2024</x:v>
      </x:c>
      <x:c r="D627" s="12" t="str">
        <x:v>CUST-7946</x:v>
      </x:c>
      <x:c r="E627" s="12" t="str">
        <x:v>Diya Patel</x:v>
      </x:c>
      <x:c r="F627" s="12" t="str">
        <x:v>Corporate</x:v>
      </x:c>
      <x:c r="G627" s="12" t="str">
        <x:v>West</x:v>
      </x:c>
      <x:c r="H627" s="12" t="str">
        <x:v>Rajasthan</x:v>
      </x:c>
      <x:c r="I627" s="12" t="str">
        <x:v>Udaipur</x:v>
      </x:c>
      <x:c r="J627" s="12" t="str">
        <x:v>Furniture</x:v>
      </x:c>
      <x:c r="K627" s="12" t="str">
        <x:v>Chairs</x:v>
      </x:c>
      <x:c r="L627" s="12" t="str">
        <x:v>Elite Chairs 358</x:v>
      </x:c>
      <x:c r="M627" s="12" t="str">
        <x:v>Same Day</x:v>
      </x:c>
      <x:c r="N627" s="12" t="n">
        <x:v>3</x:v>
      </x:c>
      <x:c r="O627" s="12" t="n">
        <x:v>527.67</x:v>
      </x:c>
      <x:c r="P627" s="12" t="n">
        <x:v>0.2</x:v>
      </x:c>
      <x:c r="Q627" s="12" t="n">
        <x:v>1266.41</x:v>
      </x:c>
      <x:c r="R627" s="12" t="n">
        <x:v>983.92</x:v>
      </x:c>
      <x:c r="S627" s="12" t="n">
        <x:v>282.49</x:v>
      </x:c>
      <x:c r="T627" s="12" t="str">
        <x:v>Paid</x:v>
      </x:c>
      <x:c r="U627" s="12" t="str">
        <x:v>Completed</x:v>
      </x:c>
    </x:row>
    <x:row r="628">
      <x:c r="A628" s="12" t="str">
        <x:v>ORD-2025-10627</x:v>
      </x:c>
      <x:c r="B628" s="12" t="str">
        <x:v>04-06-2025</x:v>
      </x:c>
      <x:c r="C628" s="12" t="str">
        <x:v>06/07/2025</x:v>
      </x:c>
      <x:c r="D628" s="12" t="str">
        <x:v>CUST-1793</x:v>
      </x:c>
      <x:c r="E628" s="12" t="str">
        <x:v>Sneha Kapoor</x:v>
      </x:c>
      <x:c r="F628" s="12" t="str">
        <x:v>Home Office</x:v>
      </x:c>
      <x:c r="G628" s="12" t="str">
        <x:v>East</x:v>
      </x:c>
      <x:c r="H628" s="12" t="str">
        <x:v>Assam</x:v>
      </x:c>
      <x:c r="I628" s="12" t="str">
        <x:v>Guwahati</x:v>
      </x:c>
      <x:c r="J628" s="12" t="str">
        <x:v>  Technology </x:v>
      </x:c>
      <x:c r="K628" s="12" t="str">
        <x:v>Machines</x:v>
      </x:c>
      <x:c r="L628" s="12" t="str">
        <x:v>Elite Machines 971</x:v>
      </x:c>
      <x:c r="M628" s="12" t="str">
        <x:v>Standard Class</x:v>
      </x:c>
      <x:c r="N628" s="12" t="n">
        <x:v>8</x:v>
      </x:c>
      <x:c r="O628" s="12" t="n">
        <x:v>1434.13</x:v>
      </x:c>
      <x:c r="P628" s="12" t="n">
        <x:v>0</x:v>
      </x:c>
      <x:c r="Q628" s="12" t="n">
        <x:v>11473.04</x:v>
      </x:c>
      <x:c r="R628" s="12" t="n">
        <x:v>8931.33</x:v>
      </x:c>
      <x:c r="S628" s="12" t="n">
        <x:v>2541.71</x:v>
      </x:c>
      <x:c r="T628" s="12" t="str">
        <x:v>Pending</x:v>
      </x:c>
      <x:c r="U628" s="12" t="str">
        <x:v>Returned</x:v>
      </x:c>
    </x:row>
    <x:row r="629">
      <x:c r="A629" s="12" t="str">
        <x:v>ORD-2025-10628</x:v>
      </x:c>
      <x:c r="B629" s="12" t="str">
        <x:v>02/13/2025</x:v>
      </x:c>
      <x:c r="C629" s="12" t="str">
        <x:v>21-02-2025</x:v>
      </x:c>
      <x:c r="D629" s="12" t="str">
        <x:v>CUST-8839</x:v>
      </x:c>
      <x:c r="E629" s="12" t="str">
        <x:v>Karan Malhotra</x:v>
      </x:c>
      <x:c r="F629" s="12" t="str">
        <x:v>Small Business</x:v>
      </x:c>
      <x:c r="G629" s="12" t="str">
        <x:v>South</x:v>
      </x:c>
      <x:c r="H629" s="12" t="str">
        <x:v>Kerala</x:v>
      </x:c>
      <x:c r="I629" s="12" t="str">
        <x:v>Kochi</x:v>
      </x:c>
      <x:c r="J629" s="12" t="str">
        <x:v>Technology</x:v>
      </x:c>
      <x:c r="K629" s="12" t="str">
        <x:v>Phones</x:v>
      </x:c>
      <x:c r="L629" s="12" t="str">
        <x:v>Max Phones 825</x:v>
      </x:c>
      <x:c r="M629" s="12" t="str">
        <x:v>Second Class</x:v>
      </x:c>
      <x:c r="N629" s="12" t="n">
        <x:v>2</x:v>
      </x:c>
      <x:c r="O629" s="12" t="n">
        <x:v>2360.02</x:v>
      </x:c>
      <x:c r="P629" s="12" t="n">
        <x:v>0.15</x:v>
      </x:c>
      <x:c r="Q629" s="12" t="n">
        <x:v>4012.03</x:v>
      </x:c>
      <x:c r="R629" s="12" t="n">
        <x:v>3142.92</x:v>
      </x:c>
      <x:c r="S629" s="12" t="n">
        <x:v>869.11</x:v>
      </x:c>
      <x:c r="T629" s="12" t="str">
        <x:v>Pending</x:v>
      </x:c>
      <x:c r="U629" s="12" t="str">
        <x:v>Cancelled</x:v>
      </x:c>
    </x:row>
    <x:row r="630">
      <x:c r="A630" s="12" t="str">
        <x:v>ORD-2025-10629</x:v>
      </x:c>
      <x:c r="B630" s="12" t="str">
        <x:v>2025-10-05</x:v>
      </x:c>
      <x:c r="C630" s="12" t="str">
        <x:v>12 Oct 2025</x:v>
      </x:c>
      <x:c r="D630" s="12" t="str">
        <x:v>CUST-6725</x:v>
      </x:c>
      <x:c r="E630" s="12" t="str">
        <x:v>Ananya Rao</x:v>
      </x:c>
      <x:c r="F630" s="12" t="str">
        <x:v>Home Office</x:v>
      </x:c>
      <x:c r="G630" s="12" t="str">
        <x:v>East</x:v>
      </x:c>
      <x:c r="H630" s="12" t="str">
        <x:v>Jharkhand</x:v>
      </x:c>
      <x:c r="I630" s="12" t="str">
        <x:v>Ranchi</x:v>
      </x:c>
      <x:c r="J630" s="12" t="str">
        <x:v>Technology</x:v>
      </x:c>
      <x:c r="K630" s="12" t="str">
        <x:v>Accessories</x:v>
      </x:c>
      <x:c r="L630" s="12" t="str">
        <x:v>Eco Accessories 933</x:v>
      </x:c>
      <x:c r="M630" s="12" t="str">
        <x:v>Same Day</x:v>
      </x:c>
      <x:c r="N630" s="12" t="n">
        <x:v>7</x:v>
      </x:c>
      <x:c r="O630" s="12" t="n">
        <x:v>806.67</x:v>
      </x:c>
      <x:c r="P630" s="12" t="n">
        <x:v>0.05</x:v>
      </x:c>
      <x:c r="Q630" s="12" t="n">
        <x:v>5364.36</x:v>
      </x:c>
      <x:c r="R630" s="12" t="n">
        <x:v>4391.29</x:v>
      </x:c>
      <x:c r="S630" s="12" t="n">
        <x:v>973.07</x:v>
      </x:c>
      <x:c r="T630" s="12" t="str">
        <x:v>Paid</x:v>
      </x:c>
      <x:c r="U630" s="12" t="str">
        <x:v>Completed</x:v>
      </x:c>
    </x:row>
    <x:row r="631">
      <x:c r="A631" s="12" t="str">
        <x:v>ORD-2025-10630</x:v>
      </x:c>
      <x:c r="B631" s="12" t="str">
        <x:v>09/10/2025</x:v>
      </x:c>
      <x:c r="C631" s="12" t="str">
        <x:v>14 Sep 2025</x:v>
      </x:c>
      <x:c r="D631" s="12" t="str">
        <x:v>CUST-3793</x:v>
      </x:c>
      <x:c r="E631" s="12" t="str">
        <x:v>Arjun Bose</x:v>
      </x:c>
      <x:c r="F631" s="12" t="str">
        <x:v>Home Office</x:v>
      </x:c>
      <x:c r="G631" s="12" t="str">
        <x:v>West</x:v>
      </x:c>
      <x:c r="H631" s="12" t="str">
        <x:v>Gujarat</x:v>
      </x:c>
      <x:c r="I631" s="12" t="str">
        <x:v>Ahmedabad</x:v>
      </x:c>
      <x:c r="J631" s="12" t="str">
        <x:v>Furniture</x:v>
      </x:c>
      <x:c r="K631" s="12" t="str">
        <x:v>Tables</x:v>
      </x:c>
      <x:c r="L631" s="12" t="str">
        <x:v>Max Tables 908</x:v>
      </x:c>
      <x:c r="M631" s="12" t="str">
        <x:v>Same Day</x:v>
      </x:c>
      <x:c r="N631" s="12" t="n">
        <x:v>3</x:v>
      </x:c>
      <x:c r="O631" s="12" t="n">
        <x:v>4198.46</x:v>
      </x:c>
      <x:c r="P631" s="12" t="n">
        <x:v>0.15</x:v>
      </x:c>
      <x:c r="Q631" s="12" t="n">
        <x:v>10706.07</x:v>
      </x:c>
      <x:c r="R631" s="12" t="n">
        <x:v>5927.1</x:v>
      </x:c>
      <x:c r="S631" s="12" t="n">
        <x:v>4778.97</x:v>
      </x:c>
      <x:c r="T631" s="12" t="str">
        <x:v>Paid</x:v>
      </x:c>
      <x:c r="U631" s="12" t="str">
        <x:v>Completed</x:v>
      </x:c>
    </x:row>
    <x:row r="632">
      <x:c r="A632" s="12" t="str">
        <x:v>ORD-2024-10631</x:v>
      </x:c>
      <x:c r="B632" s="12" t="str">
        <x:v>2024-04-09</x:v>
      </x:c>
      <x:c r="C632" s="12" t="str">
        <x:v>2024-04-10</x:v>
      </x:c>
      <x:c r="D632" s="12" t="str">
        <x:v>CUST-6075</x:v>
      </x:c>
      <x:c r="E632" s="12" t="str">
        <x:v>Priya Menon</x:v>
      </x:c>
      <x:c r="F632" s="12" t="str">
        <x:v>Corporate</x:v>
      </x:c>
      <x:c r="G632" s="12" t="str">
        <x:v>East</x:v>
      </x:c>
      <x:c r="H632" s="12" t="str">
        <x:v>Assam</x:v>
      </x:c>
      <x:c r="I632" s="12" t="str">
        <x:v>Guwahati</x:v>
      </x:c>
      <x:c r="J632" s="12" t="str">
        <x:v>Office Supplies</x:v>
      </x:c>
      <x:c r="K632" s="12" t="str">
        <x:v>Paper</x:v>
      </x:c>
      <x:c r="L632" s="12" t="str">
        <x:v>Elite Paper 239</x:v>
      </x:c>
      <x:c r="M632" s="12" t="str">
        <x:v>Standard Class</x:v>
      </x:c>
      <x:c r="N632" s="12" t="n">
        <x:v>4</x:v>
      </x:c>
      <x:c r="O632" s="12" t="n">
        <x:v>3047.05</x:v>
      </x:c>
      <x:c r="P632" s="12" t="n">
        <x:v>0.1</x:v>
      </x:c>
      <x:c r="Q632" s="12" t="n">
        <x:v>10969.38</x:v>
      </x:c>
      <x:c r="R632" s="12" t="n">
        <x:v>9254.46</x:v>
      </x:c>
      <x:c r="S632" s="12" t="n">
        <x:v>1714.92</x:v>
      </x:c>
      <x:c r="T632" s="12" t="str">
        <x:v>Paid</x:v>
      </x:c>
      <x:c r="U632" s="12" t="str">
        <x:v>Completed</x:v>
      </x:c>
    </x:row>
    <x:row r="633">
      <x:c r="A633" s="12" t="str">
        <x:v>ORD-2024-10632</x:v>
      </x:c>
      <x:c r="B633" s="12" t="str">
        <x:v>10 Apr 2024</x:v>
      </x:c>
      <x:c r="C633" s="12" t="str">
        <x:v>15-04-2024</x:v>
      </x:c>
      <x:c r="D633" s="12" t="str">
        <x:v>CUST-6381</x:v>
      </x:c>
      <x:c r="E633" s="12" t="str">
        <x:v>Aarav Sharma</x:v>
      </x:c>
      <x:c r="F633" s="12" t="str">
        <x:v>Home Office</x:v>
      </x:c>
      <x:c r="G633" s="12" t="str">
        <x:v>West</x:v>
      </x:c>
      <x:c r="H633" s="12" t="str">
        <x:v>Rajasthan</x:v>
      </x:c>
      <x:c r="I633" s="12" t="str">
        <x:v>Udaipur</x:v>
      </x:c>
      <x:c r="J633" s="12" t="str">
        <x:v>Furniture</x:v>
      </x:c>
      <x:c r="K633" s="12" t="str">
        <x:v>Chairs</x:v>
      </x:c>
      <x:c r="L633" s="12" t="str">
        <x:v>Eco Chairs 452</x:v>
      </x:c>
      <x:c r="M633" s="12" t="str">
        <x:v>Standard Class</x:v>
      </x:c>
      <x:c r="N633" s="12" t="n">
        <x:v>8</x:v>
      </x:c>
      <x:c r="O633" s="12" t="n">
        <x:v>4362.48</x:v>
      </x:c>
      <x:c r="P633" s="12" t="n">
        <x:v>0.1</x:v>
      </x:c>
      <x:c r="Q633" s="12" t="n">
        <x:v>31409.86</x:v>
      </x:c>
      <x:c r="R633" s="12" t="n">
        <x:v>22523.54</x:v>
      </x:c>
      <x:c r="S633" s="12" t="n">
        <x:v>8886.32</x:v>
      </x:c>
      <x:c r="T633" s="12" t="str">
        <x:v>Paid</x:v>
      </x:c>
      <x:c r="U633" s="12" t="str">
        <x:v>Completed</x:v>
      </x:c>
    </x:row>
    <x:row r="634">
      <x:c r="A634" s="12" t="str">
        <x:v>ORD-2025-10633</x:v>
      </x:c>
      <x:c r="B634" s="12" t="str">
        <x:v>15-04-2025</x:v>
      </x:c>
      <x:c r="C634" s="12" t="str">
        <x:v>16-04-2025</x:v>
      </x:c>
      <x:c r="D634" s="12" t="str">
        <x:v>CUST-4593</x:v>
      </x:c>
      <x:c r="E634" s="12" t="str">
        <x:v>Sneha Kapoor</x:v>
      </x:c>
      <x:c r="F634" s="12" t="str">
        <x:v>Small Business</x:v>
      </x:c>
      <x:c r="G634" s="12" t="str">
        <x:v>South</x:v>
      </x:c>
      <x:c r="H634" s="12" t="str">
        <x:v>Karnataka</x:v>
      </x:c>
      <x:c r="I634" s="12" t="str">
        <x:v>Bengaluru</x:v>
      </x:c>
      <x:c r="J634" s="12" t="str">
        <x:v>Furniture</x:v>
      </x:c>
      <x:c r="K634" s="12" t="str">
        <x:v>Furnishings</x:v>
      </x:c>
      <x:c r="L634" s="12" t="str">
        <x:v>Smart Furnishings 721</x:v>
      </x:c>
      <x:c r="M634" s="12" t="str">
        <x:v>First Class</x:v>
      </x:c>
      <x:c r="N634" s="12" t="n">
        <x:v>5</x:v>
      </x:c>
      <x:c r="O634" s="12" t="n">
        <x:v>2850.53</x:v>
      </x:c>
      <x:c r="P634" s="12" t="n">
        <x:v>0</x:v>
      </x:c>
      <x:c r="Q634" s="12" t="n">
        <x:v>14252.65</x:v>
      </x:c>
      <x:c r="R634" s="12" t="n">
        <x:v>11558.31</x:v>
      </x:c>
      <x:c r="S634" s="12" t="n">
        <x:v>2694.34</x:v>
      </x:c>
      <x:c r="T634" s="12" t="str">
        <x:v>Paid</x:v>
      </x:c>
      <x:c r="U634" s="12" t="str">
        <x:v>Completed</x:v>
      </x:c>
    </x:row>
    <x:row r="635">
      <x:c r="A635" s="12" t="str">
        <x:v>ORD-2025-10634</x:v>
      </x:c>
      <x:c r="B635" s="12" t="str">
        <x:v>04/18/2025</x:v>
      </x:c>
      <x:c r="C635" s="12" t="str">
        <x:v>20 Apr 2025</x:v>
      </x:c>
      <x:c r="D635" s="12" t="str">
        <x:v>CUST-5043</x:v>
      </x:c>
      <x:c r="E635" s="12" t="str">
        <x:v>Aarav Sharma</x:v>
      </x:c>
      <x:c r="F635" s="12" t="str">
        <x:v>Small Business</x:v>
      </x:c>
      <x:c r="G635" s="12" t="str">
        <x:v>South</x:v>
      </x:c>
      <x:c r="H635" s="12" t="str">
        <x:v>Tamil Nadu</x:v>
      </x:c>
      <x:c r="I635" s="12" t="str">
        <x:v>Chennai</x:v>
      </x:c>
      <x:c r="J635" s="12" t="str">
        <x:v>Technology</x:v>
      </x:c>
      <x:c r="K635" s="12" t="str">
        <x:v>Accessories</x:v>
      </x:c>
      <x:c r="L635" s="12" t="str">
        <x:v>Basic Accessories 729</x:v>
      </x:c>
      <x:c r="M635" s="12" t="str">
        <x:v>Second Class</x:v>
      </x:c>
      <x:c r="N635" s="12" t="n">
        <x:v>1</x:v>
      </x:c>
      <x:c r="O635" s="12" t="n">
        <x:v>1626.08</x:v>
      </x:c>
      <x:c r="P635" s="12" t="n">
        <x:v>0.15</x:v>
      </x:c>
      <x:c r="Q635" s="12" t="n">
        <x:v>1382.17</x:v>
      </x:c>
      <x:c r="R635" s="12" t="n">
        <x:v>810.03</x:v>
      </x:c>
      <x:c r="S635" s="12" t="n">
        <x:v>572.14</x:v>
      </x:c>
      <x:c r="T635" s="12" t="str">
        <x:v>Paid</x:v>
      </x:c>
      <x:c r="U635" s="12" t="str">
        <x:v>Completed</x:v>
      </x:c>
    </x:row>
    <x:row r="636">
      <x:c r="A636" s="12" t="str">
        <x:v>ORD-2025-10635</x:v>
      </x:c>
      <x:c r="B636" s="12" t="str">
        <x:v>01/11/2025</x:v>
      </x:c>
      <x:c r="C636" s="12" t="str">
        <x:v>12 Jan 2025</x:v>
      </x:c>
      <x:c r="D636" s="12" t="str">
        <x:v>CUST-4722</x:v>
      </x:c>
      <x:c r="E636" s="12" t="str">
        <x:v>Aditi Sen</x:v>
      </x:c>
      <x:c r="F636" s="12" t="str">
        <x:v>Consumer</x:v>
      </x:c>
      <x:c r="G636" s="12" t="str">
        <x:v>South</x:v>
      </x:c>
      <x:c r="H636" s="12" t="str">
        <x:v>Telangana</x:v>
      </x:c>
      <x:c r="I636" s="12" t="str">
        <x:v>Hyderabad</x:v>
      </x:c>
      <x:c r="J636" s="12" t="str">
        <x:v>Furniture</x:v>
      </x:c>
      <x:c r="K636" s="12" t="str">
        <x:v>Chairs</x:v>
      </x:c>
      <x:c r="L636" s="12" t="str">
        <x:v>Classic Chairs 220</x:v>
      </x:c>
      <x:c r="M636" s="12" t="str">
        <x:v>Second Class</x:v>
      </x:c>
      <x:c r="N636" s="12" t="n">
        <x:v>4</x:v>
      </x:c>
      <x:c r="O636" s="12" t="n">
        <x:v>2427.15</x:v>
      </x:c>
      <x:c r="P636" s="12" t="n">
        <x:v>0.05</x:v>
      </x:c>
      <x:c r="Q636" s="12" t="n">
        <x:v>9223.17</x:v>
      </x:c>
      <x:c r="R636" s="12" t="n">
        <x:v>5103.7</x:v>
      </x:c>
      <x:c r="S636" s="12" t="n">
        <x:v>4119.47</x:v>
      </x:c>
      <x:c r="T636" s="12" t="str">
        <x:v>Paid</x:v>
      </x:c>
      <x:c r="U636" s="12" t="str">
        <x:v>Completed</x:v>
      </x:c>
    </x:row>
    <x:row r="637">
      <x:c r="A637" s="12" t="str">
        <x:v>ORD-2024-10636</x:v>
      </x:c>
      <x:c r="B637" s="12" t="str">
        <x:v>20 May 2024</x:v>
      </x:c>
      <x:c r="C637" s="12" t="str">
        <x:v>2024-05-25</x:v>
      </x:c>
      <x:c r="D637" s="12" t="str">
        <x:v>CUST-7931</x:v>
      </x:c>
      <x:c r="E637" s="12" t="str">
        <x:v>Mira Das</x:v>
      </x:c>
      <x:c r="F637" s="12" t="str">
        <x:v>Corporate</x:v>
      </x:c>
      <x:c r="G637" s="12" t="str">
        <x:v>South</x:v>
      </x:c>
      <x:c r="H637" s="12" t="str">
        <x:v>Andhra Pradesh</x:v>
      </x:c>
      <x:c r="I637" s="12" t="str">
        <x:v>Vijayawada</x:v>
      </x:c>
      <x:c r="J637" s="12" t="str">
        <x:v>Furniture</x:v>
      </x:c>
      <x:c r="K637" s="12" t="str">
        <x:v>Chairs</x:v>
      </x:c>
      <x:c r="L637" s="12" t="str">
        <x:v>Max Chairs 305</x:v>
      </x:c>
      <x:c r="M637" s="12" t="str">
        <x:v>Same Day</x:v>
      </x:c>
      <x:c r="N637" s="12" t="n">
        <x:v>7</x:v>
      </x:c>
      <x:c r="O637" s="12" t="n">
        <x:v>3122.85</x:v>
      </x:c>
      <x:c r="P637" s="12" t="n">
        <x:v>0.25</x:v>
      </x:c>
      <x:c r="Q637" s="12" t="n">
        <x:v>16394.96</x:v>
      </x:c>
      <x:c r="R637" s="12" t="n">
        <x:v>10404.17</x:v>
      </x:c>
      <x:c r="S637" s="12" t="n">
        <x:v>5990.79</x:v>
      </x:c>
      <x:c r="T637" s="12" t="str">
        <x:v>Paid</x:v>
      </x:c>
      <x:c r="U637" s="12" t="str">
        <x:v>Completed</x:v>
      </x:c>
    </x:row>
    <x:row r="638">
      <x:c r="A638" s="12" t="str">
        <x:v>ORD-2024-10637</x:v>
      </x:c>
      <x:c r="B638" s="12" t="str">
        <x:v>02 Oct 2024</x:v>
      </x:c>
      <x:c r="C638" s="12" t="str">
        <x:v>09 Oct 2024</x:v>
      </x:c>
      <x:c r="D638" s="12" t="str">
        <x:v>CUST-7221</x:v>
      </x:c>
      <x:c r="E638" s="12" t="str">
        <x:v>Ananya Rao</x:v>
      </x:c>
      <x:c r="F638" s="12" t="str">
        <x:v>Consumer</x:v>
      </x:c>
      <x:c r="G638" s="12" t="str">
        <x:v>South</x:v>
      </x:c>
      <x:c r="H638" s="12" t="str">
        <x:v>Tamil Nadu</x:v>
      </x:c>
      <x:c r="I638" s="12" t="str">
        <x:v>Chennai</x:v>
      </x:c>
      <x:c r="J638" s="12" t="str">
        <x:v>Office Supplies</x:v>
      </x:c>
      <x:c r="K638" s="12" t="str">
        <x:v>Paper</x:v>
      </x:c>
      <x:c r="L638" s="12" t="str">
        <x:v>Smart Paper 872</x:v>
      </x:c>
      <x:c r="M638" s="12" t="str">
        <x:v>Standard Class</x:v>
      </x:c>
      <x:c r="N638" s="12" t="n">
        <x:v>8</x:v>
      </x:c>
      <x:c r="O638" s="12" t="n">
        <x:v>1910.31</x:v>
      </x:c>
      <x:c r="P638" s="12" t="n">
        <x:v>0.15</x:v>
      </x:c>
      <x:c r="Q638" s="12" t="n">
        <x:v>12990.11</x:v>
      </x:c>
      <x:c r="R638" s="12" t="n">
        <x:v>10200.8</x:v>
      </x:c>
      <x:c r="S638" s="12" t="n">
        <x:v>2789.31</x:v>
      </x:c>
      <x:c r="T638" s="12" t="str">
        <x:v>Paid</x:v>
      </x:c>
      <x:c r="U638" s="12" t="str">
        <x:v>Completed</x:v>
      </x:c>
    </x:row>
    <x:row r="639">
      <x:c r="A639" s="12" t="str">
        <x:v>ORD-2024-10638</x:v>
      </x:c>
      <x:c r="B639" s="12" t="str">
        <x:v>26-05-2024</x:v>
      </x:c>
      <x:c r="C639" s="12" t="str">
        <x:v>2024-05-26</x:v>
      </x:c>
      <x:c r="D639" s="12" t="str">
        <x:v>CUST-2594</x:v>
      </x:c>
      <x:c r="E639" s="12" t="str">
        <x:v>Rahul Verma</x:v>
      </x:c>
      <x:c r="F639" s="12" t="str">
        <x:v>Small Business</x:v>
      </x:c>
      <x:c r="G639" s="12" t="str">
        <x:v>West</x:v>
      </x:c>
      <x:c r="H639" s="12" t="str">
        <x:v>Goa</x:v>
      </x:c>
      <x:c r="I639" s="12" t="str">
        <x:v>Panaji</x:v>
      </x:c>
      <x:c r="J639" s="12" t="str">
        <x:v>Technology</x:v>
      </x:c>
      <x:c r="K639" s="12" t="str">
        <x:v>Copiers</x:v>
      </x:c>
      <x:c r="L639" s="12" t="str">
        <x:v>Max Copiers 994</x:v>
      </x:c>
      <x:c r="M639" s="12" t="str">
        <x:v>First Class</x:v>
      </x:c>
      <x:c r="N639" s="12" t="n">
        <x:v>2</x:v>
      </x:c>
      <x:c r="O639" s="12" t="n">
        <x:v>3192.47</x:v>
      </x:c>
      <x:c r="P639" s="12" t="n">
        <x:v>0.2</x:v>
      </x:c>
      <x:c r="Q639" s="12" t="n">
        <x:v>5107.95</x:v>
      </x:c>
      <x:c r="R639" s="12" t="n">
        <x:v>3133.08</x:v>
      </x:c>
      <x:c r="S639" s="12" t="n">
        <x:v>1974.87</x:v>
      </x:c>
      <x:c r="T639" s="12" t="str">
        <x:v>Paid</x:v>
      </x:c>
      <x:c r="U639" s="12" t="str">
        <x:v>Completed</x:v>
      </x:c>
    </x:row>
    <x:row r="640">
      <x:c r="A640" s="12" t="str">
        <x:v>ORD-2024-10639</x:v>
      </x:c>
      <x:c r="B640" s="12" t="str">
        <x:v>26 Jan 2024</x:v>
      </x:c>
      <x:c r="C640" s="12" t="str">
        <x:v>31-01-2024</x:v>
      </x:c>
      <x:c r="D640" s="12" t="str">
        <x:v>CUST-2111</x:v>
      </x:c>
      <x:c r="E640" s="12" t="str">
        <x:v>Karan Malhotra</x:v>
      </x:c>
      <x:c r="F640" s="12" t="str">
        <x:v>Corporate</x:v>
      </x:c>
      <x:c r="G640" s="12" t="str">
        <x:v>South</x:v>
      </x:c>
      <x:c r="H640" s="12" t="str">
        <x:v>Kerala</x:v>
      </x:c>
      <x:c r="I640" s="12" t="str">
        <x:v>Kochi</x:v>
      </x:c>
      <x:c r="J640" s="12" t="str">
        <x:v>Office Supplies</x:v>
      </x:c>
      <x:c r="K640" s="12" t="str">
        <x:v>Storage</x:v>
      </x:c>
      <x:c r="L640" s="12" t="str">
        <x:v>Pro Storage 744</x:v>
      </x:c>
      <x:c r="M640" s="12" t="str">
        <x:v>Second Class</x:v>
      </x:c>
      <x:c r="N640" s="12" t="n">
        <x:v>3</x:v>
      </x:c>
      <x:c r="O640" s="12" t="n">
        <x:v>3224.32</x:v>
      </x:c>
      <x:c r="P640" s="12" t="n">
        <x:v>0.2</x:v>
      </x:c>
      <x:c r="Q640" s="12" t="n">
        <x:v>7738.37</x:v>
      </x:c>
      <x:c r="R640" s="12" t="n">
        <x:v>4626.85</x:v>
      </x:c>
      <x:c r="S640" s="12" t="n">
        <x:v>3111.52</x:v>
      </x:c>
      <x:c r="T640" s="12" t="str">
        <x:v>Failed</x:v>
      </x:c>
      <x:c r="U640" s="12" t="str">
        <x:v>Returned</x:v>
      </x:c>
    </x:row>
    <x:row r="641">
      <x:c r="A641" s="12" t="str">
        <x:v>ORD-2024-10640</x:v>
      </x:c>
      <x:c r="B641" s="12" t="str">
        <x:v>12/27/2024</x:v>
      </x:c>
      <x:c r="C641" s="12" t="str">
        <x:v>31-12-2024</x:v>
      </x:c>
      <x:c r="D641" s="12" t="str">
        <x:v>CUST-6829</x:v>
      </x:c>
      <x:c r="E641" s="12" t="str">
        <x:v>Isha Nair</x:v>
      </x:c>
      <x:c r="F641" s="12" t="str">
        <x:v>Small Business</x:v>
      </x:c>
      <x:c r="G641" s="12" t="str">
        <x:v>East</x:v>
      </x:c>
      <x:c r="H641" s="12" t="str">
        <x:v>Odisha</x:v>
      </x:c>
      <x:c r="I641" s="12" t="str">
        <x:v>Bhubaneswar</x:v>
      </x:c>
      <x:c r="J641" s="12" t="str">
        <x:v>Furniture</x:v>
      </x:c>
      <x:c r="K641" s="12" t="str">
        <x:v>Chairs</x:v>
      </x:c>
      <x:c r="L641" s="12" t="str">
        <x:v>Elite Chairs 744</x:v>
      </x:c>
      <x:c r="M641" s="12" t="str">
        <x:v>Second Class</x:v>
      </x:c>
      <x:c r="N641" s="12" t="n">
        <x:v>1</x:v>
      </x:c>
      <x:c r="O641" s="12" t="n">
        <x:v>1594.7</x:v>
      </x:c>
      <x:c r="P641" s="12" t="n">
        <x:v>0.05</x:v>
      </x:c>
      <x:c r="Q641" s="12" t="n">
        <x:v>1514.96</x:v>
      </x:c>
      <x:c r="R641" s="12" t="n">
        <x:v>1046.17</x:v>
      </x:c>
      <x:c r="S641" s="12" t="n">
        <x:v>468.79</x:v>
      </x:c>
      <x:c r="T641" s="12" t="str">
        <x:v>Paid</x:v>
      </x:c>
      <x:c r="U641" s="12" t="str">
        <x:v>Completed</x:v>
      </x:c>
    </x:row>
    <x:row r="642">
      <x:c r="A642" s="12" t="str">
        <x:v>ORD-2025-10641</x:v>
      </x:c>
      <x:c r="B642" s="12" t="str">
        <x:v>14-01-2025</x:v>
      </x:c>
      <x:c r="C642" s="12" t="str">
        <x:v>17 Jan 2025</x:v>
      </x:c>
      <x:c r="D642" s="12" t="str">
        <x:v>CUST-5061</x:v>
      </x:c>
      <x:c r="E642" s="12" t="str">
        <x:v>Vikram Iyer</x:v>
      </x:c>
      <x:c r="F642" s="12" t="str">
        <x:v>Consumer</x:v>
      </x:c>
      <x:c r="G642" s="12" t="str">
        <x:v>West</x:v>
      </x:c>
      <x:c r="H642" s="12" t="str">
        <x:v>Goa</x:v>
      </x:c>
      <x:c r="I642" s="12" t="str">
        <x:v>Panaji</x:v>
      </x:c>
      <x:c r="J642" s="12" t="str">
        <x:v>Office Supplies</x:v>
      </x:c>
      <x:c r="K642" s="12" t="str">
        <x:v>Storage</x:v>
      </x:c>
      <x:c r="L642" s="12" t="str">
        <x:v>Basic Storage 973</x:v>
      </x:c>
      <x:c r="M642" s="12" t="str">
        <x:v>First Class</x:v>
      </x:c>
      <x:c r="N642" s="12" t="n">
        <x:v>1</x:v>
      </x:c>
      <x:c r="O642" s="12" t="n">
        <x:v>1584.12</x:v>
      </x:c>
      <x:c r="P642" s="12" t="n">
        <x:v>0.2</x:v>
      </x:c>
      <x:c r="Q642" s="12" t="n">
        <x:v>1267.3</x:v>
      </x:c>
      <x:c r="R642" s="12" t="n">
        <x:v>923.53</x:v>
      </x:c>
      <x:c r="S642" s="12" t="n">
        <x:v>343.77</x:v>
      </x:c>
      <x:c r="T642" s="12" t="str">
        <x:v>Paid</x:v>
      </x:c>
      <x:c r="U642" s="12" t="str">
        <x:v>Completed</x:v>
      </x:c>
    </x:row>
    <x:row r="643">
      <x:c r="A643" s="12" t="str">
        <x:v>ORD-2025-10642</x:v>
      </x:c>
      <x:c r="B643" s="12" t="str">
        <x:v>2025-04-09</x:v>
      </x:c>
      <x:c r="C643" s="12" t="str">
        <x:v>2025-04-14</x:v>
      </x:c>
      <x:c r="D643" s="12" t="str">
        <x:v>CUST-7915</x:v>
      </x:c>
      <x:c r="E643" s="12" t="str">
        <x:v>Karan Malhotra</x:v>
      </x:c>
      <x:c r="F643" s="12" t="str">
        <x:v>Consumer</x:v>
      </x:c>
      <x:c r="G643" s="12" t="str">
        <x:v>North</x:v>
      </x:c>
      <x:c r="H643" s="12" t="str">
        <x:v>Delhi</x:v>
      </x:c>
      <x:c r="I643" s="12" t="str">
        <x:v>New Delhi</x:v>
      </x:c>
      <x:c r="J643" s="12" t="str">
        <x:v>Furniture</x:v>
      </x:c>
      <x:c r="K643" s="12" t="str">
        <x:v>Furnishings</x:v>
      </x:c>
      <x:c r="L643" s="12" t="str">
        <x:v>Smart Furnishings 783</x:v>
      </x:c>
      <x:c r="M643" s="12" t="str">
        <x:v>Same Day</x:v>
      </x:c>
      <x:c r="N643" s="12" t="n">
        <x:v>2</x:v>
      </x:c>
      <x:c r="O643" s="12" t="n">
        <x:v>3202.87</x:v>
      </x:c>
      <x:c r="P643" s="12" t="n">
        <x:v>0</x:v>
      </x:c>
      <x:c r="Q643" s="12" t="n">
        <x:v>6405.74</x:v>
      </x:c>
      <x:c r="R643" s="12" t="n">
        <x:v>3561.87</x:v>
      </x:c>
      <x:c r="S643" s="12" t="n">
        <x:v>2843.87</x:v>
      </x:c>
      <x:c r="T643" s="12" t="str">
        <x:v>Paid</x:v>
      </x:c>
      <x:c r="U643" s="12" t="str">
        <x:v>Completed</x:v>
      </x:c>
    </x:row>
    <x:row r="644">
      <x:c r="A644" s="12" t="str">
        <x:v>ORD-2024-10643</x:v>
      </x:c>
      <x:c r="B644" s="12" t="str">
        <x:v>08/29/2024</x:v>
      </x:c>
      <x:c r="C644" s="12" t="str">
        <x:v>08/31/2024</x:v>
      </x:c>
      <x:c r="D644" s="12" t="str">
        <x:v>CUST-1940</x:v>
      </x:c>
      <x:c r="E644" s="12" t="str">
        <x:v>Isha Nair</x:v>
      </x:c>
      <x:c r="F644" s="12" t="str">
        <x:v>Home Office</x:v>
      </x:c>
      <x:c r="G644" s="12" t="str">
        <x:v>East</x:v>
      </x:c>
      <x:c r="H644" s="12" t="str">
        <x:v>Assam</x:v>
      </x:c>
      <x:c r="I644" s="12" t="str">
        <x:v>Guwahati</x:v>
      </x:c>
      <x:c r="J644" s="12" t="str">
        <x:v>Office Supplies</x:v>
      </x:c>
      <x:c r="K644" s="12" t="str">
        <x:v>binders</x:v>
      </x:c>
      <x:c r="L644" s="12" t="str">
        <x:v>Prime Binders 287</x:v>
      </x:c>
      <x:c r="M644" s="12" t="str">
        <x:v>Second Class</x:v>
      </x:c>
      <x:c r="N644" s="12" t="n">
        <x:v>9</x:v>
      </x:c>
      <x:c r="O644" s="12" t="n">
        <x:v>1275.21</x:v>
      </x:c>
      <x:c r="P644" s="12" t="n">
        <x:v>0.25</x:v>
      </x:c>
      <x:c r="Q644" s="12" t="n">
        <x:v>8607.67</x:v>
      </x:c>
      <x:c r="R644" s="12" t="n">
        <x:v>5337.64</x:v>
      </x:c>
      <x:c r="S644" s="12" t="n">
        <x:v>3270.03</x:v>
      </x:c>
      <x:c r="T644" s="12" t="str">
        <x:v>Failed</x:v>
      </x:c>
      <x:c r="U644" s="12" t="str">
        <x:v>Returned</x:v>
      </x:c>
    </x:row>
    <x:row r="645">
      <x:c r="A645" s="12" t="str">
        <x:v>ORD-2024-10644</x:v>
      </x:c>
      <x:c r="B645" s="12" t="str">
        <x:v>05-02-2024</x:v>
      </x:c>
      <x:c r="C645" s="12" t="str">
        <x:v>2024-02-13</x:v>
      </x:c>
      <x:c r="D645" s="12" t="str">
        <x:v>CUST-1986</x:v>
      </x:c>
      <x:c r="E645" s="12" t="str">
        <x:v>Aarav Sharma</x:v>
      </x:c>
      <x:c r="F645" s="12" t="str">
        <x:v>Home Office</x:v>
      </x:c>
      <x:c r="G645" s="12" t="str">
        <x:v>North</x:v>
      </x:c>
      <x:c r="H645" s="12" t="str">
        <x:v>Uttar Pradesh</x:v>
      </x:c>
      <x:c r="I645" s="12" t="str">
        <x:v>Noida</x:v>
      </x:c>
      <x:c r="J645" s="12" t="str">
        <x:v>Office Supplies</x:v>
      </x:c>
      <x:c r="K645" s="12" t="str">
        <x:v>Labels</x:v>
      </x:c>
      <x:c r="L645" s="12" t="str">
        <x:v>Elite Labels 654</x:v>
      </x:c>
      <x:c r="M645" s="12" t="str">
        <x:v>Standard Class</x:v>
      </x:c>
      <x:c r="N645" s="12" t="n">
        <x:v>8</x:v>
      </x:c>
      <x:c r="O645" s="12" t="n">
        <x:v>3871.18</x:v>
      </x:c>
      <x:c r="P645" s="12" t="n">
        <x:v>0.15</x:v>
      </x:c>
      <x:c r="Q645" s="12" t="n">
        <x:v>26324.02</x:v>
      </x:c>
      <x:c r="R645" s="12" t="n">
        <x:v>16277.96</x:v>
      </x:c>
      <x:c r="S645" s="12" t="n">
        <x:v>10046.06</x:v>
      </x:c>
      <x:c r="T645" s="12" t="str">
        <x:v>Failed</x:v>
      </x:c>
      <x:c r="U645" s="12" t="str">
        <x:v>Returned</x:v>
      </x:c>
    </x:row>
    <x:row r="646">
      <x:c r="A646" s="12" t="str">
        <x:v>ORD-2025-10645</x:v>
      </x:c>
      <x:c r="B646" s="12" t="str">
        <x:v>2025-04-10</x:v>
      </x:c>
      <x:c r="C646" s="12" t="str">
        <x:v>04/17/2025</x:v>
      </x:c>
      <x:c r="D646" s="12" t="str">
        <x:v>CUST-5549</x:v>
      </x:c>
      <x:c r="E646" s="12" t="str">
        <x:v>Vikram Iyer</x:v>
      </x:c>
      <x:c r="F646" s="12" t="str">
        <x:v>Consumer</x:v>
      </x:c>
      <x:c r="G646" s="12" t="str">
        <x:v>East</x:v>
      </x:c>
      <x:c r="H646" s="12" t="str">
        <x:v>West Bengal</x:v>
      </x:c>
      <x:c r="I646" s="12" t="str">
        <x:v>Kolkata</x:v>
      </x:c>
      <x:c r="J646" s="12" t="str">
        <x:v>Furniture</x:v>
      </x:c>
      <x:c r="K646" s="12" t="str">
        <x:v>Chairs</x:v>
      </x:c>
      <x:c r="L646" s="12" t="str">
        <x:v>Pro Chairs 812</x:v>
      </x:c>
      <x:c r="M646" s="12" t="str">
        <x:v>Standard Class</x:v>
      </x:c>
      <x:c r="N646" s="12" t="n">
        <x:v>4</x:v>
      </x:c>
      <x:c r="O646" s="12" t="n">
        <x:v>3750.02</x:v>
      </x:c>
      <x:c r="P646" s="12" t="n">
        <x:v>0.05</x:v>
      </x:c>
      <x:c r="Q646" s="12" t="n">
        <x:v>14250.08</x:v>
      </x:c>
      <x:c r="R646" s="12" t="n">
        <x:v>10914.92</x:v>
      </x:c>
      <x:c r="S646" s="12" t="n">
        <x:v>3335.16</x:v>
      </x:c>
      <x:c r="T646" s="12" t="str">
        <x:v>Paid</x:v>
      </x:c>
      <x:c r="U646" s="12" t="str">
        <x:v>Completed</x:v>
      </x:c>
    </x:row>
    <x:row r="647">
      <x:c r="A647" s="12" t="str">
        <x:v>ORD-2024-10646</x:v>
      </x:c>
      <x:c r="B647" s="12" t="str">
        <x:v>2024-01-04</x:v>
      </x:c>
      <x:c r="C647" s="12" t="str">
        <x:v>09-01-2024</x:v>
      </x:c>
      <x:c r="D647" s="12" t="str">
        <x:v>CUST-2314</x:v>
      </x:c>
      <x:c r="E647" s="12" t="str">
        <x:v>Kabir Singh</x:v>
      </x:c>
      <x:c r="F647" s="12" t="str">
        <x:v>Consumer</x:v>
      </x:c>
      <x:c r="G647" s="12" t="str">
        <x:v>East</x:v>
      </x:c>
      <x:c r="H647" s="12" t="str">
        <x:v>Bihar</x:v>
      </x:c>
      <x:c r="I647" s="12" t="str">
        <x:v>Patna</x:v>
      </x:c>
      <x:c r="J647" s="12" t="str">
        <x:v>Furniture</x:v>
      </x:c>
      <x:c r="K647" s="12" t="str">
        <x:v>Chairs</x:v>
      </x:c>
      <x:c r="L647" s="12" t="str">
        <x:v>Basic Chairs 480</x:v>
      </x:c>
      <x:c r="M647" s="12" t="str">
        <x:v>Second Class</x:v>
      </x:c>
      <x:c r="N647" s="12" t="n">
        <x:v>6</x:v>
      </x:c>
      <x:c r="O647" s="12" t="n">
        <x:v>2423.61</x:v>
      </x:c>
      <x:c r="P647" s="12" t="n">
        <x:v>0.1</x:v>
      </x:c>
      <x:c r="Q647" s="12" t="n">
        <x:v>13087.49</x:v>
      </x:c>
      <x:c r="R647" s="12" t="n">
        <x:v>7608.89</x:v>
      </x:c>
      <x:c r="S647" s="12" t="n">
        <x:v>5133.22</x:v>
      </x:c>
      <x:c r="T647" s="12" t="str">
        <x:v>Paid</x:v>
      </x:c>
      <x:c r="U647" s="12" t="str">
        <x:v>Completed</x:v>
      </x:c>
    </x:row>
    <x:row r="648">
      <x:c r="A648" s="12" t="str">
        <x:v>ORD-2024-10647</x:v>
      </x:c>
      <x:c r="B648" s="12" t="str">
        <x:v>09/18/2024</x:v>
      </x:c>
      <x:c r="C648" s="12" t="str">
        <x:v>24-09-2024</x:v>
      </x:c>
      <x:c r="D648" s="12" t="str">
        <x:v>CUST-6360</x:v>
      </x:c>
      <x:c r="E648" s="12" t="str">
        <x:v>Vikram Iyer</x:v>
      </x:c>
      <x:c r="F648" s="12" t="str">
        <x:v>Small Business</x:v>
      </x:c>
      <x:c r="G648" s="12" t="str">
        <x:v>East</x:v>
      </x:c>
      <x:c r="H648" s="12" t="str">
        <x:v>Jharkhand</x:v>
      </x:c>
      <x:c r="I648" s="12" t="str">
        <x:v>Ranchi</x:v>
      </x:c>
      <x:c r="J648" s="12" t="str">
        <x:v>Technology</x:v>
      </x:c>
      <x:c r="K648" s="12" t="str">
        <x:v>Machines</x:v>
      </x:c>
      <x:c r="L648" s="12" t="str">
        <x:v>Elite Machines 955</x:v>
      </x:c>
      <x:c r="M648" s="12" t="str">
        <x:v>First Class</x:v>
      </x:c>
      <x:c r="N648" s="12" t="n">
        <x:v>3</x:v>
      </x:c>
      <x:c r="O648" s="12" t="n">
        <x:v>729.14</x:v>
      </x:c>
      <x:c r="P648" s="12" t="n">
        <x:v>0.25</x:v>
      </x:c>
      <x:c r="Q648" s="12" t="n">
        <x:v>1640.57</x:v>
      </x:c>
      <x:c r="R648" s="12" t="n">
        <x:v>1136.98</x:v>
      </x:c>
      <x:c r="S648" s="12" t="n">
        <x:v>503.59</x:v>
      </x:c>
      <x:c r="T648" s="12" t="str">
        <x:v>Paid</x:v>
      </x:c>
      <x:c r="U648" s="12" t="str">
        <x:v>Completed</x:v>
      </x:c>
    </x:row>
    <x:row r="649">
      <x:c r="A649" s="12" t="str">
        <x:v>ORD-2025-10648</x:v>
      </x:c>
      <x:c r="B649" s="12" t="str">
        <x:v>01/01/2025</x:v>
      </x:c>
      <x:c r="C649" s="12" t="str">
        <x:v>09-01-2025</x:v>
      </x:c>
      <x:c r="D649" s="12" t="str">
        <x:v>CUST-9942</x:v>
      </x:c>
      <x:c r="E649" s="12" t="str">
        <x:v>Rohan  Mehta</x:v>
      </x:c>
      <x:c r="F649" s="12" t="str">
        <x:v>Small Business</x:v>
      </x:c>
      <x:c r="G649" s="12" t="str">
        <x:v>North</x:v>
      </x:c>
      <x:c r="H649" s="12" t="str">
        <x:v>Punjab</x:v>
      </x:c>
      <x:c r="I649" s="12" t="str">
        <x:v>Ludhiana</x:v>
      </x:c>
      <x:c r="J649" s="12" t="str">
        <x:v>Office Supplies</x:v>
      </x:c>
      <x:c r="K649" s="12" t="str">
        <x:v>Art</x:v>
      </x:c>
      <x:c r="L649" s="12" t="str">
        <x:v>Prime Art 461</x:v>
      </x:c>
      <x:c r="M649" s="12" t="str">
        <x:v>First Class</x:v>
      </x:c>
      <x:c r="N649" s="12" t="n">
        <x:v>8</x:v>
      </x:c>
      <x:c r="O649" s="12" t="n">
        <x:v>2123.81</x:v>
      </x:c>
      <x:c r="P649" s="12" t="n">
        <x:v>0.15</x:v>
      </x:c>
      <x:c r="Q649" s="12" t="n">
        <x:v>14441.91</x:v>
      </x:c>
      <x:c r="R649" s="12" t="n">
        <x:v>10872.89</x:v>
      </x:c>
      <x:c r="S649" s="12" t="n">
        <x:v>3569.02</x:v>
      </x:c>
      <x:c r="T649" s="12" t="str">
        <x:v>Paid</x:v>
      </x:c>
      <x:c r="U649" s="12" t="str">
        <x:v>Completed</x:v>
      </x:c>
    </x:row>
    <x:row r="650">
      <x:c r="A650" s="12" t="str">
        <x:v>ORD-2024-10649</x:v>
      </x:c>
      <x:c r="B650" s="12" t="str">
        <x:v>21-04-2024</x:v>
      </x:c>
      <x:c r="C650" s="12" t="str">
        <x:v>24 Apr 2024</x:v>
      </x:c>
      <x:c r="D650" s="12" t="str">
        <x:v>CUST-1808</x:v>
      </x:c>
      <x:c r="E650" s="12" t="str">
        <x:v>Neha Gupta</x:v>
      </x:c>
      <x:c r="F650" s="12" t="str">
        <x:v>Small Business</x:v>
      </x:c>
      <x:c r="G650" s="12" t="str">
        <x:v>South</x:v>
      </x:c>
      <x:c r="H650" s="12" t="str">
        <x:v>Andhra Pradesh</x:v>
      </x:c>
      <x:c r="I650" s="12" t="str">
        <x:v>Vijayawada</x:v>
      </x:c>
      <x:c r="J650" s="12" t="str">
        <x:v>Office Supplies</x:v>
      </x:c>
      <x:c r="K650" s="12" t="str">
        <x:v>Art</x:v>
      </x:c>
      <x:c r="L650" s="12" t="str">
        <x:v>Prime Art 301</x:v>
      </x:c>
      <x:c r="M650" s="12" t="str">
        <x:v>Same Day</x:v>
      </x:c>
      <x:c r="N650" s="12" t="n">
        <x:v>9</x:v>
      </x:c>
      <x:c r="O650" s="12" t="n">
        <x:v>703.59</x:v>
      </x:c>
      <x:c r="P650" s="12" t="n">
        <x:v>0.2</x:v>
      </x:c>
      <x:c r="Q650" s="12" t="n">
        <x:v>5065.85</x:v>
      </x:c>
      <x:c r="R650" s="12" t="n">
        <x:v>3517.23</x:v>
      </x:c>
      <x:c r="S650" s="12" t="n">
        <x:v>1548.62</x:v>
      </x:c>
      <x:c r="T650" s="12" t="str">
        <x:v>Failed</x:v>
      </x:c>
      <x:c r="U650" s="12" t="str">
        <x:v>Returned</x:v>
      </x:c>
    </x:row>
    <x:row r="651">
      <x:c r="A651" s="12" t="str">
        <x:v>ORD-2025-10650</x:v>
      </x:c>
      <x:c r="B651" s="12" t="str">
        <x:v>11 Aug 2025</x:v>
      </x:c>
      <x:c r="C651" s="12" t="str">
        <x:v>19-08-2025</x:v>
      </x:c>
      <x:c r="D651" s="12" t="str">
        <x:v>CUST-7277</x:v>
      </x:c>
      <x:c r="E651" s="12" t="str">
        <x:v>Kabir Singh</x:v>
      </x:c>
      <x:c r="F651" s="12" t="str">
        <x:v>Small Business</x:v>
      </x:c>
      <x:c r="G651" s="12" t="str">
        <x:v>South</x:v>
      </x:c>
      <x:c r="H651" s="12" t="str">
        <x:v>Kerala</x:v>
      </x:c>
      <x:c r="I651" s="12" t="str">
        <x:v>Kochi</x:v>
      </x:c>
      <x:c r="J651" s="12" t="str">
        <x:v>Technology</x:v>
      </x:c>
      <x:c r="K651" s="12" t="str">
        <x:v>Accessories</x:v>
      </x:c>
      <x:c r="L651" s="12" t="str">
        <x:v>Classic Accessories 354</x:v>
      </x:c>
      <x:c r="M651" s="12" t="str">
        <x:v>Standard Class</x:v>
      </x:c>
      <x:c r="N651" s="12" t="n">
        <x:v>4</x:v>
      </x:c>
      <x:c r="O651" s="12" t="n">
        <x:v>2258.96</x:v>
      </x:c>
      <x:c r="P651" s="12" t="n">
        <x:v>0.25</x:v>
      </x:c>
      <x:c r="Q651" s="12" t="n">
        <x:v>6776.88</x:v>
      </x:c>
      <x:c r="R651" s="12" t="n">
        <x:v>3836.24</x:v>
      </x:c>
      <x:c r="S651" s="12" t="n">
        <x:v>2940.64</x:v>
      </x:c>
      <x:c r="T651" s="12" t="str">
        <x:v>Paid</x:v>
      </x:c>
      <x:c r="U651" s="12" t="str">
        <x:v>Completed</x:v>
      </x:c>
    </x:row>
    <x:row r="652">
      <x:c r="A652" s="12" t="str">
        <x:v>ORD-2024-10651</x:v>
      </x:c>
      <x:c r="B652" s="12" t="str">
        <x:v>04/13/2024</x:v>
      </x:c>
      <x:c r="C652" s="12" t="str">
        <x:v>21 Apr 2024</x:v>
      </x:c>
      <x:c r="D652" s="12" t="str">
        <x:v>CUST-7744</x:v>
      </x:c>
      <x:c r="E652" s="12" t="str">
        <x:v>Aarav Sharma</x:v>
      </x:c>
      <x:c r="F652" s="12" t="str">
        <x:v>Home Office</x:v>
      </x:c>
      <x:c r="G652" s="12" t="str">
        <x:v>East</x:v>
      </x:c>
      <x:c r="H652" s="12" t="str">
        <x:v>Bihar</x:v>
      </x:c>
      <x:c r="I652" s="12" t="str">
        <x:v>Patna</x:v>
      </x:c>
      <x:c r="J652" s="12" t="str">
        <x:v>Technology</x:v>
      </x:c>
      <x:c r="K652" s="12" t="str">
        <x:v>Accessories</x:v>
      </x:c>
      <x:c r="L652" s="12" t="str">
        <x:v>Basic Accessories 210</x:v>
      </x:c>
      <x:c r="M652" s="12" t="str">
        <x:v>Same Day</x:v>
      </x:c>
      <x:c r="N652" s="12" t="n">
        <x:v>7</x:v>
      </x:c>
      <x:c r="O652" s="12" t="n">
        <x:v>2648.76</x:v>
      </x:c>
      <x:c r="P652" s="12" t="n">
        <x:v>0.15</x:v>
      </x:c>
      <x:c r="Q652" s="12" t="n">
        <x:v>15760.12</x:v>
      </x:c>
      <x:c r="R652" s="12" t="n">
        <x:v>9931.53</x:v>
      </x:c>
      <x:c r="S652" s="12" t="n">
        <x:v>5828.59</x:v>
      </x:c>
      <x:c r="T652" s="12" t="str">
        <x:v>Failed</x:v>
      </x:c>
      <x:c r="U652" s="12" t="str">
        <x:v>Returned</x:v>
      </x:c>
    </x:row>
    <x:row r="653">
      <x:c r="A653" s="12" t="str">
        <x:v>ORD-2025-10652</x:v>
      </x:c>
      <x:c r="B653" s="12" t="str">
        <x:v>06 Aug 2025</x:v>
      </x:c>
      <x:c r="C653" s="12" t="str">
        <x:v>09-08-2025</x:v>
      </x:c>
      <x:c r="D653" s="12" t="str">
        <x:v>CUST-2660</x:v>
      </x:c>
      <x:c r="E653" s="12" t="str">
        <x:v>Mira Das</x:v>
      </x:c>
      <x:c r="F653" s="12" t="str">
        <x:v>Small Business</x:v>
      </x:c>
      <x:c r="G653" s="12" t="str">
        <x:v>South</x:v>
      </x:c>
      <x:c r="H653" s="12" t="str">
        <x:v>Andhra Pradesh</x:v>
      </x:c>
      <x:c r="I653" s="12" t="str">
        <x:v>Vijayawada</x:v>
      </x:c>
      <x:c r="J653" s="12" t="str">
        <x:v>Office Supplies</x:v>
      </x:c>
      <x:c r="K653" s="12" t="str">
        <x:v>Paper</x:v>
      </x:c>
      <x:c r="L653" s="12" t="str">
        <x:v>Smart Paper 364</x:v>
      </x:c>
      <x:c r="M653" s="12" t="str">
        <x:v>Second Class</x:v>
      </x:c>
      <x:c r="N653" s="12" t="n">
        <x:v>3</x:v>
      </x:c>
      <x:c r="O653" s="12" t="n">
        <x:v>598.55</x:v>
      </x:c>
      <x:c r="P653" s="12" t="n">
        <x:v>0</x:v>
      </x:c>
      <x:c r="Q653" s="12" t="n">
        <x:v>1795.65</x:v>
      </x:c>
      <x:c r="R653" s="12" t="n">
        <x:v>996.72</x:v>
      </x:c>
      <x:c r="S653" s="12" t="n">
        <x:v>798.93</x:v>
      </x:c>
      <x:c r="T653" s="12" t="str">
        <x:v>Paid</x:v>
      </x:c>
      <x:c r="U653" s="12" t="str">
        <x:v>Completed</x:v>
      </x:c>
    </x:row>
    <x:row r="654">
      <x:c r="A654" s="12" t="str">
        <x:v>ORD-2025-10653</x:v>
      </x:c>
      <x:c r="B654" s="12" t="str">
        <x:v>03/17/2025</x:v>
      </x:c>
      <x:c r="C654" s="12" t="str">
        <x:v>2025-03-21</x:v>
      </x:c>
      <x:c r="D654" s="12" t="str">
        <x:v>CUST-8177</x:v>
      </x:c>
      <x:c r="E654" s="12" t="str">
        <x:v>Sneha Kapoor</x:v>
      </x:c>
      <x:c r="F654" s="12" t="str">
        <x:v>Consumer</x:v>
      </x:c>
      <x:c r="G654" s="12" t="str">
        <x:v>North</x:v>
      </x:c>
      <x:c r="H654" s="12" t="str">
        <x:v>Uttar Pradesh</x:v>
      </x:c>
      <x:c r="I654" s="12" t="str">
        <x:v>Noida</x:v>
      </x:c>
      <x:c r="J654" s="12" t="str">
        <x:v>Office Supplies</x:v>
      </x:c>
      <x:c r="K654" s="12" t="str">
        <x:v>Binders</x:v>
      </x:c>
      <x:c r="L654" s="12" t="str">
        <x:v>Smart Binders 999</x:v>
      </x:c>
      <x:c r="M654" s="12" t="str">
        <x:v>Standard Class</x:v>
      </x:c>
      <x:c r="N654" s="12" t="n">
        <x:v>5</x:v>
      </x:c>
      <x:c r="O654" s="12" t="n">
        <x:v>4320.59</x:v>
      </x:c>
      <x:c r="P654" s="12" t="n">
        <x:v>0.15</x:v>
      </x:c>
      <x:c r="Q654" s="12" t="n">
        <x:v>18362.51</x:v>
      </x:c>
      <x:c r="R654" s="12" t="n">
        <x:v>11133.97</x:v>
      </x:c>
      <x:c r="S654" s="12" t="n">
        <x:v>7228.54</x:v>
      </x:c>
      <x:c r="T654" s="12" t="str">
        <x:v>Paid</x:v>
      </x:c>
      <x:c r="U654" s="12" t="str">
        <x:v>Completed</x:v>
      </x:c>
    </x:row>
    <x:row r="655">
      <x:c r="A655" s="12" t="str">
        <x:v>ORD-2025-10654</x:v>
      </x:c>
      <x:c r="B655" s="12" t="str">
        <x:v>04-04-2025</x:v>
      </x:c>
      <x:c r="C655" s="12" t="str">
        <x:v>04/07/2025</x:v>
      </x:c>
      <x:c r="D655" s="12" t="str">
        <x:v>CUST-3970</x:v>
      </x:c>
      <x:c r="E655" s="12" t="str">
        <x:v>Priya Menon</x:v>
      </x:c>
      <x:c r="F655" s="12" t="str">
        <x:v>Small Business</x:v>
      </x:c>
      <x:c r="G655" s="12" t="str">
        <x:v>South</x:v>
      </x:c>
      <x:c r="H655" s="12" t="str">
        <x:v>Tamil Nadu</x:v>
      </x:c>
      <x:c r="I655" s="12" t="str">
        <x:v>Chennai</x:v>
      </x:c>
      <x:c r="J655" s="12" t="str">
        <x:v>Technology</x:v>
      </x:c>
      <x:c r="K655" s="12" t="str">
        <x:v>Copiers</x:v>
      </x:c>
      <x:c r="L655" s="12" t="str">
        <x:v>Max Copiers 356</x:v>
      </x:c>
      <x:c r="M655" s="12" t="str">
        <x:v>Second Class</x:v>
      </x:c>
      <x:c r="N655" s="12" t="n">
        <x:v>7</x:v>
      </x:c>
      <x:c r="O655" s="12" t="n">
        <x:v>4457.93</x:v>
      </x:c>
      <x:c r="P655" s="12" t="n">
        <x:v>0.15</x:v>
      </x:c>
      <x:c r="Q655" s="12" t="n">
        <x:v>26524.68</x:v>
      </x:c>
      <x:c r="R655" s="12" t="n">
        <x:v>20574.3</x:v>
      </x:c>
      <x:c r="S655" s="12" t="n">
        <x:v>5950.38</x:v>
      </x:c>
      <x:c r="T655" s="12" t="str">
        <x:v>Paid</x:v>
      </x:c>
      <x:c r="U655" s="12" t="str">
        <x:v>Completed</x:v>
      </x:c>
    </x:row>
    <x:row r="656">
      <x:c r="A656" s="12" t="str">
        <x:v>ORD-2025-10655</x:v>
      </x:c>
      <x:c r="B656" s="12" t="str">
        <x:v>10/12/2025</x:v>
      </x:c>
      <x:c r="C656" s="12" t="str">
        <x:v>16-10-2025</x:v>
      </x:c>
      <x:c r="D656" s="12" t="str">
        <x:v>CUST-8249</x:v>
      </x:c>
      <x:c r="E656" s="12" t="str">
        <x:v>Diya Patel</x:v>
      </x:c>
      <x:c r="F656" s="12" t="str">
        <x:v>Corporate</x:v>
      </x:c>
      <x:c r="G656" s="12" t="str">
        <x:v>East</x:v>
      </x:c>
      <x:c r="H656" s="12" t="str">
        <x:v>Bihar</x:v>
      </x:c>
      <x:c r="I656" s="12" t="str">
        <x:v>Patna</x:v>
      </x:c>
      <x:c r="J656" s="12" t="str">
        <x:v>Technology</x:v>
      </x:c>
      <x:c r="K656" s="12" t="str">
        <x:v>Machines</x:v>
      </x:c>
      <x:c r="L656" s="12" t="str">
        <x:v>Classic Machines 639</x:v>
      </x:c>
      <x:c r="M656" s="12" t="str">
        <x:v>Same Day</x:v>
      </x:c>
      <x:c r="N656" s="12" t="n">
        <x:v>1</x:v>
      </x:c>
      <x:c r="O656" s="12" t="n">
        <x:v>2570.06</x:v>
      </x:c>
      <x:c r="P656" s="12" t="n">
        <x:v>0.2</x:v>
      </x:c>
      <x:c r="Q656" s="12" t="n">
        <x:v>2056.05</x:v>
      </x:c>
      <x:c r="R656" s="12" t="n">
        <x:v>1662.39</x:v>
      </x:c>
      <x:c r="S656" s="12" t="n">
        <x:v>393.66</x:v>
      </x:c>
      <x:c r="T656" s="12" t="str">
        <x:v>Paid</x:v>
      </x:c>
      <x:c r="U656" s="12" t="str">
        <x:v>Completed</x:v>
      </x:c>
    </x:row>
    <x:row r="657">
      <x:c r="A657" s="12" t="str">
        <x:v>ORD-2025-10656</x:v>
      </x:c>
      <x:c r="B657" s="12" t="str">
        <x:v>08/26/2025</x:v>
      </x:c>
      <x:c r="C657" s="12" t="str">
        <x:v>08/26/2025</x:v>
      </x:c>
      <x:c r="D657" s="12" t="str">
        <x:v>CUST-8039</x:v>
      </x:c>
      <x:c r="E657" s="12" t="str">
        <x:v>Neha Gupta</x:v>
      </x:c>
      <x:c r="F657" s="12" t="str">
        <x:v>Home Office</x:v>
      </x:c>
      <x:c r="G657" s="12" t="str">
        <x:v>East</x:v>
      </x:c>
      <x:c r="H657" s="12" t="str">
        <x:v>West Bengal</x:v>
      </x:c>
      <x:c r="I657" s="12" t="str">
        <x:v>Kolkata</x:v>
      </x:c>
      <x:c r="J657" s="12" t="str">
        <x:v>Furniture</x:v>
      </x:c>
      <x:c r="K657" s="12" t="str">
        <x:v>Furnishings</x:v>
      </x:c>
      <x:c r="L657" s="12" t="str">
        <x:v>Smart Furnishings 748</x:v>
      </x:c>
      <x:c r="M657" s="12" t="str">
        <x:v>Standard Class</x:v>
      </x:c>
      <x:c r="N657" s="12" t="n">
        <x:v>4</x:v>
      </x:c>
      <x:c r="O657" s="12" t="n">
        <x:v>2151.82</x:v>
      </x:c>
      <x:c r="P657" s="12" t="n">
        <x:v>0</x:v>
      </x:c>
      <x:c r="Q657" s="12" t="n">
        <x:v>8607.28</x:v>
      </x:c>
      <x:c r="R657" s="12" t="n">
        <x:v>5124.01</x:v>
      </x:c>
      <x:c r="S657" s="12" t="n">
        <x:v>3483.27</x:v>
      </x:c>
      <x:c r="T657" s="12" t="str">
        <x:v>Paid</x:v>
      </x:c>
      <x:c r="U657" s="12" t="str">
        <x:v>Completed</x:v>
      </x:c>
    </x:row>
    <x:row r="658">
      <x:c r="A658" s="12" t="str">
        <x:v>ORD-2024-10657</x:v>
      </x:c>
      <x:c r="B658" s="12" t="str">
        <x:v>07-05-2024</x:v>
      </x:c>
      <x:c r="C658" s="12" t="str">
        <x:v>05/14/2024</x:v>
      </x:c>
      <x:c r="D658" s="12" t="str">
        <x:v>CUST-4446</x:v>
      </x:c>
      <x:c r="E658" s="12" t="str">
        <x:v>Neha Gupta</x:v>
      </x:c>
      <x:c r="F658" s="12" t="str">
        <x:v>Small Business</x:v>
      </x:c>
      <x:c r="G658" s="12" t="str">
        <x:v>North</x:v>
      </x:c>
      <x:c r="H658" s="12" t="str">
        <x:v>Haryana</x:v>
      </x:c>
      <x:c r="I658" s="12" t="str">
        <x:v>Gurugram</x:v>
      </x:c>
      <x:c r="J658" s="12" t="str">
        <x:v>Technology</x:v>
      </x:c>
      <x:c r="K658" s="12" t="str">
        <x:v>Machines</x:v>
      </x:c>
      <x:c r="L658" s="12" t="str">
        <x:v>Pro Machines 589</x:v>
      </x:c>
      <x:c r="M658" s="12" t="str">
        <x:v>Same Day</x:v>
      </x:c>
      <x:c r="N658" s="12" t="n">
        <x:v>4</x:v>
      </x:c>
      <x:c r="O658" s="12" t="n">
        <x:v>2751.1</x:v>
      </x:c>
      <x:c r="P658" s="12" t="n">
        <x:v>-0.05</x:v>
      </x:c>
      <x:c r="Q658" s="12" t="n">
        <x:v>9903.96</x:v>
      </x:c>
      <x:c r="R658" s="12" t="n">
        <x:v>7696.28</x:v>
      </x:c>
      <x:c r="S658" s="12" t="n">
        <x:v>2207.68</x:v>
      </x:c>
      <x:c r="T658" s="12" t="str">
        <x:v>Paid</x:v>
      </x:c>
      <x:c r="U658" s="12" t="str">
        <x:v>Completed</x:v>
      </x:c>
    </x:row>
    <x:row r="659">
      <x:c r="A659" s="12" t="str">
        <x:v>ORD-2025-10658</x:v>
      </x:c>
      <x:c r="B659" s="12" t="str">
        <x:v>08/07/2025</x:v>
      </x:c>
      <x:c r="C659" s="12" t="str">
        <x:v>2025-08-10</x:v>
      </x:c>
      <x:c r="D659" s="12" t="str">
        <x:v>CUST-7787</x:v>
      </x:c>
      <x:c r="E659" s="12" t="str">
        <x:v>Aditi Sen</x:v>
      </x:c>
      <x:c r="F659" s="12" t="str">
        <x:v>Home Office</x:v>
      </x:c>
      <x:c r="G659" s="12" t="str">
        <x:v>East</x:v>
      </x:c>
      <x:c r="H659" s="12" t="str">
        <x:v>Bihar</x:v>
      </x:c>
      <x:c r="I659" s="12" t="str">
        <x:v>Patna</x:v>
      </x:c>
      <x:c r="J659" s="12" t="str">
        <x:v>Office Supplies</x:v>
      </x:c>
      <x:c r="K659" s="12" t="str">
        <x:v>Storage</x:v>
      </x:c>
      <x:c r="L659" s="12" t="str">
        <x:v>Eco Storage 316</x:v>
      </x:c>
      <x:c r="M659" s="12" t="str">
        <x:v>Second Class</x:v>
      </x:c>
      <x:c r="N659" s="12" t="n">
        <x:v>1</x:v>
      </x:c>
      <x:c r="O659" s="12" t="n">
        <x:v>2541.25</x:v>
      </x:c>
      <x:c r="P659" s="12" t="n">
        <x:v>0.2</x:v>
      </x:c>
      <x:c r="Q659" s="12" t="n">
        <x:v>2033</x:v>
      </x:c>
      <x:c r="R659" s="12" t="n">
        <x:v>1291.41</x:v>
      </x:c>
      <x:c r="S659" s="12" t="n">
        <x:v>741.59</x:v>
      </x:c>
      <x:c r="T659" s="12" t="str">
        <x:v>Paid</x:v>
      </x:c>
      <x:c r="U659" s="12" t="str">
        <x:v>Completed</x:v>
      </x:c>
    </x:row>
    <x:row r="660">
      <x:c r="A660" s="12" t="str">
        <x:v>ORD-2025-10659</x:v>
      </x:c>
      <x:c r="B660" s="12" t="str">
        <x:v>2025-06-09</x:v>
      </x:c>
      <x:c r="C660" s="12" t="str">
        <x:v>06/12/2025</x:v>
      </x:c>
      <x:c r="D660" s="12" t="str">
        <x:v>CUST-9074</x:v>
      </x:c>
      <x:c r="E660" s="12" t="str">
        <x:v>Sneha Kapoor</x:v>
      </x:c>
      <x:c r="F660" s="12" t="str">
        <x:v>Consumer</x:v>
      </x:c>
      <x:c r="G660" s="12"/>
      <x:c r="H660" s="12" t="str">
        <x:v>Bihar</x:v>
      </x:c>
      <x:c r="I660" s="12" t="str">
        <x:v>Patna</x:v>
      </x:c>
      <x:c r="J660" s="12" t="str">
        <x:v>Office Supplies</x:v>
      </x:c>
      <x:c r="K660" s="12" t="str">
        <x:v>Art</x:v>
      </x:c>
      <x:c r="L660" s="12" t="str">
        <x:v>Eco Art 763</x:v>
      </x:c>
      <x:c r="M660" s="12" t="str">
        <x:v>First Class</x:v>
      </x:c>
      <x:c r="N660" s="12" t="n">
        <x:v>7</x:v>
      </x:c>
      <x:c r="O660" s="12" t="n">
        <x:v>2852.42</x:v>
      </x:c>
      <x:c r="P660" s="12" t="n">
        <x:v>0</x:v>
      </x:c>
      <x:c r="Q660" s="12" t="n">
        <x:v>19966.94</x:v>
      </x:c>
      <x:c r="R660" s="12" t="n">
        <x:v>12690.83</x:v>
      </x:c>
      <x:c r="S660" s="12" t="n">
        <x:v>7276.11</x:v>
      </x:c>
      <x:c r="T660" s="12" t="str">
        <x:v>Refunded</x:v>
      </x:c>
      <x:c r="U660" s="12" t="str">
        <x:v>Cancelled</x:v>
      </x:c>
    </x:row>
    <x:row r="661">
      <x:c r="A661" s="12" t="str">
        <x:v>ORD-2025-10660</x:v>
      </x:c>
      <x:c r="B661" s="12" t="str">
        <x:v>21-01-2025</x:v>
      </x:c>
      <x:c r="C661" s="12" t="str">
        <x:v>2025-01-22</x:v>
      </x:c>
      <x:c r="D661" s="12" t="str">
        <x:v>CUST-8330</x:v>
      </x:c>
      <x:c r="E661" s="12" t="str">
        <x:v>Diya Patel</x:v>
      </x:c>
      <x:c r="F661" s="12" t="str">
        <x:v>Corporate</x:v>
      </x:c>
      <x:c r="G661" s="12" t="str">
        <x:v>South</x:v>
      </x:c>
      <x:c r="H661" s="12" t="str">
        <x:v>Karnataka</x:v>
      </x:c>
      <x:c r="I661" s="12" t="str">
        <x:v>Bengaluru</x:v>
      </x:c>
      <x:c r="J661" s="12" t="str">
        <x:v>Technology</x:v>
      </x:c>
      <x:c r="K661" s="12" t="str">
        <x:v>Phones</x:v>
      </x:c>
      <x:c r="L661" s="12" t="str">
        <x:v>Pro Phones 356</x:v>
      </x:c>
      <x:c r="M661" s="12" t="str">
        <x:v>Second Class</x:v>
      </x:c>
      <x:c r="N661" s="12" t="n">
        <x:v>2</x:v>
      </x:c>
      <x:c r="O661" s="12" t="n">
        <x:v>444.31</x:v>
      </x:c>
      <x:c r="P661" s="12" t="n">
        <x:v>0.2</x:v>
      </x:c>
      <x:c r="Q661" s="12" t="n">
        <x:v>710.9</x:v>
      </x:c>
      <x:c r="R661" s="12" t="n">
        <x:v>513.88</x:v>
      </x:c>
      <x:c r="S661" s="12" t="n">
        <x:v>197.02</x:v>
      </x:c>
      <x:c r="T661" s="12" t="str">
        <x:v>Refunded</x:v>
      </x:c>
      <x:c r="U661" s="12" t="str">
        <x:v>Cancelled</x:v>
      </x:c>
    </x:row>
    <x:row r="662">
      <x:c r="A662" s="12" t="str">
        <x:v>ORD-2025-10661</x:v>
      </x:c>
      <x:c r="B662" s="12" t="str">
        <x:v>07/15/2025</x:v>
      </x:c>
      <x:c r="C662" s="12" t="str">
        <x:v>15-07-2025</x:v>
      </x:c>
      <x:c r="D662" s="12" t="str">
        <x:v>CUST-5638</x:v>
      </x:c>
      <x:c r="E662" s="12" t="str">
        <x:v>Arjun Bose</x:v>
      </x:c>
      <x:c r="F662" s="12" t="str">
        <x:v>Small Business</x:v>
      </x:c>
      <x:c r="G662" s="12" t="str">
        <x:v>East</x:v>
      </x:c>
      <x:c r="H662" s="12" t="str">
        <x:v>Jharkhand</x:v>
      </x:c>
      <x:c r="I662" s="12" t="str">
        <x:v>Ranchi</x:v>
      </x:c>
      <x:c r="J662" s="12" t="str">
        <x:v>Technology</x:v>
      </x:c>
      <x:c r="K662" s="12" t="str">
        <x:v>Phones</x:v>
      </x:c>
      <x:c r="L662" s="12" t="str">
        <x:v>Basic Phones 865</x:v>
      </x:c>
      <x:c r="M662" s="12" t="str">
        <x:v>Same Day</x:v>
      </x:c>
      <x:c r="N662" s="12" t="n">
        <x:v>4</x:v>
      </x:c>
      <x:c r="O662" s="12" t="n">
        <x:v>4442.91</x:v>
      </x:c>
      <x:c r="P662" s="12" t="n">
        <x:v>0.1</x:v>
      </x:c>
      <x:c r="Q662" s="12" t="n">
        <x:v>15994.48</x:v>
      </x:c>
      <x:c r="R662" s="12" t="n">
        <x:v>9224.28</x:v>
      </x:c>
      <x:c r="S662" s="12" t="n">
        <x:v>6770.2</x:v>
      </x:c>
      <x:c r="T662" s="12" t="str">
        <x:v>Paid</x:v>
      </x:c>
      <x:c r="U662" s="12" t="str">
        <x:v>Completed</x:v>
      </x:c>
    </x:row>
    <x:row r="663">
      <x:c r="A663" s="12" t="str">
        <x:v>ORD-2024-10662</x:v>
      </x:c>
      <x:c r="B663" s="12" t="str">
        <x:v>17-05-2024</x:v>
      </x:c>
      <x:c r="C663" s="12" t="str">
        <x:v>2024-05-22</x:v>
      </x:c>
      <x:c r="D663" s="12" t="str">
        <x:v>CUST-4537</x:v>
      </x:c>
      <x:c r="E663" s="12" t="str">
        <x:v>Sneha Kapoor</x:v>
      </x:c>
      <x:c r="F663" s="12" t="str">
        <x:v>Consumer</x:v>
      </x:c>
      <x:c r="G663" s="12" t="str">
        <x:v>South</x:v>
      </x:c>
      <x:c r="H663" s="12" t="str">
        <x:v>Andhra Pradesh</x:v>
      </x:c>
      <x:c r="I663" s="12" t="str">
        <x:v>Vijayawada</x:v>
      </x:c>
      <x:c r="J663" s="12" t="str">
        <x:v>Technology</x:v>
      </x:c>
      <x:c r="K663" s="12" t="str">
        <x:v>Machines</x:v>
      </x:c>
      <x:c r="L663" s="12" t="str">
        <x:v>Max Machines 595</x:v>
      </x:c>
      <x:c r="M663" s="12" t="str">
        <x:v>Second Class</x:v>
      </x:c>
      <x:c r="N663" s="12" t="n">
        <x:v>7</x:v>
      </x:c>
      <x:c r="O663" s="12" t="n">
        <x:v>232.5</x:v>
      </x:c>
      <x:c r="P663" s="12" t="n">
        <x:v>0</x:v>
      </x:c>
      <x:c r="Q663" s="12" t="n">
        <x:v>1627.5</x:v>
      </x:c>
      <x:c r="R663" s="12" t="n">
        <x:v>939.9</x:v>
      </x:c>
      <x:c r="S663" s="12" t="n">
        <x:v>687.6</x:v>
      </x:c>
      <x:c r="T663" s="12" t="str">
        <x:v>Paid</x:v>
      </x:c>
      <x:c r="U663" s="12" t="str">
        <x:v>Completed</x:v>
      </x:c>
    </x:row>
    <x:row r="664">
      <x:c r="A664" s="12" t="str">
        <x:v>ORD-2024-10663</x:v>
      </x:c>
      <x:c r="B664" s="12" t="str">
        <x:v>2024-01-14</x:v>
      </x:c>
      <x:c r="C664" s="12" t="str">
        <x:v>18-01-2024</x:v>
      </x:c>
      <x:c r="D664" s="12" t="str">
        <x:v>CUST-3181</x:v>
      </x:c>
      <x:c r="E664" s="12" t="str">
        <x:v>Mira Das</x:v>
      </x:c>
      <x:c r="F664" s="12" t="str">
        <x:v>Home Office</x:v>
      </x:c>
      <x:c r="G664" s="12" t="str">
        <x:v>West</x:v>
      </x:c>
      <x:c r="H664" s="12" t="str">
        <x:v>Rajasthan</x:v>
      </x:c>
      <x:c r="I664" s="12" t="str">
        <x:v>Udaipur</x:v>
      </x:c>
      <x:c r="J664" s="12" t="str">
        <x:v>Technology</x:v>
      </x:c>
      <x:c r="K664" s="12" t="str">
        <x:v>Machines</x:v>
      </x:c>
      <x:c r="L664" s="12" t="str">
        <x:v>Elite Machines 367</x:v>
      </x:c>
      <x:c r="M664" s="12" t="str">
        <x:v>Same Day</x:v>
      </x:c>
      <x:c r="N664" s="12" t="n">
        <x:v>6</x:v>
      </x:c>
      <x:c r="O664" s="12" t="n">
        <x:v>1784.8</x:v>
      </x:c>
      <x:c r="P664" s="12" t="n">
        <x:v>0.1</x:v>
      </x:c>
      <x:c r="Q664" s="12" t="n">
        <x:v>9637.92</x:v>
      </x:c>
      <x:c r="R664" s="12" t="n">
        <x:v>7329.29</x:v>
      </x:c>
      <x:c r="S664" s="12" t="n">
        <x:v>2308.63</x:v>
      </x:c>
      <x:c r="T664" s="12" t="str">
        <x:v>Paid</x:v>
      </x:c>
      <x:c r="U664" s="12" t="str">
        <x:v>Completed</x:v>
      </x:c>
    </x:row>
    <x:row r="665">
      <x:c r="A665" s="12" t="str">
        <x:v>ORD-2024-10664</x:v>
      </x:c>
      <x:c r="B665" s="12" t="str">
        <x:v>05/02/2024</x:v>
      </x:c>
      <x:c r="C665" s="12" t="str">
        <x:v>2024-05-08</x:v>
      </x:c>
      <x:c r="D665" s="12" t="str">
        <x:v>CUST-1015</x:v>
      </x:c>
      <x:c r="E665" s="12" t="str">
        <x:v>Rahul Verma</x:v>
      </x:c>
      <x:c r="F665" s="12" t="str">
        <x:v>Home Office</x:v>
      </x:c>
      <x:c r="G665" s="12" t="str">
        <x:v>East</x:v>
      </x:c>
      <x:c r="H665" s="12" t="str">
        <x:v>Jharkhand</x:v>
      </x:c>
      <x:c r="I665" s="12" t="str">
        <x:v>Ranchi</x:v>
      </x:c>
      <x:c r="J665" s="12" t="str">
        <x:v>Technology</x:v>
      </x:c>
      <x:c r="K665" s="12" t="str">
        <x:v>Copiers</x:v>
      </x:c>
      <x:c r="L665" s="12" t="str">
        <x:v>Basic Copiers 787</x:v>
      </x:c>
      <x:c r="M665" s="12" t="str">
        <x:v>Second Class</x:v>
      </x:c>
      <x:c r="N665" s="12" t="n">
        <x:v>2</x:v>
      </x:c>
      <x:c r="O665" s="12" t="n">
        <x:v>3185.01</x:v>
      </x:c>
      <x:c r="P665" s="12" t="n">
        <x:v>-0.24</x:v>
      </x:c>
      <x:c r="Q665" s="12" t="n">
        <x:v>4777.52</x:v>
      </x:c>
      <x:c r="R665" s="12" t="n">
        <x:v>3152.98</x:v>
      </x:c>
      <x:c r="S665" s="12" t="n">
        <x:v>1624.54</x:v>
      </x:c>
      <x:c r="T665" s="12" t="str">
        <x:v>Paid</x:v>
      </x:c>
      <x:c r="U665" s="12" t="str">
        <x:v>Completed</x:v>
      </x:c>
    </x:row>
    <x:row r="666">
      <x:c r="A666" s="12" t="str">
        <x:v>ORD-2024-10665</x:v>
      </x:c>
      <x:c r="B666" s="12" t="str">
        <x:v>07 Dec 2024</x:v>
      </x:c>
      <x:c r="C666" s="12" t="str">
        <x:v>10 Dec 2024</x:v>
      </x:c>
      <x:c r="D666" s="12" t="str">
        <x:v>CUST-2709</x:v>
      </x:c>
      <x:c r="E666" s="12" t="str">
        <x:v>Mira Das</x:v>
      </x:c>
      <x:c r="F666" s="12" t="str">
        <x:v>Home Office</x:v>
      </x:c>
      <x:c r="G666" s="12" t="str">
        <x:v>South</x:v>
      </x:c>
      <x:c r="H666" s="12" t="str">
        <x:v>Telangana</x:v>
      </x:c>
      <x:c r="I666" s="12" t="str">
        <x:v>Hyderabad</x:v>
      </x:c>
      <x:c r="J666" s="12" t="str">
        <x:v>Technology</x:v>
      </x:c>
      <x:c r="K666" s="12" t="str">
        <x:v>Accessories</x:v>
      </x:c>
      <x:c r="L666" s="12" t="str">
        <x:v>Max Accessories 903</x:v>
      </x:c>
      <x:c r="M666" s="12" t="str">
        <x:v>Standard Class</x:v>
      </x:c>
      <x:c r="N666" s="12" t="n">
        <x:v>1</x:v>
      </x:c>
      <x:c r="O666" s="12" t="n">
        <x:v>1908.83</x:v>
      </x:c>
      <x:c r="P666" s="12" t="n">
        <x:v>0.2</x:v>
      </x:c>
      <x:c r="Q666" s="12" t="n">
        <x:v>1527.06</x:v>
      </x:c>
      <x:c r="R666" s="12" t="n">
        <x:v>1055.89</x:v>
      </x:c>
      <x:c r="S666" s="12" t="n">
        <x:v>471.17</x:v>
      </x:c>
      <x:c r="T666" s="12" t="str">
        <x:v>Paid</x:v>
      </x:c>
      <x:c r="U666" s="12" t="str">
        <x:v>Completed</x:v>
      </x:c>
    </x:row>
    <x:row r="667">
      <x:c r="A667" s="12" t="str">
        <x:v>ORD-2025-10666</x:v>
      </x:c>
      <x:c r="B667" s="12" t="str">
        <x:v>2025-01-13</x:v>
      </x:c>
      <x:c r="C667" s="12" t="str">
        <x:v>01/13/2025</x:v>
      </x:c>
      <x:c r="D667" s="12" t="str">
        <x:v>CUST-1197</x:v>
      </x:c>
      <x:c r="E667" s="12" t="str">
        <x:v>  Rahul Verma </x:v>
      </x:c>
      <x:c r="F667" s="12" t="str">
        <x:v>Home Office</x:v>
      </x:c>
      <x:c r="G667" s="12" t="str">
        <x:v>West</x:v>
      </x:c>
      <x:c r="H667" s="12" t="str">
        <x:v>Gujarat</x:v>
      </x:c>
      <x:c r="I667" s="12" t="str">
        <x:v>Ahmedabad</x:v>
      </x:c>
      <x:c r="J667" s="12" t="str">
        <x:v>Office Supplies</x:v>
      </x:c>
      <x:c r="K667" s="12" t="str">
        <x:v>Art</x:v>
      </x:c>
      <x:c r="L667" s="12" t="str">
        <x:v>Max Art 660</x:v>
      </x:c>
      <x:c r="M667" s="12" t="str">
        <x:v>Standard Class</x:v>
      </x:c>
      <x:c r="N667" s="12" t="n">
        <x:v>3</x:v>
      </x:c>
      <x:c r="O667" s="12" t="n">
        <x:v>2110.52</x:v>
      </x:c>
      <x:c r="P667" s="12" t="n">
        <x:v>0.1</x:v>
      </x:c>
      <x:c r="Q667" s="12" t="n">
        <x:v>5698.4</x:v>
      </x:c>
      <x:c r="R667" s="12" t="n">
        <x:v>3640.89</x:v>
      </x:c>
      <x:c r="S667" s="12" t="n">
        <x:v>2057.51</x:v>
      </x:c>
      <x:c r="T667" s="12" t="str">
        <x:v>Failed</x:v>
      </x:c>
      <x:c r="U667" s="12" t="str">
        <x:v>Cancelled</x:v>
      </x:c>
    </x:row>
    <x:row r="668">
      <x:c r="A668" s="12" t="str">
        <x:v>ORD-2024-10667</x:v>
      </x:c>
      <x:c r="B668" s="12" t="str">
        <x:v>21 Jun 2024</x:v>
      </x:c>
      <x:c r="C668" s="12" t="str">
        <x:v>06/26/2024</x:v>
      </x:c>
      <x:c r="D668" s="12" t="str">
        <x:v>CUST-7758</x:v>
      </x:c>
      <x:c r="E668" s="12" t="str">
        <x:v>Rohan Mehta</x:v>
      </x:c>
      <x:c r="F668" s="12" t="str">
        <x:v>Small Business</x:v>
      </x:c>
      <x:c r="G668" s="12" t="str">
        <x:v>North</x:v>
      </x:c>
      <x:c r="H668" s="12" t="str">
        <x:v>Punjab</x:v>
      </x:c>
      <x:c r="I668" s="12" t="str">
        <x:v>Ludhiana</x:v>
      </x:c>
      <x:c r="J668" s="12" t="str">
        <x:v>Technology</x:v>
      </x:c>
      <x:c r="K668" s="12" t="str">
        <x:v>Copiers</x:v>
      </x:c>
      <x:c r="L668" s="12" t="str">
        <x:v>Classic Copiers 908</x:v>
      </x:c>
      <x:c r="M668" s="12" t="str">
        <x:v>Same Day</x:v>
      </x:c>
      <x:c r="N668" s="12" t="n">
        <x:v>1</x:v>
      </x:c>
      <x:c r="O668" s="12" t="n">
        <x:v>279.83</x:v>
      </x:c>
      <x:c r="P668" s="12" t="n">
        <x:v>0.05</x:v>
      </x:c>
      <x:c r="Q668" s="12" t="n">
        <x:v>265.84</x:v>
      </x:c>
      <x:c r="R668" s="12" t="n">
        <x:v>223.49</x:v>
      </x:c>
      <x:c r="S668" s="12" t="n">
        <x:v>42.35</x:v>
      </x:c>
      <x:c r="T668" s="12" t="str">
        <x:v>Paid</x:v>
      </x:c>
      <x:c r="U668" s="12" t="str">
        <x:v>Completed</x:v>
      </x:c>
    </x:row>
    <x:row r="669">
      <x:c r="A669" s="12" t="str">
        <x:v>ORD-2025-10668</x:v>
      </x:c>
      <x:c r="B669" s="12" t="str">
        <x:v>20-05-2025</x:v>
      </x:c>
      <x:c r="C669" s="12" t="str">
        <x:v>27-05-2025</x:v>
      </x:c>
      <x:c r="D669" s="12" t="str">
        <x:v>CUST-3912</x:v>
      </x:c>
      <x:c r="E669" s="12" t="str">
        <x:v>Diya Patel</x:v>
      </x:c>
      <x:c r="F669" s="12" t="str">
        <x:v>Small Business</x:v>
      </x:c>
      <x:c r="G669" s="12" t="str">
        <x:v>East</x:v>
      </x:c>
      <x:c r="H669" s="12" t="str">
        <x:v>Bihar</x:v>
      </x:c>
      <x:c r="I669" s="12" t="str">
        <x:v>Patna</x:v>
      </x:c>
      <x:c r="J669" s="12" t="str">
        <x:v>Technology</x:v>
      </x:c>
      <x:c r="K669" s="12" t="str">
        <x:v>Machines</x:v>
      </x:c>
      <x:c r="L669" s="12" t="str">
        <x:v>Pro Machines 706</x:v>
      </x:c>
      <x:c r="M669" s="12" t="str">
        <x:v>Standard Class</x:v>
      </x:c>
      <x:c r="N669" s="12" t="n">
        <x:v>1</x:v>
      </x:c>
      <x:c r="O669" s="12" t="n">
        <x:v>3959.14</x:v>
      </x:c>
      <x:c r="P669" s="12" t="n">
        <x:v>0</x:v>
      </x:c>
      <x:c r="Q669" s="12" t="n">
        <x:v>3959.14</x:v>
      </x:c>
      <x:c r="R669" s="12" t="n">
        <x:v>3239.53</x:v>
      </x:c>
      <x:c r="S669" s="12" t="n">
        <x:v>719.61</x:v>
      </x:c>
      <x:c r="T669" s="12" t="str">
        <x:v>Pending</x:v>
      </x:c>
      <x:c r="U669" s="12" t="str">
        <x:v>Returned</x:v>
      </x:c>
    </x:row>
    <x:row r="670">
      <x:c r="A670" s="12" t="str">
        <x:v>ORD-2024-10669</x:v>
      </x:c>
      <x:c r="B670" s="12" t="str">
        <x:v>11/21/2024</x:v>
      </x:c>
      <x:c r="C670" s="12" t="str">
        <x:v>23 Nov 2024</x:v>
      </x:c>
      <x:c r="D670" s="12" t="str">
        <x:v>CUST-4190</x:v>
      </x:c>
      <x:c r="E670" s="12" t="str">
        <x:v>Mira Das</x:v>
      </x:c>
      <x:c r="F670" s="12" t="str">
        <x:v>Corporate</x:v>
      </x:c>
      <x:c r="G670" s="12" t="str">
        <x:v>West</x:v>
      </x:c>
      <x:c r="H670" s="12" t="str">
        <x:v>Gujarat</x:v>
      </x:c>
      <x:c r="I670" s="12" t="str">
        <x:v>Ahmedabad</x:v>
      </x:c>
      <x:c r="J670" s="12" t="str">
        <x:v>Office Supplies</x:v>
      </x:c>
      <x:c r="K670" s="12" t="str">
        <x:v>Paper</x:v>
      </x:c>
      <x:c r="L670" s="12" t="str">
        <x:v>Pro Paper 187</x:v>
      </x:c>
      <x:c r="M670" s="12" t="str">
        <x:v>Second Class</x:v>
      </x:c>
      <x:c r="N670" s="12" t="n">
        <x:v>5</x:v>
      </x:c>
      <x:c r="O670" s="12" t="n">
        <x:v>600.46</x:v>
      </x:c>
      <x:c r="P670" s="12" t="n">
        <x:v>0.2</x:v>
      </x:c>
      <x:c r="Q670" s="12" t="n">
        <x:v>2401.84</x:v>
      </x:c>
      <x:c r="R670" s="12" t="n">
        <x:v>1873.11</x:v>
      </x:c>
      <x:c r="S670" s="12" t="n">
        <x:v>528.73</x:v>
      </x:c>
      <x:c r="T670" s="12" t="str">
        <x:v>Paid</x:v>
      </x:c>
      <x:c r="U670" s="12" t="str">
        <x:v>Completed</x:v>
      </x:c>
    </x:row>
    <x:row r="671">
      <x:c r="A671" s="12" t="str">
        <x:v>ORD-2024-10670</x:v>
      </x:c>
      <x:c r="B671" s="12" t="str">
        <x:v>2024-03-24</x:v>
      </x:c>
      <x:c r="C671" s="12" t="str">
        <x:v>01 Apr 2024</x:v>
      </x:c>
      <x:c r="D671" s="12" t="str">
        <x:v>CUST-7568</x:v>
      </x:c>
      <x:c r="E671" s="12" t="str">
        <x:v>Ananya Rao</x:v>
      </x:c>
      <x:c r="F671" s="12" t="str">
        <x:v>Home Office</x:v>
      </x:c>
      <x:c r="G671" s="12" t="str">
        <x:v>West</x:v>
      </x:c>
      <x:c r="H671" s="12" t="str">
        <x:v>Maharashtra</x:v>
      </x:c>
      <x:c r="I671" s="12" t="str">
        <x:v>Mumbai</x:v>
      </x:c>
      <x:c r="J671" s="12" t="str">
        <x:v>Furniture</x:v>
      </x:c>
      <x:c r="K671" s="12" t="str">
        <x:v>Tables</x:v>
      </x:c>
      <x:c r="L671" s="12" t="str">
        <x:v>Classic Tables 606</x:v>
      </x:c>
      <x:c r="M671" s="12" t="str">
        <x:v>Second Class</x:v>
      </x:c>
      <x:c r="N671" s="12" t="n">
        <x:v>4</x:v>
      </x:c>
      <x:c r="O671" s="12" t="n">
        <x:v>1700.72</x:v>
      </x:c>
      <x:c r="P671" s="12" t="n">
        <x:v>0.25</x:v>
      </x:c>
      <x:c r="Q671" s="12" t="n">
        <x:v>5102.16</x:v>
      </x:c>
      <x:c r="R671" s="12" t="n">
        <x:v>3226.45</x:v>
      </x:c>
      <x:c r="S671" s="12" t="n">
        <x:v>1875.71</x:v>
      </x:c>
      <x:c r="T671" s="12" t="str">
        <x:v>Paid</x:v>
      </x:c>
      <x:c r="U671" s="12" t="str">
        <x:v>Completed</x:v>
      </x:c>
    </x:row>
    <x:row r="672">
      <x:c r="A672" s="12" t="str">
        <x:v>ORD-2025-10671</x:v>
      </x:c>
      <x:c r="B672" s="12" t="str">
        <x:v>02/02/2025</x:v>
      </x:c>
      <x:c r="C672" s="12" t="str">
        <x:v>06 Feb 2025</x:v>
      </x:c>
      <x:c r="D672" s="12" t="str">
        <x:v>CUST-5604</x:v>
      </x:c>
      <x:c r="E672" s="12" t="str">
        <x:v>Sneha Kapoor</x:v>
      </x:c>
      <x:c r="F672" s="12" t="str">
        <x:v>Corporate </x:v>
      </x:c>
      <x:c r="G672" s="12" t="str">
        <x:v>North</x:v>
      </x:c>
      <x:c r="H672" s="12" t="str">
        <x:v>Uttar Pradesh</x:v>
      </x:c>
      <x:c r="I672" s="12" t="str">
        <x:v>Noida</x:v>
      </x:c>
      <x:c r="J672" s="12" t="str">
        <x:v>Furniture</x:v>
      </x:c>
      <x:c r="K672" s="12" t="str">
        <x:v>Tables</x:v>
      </x:c>
      <x:c r="L672" s="12" t="str">
        <x:v>Smart Tables 835</x:v>
      </x:c>
      <x:c r="M672" s="12" t="str">
        <x:v>Standard Class</x:v>
      </x:c>
      <x:c r="N672" s="12" t="n">
        <x:v>8</x:v>
      </x:c>
      <x:c r="O672" s="12" t="n">
        <x:v>857.86</x:v>
      </x:c>
      <x:c r="P672" s="12" t="n">
        <x:v>0.1</x:v>
      </x:c>
      <x:c r="Q672" s="12" t="n">
        <x:v>6176.59</x:v>
      </x:c>
      <x:c r="R672" s="12" t="n">
        <x:v>3560.96</x:v>
      </x:c>
      <x:c r="S672" s="12" t="n">
        <x:v>2615.63</x:v>
      </x:c>
      <x:c r="T672" s="12" t="str">
        <x:v>Paid</x:v>
      </x:c>
      <x:c r="U672" s="12" t="str">
        <x:v>Completed</x:v>
      </x:c>
    </x:row>
    <x:row r="673">
      <x:c r="A673" s="12" t="str">
        <x:v>ORD-2024-10672</x:v>
      </x:c>
      <x:c r="B673" s="12" t="str">
        <x:v>2024-03-22</x:v>
      </x:c>
      <x:c r="C673" s="12" t="str">
        <x:v>27-03-2024</x:v>
      </x:c>
      <x:c r="D673" s="12" t="str">
        <x:v>CUST-3293</x:v>
      </x:c>
      <x:c r="E673" s="12" t="str">
        <x:v>Aditi Sen</x:v>
      </x:c>
      <x:c r="F673" s="12" t="str">
        <x:v>Home Office</x:v>
      </x:c>
      <x:c r="G673" s="12" t="str">
        <x:v>West</x:v>
      </x:c>
      <x:c r="H673" s="12" t="str">
        <x:v>Goa</x:v>
      </x:c>
      <x:c r="I673" s="12" t="str">
        <x:v>Panaji</x:v>
      </x:c>
      <x:c r="J673" s="12" t="str">
        <x:v>Technology</x:v>
      </x:c>
      <x:c r="K673" s="12" t="str">
        <x:v>COPIERS</x:v>
      </x:c>
      <x:c r="L673" s="12" t="str">
        <x:v>Classic Copiers 583</x:v>
      </x:c>
      <x:c r="M673" s="12" t="str">
        <x:v>Second Class</x:v>
      </x:c>
      <x:c r="N673" s="12" t="n">
        <x:v>9</x:v>
      </x:c>
      <x:c r="O673" s="12" t="n">
        <x:v>3649.51</x:v>
      </x:c>
      <x:c r="P673" s="12" t="n">
        <x:v>0.05</x:v>
      </x:c>
      <x:c r="Q673" s="12" t="n">
        <x:v>31203.31</x:v>
      </x:c>
      <x:c r="R673" s="12" t="n">
        <x:v>17738.13</x:v>
      </x:c>
      <x:c r="S673" s="12" t="n">
        <x:v>13465.18</x:v>
      </x:c>
      <x:c r="T673" s="12" t="str">
        <x:v>Paid</x:v>
      </x:c>
      <x:c r="U673" s="12" t="str">
        <x:v>Completed</x:v>
      </x:c>
    </x:row>
    <x:row r="674">
      <x:c r="A674" s="12" t="str">
        <x:v>ORD-2024-10673</x:v>
      </x:c>
      <x:c r="B674" s="12" t="str">
        <x:v>2024-09-04</x:v>
      </x:c>
      <x:c r="C674" s="12" t="str">
        <x:v>2024-09-05</x:v>
      </x:c>
      <x:c r="D674" s="12" t="str">
        <x:v>CUST-8180</x:v>
      </x:c>
      <x:c r="E674" s="12" t="str">
        <x:v>Aditi Sen</x:v>
      </x:c>
      <x:c r="F674" s="12" t="str">
        <x:v>Corporate</x:v>
      </x:c>
      <x:c r="G674" s="12" t="str">
        <x:v>West</x:v>
      </x:c>
      <x:c r="H674" s="12" t="str">
        <x:v>Madhya Pradesh</x:v>
      </x:c>
      <x:c r="I674" s="12" t="str">
        <x:v>Indore</x:v>
      </x:c>
      <x:c r="J674" s="12" t="str">
        <x:v>Furniture</x:v>
      </x:c>
      <x:c r="K674" s="12" t="str">
        <x:v>Chairs</x:v>
      </x:c>
      <x:c r="L674" s="12" t="str">
        <x:v>Classic Chairs 460</x:v>
      </x:c>
      <x:c r="M674" s="12" t="str">
        <x:v>Standard Class</x:v>
      </x:c>
      <x:c r="N674" s="12" t="n">
        <x:v>5</x:v>
      </x:c>
      <x:c r="O674" s="12" t="n">
        <x:v>2528.53</x:v>
      </x:c>
      <x:c r="P674" s="12" t="n">
        <x:v>0.05</x:v>
      </x:c>
      <x:c r="Q674" s="12" t="n">
        <x:v>12010.52</x:v>
      </x:c>
      <x:c r="R674" s="12" t="n">
        <x:v>7864.61</x:v>
      </x:c>
      <x:c r="S674" s="12" t="n">
        <x:v>4145.91</x:v>
      </x:c>
      <x:c r="T674" s="12" t="str">
        <x:v>Paid</x:v>
      </x:c>
      <x:c r="U674" s="12" t="str">
        <x:v>Returned</x:v>
      </x:c>
    </x:row>
    <x:row r="675">
      <x:c r="A675" s="12" t="str">
        <x:v>ORD-2025-10674</x:v>
      </x:c>
      <x:c r="B675" s="12" t="str">
        <x:v>2025-02-13</x:v>
      </x:c>
      <x:c r="C675" s="12" t="str">
        <x:v>16 Feb 2025</x:v>
      </x:c>
      <x:c r="D675" s="12" t="str">
        <x:v>CUST-2807</x:v>
      </x:c>
      <x:c r="E675" s="12" t="str">
        <x:v>Arjun Bose</x:v>
      </x:c>
      <x:c r="F675" s="12" t="str">
        <x:v>Small Business</x:v>
      </x:c>
      <x:c r="G675" s="12" t="str">
        <x:v>West</x:v>
      </x:c>
      <x:c r="H675" s="12" t="str">
        <x:v>Rajasthan</x:v>
      </x:c>
      <x:c r="I675" s="12" t="str">
        <x:v>Udaipur</x:v>
      </x:c>
      <x:c r="J675" s="12" t="str">
        <x:v>Furniture</x:v>
      </x:c>
      <x:c r="K675" s="12" t="str">
        <x:v>Bookcases</x:v>
      </x:c>
      <x:c r="L675" s="12" t="str">
        <x:v>Classic Bookcases 488</x:v>
      </x:c>
      <x:c r="M675" s="12" t="str">
        <x:v>Second Class</x:v>
      </x:c>
      <x:c r="N675" s="12" t="n">
        <x:v>4</x:v>
      </x:c>
      <x:c r="O675" s="12" t="n">
        <x:v>4072.9</x:v>
      </x:c>
      <x:c r="P675" s="12" t="n">
        <x:v>0.15</x:v>
      </x:c>
      <x:c r="Q675" s="12" t="n">
        <x:v>13847.86</x:v>
      </x:c>
      <x:c r="R675" s="12" t="n">
        <x:v>8471.78</x:v>
      </x:c>
      <x:c r="S675" s="12" t="n">
        <x:v>5376.08</x:v>
      </x:c>
      <x:c r="T675" s="12" t="str">
        <x:v>Paid</x:v>
      </x:c>
      <x:c r="U675" s="12" t="str">
        <x:v>Completed</x:v>
      </x:c>
    </x:row>
    <x:row r="676">
      <x:c r="A676" s="12" t="str">
        <x:v>ORD-2024-10675</x:v>
      </x:c>
      <x:c r="B676" s="12" t="str">
        <x:v>2024-05-18</x:v>
      </x:c>
      <x:c r="C676" s="12" t="str">
        <x:v>2024-05-21</x:v>
      </x:c>
      <x:c r="D676" s="12" t="str">
        <x:v>CUST-4081</x:v>
      </x:c>
      <x:c r="E676" s="12" t="str">
        <x:v>Vikram Iyer</x:v>
      </x:c>
      <x:c r="F676" s="12" t="str">
        <x:v>Corporate</x:v>
      </x:c>
      <x:c r="G676" s="12" t="str">
        <x:v>East</x:v>
      </x:c>
      <x:c r="H676" s="12" t="str">
        <x:v>Jharkhand</x:v>
      </x:c>
      <x:c r="I676" s="12" t="str">
        <x:v>Ranchi</x:v>
      </x:c>
      <x:c r="J676" s="12" t="str">
        <x:v>Technology</x:v>
      </x:c>
      <x:c r="K676" s="12" t="str">
        <x:v>Accessories</x:v>
      </x:c>
      <x:c r="L676" s="12" t="str">
        <x:v>Basic Accessories 944</x:v>
      </x:c>
      <x:c r="M676" s="12" t="str">
        <x:v>Second Class</x:v>
      </x:c>
      <x:c r="N676" s="12" t="n">
        <x:v>1</x:v>
      </x:c>
      <x:c r="O676" s="12" t="n">
        <x:v>1033.71</x:v>
      </x:c>
      <x:c r="P676" s="12" t="n">
        <x:v>0</x:v>
      </x:c>
      <x:c r="Q676" s="12" t="n">
        <x:v>1033.71</x:v>
      </x:c>
      <x:c r="R676" s="12" t="n">
        <x:v>630.82</x:v>
      </x:c>
      <x:c r="S676" s="12" t="n">
        <x:v>402.89</x:v>
      </x:c>
      <x:c r="T676" s="12" t="str">
        <x:v>Pending</x:v>
      </x:c>
      <x:c r="U676" s="12" t="str">
        <x:v>Returned</x:v>
      </x:c>
    </x:row>
    <x:row r="677">
      <x:c r="A677" s="12" t="str">
        <x:v>ORD-2025-10676</x:v>
      </x:c>
      <x:c r="B677" s="12" t="str">
        <x:v>07-06-2025</x:v>
      </x:c>
      <x:c r="C677" s="12" t="str">
        <x:v>06/10/2025</x:v>
      </x:c>
      <x:c r="D677" s="12" t="str">
        <x:v>CUST-5061</x:v>
      </x:c>
      <x:c r="E677" s="12" t="str">
        <x:v>Aarav Sharma</x:v>
      </x:c>
      <x:c r="F677" s="12" t="str">
        <x:v>Consumer</x:v>
      </x:c>
      <x:c r="G677" s="12" t="str">
        <x:v>North</x:v>
      </x:c>
      <x:c r="H677" s="12" t="str">
        <x:v>Rajasthan</x:v>
      </x:c>
      <x:c r="I677" s="12" t="str">
        <x:v>Jaipur</x:v>
      </x:c>
      <x:c r="J677" s="12" t="str">
        <x:v>Furniture</x:v>
      </x:c>
      <x:c r="K677" s="12" t="str">
        <x:v>Furnishings</x:v>
      </x:c>
      <x:c r="L677" s="12" t="str">
        <x:v>Eco Furnishings 217</x:v>
      </x:c>
      <x:c r="M677" s="12" t="str">
        <x:v>Same Day</x:v>
      </x:c>
      <x:c r="N677" s="12" t="n">
        <x:v>3</x:v>
      </x:c>
      <x:c r="O677" s="12" t="n">
        <x:v>963.26</x:v>
      </x:c>
      <x:c r="P677" s="12" t="n">
        <x:v>0</x:v>
      </x:c>
      <x:c r="Q677" s="12" t="n">
        <x:v>2889.78</x:v>
      </x:c>
      <x:c r="R677" s="12" t="n">
        <x:v>1811.23</x:v>
      </x:c>
      <x:c r="S677" s="12" t="n">
        <x:v>1078.55</x:v>
      </x:c>
      <x:c r="T677" s="12" t="str">
        <x:v>Paid</x:v>
      </x:c>
      <x:c r="U677" s="12" t="str">
        <x:v>Completed</x:v>
      </x:c>
    </x:row>
    <x:row r="678">
      <x:c r="A678" s="12" t="str">
        <x:v>ORD-2025-10677</x:v>
      </x:c>
      <x:c r="B678" s="12" t="str">
        <x:v>09/11/2025</x:v>
      </x:c>
      <x:c r="C678" s="12" t="str">
        <x:v>09/18/2025</x:v>
      </x:c>
      <x:c r="D678" s="12" t="str">
        <x:v>CUST-9212</x:v>
      </x:c>
      <x:c r="E678" s="12" t="str">
        <x:v>Rahul Verma</x:v>
      </x:c>
      <x:c r="F678" s="12" t="str">
        <x:v>Small Business</x:v>
      </x:c>
      <x:c r="G678" s="12" t="str">
        <x:v>North</x:v>
      </x:c>
      <x:c r="H678" s="12" t="str">
        <x:v>Delhi</x:v>
      </x:c>
      <x:c r="I678" s="12" t="str">
        <x:v>New Delhi</x:v>
      </x:c>
      <x:c r="J678" s="12" t="str">
        <x:v>Technology</x:v>
      </x:c>
      <x:c r="K678" s="12" t="str">
        <x:v>Phones</x:v>
      </x:c>
      <x:c r="L678" s="12" t="str">
        <x:v>Smart Phones 967</x:v>
      </x:c>
      <x:c r="M678" s="12" t="str">
        <x:v>Same Day</x:v>
      </x:c>
      <x:c r="N678" s="12" t="n">
        <x:v>7</x:v>
      </x:c>
      <x:c r="O678" s="12" t="n">
        <x:v>3411.21</x:v>
      </x:c>
      <x:c r="P678" s="12" t="n">
        <x:v>0.15</x:v>
      </x:c>
      <x:c r="Q678" s="12" t="n">
        <x:v>20296.7</x:v>
      </x:c>
      <x:c r="R678" s="12" t="n">
        <x:v>14920.87</x:v>
      </x:c>
      <x:c r="S678" s="12" t="n">
        <x:v>5375.83</x:v>
      </x:c>
      <x:c r="T678" s="12" t="str">
        <x:v>Paid</x:v>
      </x:c>
      <x:c r="U678" s="12" t="str">
        <x:v>Completed</x:v>
      </x:c>
    </x:row>
    <x:row r="679">
      <x:c r="A679" s="12" t="str">
        <x:v>ORD-2024-10678</x:v>
      </x:c>
      <x:c r="B679" s="12" t="str">
        <x:v>2024-06-22</x:v>
      </x:c>
      <x:c r="C679" s="12" t="str">
        <x:v>27-06-2024</x:v>
      </x:c>
      <x:c r="D679" s="12" t="str">
        <x:v>CUST-4655</x:v>
      </x:c>
      <x:c r="E679" s="12" t="str">
        <x:v>Isha Nair</x:v>
      </x:c>
      <x:c r="F679" s="12" t="str">
        <x:v>Home Office</x:v>
      </x:c>
      <x:c r="G679" s="12" t="str">
        <x:v>South</x:v>
      </x:c>
      <x:c r="H679" s="12" t="str">
        <x:v>Karnataka</x:v>
      </x:c>
      <x:c r="I679" s="12" t="str">
        <x:v>Bengaluru</x:v>
      </x:c>
      <x:c r="J679" s="12" t="str">
        <x:v>Furniture</x:v>
      </x:c>
      <x:c r="K679" s="12" t="str">
        <x:v>Chairs</x:v>
      </x:c>
      <x:c r="L679" s="12" t="str">
        <x:v>Smart Chairs 610</x:v>
      </x:c>
      <x:c r="M679" s="12" t="str">
        <x:v>Same Day</x:v>
      </x:c>
      <x:c r="N679" s="12" t="n">
        <x:v>7</x:v>
      </x:c>
      <x:c r="O679" s="12" t="n">
        <x:v>2623.48</x:v>
      </x:c>
      <x:c r="P679" s="12" t="n">
        <x:v>0</x:v>
      </x:c>
      <x:c r="Q679" s="12" t="n">
        <x:v>18364.36</x:v>
      </x:c>
      <x:c r="R679" s="12" t="n">
        <x:v>15445.81</x:v>
      </x:c>
      <x:c r="S679" s="12" t="n">
        <x:v>2918.55</x:v>
      </x:c>
      <x:c r="T679" s="12" t="str">
        <x:v>Paid</x:v>
      </x:c>
      <x:c r="U679" s="12" t="str">
        <x:v>Completed</x:v>
      </x:c>
    </x:row>
    <x:row r="680">
      <x:c r="A680" s="12" t="str">
        <x:v>ORD-2024-10679</x:v>
      </x:c>
      <x:c r="B680" s="12" t="str">
        <x:v>24-11-2024</x:v>
      </x:c>
      <x:c r="C680" s="12" t="str">
        <x:v>12/01/2024</x:v>
      </x:c>
      <x:c r="D680" s="12" t="str">
        <x:v>CUST-1674</x:v>
      </x:c>
      <x:c r="E680" s="12" t="str">
        <x:v>Kabir Singh</x:v>
      </x:c>
      <x:c r="F680" s="12" t="str">
        <x:v>Corporate</x:v>
      </x:c>
      <x:c r="G680" s="12" t="str">
        <x:v>South</x:v>
      </x:c>
      <x:c r="H680" s="12" t="str">
        <x:v>Karnataka</x:v>
      </x:c>
      <x:c r="I680" s="12" t="str">
        <x:v>Bengaluru</x:v>
      </x:c>
      <x:c r="J680" s="12" t="str">
        <x:v>Furniture</x:v>
      </x:c>
      <x:c r="K680" s="12" t="str">
        <x:v>Tables</x:v>
      </x:c>
      <x:c r="L680" s="12" t="str">
        <x:v>Prime Tables 123</x:v>
      </x:c>
      <x:c r="M680" s="12" t="str">
        <x:v>Second Class</x:v>
      </x:c>
      <x:c r="N680" s="12" t="n">
        <x:v>9</x:v>
      </x:c>
      <x:c r="O680" s="12" t="n">
        <x:v>2763.61</x:v>
      </x:c>
      <x:c r="P680" s="12" t="n">
        <x:v>0.15</x:v>
      </x:c>
      <x:c r="Q680" s="12" t="n">
        <x:v>21141.62</x:v>
      </x:c>
      <x:c r="R680" s="12" t="n">
        <x:v>11676.33</x:v>
      </x:c>
      <x:c r="S680" s="12" t="n">
        <x:v>9465.29</x:v>
      </x:c>
      <x:c r="T680" s="12" t="str">
        <x:v>Paid</x:v>
      </x:c>
      <x:c r="U680" s="12" t="str">
        <x:v>Completed</x:v>
      </x:c>
    </x:row>
    <x:row r="681">
      <x:c r="A681" s="12" t="str">
        <x:v>ORD-2025-10680</x:v>
      </x:c>
      <x:c r="B681" s="12" t="str">
        <x:v>16-08-2025</x:v>
      </x:c>
      <x:c r="C681" s="12" t="str">
        <x:v>23-08-2025</x:v>
      </x:c>
      <x:c r="D681" s="12" t="str">
        <x:v>CUST-2897</x:v>
      </x:c>
      <x:c r="E681" s="12" t="str">
        <x:v>Rohan Mehta</x:v>
      </x:c>
      <x:c r="F681" s="12" t="str">
        <x:v>Corporate</x:v>
      </x:c>
      <x:c r="G681" s="12" t="str">
        <x:v>North</x:v>
      </x:c>
      <x:c r="H681" s="12" t="str">
        <x:v>Punjab</x:v>
      </x:c>
      <x:c r="I681" s="12" t="str">
        <x:v>Ludhiana</x:v>
      </x:c>
      <x:c r="J681" s="12" t="str">
        <x:v>Technology</x:v>
      </x:c>
      <x:c r="K681" s="12" t="str">
        <x:v>Copiers</x:v>
      </x:c>
      <x:c r="L681" s="12" t="str">
        <x:v>Smart Copiers 579</x:v>
      </x:c>
      <x:c r="M681" s="12" t="str">
        <x:v>Same Day</x:v>
      </x:c>
      <x:c r="N681" s="12" t="n">
        <x:v>4</x:v>
      </x:c>
      <x:c r="O681" s="12" t="n">
        <x:v>1410.57</x:v>
      </x:c>
      <x:c r="P681" s="12" t="str">
        <x:v>70%</x:v>
      </x:c>
      <x:c r="Q681" s="12" t="n">
        <x:v>5360.17</x:v>
      </x:c>
      <x:c r="R681" s="12" t="n">
        <x:v>3881.51</x:v>
      </x:c>
      <x:c r="S681" s="12" t="n">
        <x:v>1478.66</x:v>
      </x:c>
      <x:c r="T681" s="12" t="str">
        <x:v>Refunded</x:v>
      </x:c>
      <x:c r="U681" s="12" t="str">
        <x:v>Cancelled</x:v>
      </x:c>
    </x:row>
    <x:row r="682">
      <x:c r="A682" s="12" t="str">
        <x:v>ORD-2024-10681</x:v>
      </x:c>
      <x:c r="B682" s="12" t="str">
        <x:v>29 May 2024</x:v>
      </x:c>
      <x:c r="C682" s="12" t="str">
        <x:v>05 Jun 2024</x:v>
      </x:c>
      <x:c r="D682" s="12" t="str">
        <x:v>CUST-1136</x:v>
      </x:c>
      <x:c r="E682" s="12" t="str">
        <x:v>Kabir Singh</x:v>
      </x:c>
      <x:c r="F682" s="12" t="str">
        <x:v>Corporate</x:v>
      </x:c>
      <x:c r="G682" s="12" t="str">
        <x:v>South</x:v>
      </x:c>
      <x:c r="H682" s="12" t="str">
        <x:v>Tamil Nadu</x:v>
      </x:c>
      <x:c r="I682" s="12" t="str">
        <x:v>Chennai</x:v>
      </x:c>
      <x:c r="J682" s="12" t="str">
        <x:v>Technology</x:v>
      </x:c>
      <x:c r="K682" s="12" t="str">
        <x:v>Accessories</x:v>
      </x:c>
      <x:c r="L682" s="12" t="str">
        <x:v>Eco Accessories 658</x:v>
      </x:c>
      <x:c r="M682" s="12" t="str">
        <x:v>First Class</x:v>
      </x:c>
      <x:c r="N682" s="12" t="n">
        <x:v>4</x:v>
      </x:c>
      <x:c r="O682" s="12" t="n">
        <x:v>3700.24</x:v>
      </x:c>
      <x:c r="P682" s="12" t="n">
        <x:v>0</x:v>
      </x:c>
      <x:c r="Q682" s="12" t="n">
        <x:v>14800.96</x:v>
      </x:c>
      <x:c r="R682" s="12" t="n">
        <x:v>12048.39</x:v>
      </x:c>
      <x:c r="S682" s="12" t="n">
        <x:v>2752.57</x:v>
      </x:c>
      <x:c r="T682" s="12" t="str">
        <x:v>Paid</x:v>
      </x:c>
      <x:c r="U682" s="12" t="str">
        <x:v>Completed</x:v>
      </x:c>
    </x:row>
    <x:row r="683">
      <x:c r="A683" s="12" t="str">
        <x:v>ORD-2024-10682</x:v>
      </x:c>
      <x:c r="B683" s="12" t="str">
        <x:v>07/04/2024</x:v>
      </x:c>
      <x:c r="C683" s="12" t="str">
        <x:v>2024-07-10</x:v>
      </x:c>
      <x:c r="D683" s="12" t="str">
        <x:v>CUST-1376</x:v>
      </x:c>
      <x:c r="E683" s="12" t="str">
        <x:v>Vikram Iyer</x:v>
      </x:c>
      <x:c r="F683" s="12" t="str">
        <x:v>Corporate</x:v>
      </x:c>
      <x:c r="G683" s="12" t="str">
        <x:v>North</x:v>
      </x:c>
      <x:c r="H683" s="12" t="str">
        <x:v>Delhi</x:v>
      </x:c>
      <x:c r="I683" s="12" t="str">
        <x:v>New Delhi</x:v>
      </x:c>
      <x:c r="J683" s="12" t="str">
        <x:v>Furniture</x:v>
      </x:c>
      <x:c r="K683" s="12" t="str">
        <x:v>Tables</x:v>
      </x:c>
      <x:c r="L683" s="12" t="str">
        <x:v>Smart Tables 777</x:v>
      </x:c>
      <x:c r="M683" s="12" t="str">
        <x:v>Second Class</x:v>
      </x:c>
      <x:c r="N683" s="12" t="n">
        <x:v>5</x:v>
      </x:c>
      <x:c r="O683" s="12" t="n">
        <x:v>1200.27</x:v>
      </x:c>
      <x:c r="P683" s="12" t="n">
        <x:v>0</x:v>
      </x:c>
      <x:c r="Q683" s="12" t="n">
        <x:v>6001.35</x:v>
      </x:c>
      <x:c r="R683" s="12" t="n">
        <x:v>4182.99</x:v>
      </x:c>
      <x:c r="S683" s="12" t="n">
        <x:v>1818.36</x:v>
      </x:c>
      <x:c r="T683" s="12" t="str">
        <x:v>Paid</x:v>
      </x:c>
      <x:c r="U683" s="12" t="str">
        <x:v>Cancelled</x:v>
      </x:c>
    </x:row>
    <x:row r="684">
      <x:c r="A684" s="12" t="str">
        <x:v>ORD-2025-10683</x:v>
      </x:c>
      <x:c r="B684" s="12" t="str">
        <x:v>05 Feb 2025</x:v>
      </x:c>
      <x:c r="C684" s="12" t="str">
        <x:v>05-02-2025</x:v>
      </x:c>
      <x:c r="D684" s="12" t="str">
        <x:v>CUST-1553</x:v>
      </x:c>
      <x:c r="E684" s="12" t="str">
        <x:v>ananya rao</x:v>
      </x:c>
      <x:c r="F684" s="12" t="str">
        <x:v>Corporate</x:v>
      </x:c>
      <x:c r="G684" s="12" t="str">
        <x:v>North</x:v>
      </x:c>
      <x:c r="H684" s="12" t="str">
        <x:v>Haryana</x:v>
      </x:c>
      <x:c r="I684" s="12" t="str">
        <x:v>Gurugram</x:v>
      </x:c>
      <x:c r="J684" s="12" t="str">
        <x:v>Office Supplies</x:v>
      </x:c>
      <x:c r="K684" s="12" t="str">
        <x:v>Storage</x:v>
      </x:c>
      <x:c r="L684" s="12" t="str">
        <x:v>Eco Storage 861</x:v>
      </x:c>
      <x:c r="M684" s="12" t="str">
        <x:v>Same Day</x:v>
      </x:c>
      <x:c r="N684" s="12" t="n">
        <x:v>3</x:v>
      </x:c>
      <x:c r="O684" s="12" t="n">
        <x:v>2590.78</x:v>
      </x:c>
      <x:c r="P684" s="12"/>
      <x:c r="Q684" s="12" t="n">
        <x:v>7383.72</x:v>
      </x:c>
      <x:c r="R684" s="12" t="n">
        <x:v>4113.66</x:v>
      </x:c>
      <x:c r="S684" s="12" t="n">
        <x:v>3270.06</x:v>
      </x:c>
      <x:c r="T684" s="12" t="str">
        <x:v>Paid</x:v>
      </x:c>
      <x:c r="U684" s="12" t="str">
        <x:v>Completed</x:v>
      </x:c>
    </x:row>
    <x:row r="685">
      <x:c r="A685" s="12" t="str">
        <x:v>ORD-2025-10684</x:v>
      </x:c>
      <x:c r="B685" s="12" t="str">
        <x:v>2025-07-20</x:v>
      </x:c>
      <x:c r="C685" s="12" t="str">
        <x:v>24-07-2025</x:v>
      </x:c>
      <x:c r="D685" s="12" t="str">
        <x:v>CUST-5704</x:v>
      </x:c>
      <x:c r="E685" s="12" t="str">
        <x:v>Arjun Bose</x:v>
      </x:c>
      <x:c r="F685" s="12" t="str">
        <x:v>Small Business</x:v>
      </x:c>
      <x:c r="G685" s="12" t="str">
        <x:v>South</x:v>
      </x:c>
      <x:c r="H685" s="12" t="str">
        <x:v>Telangana</x:v>
      </x:c>
      <x:c r="I685" s="12" t="str">
        <x:v>Hyderabad</x:v>
      </x:c>
      <x:c r="J685" s="12" t="str">
        <x:v>Furniture</x:v>
      </x:c>
      <x:c r="K685" s="12" t="str">
        <x:v>Furnishings</x:v>
      </x:c>
      <x:c r="L685" s="12" t="str">
        <x:v>Eco Furnishings 875</x:v>
      </x:c>
      <x:c r="M685" s="12" t="str">
        <x:v>Second Class</x:v>
      </x:c>
      <x:c r="N685" s="12" t="n">
        <x:v>6</x:v>
      </x:c>
      <x:c r="O685" s="12" t="n">
        <x:v>1646.45</x:v>
      </x:c>
      <x:c r="P685" s="12" t="n">
        <x:v>0.2</x:v>
      </x:c>
      <x:c r="Q685" s="12" t="n">
        <x:v>7902.96</x:v>
      </x:c>
      <x:c r="R685" s="12" t="n">
        <x:v>5512.03</x:v>
      </x:c>
      <x:c r="S685" s="12" t="n">
        <x:v>2390.93</x:v>
      </x:c>
      <x:c r="T685" s="12" t="str">
        <x:v>Refunded</x:v>
      </x:c>
      <x:c r="U685" s="12" t="str">
        <x:v>Cancelled</x:v>
      </x:c>
    </x:row>
    <x:row r="686">
      <x:c r="A686" s="12" t="str">
        <x:v>ORD-2025-10685</x:v>
      </x:c>
      <x:c r="B686" s="12" t="str">
        <x:v>2025-07-21</x:v>
      </x:c>
      <x:c r="C686" s="12" t="str">
        <x:v>21-07-2025</x:v>
      </x:c>
      <x:c r="D686" s="12" t="str">
        <x:v>CUST-6738</x:v>
      </x:c>
      <x:c r="E686" s="12" t="str">
        <x:v>Isha Nair</x:v>
      </x:c>
      <x:c r="F686" s="12" t="str">
        <x:v>Home Office</x:v>
      </x:c>
      <x:c r="G686" s="12" t="str">
        <x:v>South</x:v>
      </x:c>
      <x:c r="H686" s="12" t="str">
        <x:v>Tamil Nadu</x:v>
      </x:c>
      <x:c r="I686" s="12" t="str">
        <x:v>Chennai</x:v>
      </x:c>
      <x:c r="J686" s="12" t="str">
        <x:v>Furniture</x:v>
      </x:c>
      <x:c r="K686" s="12" t="str">
        <x:v>Bookcases</x:v>
      </x:c>
      <x:c r="L686" s="12" t="str">
        <x:v>Prime Bookcases 784</x:v>
      </x:c>
      <x:c r="M686" s="12" t="str">
        <x:v>First Class</x:v>
      </x:c>
      <x:c r="N686" s="12" t="n">
        <x:v>7</x:v>
      </x:c>
      <x:c r="O686" s="12" t="n">
        <x:v>4396.65</x:v>
      </x:c>
      <x:c r="P686" s="12" t="n">
        <x:v>0.2</x:v>
      </x:c>
      <x:c r="Q686" s="12" t="n">
        <x:v>24621.24</x:v>
      </x:c>
      <x:c r="R686" s="12" t="n">
        <x:v>17155.48</x:v>
      </x:c>
      <x:c r="S686" s="12" t="n">
        <x:v>7465.76</x:v>
      </x:c>
      <x:c r="T686" s="12" t="str">
        <x:v>Refunded</x:v>
      </x:c>
      <x:c r="U686" s="12" t="str">
        <x:v>Cancelled</x:v>
      </x:c>
    </x:row>
    <x:row r="687">
      <x:c r="A687" s="12" t="str">
        <x:v>ORD-2025-10686</x:v>
      </x:c>
      <x:c r="B687" s="12" t="str">
        <x:v>01 Oct 2025</x:v>
      </x:c>
      <x:c r="C687" s="12" t="str">
        <x:v>2025-10-03</x:v>
      </x:c>
      <x:c r="D687" s="12" t="str">
        <x:v>CUST-2586</x:v>
      </x:c>
      <x:c r="E687" s="12" t="str">
        <x:v>Neha Gupta</x:v>
      </x:c>
      <x:c r="F687" s="12" t="str">
        <x:v>Corporate</x:v>
      </x:c>
      <x:c r="G687" s="12" t="str">
        <x:v>West</x:v>
      </x:c>
      <x:c r="H687" s="12" t="str">
        <x:v>Goa</x:v>
      </x:c>
      <x:c r="I687" s="12" t="str">
        <x:v>Panaji</x:v>
      </x:c>
      <x:c r="J687" s="12" t="str">
        <x:v>Office Supplies</x:v>
      </x:c>
      <x:c r="K687" s="12" t="str">
        <x:v>Art</x:v>
      </x:c>
      <x:c r="L687" s="12" t="str">
        <x:v>Classic Art 380</x:v>
      </x:c>
      <x:c r="M687" s="12" t="str">
        <x:v>Standard Class</x:v>
      </x:c>
      <x:c r="N687" s="12" t="n">
        <x:v>9</x:v>
      </x:c>
      <x:c r="O687" s="12" t="n">
        <x:v>818.15</x:v>
      </x:c>
      <x:c r="P687" s="12" t="n">
        <x:v>0.55</x:v>
      </x:c>
      <x:c r="Q687" s="12" t="n">
        <x:v>6627.01</x:v>
      </x:c>
      <x:c r="R687" s="12" t="n">
        <x:v>5606.79</x:v>
      </x:c>
      <x:c r="S687" s="12" t="n">
        <x:v>1020.22</x:v>
      </x:c>
      <x:c r="T687" s="12" t="str">
        <x:v>Failed</x:v>
      </x:c>
      <x:c r="U687" s="12" t="str">
        <x:v>Cancelled</x:v>
      </x:c>
    </x:row>
    <x:row r="688">
      <x:c r="A688" s="12" t="str">
        <x:v>ORD-2024-10687</x:v>
      </x:c>
      <x:c r="B688" s="12" t="str">
        <x:v>25-03-2024</x:v>
      </x:c>
      <x:c r="C688" s="12" t="str">
        <x:v>04/02/2024</x:v>
      </x:c>
      <x:c r="D688" s="12" t="str">
        <x:v>CUST-3127</x:v>
      </x:c>
      <x:c r="E688" s="12" t="str">
        <x:v>Sneha Kapoor</x:v>
      </x:c>
      <x:c r="F688" s="12" t="str">
        <x:v>Home Office</x:v>
      </x:c>
      <x:c r="G688" s="12" t="str">
        <x:v>South</x:v>
      </x:c>
      <x:c r="H688" s="12" t="str">
        <x:v>Tamil Nadu</x:v>
      </x:c>
      <x:c r="I688" s="12" t="str">
        <x:v>Chennai</x:v>
      </x:c>
      <x:c r="J688" s="12" t="str">
        <x:v>Technology</x:v>
      </x:c>
      <x:c r="K688" s="12" t="str">
        <x:v>Copiers</x:v>
      </x:c>
      <x:c r="L688" s="12" t="str">
        <x:v>Pro Copiers 502</x:v>
      </x:c>
      <x:c r="M688" s="12" t="str">
        <x:v>Standard Class</x:v>
      </x:c>
      <x:c r="N688" s="12" t="n">
        <x:v>2</x:v>
      </x:c>
      <x:c r="O688" s="12" t="n">
        <x:v>2349.13</x:v>
      </x:c>
      <x:c r="P688" s="12" t="n">
        <x:v>0</x:v>
      </x:c>
      <x:c r="Q688" s="12" t="n">
        <x:v>4698.26</x:v>
      </x:c>
      <x:c r="R688" s="12" t="n">
        <x:v>2654.92</x:v>
      </x:c>
      <x:c r="S688" s="12" t="n">
        <x:v>2043.34</x:v>
      </x:c>
      <x:c r="T688" s="12" t="str">
        <x:v>Paid</x:v>
      </x:c>
      <x:c r="U688" s="12" t="str">
        <x:v>Completed</x:v>
      </x:c>
    </x:row>
    <x:row r="689">
      <x:c r="A689" s="12" t="str">
        <x:v>ORD-2025-10688</x:v>
      </x:c>
      <x:c r="B689" s="12" t="str">
        <x:v>08 Oct 2025</x:v>
      </x:c>
      <x:c r="C689" s="12" t="str">
        <x:v>13-10-2025</x:v>
      </x:c>
      <x:c r="D689" s="12" t="str">
        <x:v>CUST-9347</x:v>
      </x:c>
      <x:c r="E689" s="12" t="str">
        <x:v>Mira Das</x:v>
      </x:c>
      <x:c r="F689" s="12" t="str">
        <x:v>Home Office</x:v>
      </x:c>
      <x:c r="G689" s="12" t="str">
        <x:v>North</x:v>
      </x:c>
      <x:c r="H689" s="12" t="str">
        <x:v>Punjab</x:v>
      </x:c>
      <x:c r="I689" s="12" t="str">
        <x:v>Ludhiana</x:v>
      </x:c>
      <x:c r="J689" s="12" t="str">
        <x:v>Furniture</x:v>
      </x:c>
      <x:c r="K689" s="12" t="str">
        <x:v>Tables</x:v>
      </x:c>
      <x:c r="L689" s="12" t="str">
        <x:v>Prime Tables 604</x:v>
      </x:c>
      <x:c r="M689" s="12" t="str">
        <x:v>First Class</x:v>
      </x:c>
      <x:c r="N689" s="12" t="n">
        <x:v>4</x:v>
      </x:c>
      <x:c r="O689" s="12" t="n">
        <x:v>172.05</x:v>
      </x:c>
      <x:c r="P689" s="12" t="n">
        <x:v>0</x:v>
      </x:c>
      <x:c r="Q689" s="12" t="n">
        <x:v>688.2</x:v>
      </x:c>
      <x:c r="R689" s="12" t="n">
        <x:v>497.68</x:v>
      </x:c>
      <x:c r="S689" s="12" t="n">
        <x:v>190.52</x:v>
      </x:c>
      <x:c r="T689" s="12" t="str">
        <x:v>Failed</x:v>
      </x:c>
      <x:c r="U689" s="12" t="str">
        <x:v>Cancelled</x:v>
      </x:c>
    </x:row>
    <x:row r="690">
      <x:c r="A690" s="12" t="str">
        <x:v>ORD-2025-10689</x:v>
      </x:c>
      <x:c r="B690" s="12" t="str">
        <x:v>26 Feb 2025</x:v>
      </x:c>
      <x:c r="C690" s="12" t="str">
        <x:v>27 Feb 2025</x:v>
      </x:c>
      <x:c r="D690" s="12" t="str">
        <x:v>CUST-8575</x:v>
      </x:c>
      <x:c r="E690" s="12" t="str">
        <x:v>Neha Gupta</x:v>
      </x:c>
      <x:c r="F690" s="12" t="str">
        <x:v>Home Office</x:v>
      </x:c>
      <x:c r="G690" s="12" t="str">
        <x:v>North</x:v>
      </x:c>
      <x:c r="H690" s="12" t="str">
        <x:v>Haryana</x:v>
      </x:c>
      <x:c r="I690" s="12" t="str">
        <x:v>Gurugram</x:v>
      </x:c>
      <x:c r="J690" s="12" t="str">
        <x:v>Office Supplies</x:v>
      </x:c>
      <x:c r="K690" s="12" t="str">
        <x:v>Art</x:v>
      </x:c>
      <x:c r="L690" s="12" t="str">
        <x:v>Basic Art 798</x:v>
      </x:c>
      <x:c r="M690" s="12" t="str">
        <x:v>Second Class</x:v>
      </x:c>
      <x:c r="N690" s="12" t="n">
        <x:v>6</x:v>
      </x:c>
      <x:c r="O690" s="12" t="n">
        <x:v>3037.66</x:v>
      </x:c>
      <x:c r="P690" s="12" t="n">
        <x:v>0.15</x:v>
      </x:c>
      <x:c r="Q690" s="12" t="n">
        <x:v>15492.07</x:v>
      </x:c>
      <x:c r="R690" s="12" t="n">
        <x:v>12581.23</x:v>
      </x:c>
      <x:c r="S690" s="12" t="n">
        <x:v>2910.84</x:v>
      </x:c>
      <x:c r="T690" s="12" t="str">
        <x:v>Paid</x:v>
      </x:c>
      <x:c r="U690" s="12" t="str">
        <x:v>Completed</x:v>
      </x:c>
    </x:row>
    <x:row r="691">
      <x:c r="A691" s="12" t="str">
        <x:v>ORD-2024-10690</x:v>
      </x:c>
      <x:c r="B691" s="12" t="str">
        <x:v>05-10-2024</x:v>
      </x:c>
      <x:c r="C691" s="12" t="str">
        <x:v>06 Oct 2024</x:v>
      </x:c>
      <x:c r="D691" s="12" t="str">
        <x:v>CUST-4382</x:v>
      </x:c>
      <x:c r="E691" s="12" t="str">
        <x:v>Rohan Mehta</x:v>
      </x:c>
      <x:c r="F691" s="12" t="str">
        <x:v>Small Business</x:v>
      </x:c>
      <x:c r="G691" s="12" t="str">
        <x:v>North</x:v>
      </x:c>
      <x:c r="H691" s="12" t="str">
        <x:v>Punjab</x:v>
      </x:c>
      <x:c r="I691" s="12" t="str">
        <x:v>Ludhiana</x:v>
      </x:c>
      <x:c r="J691" s="12" t="str">
        <x:v>Furniture</x:v>
      </x:c>
      <x:c r="K691" s="12" t="str">
        <x:v>Tables</x:v>
      </x:c>
      <x:c r="L691" s="12" t="str">
        <x:v>Elite Tables 717</x:v>
      </x:c>
      <x:c r="M691" s="12" t="str">
        <x:v>Standard Class</x:v>
      </x:c>
      <x:c r="N691" s="12" t="n">
        <x:v>9</x:v>
      </x:c>
      <x:c r="O691" s="12" t="n">
        <x:v>489.58</x:v>
      </x:c>
      <x:c r="P691" s="12" t="n">
        <x:v>0.15</x:v>
      </x:c>
      <x:c r="Q691" s="12" t="n">
        <x:v>3745.29</x:v>
      </x:c>
      <x:c r="R691" s="12" t="n">
        <x:v>2302.65</x:v>
      </x:c>
      <x:c r="S691" s="12" t="n">
        <x:v>1442.64</x:v>
      </x:c>
      <x:c r="T691" s="12" t="str">
        <x:v>Failed</x:v>
      </x:c>
      <x:c r="U691" s="12" t="str">
        <x:v>Cancelled</x:v>
      </x:c>
    </x:row>
    <x:row r="692">
      <x:c r="A692" s="12" t="str">
        <x:v>ORD-2024-10691</x:v>
      </x:c>
      <x:c r="B692" s="12" t="str">
        <x:v>09/11/2024</x:v>
      </x:c>
      <x:c r="C692" s="12" t="str">
        <x:v>2024-09-15</x:v>
      </x:c>
      <x:c r="D692" s="12" t="str">
        <x:v>CUST-6815</x:v>
      </x:c>
      <x:c r="E692" s="12" t="str">
        <x:v>Sneha Kapoor</x:v>
      </x:c>
      <x:c r="F692" s="12" t="str">
        <x:v>Corporate</x:v>
      </x:c>
      <x:c r="G692" s="12" t="str">
        <x:v>South</x:v>
      </x:c>
      <x:c r="H692" s="12" t="str">
        <x:v>Tamil Nadu</x:v>
      </x:c>
      <x:c r="I692" s="12" t="str">
        <x:v>Chennai</x:v>
      </x:c>
      <x:c r="J692" s="12" t="str">
        <x:v>Office Supplies</x:v>
      </x:c>
      <x:c r="K692" s="12" t="str">
        <x:v>Art</x:v>
      </x:c>
      <x:c r="L692" s="12" t="str">
        <x:v>Max Art 725</x:v>
      </x:c>
      <x:c r="M692" s="12" t="str">
        <x:v>Standard Class</x:v>
      </x:c>
      <x:c r="N692" s="12" t="n">
        <x:v>4</x:v>
      </x:c>
      <x:c r="O692" s="12" t="n">
        <x:v>865.63</x:v>
      </x:c>
      <x:c r="P692" s="12" t="n">
        <x:v>0</x:v>
      </x:c>
      <x:c r="Q692" s="12" t="n">
        <x:v>3462.52</x:v>
      </x:c>
      <x:c r="R692" s="12" t="n">
        <x:v>2797.29</x:v>
      </x:c>
      <x:c r="S692" s="12" t="n">
        <x:v>665.23</x:v>
      </x:c>
      <x:c r="T692" s="12" t="str">
        <x:v>Failed</x:v>
      </x:c>
      <x:c r="U692" s="12" t="str">
        <x:v>Returned</x:v>
      </x:c>
    </x:row>
    <x:row r="693">
      <x:c r="A693" s="12" t="str">
        <x:v>ORD-2024-10692</x:v>
      </x:c>
      <x:c r="B693" s="12" t="str">
        <x:v>15-12-2024</x:v>
      </x:c>
      <x:c r="C693" s="12" t="str">
        <x:v>16-12-2024</x:v>
      </x:c>
      <x:c r="D693" s="12" t="str">
        <x:v>CUST-7309</x:v>
      </x:c>
      <x:c r="E693" s="12" t="str">
        <x:v>Rohan Mehta</x:v>
      </x:c>
      <x:c r="F693" s="12" t="str">
        <x:v>Consumer</x:v>
      </x:c>
      <x:c r="G693" s="12" t="str">
        <x:v>East</x:v>
      </x:c>
      <x:c r="H693" s="12" t="str">
        <x:v>Odisha</x:v>
      </x:c>
      <x:c r="I693" s="12" t="str">
        <x:v>Bhubaneswar</x:v>
      </x:c>
      <x:c r="J693" s="12" t="str">
        <x:v>Technology</x:v>
      </x:c>
      <x:c r="K693" s="12" t="str">
        <x:v>Copiers</x:v>
      </x:c>
      <x:c r="L693" s="12" t="str">
        <x:v>Smart Copiers 456</x:v>
      </x:c>
      <x:c r="M693" s="12" t="str">
        <x:v>Second Class</x:v>
      </x:c>
      <x:c r="N693" s="12" t="n">
        <x:v>6</x:v>
      </x:c>
      <x:c r="O693" s="12" t="n">
        <x:v>1538.1</x:v>
      </x:c>
      <x:c r="P693" s="12" t="n">
        <x:v>0.05</x:v>
      </x:c>
      <x:c r="Q693" s="12" t="n">
        <x:v>8767.17</x:v>
      </x:c>
      <x:c r="R693" s="12" t="n">
        <x:v>5098.2</x:v>
      </x:c>
      <x:c r="S693" s="12" t="n">
        <x:v>3668.97</x:v>
      </x:c>
      <x:c r="T693" s="12" t="str">
        <x:v>Paid</x:v>
      </x:c>
      <x:c r="U693" s="12" t="str">
        <x:v>Completed</x:v>
      </x:c>
    </x:row>
    <x:row r="694">
      <x:c r="A694" s="12" t="str">
        <x:v>ORD-2025-10693</x:v>
      </x:c>
      <x:c r="B694" s="12" t="str">
        <x:v>05-10-2025</x:v>
      </x:c>
      <x:c r="C694" s="12" t="str">
        <x:v>10-10-2025</x:v>
      </x:c>
      <x:c r="D694" s="12" t="str">
        <x:v>CUST-9531</x:v>
      </x:c>
      <x:c r="E694" s="12" t="str">
        <x:v>Isha Nair</x:v>
      </x:c>
      <x:c r="F694" s="12" t="str">
        <x:v>corporate</x:v>
      </x:c>
      <x:c r="G694" s="12" t="str">
        <x:v>South</x:v>
      </x:c>
      <x:c r="H694" s="12" t="str">
        <x:v>Karnataka</x:v>
      </x:c>
      <x:c r="I694" s="12" t="str">
        <x:v>Bengaluru</x:v>
      </x:c>
      <x:c r="J694" s="12" t="str">
        <x:v>Furniture</x:v>
      </x:c>
      <x:c r="K694" s="12" t="str">
        <x:v>Furnishings</x:v>
      </x:c>
      <x:c r="L694" s="12" t="str">
        <x:v>Prime Furnishings 883</x:v>
      </x:c>
      <x:c r="M694" s="12" t="str">
        <x:v>Second Class</x:v>
      </x:c>
      <x:c r="N694" s="12" t="n">
        <x:v>4</x:v>
      </x:c>
      <x:c r="O694" s="12" t="n">
        <x:v>2365.68</x:v>
      </x:c>
      <x:c r="P694" s="12" t="n">
        <x:v>0.1</x:v>
      </x:c>
      <x:c r="Q694" s="12" t="n">
        <x:v>8516.45</x:v>
      </x:c>
      <x:c r="R694" s="12" t="n">
        <x:v>5903.81</x:v>
      </x:c>
      <x:c r="S694" s="12" t="n">
        <x:v>2612.64</x:v>
      </x:c>
      <x:c r="T694" s="12" t="str">
        <x:v>Paid</x:v>
      </x:c>
      <x:c r="U694" s="12" t="str">
        <x:v>Completed</x:v>
      </x:c>
    </x:row>
    <x:row r="695">
      <x:c r="A695" s="12" t="str">
        <x:v>ORD-2025-10694</x:v>
      </x:c>
      <x:c r="B695" s="12" t="str">
        <x:v>03-04-2025</x:v>
      </x:c>
      <x:c r="C695" s="12" t="str">
        <x:v>2025-04-11</x:v>
      </x:c>
      <x:c r="D695" s="12" t="str">
        <x:v>CUST-6032</x:v>
      </x:c>
      <x:c r="E695" s="12" t="str">
        <x:v>Arjun Bose</x:v>
      </x:c>
      <x:c r="F695" s="12" t="str">
        <x:v>Consumer</x:v>
      </x:c>
      <x:c r="G695" s="12" t="str">
        <x:v>South</x:v>
      </x:c>
      <x:c r="H695" s="12" t="str">
        <x:v>Tamil Nadu</x:v>
      </x:c>
      <x:c r="I695" s="12" t="str">
        <x:v>Chennai</x:v>
      </x:c>
      <x:c r="J695" s="12" t="str">
        <x:v>Furniture</x:v>
      </x:c>
      <x:c r="K695" s="12" t="str">
        <x:v>Bookcases</x:v>
      </x:c>
      <x:c r="L695" s="12" t="str">
        <x:v>Smart Bookcases 828</x:v>
      </x:c>
      <x:c r="M695" s="12" t="str">
        <x:v>Second Class</x:v>
      </x:c>
      <x:c r="N695" s="12" t="n">
        <x:v>3</x:v>
      </x:c>
      <x:c r="O695" s="12" t="n">
        <x:v>4149.77</x:v>
      </x:c>
      <x:c r="P695" s="12" t="n">
        <x:v>0.05</x:v>
      </x:c>
      <x:c r="Q695" s="12" t="n">
        <x:v>11826.84</x:v>
      </x:c>
      <x:c r="R695" s="12" t="n">
        <x:v>8035.96</x:v>
      </x:c>
      <x:c r="S695" s="12" t="n">
        <x:v>3790.88</x:v>
      </x:c>
      <x:c r="T695" s="12" t="str">
        <x:v>Paid</x:v>
      </x:c>
      <x:c r="U695" s="12" t="str">
        <x:v>Completed</x:v>
      </x:c>
    </x:row>
    <x:row r="696">
      <x:c r="A696" s="12" t="str">
        <x:v>ORD-2025-10695</x:v>
      </x:c>
      <x:c r="B696" s="12" t="str">
        <x:v>01-08-2025</x:v>
      </x:c>
      <x:c r="C696" s="12" t="str">
        <x:v>09-08-2025</x:v>
      </x:c>
      <x:c r="D696" s="12" t="str">
        <x:v>CUST-8025</x:v>
      </x:c>
      <x:c r="E696" s="12" t="str">
        <x:v>Isha Nair</x:v>
      </x:c>
      <x:c r="F696" s="12" t="str">
        <x:v>Consumer</x:v>
      </x:c>
      <x:c r="G696" s="12" t="str">
        <x:v>South</x:v>
      </x:c>
      <x:c r="H696" s="12" t="str">
        <x:v>Andhra Pradesh</x:v>
      </x:c>
      <x:c r="I696" s="12" t="str">
        <x:v>Vijayawada</x:v>
      </x:c>
      <x:c r="J696" s="12" t="str">
        <x:v>Office Supplies</x:v>
      </x:c>
      <x:c r="K696" s="12" t="str">
        <x:v>Storage</x:v>
      </x:c>
      <x:c r="L696" s="12" t="str">
        <x:v>Classic Storage 291</x:v>
      </x:c>
      <x:c r="M696" s="12" t="str">
        <x:v>First Class</x:v>
      </x:c>
      <x:c r="N696" s="12" t="n">
        <x:v>5</x:v>
      </x:c>
      <x:c r="O696" s="12" t="n">
        <x:v>2736.24</x:v>
      </x:c>
      <x:c r="P696" s="12" t="n">
        <x:v>0.15</x:v>
      </x:c>
      <x:c r="Q696" s="12" t="n">
        <x:v>11629.02</x:v>
      </x:c>
      <x:c r="R696" s="12" t="n">
        <x:v>9627.21</x:v>
      </x:c>
      <x:c r="S696" s="12" t="n">
        <x:v>2001.81</x:v>
      </x:c>
      <x:c r="T696" s="12" t="str">
        <x:v>Paid</x:v>
      </x:c>
      <x:c r="U696" s="12" t="str">
        <x:v>Completed</x:v>
      </x:c>
    </x:row>
    <x:row r="697">
      <x:c r="A697" s="12" t="str">
        <x:v>ORD-2024-10696</x:v>
      </x:c>
      <x:c r="B697" s="12" t="str">
        <x:v>2024-07-01</x:v>
      </x:c>
      <x:c r="C697" s="12" t="str">
        <x:v>01-07-2024</x:v>
      </x:c>
      <x:c r="D697" s="12" t="str">
        <x:v>CUST-6257</x:v>
      </x:c>
      <x:c r="E697" s="12" t="str">
        <x:v>Aarav Sharma</x:v>
      </x:c>
      <x:c r="F697" s="12" t="str">
        <x:v>Consumer</x:v>
      </x:c>
      <x:c r="G697" s="12" t="str">
        <x:v>West</x:v>
      </x:c>
      <x:c r="H697" s="12" t="str">
        <x:v>Madhya Pradesh</x:v>
      </x:c>
      <x:c r="I697" s="12" t="str">
        <x:v>Indore</x:v>
      </x:c>
      <x:c r="J697" s="12" t="str">
        <x:v>Technology</x:v>
      </x:c>
      <x:c r="K697" s="12" t="str">
        <x:v>Machines </x:v>
      </x:c>
      <x:c r="L697" s="12" t="str">
        <x:v>Prime Machines 102</x:v>
      </x:c>
      <x:c r="M697" s="12" t="str">
        <x:v>Standard Class</x:v>
      </x:c>
      <x:c r="N697" s="12" t="n">
        <x:v>4</x:v>
      </x:c>
      <x:c r="O697" s="12" t="n">
        <x:v>257.39</x:v>
      </x:c>
      <x:c r="P697" s="12" t="n">
        <x:v>0</x:v>
      </x:c>
      <x:c r="Q697" s="12" t="n">
        <x:v>1029.56</x:v>
      </x:c>
      <x:c r="R697" s="12" t="n">
        <x:v>626.33</x:v>
      </x:c>
      <x:c r="S697" s="12" t="n">
        <x:v>403.23</x:v>
      </x:c>
      <x:c r="T697" s="12" t="str">
        <x:v>Paid</x:v>
      </x:c>
      <x:c r="U697" s="12" t="str">
        <x:v>Completed</x:v>
      </x:c>
    </x:row>
    <x:row r="698">
      <x:c r="A698" s="12" t="str">
        <x:v>ORD-2025-10697</x:v>
      </x:c>
      <x:c r="B698" s="12" t="str">
        <x:v>22 Sep 2025</x:v>
      </x:c>
      <x:c r="C698" s="12" t="str">
        <x:v>25 Sep 2025</x:v>
      </x:c>
      <x:c r="D698" s="12" t="str">
        <x:v>CUST-7812</x:v>
      </x:c>
      <x:c r="E698" s="12" t="str">
        <x:v>Isha Nair</x:v>
      </x:c>
      <x:c r="F698" s="12" t="str">
        <x:v>Small Business</x:v>
      </x:c>
      <x:c r="G698" s="12" t="str">
        <x:v>South</x:v>
      </x:c>
      <x:c r="H698" s="12" t="str">
        <x:v>Kerala</x:v>
      </x:c>
      <x:c r="I698" s="12" t="str">
        <x:v>Kochi</x:v>
      </x:c>
      <x:c r="J698" s="12" t="str">
        <x:v>Technology</x:v>
      </x:c>
      <x:c r="K698" s="12" t="str">
        <x:v>Phones</x:v>
      </x:c>
      <x:c r="L698" s="12" t="str">
        <x:v>Classic Phones 842</x:v>
      </x:c>
      <x:c r="M698" s="12"/>
      <x:c r="N698" s="12" t="n">
        <x:v>4</x:v>
      </x:c>
      <x:c r="O698" s="12" t="n">
        <x:v>1178.84</x:v>
      </x:c>
      <x:c r="P698" s="12" t="n">
        <x:v>0.25</x:v>
      </x:c>
      <x:c r="Q698" s="12" t="n">
        <x:v>3536.52</x:v>
      </x:c>
      <x:c r="R698" s="12" t="n">
        <x:v>2102.41</x:v>
      </x:c>
      <x:c r="S698" s="12" t="n">
        <x:v>1363.28</x:v>
      </x:c>
      <x:c r="T698" s="12" t="str">
        <x:v>Paid</x:v>
      </x:c>
      <x:c r="U698" s="12" t="str">
        <x:v>Completed</x:v>
      </x:c>
    </x:row>
    <x:row r="699">
      <x:c r="A699" s="12" t="str">
        <x:v>ORD-2025-10698</x:v>
      </x:c>
      <x:c r="B699" s="12" t="str">
        <x:v>03/01/2025</x:v>
      </x:c>
      <x:c r="C699" s="12" t="str">
        <x:v>07-03-2025</x:v>
      </x:c>
      <x:c r="D699" s="12" t="str">
        <x:v>CUST-6205</x:v>
      </x:c>
      <x:c r="E699" s="12" t="str">
        <x:v>Arjun Bose</x:v>
      </x:c>
      <x:c r="F699" s="12" t="str">
        <x:v>Corporate</x:v>
      </x:c>
      <x:c r="G699" s="12" t="str">
        <x:v>South</x:v>
      </x:c>
      <x:c r="H699" s="12" t="str">
        <x:v>Andhra Pradesh</x:v>
      </x:c>
      <x:c r="I699" s="12" t="str">
        <x:v>Vijayawada</x:v>
      </x:c>
      <x:c r="J699" s="12" t="str">
        <x:v>Office Supplies</x:v>
      </x:c>
      <x:c r="K699" s="12" t="str">
        <x:v>Labels</x:v>
      </x:c>
      <x:c r="L699" s="12" t="str">
        <x:v>Max Labels 970</x:v>
      </x:c>
      <x:c r="M699" s="12" t="str">
        <x:v>First Class</x:v>
      </x:c>
      <x:c r="N699" s="12" t="n">
        <x:v>7</x:v>
      </x:c>
      <x:c r="O699" s="12" t="n">
        <x:v>567.15</x:v>
      </x:c>
      <x:c r="P699" s="12"/>
      <x:c r="Q699" s="12" t="n">
        <x:v>2977.54</x:v>
      </x:c>
      <x:c r="R699" s="12" t="n">
        <x:v>1849.3</x:v>
      </x:c>
      <x:c r="S699" s="12" t="n">
        <x:v>1128.24</x:v>
      </x:c>
      <x:c r="T699" s="12" t="str">
        <x:v>Refunded</x:v>
      </x:c>
      <x:c r="U699" s="12" t="str">
        <x:v>Returned</x:v>
      </x:c>
    </x:row>
    <x:row r="700">
      <x:c r="A700" s="12" t="str">
        <x:v>ORD-2024-10699</x:v>
      </x:c>
      <x:c r="B700" s="12" t="str">
        <x:v>14-09-2024</x:v>
      </x:c>
      <x:c r="C700" s="12" t="str">
        <x:v>2024-09-14</x:v>
      </x:c>
      <x:c r="D700" s="12" t="str">
        <x:v>CUST-5357</x:v>
      </x:c>
      <x:c r="E700" s="12" t="str">
        <x:v>Mira Das</x:v>
      </x:c>
      <x:c r="F700" s="12" t="str">
        <x:v>Corporate</x:v>
      </x:c>
      <x:c r="G700" s="12" t="str">
        <x:v>North</x:v>
      </x:c>
      <x:c r="H700" s="12" t="str">
        <x:v>Rajasthan</x:v>
      </x:c>
      <x:c r="I700" s="12" t="str">
        <x:v>Jaipur</x:v>
      </x:c>
      <x:c r="J700" s="12" t="str">
        <x:v>Technology</x:v>
      </x:c>
      <x:c r="K700" s="12" t="str">
        <x:v>Machines</x:v>
      </x:c>
      <x:c r="L700" s="12" t="str">
        <x:v>Classic Machines 648</x:v>
      </x:c>
      <x:c r="M700" s="12" t="str">
        <x:v>Standard Class</x:v>
      </x:c>
      <x:c r="N700" s="12" t="n">
        <x:v>8</x:v>
      </x:c>
      <x:c r="O700" s="12" t="n">
        <x:v>4081.66</x:v>
      </x:c>
      <x:c r="P700" s="12" t="n">
        <x:v>0.15</x:v>
      </x:c>
      <x:c r="Q700" s="12" t="n">
        <x:v>28208.1</x:v>
      </x:c>
      <x:c r="R700" s="12" t="n">
        <x:v>23751.91</x:v>
      </x:c>
      <x:c r="S700" s="12" t="n">
        <x:v>4003.38</x:v>
      </x:c>
      <x:c r="T700" s="12" t="str">
        <x:v>Paid</x:v>
      </x:c>
      <x:c r="U700" s="12" t="str">
        <x:v>Returned</x:v>
      </x:c>
    </x:row>
    <x:row r="701">
      <x:c r="A701" s="12" t="str">
        <x:v>ORD-2024-10700</x:v>
      </x:c>
      <x:c r="B701" s="12" t="str">
        <x:v>2024-06-11</x:v>
      </x:c>
      <x:c r="C701" s="12" t="str">
        <x:v>11 Jun 2024</x:v>
      </x:c>
      <x:c r="D701" s="12" t="str">
        <x:v>CUST-9802</x:v>
      </x:c>
      <x:c r="E701" s="12" t="str">
        <x:v>Arjun Bose</x:v>
      </x:c>
      <x:c r="F701" s="12" t="str">
        <x:v>Small Business</x:v>
      </x:c>
      <x:c r="G701" s="12" t="str">
        <x:v>South</x:v>
      </x:c>
      <x:c r="H701" s="12" t="str">
        <x:v>Karnataka</x:v>
      </x:c>
      <x:c r="I701" s="12" t="str">
        <x:v>Bengaluru</x:v>
      </x:c>
      <x:c r="J701" s="12" t="str">
        <x:v>Furniture</x:v>
      </x:c>
      <x:c r="K701" s="12" t="str">
        <x:v>Bookcases</x:v>
      </x:c>
      <x:c r="L701" s="12" t="str">
        <x:v>Max Bookcases 565</x:v>
      </x:c>
      <x:c r="M701" s="12" t="str">
        <x:v>Standard Class</x:v>
      </x:c>
      <x:c r="N701" s="12" t="n">
        <x:v>9</x:v>
      </x:c>
      <x:c r="O701" s="12" t="n">
        <x:v>1400.11</x:v>
      </x:c>
      <x:c r="P701" s="12" t="n">
        <x:v>0.25</x:v>
      </x:c>
      <x:c r="Q701" s="12" t="n">
        <x:v>9450.74</x:v>
      </x:c>
      <x:c r="R701" s="12" t="n">
        <x:v>7798.56</x:v>
      </x:c>
      <x:c r="S701" s="12" t="n">
        <x:v>1652.18</x:v>
      </x:c>
      <x:c r="T701" s="12" t="str">
        <x:v>Paid</x:v>
      </x:c>
      <x:c r="U701" s="12" t="str">
        <x:v>Completed</x:v>
      </x:c>
    </x:row>
    <x:row r="702">
      <x:c r="A702" s="12" t="str">
        <x:v>ORD-2024-10701</x:v>
      </x:c>
      <x:c r="B702" s="12" t="str">
        <x:v>18-09-2024</x:v>
      </x:c>
      <x:c r="C702" s="12" t="str">
        <x:v>09/21/2024</x:v>
      </x:c>
      <x:c r="D702" s="12" t="str">
        <x:v>CUST-5646</x:v>
      </x:c>
      <x:c r="E702" s="12" t="str">
        <x:v>Neha Gupta</x:v>
      </x:c>
      <x:c r="F702" s="12" t="str">
        <x:v>Corporate</x:v>
      </x:c>
      <x:c r="G702" s="12" t="str">
        <x:v>East</x:v>
      </x:c>
      <x:c r="H702" s="12" t="str">
        <x:v>West Bengal</x:v>
      </x:c>
      <x:c r="I702" s="12" t="str">
        <x:v>Kolkata</x:v>
      </x:c>
      <x:c r="J702" s="12" t="str">
        <x:v>Technology</x:v>
      </x:c>
      <x:c r="K702" s="12" t="str">
        <x:v>Machines</x:v>
      </x:c>
      <x:c r="L702" s="12" t="str">
        <x:v>Basic Machines 220</x:v>
      </x:c>
      <x:c r="M702" s="12" t="str">
        <x:v>Standard Class</x:v>
      </x:c>
      <x:c r="N702" s="12" t="n">
        <x:v>3</x:v>
      </x:c>
      <x:c r="O702" s="12" t="n">
        <x:v>3055.9</x:v>
      </x:c>
      <x:c r="P702" s="12" t="n">
        <x:v>0.15</x:v>
      </x:c>
      <x:c r="Q702" s="12" t="n">
        <x:v>7792.55</x:v>
      </x:c>
      <x:c r="R702" s="12" t="n">
        <x:v>4691.73</x:v>
      </x:c>
      <x:c r="S702" s="12" t="n">
        <x:v>3100.82</x:v>
      </x:c>
      <x:c r="T702" s="12" t="str">
        <x:v>Paid</x:v>
      </x:c>
      <x:c r="U702" s="12" t="str">
        <x:v>Completed</x:v>
      </x:c>
    </x:row>
    <x:row r="703">
      <x:c r="A703" s="12" t="str">
        <x:v>ORD-2024-10702</x:v>
      </x:c>
      <x:c r="B703" s="12" t="str">
        <x:v>30-04-2024</x:v>
      </x:c>
      <x:c r="C703" s="12" t="str">
        <x:v>04 May 2024</x:v>
      </x:c>
      <x:c r="D703" s="12" t="str">
        <x:v>CUST-7171</x:v>
      </x:c>
      <x:c r="E703" s="12" t="str">
        <x:v>Rohan Mehta</x:v>
      </x:c>
      <x:c r="F703" s="12" t="str">
        <x:v>Small Business</x:v>
      </x:c>
      <x:c r="G703" s="12" t="str">
        <x:v>West</x:v>
      </x:c>
      <x:c r="H703" s="12" t="str">
        <x:v>Gujarat</x:v>
      </x:c>
      <x:c r="I703" s="12" t="str">
        <x:v>Ahmedabad</x:v>
      </x:c>
      <x:c r="J703" s="12" t="str">
        <x:v>Office Supplies</x:v>
      </x:c>
      <x:c r="K703" s="12" t="str">
        <x:v>Art</x:v>
      </x:c>
      <x:c r="L703" s="12" t="str">
        <x:v>Pro Art 151</x:v>
      </x:c>
      <x:c r="M703" s="12" t="str">
        <x:v>Same Day</x:v>
      </x:c>
      <x:c r="N703" s="12" t="n">
        <x:v>7</x:v>
      </x:c>
      <x:c r="O703" s="12" t="n">
        <x:v>1224.94</x:v>
      </x:c>
      <x:c r="P703" s="12" t="n">
        <x:v>0</x:v>
      </x:c>
      <x:c r="Q703" s="12" t="n">
        <x:v>8574.58</x:v>
      </x:c>
      <x:c r="R703" s="12" t="n">
        <x:v>6685.81</x:v>
      </x:c>
      <x:c r="S703" s="12" t="n">
        <x:v>1888.77</x:v>
      </x:c>
      <x:c r="T703" s="12" t="str">
        <x:v>Paid</x:v>
      </x:c>
      <x:c r="U703" s="12" t="str">
        <x:v>Returned</x:v>
      </x:c>
    </x:row>
    <x:row r="704">
      <x:c r="A704" s="12" t="str">
        <x:v>ORD-2025-10703</x:v>
      </x:c>
      <x:c r="B704" s="12" t="str">
        <x:v>2025-02-02</x:v>
      </x:c>
      <x:c r="C704" s="12" t="str">
        <x:v>02/06/2025</x:v>
      </x:c>
      <x:c r="D704" s="12" t="str">
        <x:v>CUST-5231</x:v>
      </x:c>
      <x:c r="E704" s="12" t="str">
        <x:v>Karan Malhotra</x:v>
      </x:c>
      <x:c r="F704" s="12" t="str">
        <x:v>Small Business</x:v>
      </x:c>
      <x:c r="G704" s="12" t="str">
        <x:v>West</x:v>
      </x:c>
      <x:c r="H704" s="12" t="str">
        <x:v>Rajasthan</x:v>
      </x:c>
      <x:c r="I704" s="12" t="str">
        <x:v>Udaipur</x:v>
      </x:c>
      <x:c r="J704" s="12" t="str">
        <x:v>Furniture</x:v>
      </x:c>
      <x:c r="K704" s="12" t="str">
        <x:v>Tables</x:v>
      </x:c>
      <x:c r="L704" s="12" t="str">
        <x:v>Pro Tables 980</x:v>
      </x:c>
      <x:c r="M704" s="12" t="str">
        <x:v>Second Class</x:v>
      </x:c>
      <x:c r="N704" s="12" t="n">
        <x:v>3</x:v>
      </x:c>
      <x:c r="O704" s="12" t="n">
        <x:v>997.34</x:v>
      </x:c>
      <x:c r="P704" s="12" t="n">
        <x:v>0.1</x:v>
      </x:c>
      <x:c r="Q704" s="12" t="n">
        <x:v>2692.82</x:v>
      </x:c>
      <x:c r="R704" s="12" t="n">
        <x:v>1820.08</x:v>
      </x:c>
      <x:c r="S704" s="12" t="n">
        <x:v>872.74</x:v>
      </x:c>
      <x:c r="T704" s="12" t="str">
        <x:v>Paid</x:v>
      </x:c>
      <x:c r="U704" s="12" t="str">
        <x:v>Completed</x:v>
      </x:c>
    </x:row>
    <x:row r="705">
      <x:c r="A705" s="12" t="str">
        <x:v>ORD-2024-10704</x:v>
      </x:c>
      <x:c r="B705" s="12" t="str">
        <x:v>19 Oct 2024</x:v>
      </x:c>
      <x:c r="C705" s="12" t="str">
        <x:v>2024-10-20</x:v>
      </x:c>
      <x:c r="D705" s="12" t="str">
        <x:v>CUST-8734</x:v>
      </x:c>
      <x:c r="E705" s="12" t="str">
        <x:v>Aditi Sen</x:v>
      </x:c>
      <x:c r="F705" s="12" t="str">
        <x:v>Corporate</x:v>
      </x:c>
      <x:c r="G705" s="12" t="str">
        <x:v>North</x:v>
      </x:c>
      <x:c r="H705" s="12" t="str">
        <x:v>Rajasthan</x:v>
      </x:c>
      <x:c r="I705" s="12" t="str">
        <x:v>Jaipur</x:v>
      </x:c>
      <x:c r="J705" s="12" t="str">
        <x:v>Furniture</x:v>
      </x:c>
      <x:c r="K705" s="12" t="str">
        <x:v>Tables</x:v>
      </x:c>
      <x:c r="L705" s="12" t="str">
        <x:v>Classic Tables 997</x:v>
      </x:c>
      <x:c r="M705" s="12" t="str">
        <x:v>First Class</x:v>
      </x:c>
      <x:c r="N705" s="12" t="n">
        <x:v>1</x:v>
      </x:c>
      <x:c r="O705" s="12" t="n">
        <x:v>1150.03</x:v>
      </x:c>
      <x:c r="P705" s="12" t="n">
        <x:v>0.1</x:v>
      </x:c>
      <x:c r="Q705" s="12" t="n">
        <x:v>1035.03</x:v>
      </x:c>
      <x:c r="R705" s="12" t="n">
        <x:v>854.35</x:v>
      </x:c>
      <x:c r="S705" s="12" t="n">
        <x:v>180.68</x:v>
      </x:c>
      <x:c r="T705" s="12" t="str">
        <x:v>Paid</x:v>
      </x:c>
      <x:c r="U705" s="12" t="str">
        <x:v>Completed</x:v>
      </x:c>
    </x:row>
    <x:row r="706">
      <x:c r="A706" s="12" t="str">
        <x:v>ORD-2024-10705</x:v>
      </x:c>
      <x:c r="B706" s="12" t="str">
        <x:v>2024-03-13</x:v>
      </x:c>
      <x:c r="C706" s="12" t="str">
        <x:v>03/20/2024</x:v>
      </x:c>
      <x:c r="D706" s="12" t="str">
        <x:v>CUST-4916</x:v>
      </x:c>
      <x:c r="E706" s="12" t="str">
        <x:v>Priya Menon</x:v>
      </x:c>
      <x:c r="F706" s="12" t="str">
        <x:v>Home Office</x:v>
      </x:c>
      <x:c r="G706" s="12" t="str">
        <x:v>South</x:v>
      </x:c>
      <x:c r="H706" s="12" t="str">
        <x:v>Tamil Nadu</x:v>
      </x:c>
      <x:c r="I706" s="12" t="str">
        <x:v>Chennai</x:v>
      </x:c>
      <x:c r="J706" s="12" t="str">
        <x:v>Furniture</x:v>
      </x:c>
      <x:c r="K706" s="12" t="str">
        <x:v>Bookcases</x:v>
      </x:c>
      <x:c r="L706" s="12" t="str">
        <x:v>Max Bookcases 738</x:v>
      </x:c>
      <x:c r="M706" s="12"/>
      <x:c r="N706" s="12" t="n">
        <x:v>1</x:v>
      </x:c>
      <x:c r="O706" s="12" t="n">
        <x:v>2825.63</x:v>
      </x:c>
      <x:c r="P706" s="12" t="n">
        <x:v>0.15</x:v>
      </x:c>
      <x:c r="Q706" s="12" t="n">
        <x:v>2401.79</x:v>
      </x:c>
      <x:c r="R706" s="12" t="n">
        <x:v>1820.34</x:v>
      </x:c>
      <x:c r="S706" s="12" t="n">
        <x:v>581.45</x:v>
      </x:c>
      <x:c r="T706" s="12" t="str">
        <x:v>Paid</x:v>
      </x:c>
      <x:c r="U706" s="12" t="str">
        <x:v>Completed</x:v>
      </x:c>
    </x:row>
    <x:row r="707">
      <x:c r="A707" s="12" t="str">
        <x:v>ORD-2024-10706</x:v>
      </x:c>
      <x:c r="B707" s="12" t="str">
        <x:v>08 Sep 2024</x:v>
      </x:c>
      <x:c r="C707" s="12" t="str">
        <x:v>09/14/2024</x:v>
      </x:c>
      <x:c r="D707" s="12" t="str">
        <x:v>CUST-3289</x:v>
      </x:c>
      <x:c r="E707" s="12" t="str">
        <x:v>Rohan Mehta</x:v>
      </x:c>
      <x:c r="F707" s="12" t="str">
        <x:v>Consumer</x:v>
      </x:c>
      <x:c r="G707" s="12" t="str">
        <x:v>North</x:v>
      </x:c>
      <x:c r="H707" s="12" t="str">
        <x:v>Rajasthan</x:v>
      </x:c>
      <x:c r="I707" s="12" t="str">
        <x:v>Jaipur</x:v>
      </x:c>
      <x:c r="J707" s="12" t="str">
        <x:v>Office Supplies</x:v>
      </x:c>
      <x:c r="K707" s="12" t="str">
        <x:v>Binders</x:v>
      </x:c>
      <x:c r="L707" s="12" t="str">
        <x:v>Max Binders 411</x:v>
      </x:c>
      <x:c r="M707" s="12" t="str">
        <x:v>Standard Class</x:v>
      </x:c>
      <x:c r="N707" s="12" t="n">
        <x:v>5</x:v>
      </x:c>
      <x:c r="O707" s="12" t="n">
        <x:v>3371.75</x:v>
      </x:c>
      <x:c r="P707" s="12" t="n">
        <x:v>0.05</x:v>
      </x:c>
      <x:c r="Q707" s="12" t="n">
        <x:v>16015.81</x:v>
      </x:c>
      <x:c r="R707" s="12" t="n">
        <x:v>11352.38</x:v>
      </x:c>
      <x:c r="S707" s="12" t="n">
        <x:v>4663.43</x:v>
      </x:c>
      <x:c r="T707" s="12" t="str">
        <x:v>Paid</x:v>
      </x:c>
      <x:c r="U707" s="12" t="str">
        <x:v>Completed</x:v>
      </x:c>
    </x:row>
    <x:row r="708">
      <x:c r="A708" s="12" t="str">
        <x:v>ORD-2024-10707</x:v>
      </x:c>
      <x:c r="B708" s="12" t="str">
        <x:v>24-06-2024</x:v>
      </x:c>
      <x:c r="C708" s="12" t="str">
        <x:v>28-06-2024</x:v>
      </x:c>
      <x:c r="D708" s="12" t="str">
        <x:v>CUST-4928</x:v>
      </x:c>
      <x:c r="E708" s="12" t="str">
        <x:v>Isha Nair</x:v>
      </x:c>
      <x:c r="F708" s="12" t="str">
        <x:v>Small Business</x:v>
      </x:c>
      <x:c r="G708" s="12" t="str">
        <x:v>East</x:v>
      </x:c>
      <x:c r="H708" s="12" t="str">
        <x:v>Odisha</x:v>
      </x:c>
      <x:c r="I708" s="12" t="str">
        <x:v>Bhubaneswar</x:v>
      </x:c>
      <x:c r="J708" s="12" t="str">
        <x:v>Office Supplies</x:v>
      </x:c>
      <x:c r="K708" s="12" t="str">
        <x:v>Paper</x:v>
      </x:c>
      <x:c r="L708" s="12" t="str">
        <x:v>Max Paper 343</x:v>
      </x:c>
      <x:c r="M708" s="12" t="str">
        <x:v>Same Day</x:v>
      </x:c>
      <x:c r="N708" s="12" t="n">
        <x:v>1</x:v>
      </x:c>
      <x:c r="O708" s="12" t="n">
        <x:v>2112.75</x:v>
      </x:c>
      <x:c r="P708" s="12" t="n">
        <x:v>0.1</x:v>
      </x:c>
      <x:c r="Q708" s="12" t="n">
        <x:v>1901.48</x:v>
      </x:c>
      <x:c r="R708" s="12" t="n">
        <x:v>1354.28</x:v>
      </x:c>
      <x:c r="S708" s="12" t="n">
        <x:v>547.2</x:v>
      </x:c>
      <x:c r="T708" s="12" t="str">
        <x:v>Paid</x:v>
      </x:c>
      <x:c r="U708" s="12" t="str">
        <x:v>Completed</x:v>
      </x:c>
    </x:row>
    <x:row r="709">
      <x:c r="A709" s="12" t="str">
        <x:v>ORD-2025-10708</x:v>
      </x:c>
      <x:c r="B709" s="12" t="str">
        <x:v>24-06-2025</x:v>
      </x:c>
      <x:c r="C709" s="12" t="str">
        <x:v>06/26/2025</x:v>
      </x:c>
      <x:c r="D709" s="12" t="str">
        <x:v>CUST-4902</x:v>
      </x:c>
      <x:c r="E709" s="12" t="str">
        <x:v>Vikram Iyer</x:v>
      </x:c>
      <x:c r="F709" s="12" t="str">
        <x:v>Consumer</x:v>
      </x:c>
      <x:c r="G709" s="12" t="str">
        <x:v>North</x:v>
      </x:c>
      <x:c r="H709" s="12" t="str">
        <x:v>Rajasthan</x:v>
      </x:c>
      <x:c r="I709" s="12" t="str">
        <x:v>Jaipur</x:v>
      </x:c>
      <x:c r="J709" s="12" t="str">
        <x:v>Technology</x:v>
      </x:c>
      <x:c r="K709" s="12" t="str">
        <x:v>  Accessories </x:v>
      </x:c>
      <x:c r="L709" s="12" t="str">
        <x:v>Pro Accessories 485</x:v>
      </x:c>
      <x:c r="M709" s="12" t="str">
        <x:v>Same Day</x:v>
      </x:c>
      <x:c r="N709" s="12" t="n">
        <x:v>5</x:v>
      </x:c>
      <x:c r="O709" s="12" t="n">
        <x:v>3722.66</x:v>
      </x:c>
      <x:c r="P709" s="12" t="n">
        <x:v>0.55</x:v>
      </x:c>
      <x:c r="Q709" s="12" t="n">
        <x:v>16751.97</x:v>
      </x:c>
      <x:c r="R709" s="12" t="n">
        <x:v>11678.32</x:v>
      </x:c>
      <x:c r="S709" s="12" t="n">
        <x:v>5073.65</x:v>
      </x:c>
      <x:c r="T709" s="12" t="str">
        <x:v>Paid</x:v>
      </x:c>
      <x:c r="U709" s="12" t="str">
        <x:v>Completed</x:v>
      </x:c>
    </x:row>
    <x:row r="710">
      <x:c r="A710" s="12" t="str">
        <x:v>ORD-2025-10709</x:v>
      </x:c>
      <x:c r="B710" s="12" t="str">
        <x:v>03/20/2025</x:v>
      </x:c>
      <x:c r="C710" s="12" t="str">
        <x:v>2025-03-26</x:v>
      </x:c>
      <x:c r="D710" s="12" t="str">
        <x:v>CUST-6504</x:v>
      </x:c>
      <x:c r="E710" s="12" t="str">
        <x:v>Sneha Kapoor</x:v>
      </x:c>
      <x:c r="F710" s="12" t="str">
        <x:v>Consumer</x:v>
      </x:c>
      <x:c r="G710" s="12" t="str">
        <x:v>East</x:v>
      </x:c>
      <x:c r="H710" s="12" t="str">
        <x:v>Assam</x:v>
      </x:c>
      <x:c r="I710" s="12" t="str">
        <x:v>Guwahati</x:v>
      </x:c>
      <x:c r="J710" s="12" t="str">
        <x:v>Furniture</x:v>
      </x:c>
      <x:c r="K710" s="12" t="str">
        <x:v>Bookcases</x:v>
      </x:c>
      <x:c r="L710" s="12" t="str">
        <x:v>Elite Bookcases 113</x:v>
      </x:c>
      <x:c r="M710" s="12" t="str">
        <x:v>First Class</x:v>
      </x:c>
      <x:c r="N710" s="12" t="n">
        <x:v>4</x:v>
      </x:c>
      <x:c r="O710" s="12" t="n">
        <x:v>4357.66</x:v>
      </x:c>
      <x:c r="P710" s="12" t="n">
        <x:v>0.05</x:v>
      </x:c>
      <x:c r="Q710" s="12" t="n">
        <x:v>16559.11</x:v>
      </x:c>
      <x:c r="R710" s="12" t="n">
        <x:v>13233.79</x:v>
      </x:c>
      <x:c r="S710" s="12" t="n">
        <x:v>3325.32</x:v>
      </x:c>
      <x:c r="T710" s="12" t="str">
        <x:v>Paid</x:v>
      </x:c>
      <x:c r="U710" s="12" t="str">
        <x:v>Completed</x:v>
      </x:c>
    </x:row>
    <x:row r="711">
      <x:c r="A711" s="12" t="str">
        <x:v>ORD-2025-10710</x:v>
      </x:c>
      <x:c r="B711" s="12" t="str">
        <x:v>19 Jan 2025</x:v>
      </x:c>
      <x:c r="C711" s="12" t="str">
        <x:v>23 Jan 2025</x:v>
      </x:c>
      <x:c r="D711" s="12" t="str">
        <x:v>CUST-8036</x:v>
      </x:c>
      <x:c r="E711" s="12" t="str">
        <x:v>Kabir Singh</x:v>
      </x:c>
      <x:c r="F711" s="12" t="str">
        <x:v>Home Office</x:v>
      </x:c>
      <x:c r="G711" s="12" t="str">
        <x:v>North</x:v>
      </x:c>
      <x:c r="H711" s="12" t="str">
        <x:v>Punjab</x:v>
      </x:c>
      <x:c r="I711" s="12" t="str">
        <x:v>Ludhiana</x:v>
      </x:c>
      <x:c r="J711" s="12" t="str">
        <x:v>Technology</x:v>
      </x:c>
      <x:c r="K711" s="12" t="str">
        <x:v>Phones</x:v>
      </x:c>
      <x:c r="L711" s="12" t="str">
        <x:v>Eco Phones 787</x:v>
      </x:c>
      <x:c r="M711" s="12" t="str">
        <x:v>Same Day</x:v>
      </x:c>
      <x:c r="N711" s="12" t="n">
        <x:v>7</x:v>
      </x:c>
      <x:c r="O711" s="12" t="n">
        <x:v>1363.04</x:v>
      </x:c>
      <x:c r="P711" s="12" t="n">
        <x:v>0.15</x:v>
      </x:c>
      <x:c r="Q711" s="12" t="n">
        <x:v>8110.09</x:v>
      </x:c>
      <x:c r="R711" s="12" t="n">
        <x:v>6417.32</x:v>
      </x:c>
      <x:c r="S711" s="12" t="n">
        <x:v>1692.77</x:v>
      </x:c>
      <x:c r="T711" s="12" t="str">
        <x:v>Paid</x:v>
      </x:c>
      <x:c r="U711" s="12" t="str">
        <x:v>Cancelled</x:v>
      </x:c>
    </x:row>
    <x:row r="712">
      <x:c r="A712" s="12" t="str">
        <x:v>ORD-2024-10711</x:v>
      </x:c>
      <x:c r="B712" s="12" t="str">
        <x:v>07/12/2024</x:v>
      </x:c>
      <x:c r="C712" s="12" t="str">
        <x:v>07/19/2024</x:v>
      </x:c>
      <x:c r="D712" s="12" t="str">
        <x:v>CUST-7199</x:v>
      </x:c>
      <x:c r="E712" s="12" t="str">
        <x:v>Vikram Iyer</x:v>
      </x:c>
      <x:c r="F712" s="12" t="str">
        <x:v>Corporate</x:v>
      </x:c>
      <x:c r="G712" s="12" t="str">
        <x:v>North</x:v>
      </x:c>
      <x:c r="H712" s="12" t="str">
        <x:v>Punjab</x:v>
      </x:c>
      <x:c r="I712" s="12" t="str">
        <x:v>Ludhiana</x:v>
      </x:c>
      <x:c r="J712" s="12" t="str">
        <x:v>Office Supplies</x:v>
      </x:c>
      <x:c r="K712" s="12" t="str">
        <x:v>Art</x:v>
      </x:c>
      <x:c r="L712" s="12" t="str">
        <x:v>Smart Art 279</x:v>
      </x:c>
      <x:c r="M712" s="12" t="str">
        <x:v>Second Class</x:v>
      </x:c>
      <x:c r="N712" s="12" t="n">
        <x:v>5</x:v>
      </x:c>
      <x:c r="O712" s="12" t="n">
        <x:v>1559.16</x:v>
      </x:c>
      <x:c r="P712" s="12" t="n">
        <x:v>0.05</x:v>
      </x:c>
      <x:c r="Q712" s="12" t="n">
        <x:v>7406.01</x:v>
      </x:c>
      <x:c r="R712" s="12" t="n">
        <x:v>5941.74</x:v>
      </x:c>
      <x:c r="S712" s="12" t="n">
        <x:v>1464.27</x:v>
      </x:c>
      <x:c r="T712" s="12" t="str">
        <x:v>Paid</x:v>
      </x:c>
      <x:c r="U712" s="12" t="str">
        <x:v>Completed</x:v>
      </x:c>
    </x:row>
    <x:row r="713">
      <x:c r="A713" s="12" t="str">
        <x:v>ORD-2025-10712</x:v>
      </x:c>
      <x:c r="B713" s="12" t="str">
        <x:v>02-02-2025</x:v>
      </x:c>
      <x:c r="C713" s="12" t="str">
        <x:v>2025-02-02</x:v>
      </x:c>
      <x:c r="D713" s="12" t="str">
        <x:v>CUST-6176</x:v>
      </x:c>
      <x:c r="E713" s="12" t="str">
        <x:v>Kabir Singh</x:v>
      </x:c>
      <x:c r="F713" s="12" t="str">
        <x:v>Corporate</x:v>
      </x:c>
      <x:c r="G713" s="12" t="str">
        <x:v>East</x:v>
      </x:c>
      <x:c r="H713" s="12" t="str">
        <x:v>West Bengal</x:v>
      </x:c>
      <x:c r="I713" s="12" t="str">
        <x:v>Kolkata</x:v>
      </x:c>
      <x:c r="J713" s="12" t="str">
        <x:v>Technology</x:v>
      </x:c>
      <x:c r="K713" s="12" t="str">
        <x:v>Machines</x:v>
      </x:c>
      <x:c r="L713" s="12" t="str">
        <x:v>Basic Machines 172</x:v>
      </x:c>
      <x:c r="M713" s="12" t="str">
        <x:v>First Class</x:v>
      </x:c>
      <x:c r="N713" s="12" t="n">
        <x:v>1</x:v>
      </x:c>
      <x:c r="O713" s="12" t="n">
        <x:v>4326.75</x:v>
      </x:c>
      <x:c r="P713" s="12" t="n">
        <x:v>0.05</x:v>
      </x:c>
      <x:c r="Q713" s="12" t="n">
        <x:v>4110.41</x:v>
      </x:c>
      <x:c r="R713" s="12" t="n">
        <x:v>2394.14</x:v>
      </x:c>
      <x:c r="S713" s="12" t="n">
        <x:v>1716.27</x:v>
      </x:c>
      <x:c r="T713" s="12" t="str">
        <x:v>Pending</x:v>
      </x:c>
      <x:c r="U713" s="12" t="str">
        <x:v>Returned</x:v>
      </x:c>
    </x:row>
    <x:row r="714">
      <x:c r="A714" s="12" t="str">
        <x:v>ORD-2024-10713</x:v>
      </x:c>
      <x:c r="B714" s="12" t="str">
        <x:v>10 Feb 2024</x:v>
      </x:c>
      <x:c r="C714" s="12" t="str">
        <x:v>18 Feb 2024</x:v>
      </x:c>
      <x:c r="D714" s="12" t="str">
        <x:v>CUST-5127</x:v>
      </x:c>
      <x:c r="E714" s="12" t="str">
        <x:v>Isha Nair</x:v>
      </x:c>
      <x:c r="F714" s="12" t="str">
        <x:v>Home Office</x:v>
      </x:c>
      <x:c r="G714" s="12" t="str">
        <x:v>West</x:v>
      </x:c>
      <x:c r="H714" s="12" t="str">
        <x:v>Madhya Pradesh</x:v>
      </x:c>
      <x:c r="I714" s="12" t="str">
        <x:v>Indore</x:v>
      </x:c>
      <x:c r="J714" s="12" t="str">
        <x:v>Furniture</x:v>
      </x:c>
      <x:c r="K714" s="12" t="str">
        <x:v>Chairs</x:v>
      </x:c>
      <x:c r="L714" s="12" t="str">
        <x:v>Smart Chairs 259</x:v>
      </x:c>
      <x:c r="M714" s="12" t="str">
        <x:v>First Class</x:v>
      </x:c>
      <x:c r="N714" s="12" t="n">
        <x:v>7</x:v>
      </x:c>
      <x:c r="O714" s="12" t="n">
        <x:v>1382.86</x:v>
      </x:c>
      <x:c r="P714" s="12" t="n">
        <x:v>0</x:v>
      </x:c>
      <x:c r="Q714" s="12" t="n">
        <x:v>9680.02</x:v>
      </x:c>
      <x:c r="R714" s="12" t="n">
        <x:v>6876.66</x:v>
      </x:c>
      <x:c r="S714" s="12" t="n">
        <x:v>2803.36</x:v>
      </x:c>
      <x:c r="T714" s="12" t="str">
        <x:v>Paid</x:v>
      </x:c>
      <x:c r="U714" s="12" t="str">
        <x:v>Completed</x:v>
      </x:c>
    </x:row>
    <x:row r="715">
      <x:c r="A715" s="12" t="str">
        <x:v>ORD-2025-10714</x:v>
      </x:c>
      <x:c r="B715" s="12" t="str">
        <x:v>06/06/2025</x:v>
      </x:c>
      <x:c r="C715" s="12" t="str">
        <x:v>06/10/2025</x:v>
      </x:c>
      <x:c r="D715" s="12" t="str">
        <x:v>CUST-2548</x:v>
      </x:c>
      <x:c r="E715" s="12" t="str">
        <x:v>Mira Das</x:v>
      </x:c>
      <x:c r="F715" s="12" t="str">
        <x:v>Consumer</x:v>
      </x:c>
      <x:c r="G715" s="12" t="str">
        <x:v>West</x:v>
      </x:c>
      <x:c r="H715" s="12" t="str">
        <x:v>Rajasthan</x:v>
      </x:c>
      <x:c r="I715" s="12" t="str">
        <x:v>Udaipur</x:v>
      </x:c>
      <x:c r="J715" s="12" t="str">
        <x:v>Technology</x:v>
      </x:c>
      <x:c r="K715" s="12" t="str">
        <x:v>Machines</x:v>
      </x:c>
      <x:c r="L715" s="12" t="str">
        <x:v>Pro Machines 987</x:v>
      </x:c>
      <x:c r="M715" s="12" t="str">
        <x:v>Second Class</x:v>
      </x:c>
      <x:c r="N715" s="12" t="n">
        <x:v>1</x:v>
      </x:c>
      <x:c r="O715" s="12" t="n">
        <x:v>289.97</x:v>
      </x:c>
      <x:c r="P715" s="12" t="n">
        <x:v>0.25</x:v>
      </x:c>
      <x:c r="Q715" s="12" t="n">
        <x:v>217.48</x:v>
      </x:c>
      <x:c r="R715" s="12" t="n">
        <x:v>132.13</x:v>
      </x:c>
      <x:c r="S715" s="12" t="n">
        <x:v>85.35</x:v>
      </x:c>
      <x:c r="T715" s="12" t="str">
        <x:v>Paid</x:v>
      </x:c>
      <x:c r="U715" s="12" t="str">
        <x:v>Completed</x:v>
      </x:c>
    </x:row>
    <x:row r="716">
      <x:c r="A716" s="12" t="str">
        <x:v>ORD-2025-10715</x:v>
      </x:c>
      <x:c r="B716" s="12" t="str">
        <x:v>22 Mar 2025</x:v>
      </x:c>
      <x:c r="C716" s="12" t="str">
        <x:v>2025-03-23</x:v>
      </x:c>
      <x:c r="D716" s="12" t="str">
        <x:v>CUST-9902</x:v>
      </x:c>
      <x:c r="E716" s="12" t="str">
        <x:v>Karan Malhotra</x:v>
      </x:c>
      <x:c r="F716" s="12" t="str">
        <x:v>Home Office</x:v>
      </x:c>
      <x:c r="G716" s="12" t="str">
        <x:v>North</x:v>
      </x:c>
      <x:c r="H716" s="12" t="str">
        <x:v>Delhi</x:v>
      </x:c>
      <x:c r="I716" s="12" t="str">
        <x:v>New Delhi</x:v>
      </x:c>
      <x:c r="J716" s="12" t="str">
        <x:v>Technology</x:v>
      </x:c>
      <x:c r="K716" s="12" t="str">
        <x:v>Copiers</x:v>
      </x:c>
      <x:c r="L716" s="12" t="str">
        <x:v>Pro Copiers 206</x:v>
      </x:c>
      <x:c r="M716" s="12" t="str">
        <x:v>Standard Class</x:v>
      </x:c>
      <x:c r="N716" s="12" t="n">
        <x:v>9</x:v>
      </x:c>
      <x:c r="O716" s="12" t="n">
        <x:v>2075.02</x:v>
      </x:c>
      <x:c r="P716" s="12" t="n">
        <x:v>0</x:v>
      </x:c>
      <x:c r="Q716" s="12" t="n">
        <x:v>18675.18</x:v>
      </x:c>
      <x:c r="R716" s="12" t="n">
        <x:v>13974.7</x:v>
      </x:c>
      <x:c r="S716" s="12" t="n">
        <x:v>4700.48</x:v>
      </x:c>
      <x:c r="T716" s="12" t="str">
        <x:v>Paid</x:v>
      </x:c>
      <x:c r="U716" s="12" t="str">
        <x:v>Completed</x:v>
      </x:c>
    </x:row>
    <x:row r="717">
      <x:c r="A717" s="12" t="str">
        <x:v>ORD-2025-10716</x:v>
      </x:c>
      <x:c r="B717" s="12" t="str">
        <x:v>2025-08-22</x:v>
      </x:c>
      <x:c r="C717" s="12" t="str">
        <x:v>27 Aug 2025</x:v>
      </x:c>
      <x:c r="D717" s="12" t="str">
        <x:v>CUST-7446</x:v>
      </x:c>
      <x:c r="E717" s="12" t="str">
        <x:v>Priya Menon</x:v>
      </x:c>
      <x:c r="F717" s="12" t="str">
        <x:v>Consumer</x:v>
      </x:c>
      <x:c r="G717" s="12" t="str">
        <x:v>North</x:v>
      </x:c>
      <x:c r="H717" s="12" t="str">
        <x:v>Haryana</x:v>
      </x:c>
      <x:c r="I717" s="12" t="str">
        <x:v>Gurugram</x:v>
      </x:c>
      <x:c r="J717" s="12" t="str">
        <x:v>Furniture</x:v>
      </x:c>
      <x:c r="K717" s="12" t="str">
        <x:v>Chairs</x:v>
      </x:c>
      <x:c r="L717" s="12" t="str">
        <x:v>Max Chairs 372</x:v>
      </x:c>
      <x:c r="M717" s="12" t="str">
        <x:v>Second Class</x:v>
      </x:c>
      <x:c r="N717" s="12" t="n">
        <x:v>7</x:v>
      </x:c>
      <x:c r="O717" s="12" t="n">
        <x:v>2843.09</x:v>
      </x:c>
      <x:c r="P717" s="12" t="n">
        <x:v>0</x:v>
      </x:c>
      <x:c r="Q717" s="12" t="n">
        <x:v>19901.63</x:v>
      </x:c>
      <x:c r="R717" s="12" t="n">
        <x:v>15492.03</x:v>
      </x:c>
      <x:c r="S717" s="12" t="n">
        <x:v>4409.6</x:v>
      </x:c>
      <x:c r="T717" s="12" t="str">
        <x:v>Refunded</x:v>
      </x:c>
      <x:c r="U717" s="12" t="str">
        <x:v>Cancelled</x:v>
      </x:c>
    </x:row>
    <x:row r="718">
      <x:c r="A718" s="12" t="str">
        <x:v>ORD-2025-10717</x:v>
      </x:c>
      <x:c r="B718" s="12" t="str">
        <x:v>26 Aug 2025</x:v>
      </x:c>
      <x:c r="C718" s="12" t="str">
        <x:v>31-08-2025</x:v>
      </x:c>
      <x:c r="D718" s="12" t="str">
        <x:v>CUST-7540</x:v>
      </x:c>
      <x:c r="E718" s="12" t="str">
        <x:v>Diya Patel</x:v>
      </x:c>
      <x:c r="F718" s="12" t="str">
        <x:v>Small Business</x:v>
      </x:c>
      <x:c r="G718" s="12" t="str">
        <x:v>North</x:v>
      </x:c>
      <x:c r="H718" s="12" t="str">
        <x:v>Haryana</x:v>
      </x:c>
      <x:c r="I718" s="12" t="str">
        <x:v>Gurugram</x:v>
      </x:c>
      <x:c r="J718" s="12" t="str">
        <x:v>Technology</x:v>
      </x:c>
      <x:c r="K718" s="12" t="str">
        <x:v>Phones</x:v>
      </x:c>
      <x:c r="L718" s="12" t="str">
        <x:v>Basic Phones 496</x:v>
      </x:c>
      <x:c r="M718" s="12" t="str">
        <x:v>First Class</x:v>
      </x:c>
      <x:c r="N718" s="12" t="n">
        <x:v>1</x:v>
      </x:c>
      <x:c r="O718" s="12" t="n">
        <x:v>3388.02</x:v>
      </x:c>
      <x:c r="P718" s="12" t="n">
        <x:v>0.15</x:v>
      </x:c>
      <x:c r="Q718" s="12" t="n">
        <x:v>2879.82</x:v>
      </x:c>
      <x:c r="R718" s="12" t="n">
        <x:v>1824.88</x:v>
      </x:c>
      <x:c r="S718" s="12" t="n">
        <x:v>1054.94</x:v>
      </x:c>
      <x:c r="T718" s="12" t="str">
        <x:v>Paid</x:v>
      </x:c>
      <x:c r="U718" s="12" t="str">
        <x:v>Completed</x:v>
      </x:c>
    </x:row>
    <x:row r="719">
      <x:c r="A719" s="12" t="str">
        <x:v>ORD-2025-10718</x:v>
      </x:c>
      <x:c r="B719" s="12" t="str">
        <x:v>12-10-2025</x:v>
      </x:c>
      <x:c r="C719" s="12" t="str">
        <x:v>15 Oct 2025</x:v>
      </x:c>
      <x:c r="D719" s="12" t="str">
        <x:v>CUST-8351</x:v>
      </x:c>
      <x:c r="E719" s="12" t="str">
        <x:v>Kabir Singh</x:v>
      </x:c>
      <x:c r="F719" s="12" t="str">
        <x:v>Small Business</x:v>
      </x:c>
      <x:c r="G719" s="12" t="str">
        <x:v>North</x:v>
      </x:c>
      <x:c r="H719" s="12" t="str">
        <x:v>Haryana</x:v>
      </x:c>
      <x:c r="I719" s="12" t="str">
        <x:v>Gurugram</x:v>
      </x:c>
      <x:c r="J719" s="12" t="str">
        <x:v>Technology</x:v>
      </x:c>
      <x:c r="K719" s="12" t="str">
        <x:v>Machines</x:v>
      </x:c>
      <x:c r="L719" s="12" t="str">
        <x:v>Prime Machines 612</x:v>
      </x:c>
      <x:c r="M719" s="12" t="str">
        <x:v>Standard Class</x:v>
      </x:c>
      <x:c r="N719" s="12" t="n">
        <x:v>9</x:v>
      </x:c>
      <x:c r="O719" s="12" t="n">
        <x:v>2598.92</x:v>
      </x:c>
      <x:c r="P719" s="12" t="n">
        <x:v>0.2</x:v>
      </x:c>
      <x:c r="Q719" s="12" t="n">
        <x:v>18712.22</x:v>
      </x:c>
      <x:c r="R719" s="12" t="n">
        <x:v>11852.22</x:v>
      </x:c>
      <x:c r="S719" s="12" t="n">
        <x:v>6860</x:v>
      </x:c>
      <x:c r="T719" s="12" t="str">
        <x:v>Pending</x:v>
      </x:c>
      <x:c r="U719" s="12" t="str">
        <x:v>Cancelled</x:v>
      </x:c>
    </x:row>
    <x:row r="720">
      <x:c r="A720" s="12" t="str">
        <x:v>ORD-2024-10719</x:v>
      </x:c>
      <x:c r="B720" s="12" t="str">
        <x:v>06 Sep 2024</x:v>
      </x:c>
      <x:c r="C720" s="12" t="str">
        <x:v>2024-09-09</x:v>
      </x:c>
      <x:c r="D720" s="12" t="str">
        <x:v>CUST-3918</x:v>
      </x:c>
      <x:c r="E720" s="12" t="str">
        <x:v>Mira Das</x:v>
      </x:c>
      <x:c r="F720" s="12" t="str">
        <x:v>Consumer</x:v>
      </x:c>
      <x:c r="G720" s="12" t="str">
        <x:v>West</x:v>
      </x:c>
      <x:c r="H720" s="12" t="str">
        <x:v>Maharashtra</x:v>
      </x:c>
      <x:c r="I720" s="12" t="str">
        <x:v>Mumbai</x:v>
      </x:c>
      <x:c r="J720" s="12" t="str">
        <x:v>Office Supplies</x:v>
      </x:c>
      <x:c r="K720" s="12" t="str">
        <x:v>Art</x:v>
      </x:c>
      <x:c r="L720" s="12" t="str">
        <x:v>Smart Art 866</x:v>
      </x:c>
      <x:c r="M720" s="12" t="str">
        <x:v>Same Day</x:v>
      </x:c>
      <x:c r="N720" s="12" t="n">
        <x:v>3</x:v>
      </x:c>
      <x:c r="O720" s="12" t="n">
        <x:v>1972.27</x:v>
      </x:c>
      <x:c r="P720" s="12" t="n">
        <x:v>0.2</x:v>
      </x:c>
      <x:c r="Q720" s="12" t="n">
        <x:v>4733.45</x:v>
      </x:c>
      <x:c r="R720" s="12" t="n">
        <x:v>3672.32</x:v>
      </x:c>
      <x:c r="S720" s="12" t="n">
        <x:v>1061.13</x:v>
      </x:c>
      <x:c r="T720" s="12" t="str">
        <x:v>Paid</x:v>
      </x:c>
      <x:c r="U720" s="12" t="str">
        <x:v>Completed</x:v>
      </x:c>
    </x:row>
    <x:row r="721">
      <x:c r="A721" s="12" t="str">
        <x:v>ORD-2025-10720</x:v>
      </x:c>
      <x:c r="B721" s="12" t="str">
        <x:v>08 Sep 2025</x:v>
      </x:c>
      <x:c r="C721" s="12" t="str">
        <x:v>2025-09-09</x:v>
      </x:c>
      <x:c r="D721" s="12" t="str">
        <x:v>CUST-3190</x:v>
      </x:c>
      <x:c r="E721" s="12" t="str">
        <x:v>Kabir Singh</x:v>
      </x:c>
      <x:c r="F721" s="12" t="str">
        <x:v>Corporate</x:v>
      </x:c>
      <x:c r="G721" s="12" t="str">
        <x:v>West</x:v>
      </x:c>
      <x:c r="H721" s="12" t="str">
        <x:v>Gujarat</x:v>
      </x:c>
      <x:c r="I721" s="12" t="str">
        <x:v>Ahmedabad</x:v>
      </x:c>
      <x:c r="J721" s="12" t="str">
        <x:v>Office Supplies</x:v>
      </x:c>
      <x:c r="K721" s="12" t="str">
        <x:v>Art</x:v>
      </x:c>
      <x:c r="L721" s="12" t="str">
        <x:v>Pro Art 447</x:v>
      </x:c>
      <x:c r="M721" s="12" t="str">
        <x:v>Same Day</x:v>
      </x:c>
      <x:c r="N721" s="12" t="n">
        <x:v>2</x:v>
      </x:c>
      <x:c r="O721" s="12" t="n">
        <x:v>2372.41</x:v>
      </x:c>
      <x:c r="P721" s="12" t="n">
        <x:v>0.2</x:v>
      </x:c>
      <x:c r="Q721" s="12" t="n">
        <x:v>3795.86</x:v>
      </x:c>
      <x:c r="R721" s="12" t="n">
        <x:v>2264.92</x:v>
      </x:c>
      <x:c r="S721" s="12" t="n">
        <x:v>1530.94</x:v>
      </x:c>
      <x:c r="T721" s="12" t="str">
        <x:v>Paid</x:v>
      </x:c>
      <x:c r="U721" s="12" t="str">
        <x:v>Completed</x:v>
      </x:c>
    </x:row>
    <x:row r="722">
      <x:c r="A722" s="12" t="str">
        <x:v>ORD-2024-10721</x:v>
      </x:c>
      <x:c r="B722" s="12" t="str">
        <x:v>2024-07-16</x:v>
      </x:c>
      <x:c r="C722" s="12" t="str">
        <x:v>07/16/2024</x:v>
      </x:c>
      <x:c r="D722" s="12" t="str">
        <x:v>CUST-1991</x:v>
      </x:c>
      <x:c r="E722" s="12" t="str">
        <x:v>Aditi Sen</x:v>
      </x:c>
      <x:c r="F722" s="12" t="str">
        <x:v>Home Office</x:v>
      </x:c>
      <x:c r="G722" s="12" t="str">
        <x:v>West</x:v>
      </x:c>
      <x:c r="H722" s="12" t="str">
        <x:v>Madhya Pradesh</x:v>
      </x:c>
      <x:c r="I722" s="12" t="str">
        <x:v>Indore</x:v>
      </x:c>
      <x:c r="J722" s="12" t="str">
        <x:v>Technology</x:v>
      </x:c>
      <x:c r="K722" s="12" t="str">
        <x:v>Copiers</x:v>
      </x:c>
      <x:c r="L722" s="12" t="str">
        <x:v>Smart Copiers 196</x:v>
      </x:c>
      <x:c r="M722" s="12" t="str">
        <x:v>Same Day</x:v>
      </x:c>
      <x:c r="N722" s="12" t="n">
        <x:v>4</x:v>
      </x:c>
      <x:c r="O722" s="12" t="n">
        <x:v>4479.92</x:v>
      </x:c>
      <x:c r="P722" s="12" t="n">
        <x:v>0.15</x:v>
      </x:c>
      <x:c r="Q722" s="12" t="n">
        <x:v>15231.73</x:v>
      </x:c>
      <x:c r="R722" s="12" t="n">
        <x:v>12451.46</x:v>
      </x:c>
      <x:c r="S722" s="12" t="n">
        <x:v>2780.27</x:v>
      </x:c>
      <x:c r="T722" s="12" t="str">
        <x:v>Paid</x:v>
      </x:c>
      <x:c r="U722" s="12" t="str">
        <x:v>Completed</x:v>
      </x:c>
    </x:row>
    <x:row r="723">
      <x:c r="A723" s="12" t="str">
        <x:v>ORD-2025-10722</x:v>
      </x:c>
      <x:c r="B723" s="12" t="str">
        <x:v>19-06-2025</x:v>
      </x:c>
      <x:c r="C723" s="12" t="str">
        <x:v>23-06-2025</x:v>
      </x:c>
      <x:c r="D723" s="12" t="str">
        <x:v>CUST-7606</x:v>
      </x:c>
      <x:c r="E723" s="12" t="str">
        <x:v>Sneha Kapoor</x:v>
      </x:c>
      <x:c r="F723" s="12" t="str">
        <x:v>Consumer</x:v>
      </x:c>
      <x:c r="G723" s="12" t="str">
        <x:v>South</x:v>
      </x:c>
      <x:c r="H723" s="12" t="str">
        <x:v>Karnataka</x:v>
      </x:c>
      <x:c r="I723" s="12" t="str">
        <x:v>Bengaluru</x:v>
      </x:c>
      <x:c r="J723" s="12" t="str">
        <x:v>Technology</x:v>
      </x:c>
      <x:c r="K723" s="12" t="str">
        <x:v>Copiers</x:v>
      </x:c>
      <x:c r="L723" s="12" t="str">
        <x:v>Pro Copiers 532</x:v>
      </x:c>
      <x:c r="M723" s="12" t="str">
        <x:v>First Class</x:v>
      </x:c>
      <x:c r="N723" s="12" t="n">
        <x:v>5</x:v>
      </x:c>
      <x:c r="O723" s="12" t="n">
        <x:v>2729.95</x:v>
      </x:c>
      <x:c r="P723" s="12" t="n">
        <x:v>0</x:v>
      </x:c>
      <x:c r="Q723" s="12" t="n">
        <x:v>13649.75</x:v>
      </x:c>
      <x:c r="R723" s="12" t="n">
        <x:v>10288.03</x:v>
      </x:c>
      <x:c r="S723" s="12" t="n">
        <x:v>3361.72</x:v>
      </x:c>
      <x:c r="T723" s="12" t="str">
        <x:v>Paid</x:v>
      </x:c>
      <x:c r="U723" s="12" t="str">
        <x:v>Completed</x:v>
      </x:c>
    </x:row>
    <x:row r="724">
      <x:c r="A724" s="12" t="str">
        <x:v>ORD-2024-10723</x:v>
      </x:c>
      <x:c r="B724" s="12" t="str">
        <x:v>2024-10-07</x:v>
      </x:c>
      <x:c r="C724" s="12" t="str">
        <x:v>10 Oct 2024</x:v>
      </x:c>
      <x:c r="D724" s="12" t="str">
        <x:v>CUST-8844</x:v>
      </x:c>
      <x:c r="E724" s="12" t="str">
        <x:v>Vikram Iyer</x:v>
      </x:c>
      <x:c r="F724" s="12" t="str">
        <x:v>Consumer</x:v>
      </x:c>
      <x:c r="G724" s="12" t="str">
        <x:v>East</x:v>
      </x:c>
      <x:c r="H724" s="12" t="str">
        <x:v>West Bengal</x:v>
      </x:c>
      <x:c r="I724" s="12" t="str">
        <x:v>Kolkata</x:v>
      </x:c>
      <x:c r="J724" s="12" t="str">
        <x:v>Furniture</x:v>
      </x:c>
      <x:c r="K724" s="12" t="str">
        <x:v>Chairs</x:v>
      </x:c>
      <x:c r="L724" s="12" t="str">
        <x:v>Eco Chairs 442</x:v>
      </x:c>
      <x:c r="M724" s="12" t="str">
        <x:v>Second Class</x:v>
      </x:c>
      <x:c r="N724" s="12" t="n">
        <x:v>9</x:v>
      </x:c>
      <x:c r="O724" s="12" t="n">
        <x:v>481.51</x:v>
      </x:c>
      <x:c r="P724" s="12"/>
      <x:c r="Q724" s="12" t="n">
        <x:v>4333.59</x:v>
      </x:c>
      <x:c r="R724" s="12" t="n">
        <x:v>2533.59</x:v>
      </x:c>
      <x:c r="S724" s="12" t="n">
        <x:v>1800</x:v>
      </x:c>
      <x:c r="T724" s="12" t="str">
        <x:v>Refunded</x:v>
      </x:c>
      <x:c r="U724" s="12" t="str">
        <x:v>Cancelled</x:v>
      </x:c>
    </x:row>
    <x:row r="725">
      <x:c r="A725" s="12" t="str">
        <x:v>ORD-2025-10724</x:v>
      </x:c>
      <x:c r="B725" s="12" t="str">
        <x:v>10/06/2025</x:v>
      </x:c>
      <x:c r="C725" s="12" t="str">
        <x:v>2025-10-13</x:v>
      </x:c>
      <x:c r="D725" s="12" t="str">
        <x:v>CUST-4335</x:v>
      </x:c>
      <x:c r="E725" s="12" t="str">
        <x:v>Kabir Singh</x:v>
      </x:c>
      <x:c r="F725" s="12" t="str">
        <x:v>Home Office</x:v>
      </x:c>
      <x:c r="G725" s="12" t="str">
        <x:v>East</x:v>
      </x:c>
      <x:c r="H725" s="12" t="str">
        <x:v>Jharkhand</x:v>
      </x:c>
      <x:c r="I725" s="12" t="str">
        <x:v>Ranchi</x:v>
      </x:c>
      <x:c r="J725" s="12" t="str">
        <x:v>Technology</x:v>
      </x:c>
      <x:c r="K725" s="12" t="str">
        <x:v>Accessories</x:v>
      </x:c>
      <x:c r="L725" s="12" t="str">
        <x:v>Eco Accessories 364</x:v>
      </x:c>
      <x:c r="M725" s="12" t="str">
        <x:v>Standard Class</x:v>
      </x:c>
      <x:c r="N725" s="12" t="n">
        <x:v>6</x:v>
      </x:c>
      <x:c r="O725" s="12" t="n">
        <x:v>2391.93</x:v>
      </x:c>
      <x:c r="P725" s="12" t="n">
        <x:v>0.05</x:v>
      </x:c>
      <x:c r="Q725" s="12" t="n">
        <x:v>13634</x:v>
      </x:c>
      <x:c r="R725" s="12" t="n">
        <x:v>9589.81</x:v>
      </x:c>
      <x:c r="S725" s="12" t="n">
        <x:v>4044.19</x:v>
      </x:c>
      <x:c r="T725" s="12" t="str">
        <x:v>Failed</x:v>
      </x:c>
      <x:c r="U725" s="12" t="str">
        <x:v>Returned</x:v>
      </x:c>
    </x:row>
    <x:row r="726">
      <x:c r="A726" s="12" t="str">
        <x:v>ORD-2024-10725</x:v>
      </x:c>
      <x:c r="B726" s="12" t="str">
        <x:v>02/10/2024</x:v>
      </x:c>
      <x:c r="C726" s="12" t="str">
        <x:v>16-02-2024</x:v>
      </x:c>
      <x:c r="D726" s="12" t="str">
        <x:v>CUST-5891</x:v>
      </x:c>
      <x:c r="E726" s="12" t="str">
        <x:v>Karan Malhotra</x:v>
      </x:c>
      <x:c r="F726" s="12" t="str">
        <x:v>Consumer</x:v>
      </x:c>
      <x:c r="G726" s="12" t="str">
        <x:v>West</x:v>
      </x:c>
      <x:c r="H726" s="12" t="str">
        <x:v>Goa</x:v>
      </x:c>
      <x:c r="I726" s="12" t="str">
        <x:v>Panaji</x:v>
      </x:c>
      <x:c r="J726" s="12" t="str">
        <x:v>Furniture</x:v>
      </x:c>
      <x:c r="K726" s="12" t="str">
        <x:v>Furnishings</x:v>
      </x:c>
      <x:c r="L726" s="12" t="str">
        <x:v>Elite Furnishings 921</x:v>
      </x:c>
      <x:c r="M726" s="12" t="str">
        <x:v>Second Class</x:v>
      </x:c>
      <x:c r="N726" s="12" t="n">
        <x:v>3</x:v>
      </x:c>
      <x:c r="O726" s="12" t="n">
        <x:v>253.43</x:v>
      </x:c>
      <x:c r="P726" s="12" t="n">
        <x:v>0</x:v>
      </x:c>
      <x:c r="Q726" s="12" t="n">
        <x:v>760.29</x:v>
      </x:c>
      <x:c r="R726" s="12" t="n">
        <x:v>497.77</x:v>
      </x:c>
      <x:c r="S726" s="12" t="n">
        <x:v>262.52</x:v>
      </x:c>
      <x:c r="T726" s="12" t="str">
        <x:v>Paid</x:v>
      </x:c>
      <x:c r="U726" s="12" t="str">
        <x:v>Completed</x:v>
      </x:c>
    </x:row>
    <x:row r="727">
      <x:c r="A727" s="12" t="str">
        <x:v>ORD-2025-10726</x:v>
      </x:c>
      <x:c r="B727" s="12" t="str">
        <x:v>10/05/2025</x:v>
      </x:c>
      <x:c r="C727" s="12" t="str">
        <x:v>2025-10-12</x:v>
      </x:c>
      <x:c r="D727" s="12" t="str">
        <x:v>CUST-6371</x:v>
      </x:c>
      <x:c r="E727" s="12" t="str">
        <x:v>Priya Menon</x:v>
      </x:c>
      <x:c r="F727" s="12" t="str">
        <x:v>Corporate</x:v>
      </x:c>
      <x:c r="G727" s="12" t="str">
        <x:v>South</x:v>
      </x:c>
      <x:c r="H727" s="12" t="str">
        <x:v>Karnataka</x:v>
      </x:c>
      <x:c r="I727" s="12" t="str">
        <x:v>Bengaluru</x:v>
      </x:c>
      <x:c r="J727" s="12" t="str">
        <x:v>Furniture</x:v>
      </x:c>
      <x:c r="K727" s="12" t="str">
        <x:v>Tables</x:v>
      </x:c>
      <x:c r="L727" s="12" t="str">
        <x:v>Max Tables 309</x:v>
      </x:c>
      <x:c r="M727" s="12" t="str">
        <x:v>Second Class</x:v>
      </x:c>
      <x:c r="N727" s="12" t="n">
        <x:v>7</x:v>
      </x:c>
      <x:c r="O727" s="12" t="n">
        <x:v>2134.73</x:v>
      </x:c>
      <x:c r="P727" s="12" t="n">
        <x:v>0</x:v>
      </x:c>
      <x:c r="Q727" s="12" t="n">
        <x:v>14943.11</x:v>
      </x:c>
      <x:c r="R727" s="12" t="n">
        <x:v>8521.5</x:v>
      </x:c>
      <x:c r="S727" s="12" t="n">
        <x:v>6421.61</x:v>
      </x:c>
      <x:c r="T727" s="12" t="str">
        <x:v>Paid</x:v>
      </x:c>
      <x:c r="U727" s="12" t="str">
        <x:v>Completed</x:v>
      </x:c>
    </x:row>
    <x:row r="728">
      <x:c r="A728" s="12" t="str">
        <x:v>ORD-2024-10727</x:v>
      </x:c>
      <x:c r="B728" s="12" t="str">
        <x:v>2024-01-17</x:v>
      </x:c>
      <x:c r="C728" s="12" t="str">
        <x:v>01/23/2024</x:v>
      </x:c>
      <x:c r="D728" s="12" t="str">
        <x:v>CUST-6655</x:v>
      </x:c>
      <x:c r="E728" s="12" t="str">
        <x:v>Kabir Singh</x:v>
      </x:c>
      <x:c r="F728" s="12" t="str">
        <x:v>Home Office</x:v>
      </x:c>
      <x:c r="G728" s="12" t="str">
        <x:v>West</x:v>
      </x:c>
      <x:c r="H728" s="12" t="str">
        <x:v>Gujarat</x:v>
      </x:c>
      <x:c r="I728" s="12" t="str">
        <x:v>Ahmedabad</x:v>
      </x:c>
      <x:c r="J728" s="12" t="str">
        <x:v>Technology</x:v>
      </x:c>
      <x:c r="K728" s="12" t="str">
        <x:v>Phones</x:v>
      </x:c>
      <x:c r="L728" s="12" t="str">
        <x:v>Pro Phones 857</x:v>
      </x:c>
      <x:c r="M728" s="12" t="str">
        <x:v>Standard Class</x:v>
      </x:c>
      <x:c r="N728" s="12" t="n">
        <x:v>5</x:v>
      </x:c>
      <x:c r="O728" s="12" t="n">
        <x:v>2018</x:v>
      </x:c>
      <x:c r="P728" s="12" t="n">
        <x:v>0.2</x:v>
      </x:c>
      <x:c r="Q728" s="12" t="n">
        <x:v>8072</x:v>
      </x:c>
      <x:c r="R728" s="12" t="n">
        <x:v>5379.22</x:v>
      </x:c>
      <x:c r="S728" s="12" t="n">
        <x:v>2692.78</x:v>
      </x:c>
      <x:c r="T728" s="12" t="str">
        <x:v>Pending</x:v>
      </x:c>
      <x:c r="U728" s="12" t="str">
        <x:v>Returned</x:v>
      </x:c>
    </x:row>
    <x:row r="729">
      <x:c r="A729" s="12" t="str">
        <x:v>ORD-2024-10728</x:v>
      </x:c>
      <x:c r="B729" s="12" t="str">
        <x:v>13 Oct 2024</x:v>
      </x:c>
      <x:c r="C729" s="12" t="str">
        <x:v>13 Oct 2024</x:v>
      </x:c>
      <x:c r="D729" s="12" t="str">
        <x:v>CUST-6492</x:v>
      </x:c>
      <x:c r="E729" s="12" t="str">
        <x:v>Aarav Sharma</x:v>
      </x:c>
      <x:c r="F729" s="12" t="str">
        <x:v>Small Business</x:v>
      </x:c>
      <x:c r="G729" s="12" t="str">
        <x:v>East</x:v>
      </x:c>
      <x:c r="H729" s="12" t="str">
        <x:v>Assam</x:v>
      </x:c>
      <x:c r="I729" s="12" t="str">
        <x:v>Guwahati</x:v>
      </x:c>
      <x:c r="J729" s="12" t="str">
        <x:v>Technology</x:v>
      </x:c>
      <x:c r="K729" s="12" t="str">
        <x:v>Accessories</x:v>
      </x:c>
      <x:c r="L729" s="12" t="str">
        <x:v>Max Accessories 567</x:v>
      </x:c>
      <x:c r="M729" s="12" t="str">
        <x:v>Second Class</x:v>
      </x:c>
      <x:c r="N729" s="12" t="n">
        <x:v>8</x:v>
      </x:c>
      <x:c r="O729" s="12" t="n">
        <x:v>3730.66</x:v>
      </x:c>
      <x:c r="P729" s="12" t="n">
        <x:v>0.05</x:v>
      </x:c>
      <x:c r="Q729" s="12" t="n">
        <x:v>28353.02</x:v>
      </x:c>
      <x:c r="R729" s="12" t="n">
        <x:v>19257.85</x:v>
      </x:c>
      <x:c r="S729" s="12" t="n">
        <x:v>9095.17</x:v>
      </x:c>
      <x:c r="T729" s="12" t="str">
        <x:v>Paid</x:v>
      </x:c>
      <x:c r="U729" s="12" t="str">
        <x:v>Completed</x:v>
      </x:c>
    </x:row>
    <x:row r="730">
      <x:c r="A730" s="12" t="str">
        <x:v>ORD-2024-10729</x:v>
      </x:c>
      <x:c r="B730" s="12" t="str">
        <x:v>2024-01-04</x:v>
      </x:c>
      <x:c r="C730" s="12" t="str">
        <x:v>07-01-2024</x:v>
      </x:c>
      <x:c r="D730" s="12" t="str">
        <x:v>CUST-1154</x:v>
      </x:c>
      <x:c r="E730" s="12" t="str">
        <x:v>Sneha Kapoor</x:v>
      </x:c>
      <x:c r="F730" s="12" t="str">
        <x:v>Small Business</x:v>
      </x:c>
      <x:c r="G730" s="12" t="str">
        <x:v>South</x:v>
      </x:c>
      <x:c r="H730" s="12" t="str">
        <x:v>Karnataka</x:v>
      </x:c>
      <x:c r="I730" s="12" t="str">
        <x:v>Bengaluru</x:v>
      </x:c>
      <x:c r="J730" s="12" t="str">
        <x:v>Technology</x:v>
      </x:c>
      <x:c r="K730" s="12" t="str">
        <x:v>Machines</x:v>
      </x:c>
      <x:c r="L730" s="12" t="str">
        <x:v>Max Machines 200</x:v>
      </x:c>
      <x:c r="M730" s="12" t="str">
        <x:v>First Class</x:v>
      </x:c>
      <x:c r="N730" s="12" t="n">
        <x:v>1</x:v>
      </x:c>
      <x:c r="O730" s="12" t="n">
        <x:v>2363.02</x:v>
      </x:c>
      <x:c r="P730" s="12" t="n">
        <x:v>0.15</x:v>
      </x:c>
      <x:c r="Q730" s="12" t="n">
        <x:v>2008.57</x:v>
      </x:c>
      <x:c r="R730" s="12" t="n">
        <x:v>1194.83</x:v>
      </x:c>
      <x:c r="S730" s="12" t="n">
        <x:v>813.74</x:v>
      </x:c>
      <x:c r="T730" s="12" t="str">
        <x:v>Paid</x:v>
      </x:c>
      <x:c r="U730" s="12" t="str">
        <x:v>Completed</x:v>
      </x:c>
    </x:row>
    <x:row r="731">
      <x:c r="A731" s="12" t="str">
        <x:v>ORD-2025-10730</x:v>
      </x:c>
      <x:c r="B731" s="12" t="str">
        <x:v>17-05-2025</x:v>
      </x:c>
      <x:c r="C731" s="12" t="str">
        <x:v>25 May 2025</x:v>
      </x:c>
      <x:c r="D731" s="12" t="str">
        <x:v>CUST-8713</x:v>
      </x:c>
      <x:c r="E731" s="12" t="str">
        <x:v>Ananya Rao</x:v>
      </x:c>
      <x:c r="F731" s="12" t="str">
        <x:v>Corporate</x:v>
      </x:c>
      <x:c r="G731" s="12" t="str">
        <x:v>South</x:v>
      </x:c>
      <x:c r="H731" s="12" t="str">
        <x:v>Tamil Nadu</x:v>
      </x:c>
      <x:c r="I731" s="12" t="str">
        <x:v>Chennai</x:v>
      </x:c>
      <x:c r="J731" s="12" t="str">
        <x:v>Technology</x:v>
      </x:c>
      <x:c r="K731" s="12" t="str">
        <x:v>Machines</x:v>
      </x:c>
      <x:c r="L731" s="12" t="str">
        <x:v>Pro Machines 563</x:v>
      </x:c>
      <x:c r="M731" s="12" t="str">
        <x:v>Same Day</x:v>
      </x:c>
      <x:c r="N731" s="12" t="n">
        <x:v>6</x:v>
      </x:c>
      <x:c r="O731" s="12" t="n">
        <x:v>1810.63</x:v>
      </x:c>
      <x:c r="P731" s="12" t="n">
        <x:v>0.15</x:v>
      </x:c>
      <x:c r="Q731" s="12" t="n">
        <x:v>9234.21</x:v>
      </x:c>
      <x:c r="R731" s="12" t="n">
        <x:v>5516.52</x:v>
      </x:c>
      <x:c r="S731" s="12" t="n">
        <x:v>3717.69</x:v>
      </x:c>
      <x:c r="T731" s="12" t="str">
        <x:v>Paid</x:v>
      </x:c>
      <x:c r="U731" s="12" t="str">
        <x:v>Completed</x:v>
      </x:c>
    </x:row>
    <x:row r="732">
      <x:c r="A732" s="12" t="str">
        <x:v>ORD-2025-10731</x:v>
      </x:c>
      <x:c r="B732" s="12" t="str">
        <x:v>06/19/2025</x:v>
      </x:c>
      <x:c r="C732" s="12" t="str">
        <x:v>24-06-2025</x:v>
      </x:c>
      <x:c r="D732" s="12" t="str">
        <x:v>CUST-6765</x:v>
      </x:c>
      <x:c r="E732" s="12" t="str">
        <x:v>Arjun Bose</x:v>
      </x:c>
      <x:c r="F732" s="12" t="str">
        <x:v>Consumer</x:v>
      </x:c>
      <x:c r="G732" s="12" t="str">
        <x:v>East</x:v>
      </x:c>
      <x:c r="H732" s="12" t="str">
        <x:v>West Bengal</x:v>
      </x:c>
      <x:c r="I732" s="12" t="str">
        <x:v>Kolkata</x:v>
      </x:c>
      <x:c r="J732" s="12" t="str">
        <x:v>Office Supplies</x:v>
      </x:c>
      <x:c r="K732" s="12" t="str">
        <x:v>Art</x:v>
      </x:c>
      <x:c r="L732" s="12" t="str">
        <x:v>Elite Art 696</x:v>
      </x:c>
      <x:c r="M732" s="12" t="str">
        <x:v>Second Class</x:v>
      </x:c>
      <x:c r="N732" s="12" t="n">
        <x:v>4</x:v>
      </x:c>
      <x:c r="O732" s="12" t="n">
        <x:v>782.01</x:v>
      </x:c>
      <x:c r="P732" s="12" t="n">
        <x:v>0.15</x:v>
      </x:c>
      <x:c r="Q732" s="12" t="n">
        <x:v>2658.83</x:v>
      </x:c>
      <x:c r="R732" s="12" t="n">
        <x:v>2226.97</x:v>
      </x:c>
      <x:c r="S732" s="12" t="n">
        <x:v>431.86</x:v>
      </x:c>
      <x:c r="T732" s="12" t="str">
        <x:v>Refunded</x:v>
      </x:c>
      <x:c r="U732" s="12" t="str">
        <x:v>Returned</x:v>
      </x:c>
    </x:row>
    <x:row r="733">
      <x:c r="A733" s="12" t="str">
        <x:v>ORD-2024-10732</x:v>
      </x:c>
      <x:c r="B733" s="12" t="str">
        <x:v>2024-03-17</x:v>
      </x:c>
      <x:c r="C733" s="12" t="str">
        <x:v>19 Mar 2024</x:v>
      </x:c>
      <x:c r="D733" s="12" t="str">
        <x:v>CUST-6849</x:v>
      </x:c>
      <x:c r="E733" s="12" t="str">
        <x:v>Ananya Rao</x:v>
      </x:c>
      <x:c r="F733" s="12" t="str">
        <x:v>Corporate</x:v>
      </x:c>
      <x:c r="G733" s="12" t="str">
        <x:v>East</x:v>
      </x:c>
      <x:c r="H733" s="12" t="str">
        <x:v>Odisha</x:v>
      </x:c>
      <x:c r="I733" s="12" t="str">
        <x:v>Bhubaneswar</x:v>
      </x:c>
      <x:c r="J733" s="12" t="str">
        <x:v>Office Supplies</x:v>
      </x:c>
      <x:c r="K733" s="12" t="str">
        <x:v>Binders</x:v>
      </x:c>
      <x:c r="L733" s="12" t="str">
        <x:v>Eco Binders 178</x:v>
      </x:c>
      <x:c r="M733" s="12" t="str">
        <x:v>First Class</x:v>
      </x:c>
      <x:c r="N733" s="12" t="n">
        <x:v>4</x:v>
      </x:c>
      <x:c r="O733" s="12" t="n">
        <x:v>4376.68</x:v>
      </x:c>
      <x:c r="P733" s="12" t="n">
        <x:v>0.1</x:v>
      </x:c>
      <x:c r="Q733" s="12" t="n">
        <x:v>15756.05</x:v>
      </x:c>
      <x:c r="R733" s="12" t="n">
        <x:v>10245.44</x:v>
      </x:c>
      <x:c r="S733" s="12" t="n">
        <x:v>5510.61</x:v>
      </x:c>
      <x:c r="T733" s="12" t="str">
        <x:v>Paid</x:v>
      </x:c>
      <x:c r="U733" s="12" t="str">
        <x:v>Completed</x:v>
      </x:c>
    </x:row>
    <x:row r="734">
      <x:c r="A734" s="12" t="str">
        <x:v>ORD-2024-10733</x:v>
      </x:c>
      <x:c r="B734" s="12" t="str">
        <x:v>2024-11-28</x:v>
      </x:c>
      <x:c r="C734" s="12" t="str">
        <x:v>06 Dec 2024</x:v>
      </x:c>
      <x:c r="D734" s="12" t="str">
        <x:v>CUST-4973</x:v>
      </x:c>
      <x:c r="E734" s="12" t="str">
        <x:v>Arjun Bose</x:v>
      </x:c>
      <x:c r="F734" s="12" t="str">
        <x:v>Small Business</x:v>
      </x:c>
      <x:c r="G734" s="12" t="str">
        <x:v>North</x:v>
      </x:c>
      <x:c r="H734" s="12" t="str">
        <x:v>Punjab</x:v>
      </x:c>
      <x:c r="I734" s="12" t="str">
        <x:v>Ludhiana</x:v>
      </x:c>
      <x:c r="J734" s="12" t="str">
        <x:v>Technology</x:v>
      </x:c>
      <x:c r="K734" s="12" t="str">
        <x:v>Phones</x:v>
      </x:c>
      <x:c r="L734" s="12" t="str">
        <x:v>Max Phones 678</x:v>
      </x:c>
      <x:c r="M734" s="12" t="str">
        <x:v>Standard Class</x:v>
      </x:c>
      <x:c r="N734" s="12" t="n">
        <x:v>6</x:v>
      </x:c>
      <x:c r="O734" s="12" t="n">
        <x:v>2464.63</x:v>
      </x:c>
      <x:c r="P734" s="12" t="n">
        <x:v>0</x:v>
      </x:c>
      <x:c r="Q734" s="12" t="n">
        <x:v>14787.78</x:v>
      </x:c>
      <x:c r="R734" s="12" t="n">
        <x:v>8596.65</x:v>
      </x:c>
      <x:c r="S734" s="12" t="n">
        <x:v>6191.13</x:v>
      </x:c>
      <x:c r="T734" s="12" t="str">
        <x:v>Paid</x:v>
      </x:c>
      <x:c r="U734" s="12" t="str">
        <x:v>Completed</x:v>
      </x:c>
    </x:row>
    <x:row r="735">
      <x:c r="A735" s="12" t="str">
        <x:v>ORD-2024-10734</x:v>
      </x:c>
      <x:c r="B735" s="12" t="str">
        <x:v>21-06-2024</x:v>
      </x:c>
      <x:c r="C735" s="12" t="str">
        <x:v>28 Jun 2024</x:v>
      </x:c>
      <x:c r="D735" s="12" t="str">
        <x:v>CUST-2394</x:v>
      </x:c>
      <x:c r="E735" s="12" t="str">
        <x:v>Aarav Sharma</x:v>
      </x:c>
      <x:c r="F735" s="12" t="str">
        <x:v>Home Office</x:v>
      </x:c>
      <x:c r="G735" s="12" t="str">
        <x:v>North</x:v>
      </x:c>
      <x:c r="H735" s="12" t="str">
        <x:v>Rajasthan</x:v>
      </x:c>
      <x:c r="I735" s="12" t="str">
        <x:v>Jaipur</x:v>
      </x:c>
      <x:c r="J735" s="12" t="str">
        <x:v>Furniture</x:v>
      </x:c>
      <x:c r="K735" s="12" t="str">
        <x:v>Furnishings</x:v>
      </x:c>
      <x:c r="L735" s="12" t="str">
        <x:v>Classic Furnishings 582</x:v>
      </x:c>
      <x:c r="M735" s="12" t="str">
        <x:v>First Class</x:v>
      </x:c>
      <x:c r="N735" s="12" t="n">
        <x:v>9</x:v>
      </x:c>
      <x:c r="O735" s="12" t="n">
        <x:v>2797.96</x:v>
      </x:c>
      <x:c r="P735" s="12" t="n">
        <x:v>0</x:v>
      </x:c>
      <x:c r="Q735" s="12" t="n">
        <x:v>25181.64</x:v>
      </x:c>
      <x:c r="R735" s="12" t="n">
        <x:v>15337.9</x:v>
      </x:c>
      <x:c r="S735" s="12" t="n">
        <x:v>9843.74</x:v>
      </x:c>
      <x:c r="T735" s="12" t="str">
        <x:v>Paid</x:v>
      </x:c>
      <x:c r="U735" s="12" t="str">
        <x:v>Completed</x:v>
      </x:c>
    </x:row>
    <x:row r="736">
      <x:c r="A736" s="12" t="str">
        <x:v>ORD-2024-10735</x:v>
      </x:c>
      <x:c r="B736" s="12" t="str">
        <x:v>24-08-2024</x:v>
      </x:c>
      <x:c r="C736" s="12" t="str">
        <x:v>24-08-2024</x:v>
      </x:c>
      <x:c r="D736" s="12" t="str">
        <x:v>CUST-5406</x:v>
      </x:c>
      <x:c r="E736" s="12" t="str">
        <x:v>Ananya Rao</x:v>
      </x:c>
      <x:c r="F736" s="12" t="str">
        <x:v>Small Business</x:v>
      </x:c>
      <x:c r="G736" s="12" t="str">
        <x:v>North</x:v>
      </x:c>
      <x:c r="H736" s="12" t="str">
        <x:v>Rajasthan</x:v>
      </x:c>
      <x:c r="I736" s="12" t="str">
        <x:v>Jaipur</x:v>
      </x:c>
      <x:c r="J736" s="12" t="str">
        <x:v>Technology</x:v>
      </x:c>
      <x:c r="K736" s="12" t="str">
        <x:v>Accessories</x:v>
      </x:c>
      <x:c r="L736" s="12" t="str">
        <x:v>Classic Accessories 981</x:v>
      </x:c>
      <x:c r="M736" s="12" t="str">
        <x:v>First Class</x:v>
      </x:c>
      <x:c r="N736" s="12" t="n">
        <x:v>4</x:v>
      </x:c>
      <x:c r="O736" s="12" t="n">
        <x:v>2761.86</x:v>
      </x:c>
      <x:c r="P736" s="12" t="n">
        <x:v>0.2</x:v>
      </x:c>
      <x:c r="Q736" s="12" t="n">
        <x:v>8837.95</x:v>
      </x:c>
      <x:c r="R736" s="12" t="n">
        <x:v>6157.27</x:v>
      </x:c>
      <x:c r="S736" s="12" t="n">
        <x:v>2680.68</x:v>
      </x:c>
      <x:c r="T736" s="12" t="str">
        <x:v>Paid</x:v>
      </x:c>
      <x:c r="U736" s="12" t="str">
        <x:v>Completed</x:v>
      </x:c>
    </x:row>
    <x:row r="737">
      <x:c r="A737" s="12" t="str">
        <x:v>ORD-2024-10736</x:v>
      </x:c>
      <x:c r="B737" s="12" t="str">
        <x:v>2024-08-11</x:v>
      </x:c>
      <x:c r="C737" s="12" t="str">
        <x:v>19-08-2024</x:v>
      </x:c>
      <x:c r="D737" s="12" t="str">
        <x:v>CUST-1963</x:v>
      </x:c>
      <x:c r="E737" s="12" t="str">
        <x:v>Mira Das</x:v>
      </x:c>
      <x:c r="F737" s="12" t="str">
        <x:v>Consumer</x:v>
      </x:c>
      <x:c r="G737" s="12" t="str">
        <x:v>West</x:v>
      </x:c>
      <x:c r="H737" s="12" t="str">
        <x:v>Maharashtra</x:v>
      </x:c>
      <x:c r="I737" s="12" t="str">
        <x:v>Mumbai</x:v>
      </x:c>
      <x:c r="J737" s="12" t="str">
        <x:v>Furniture</x:v>
      </x:c>
      <x:c r="K737" s="12" t="str">
        <x:v>Tables</x:v>
      </x:c>
      <x:c r="L737" s="12" t="str">
        <x:v>Classic Tables 534</x:v>
      </x:c>
      <x:c r="M737" s="12" t="str">
        <x:v>Standard Class</x:v>
      </x:c>
      <x:c r="N737" s="12" t="n">
        <x:v>6</x:v>
      </x:c>
      <x:c r="O737" s="12" t="n">
        <x:v>1515.79</x:v>
      </x:c>
      <x:c r="P737" s="12" t="n">
        <x:v>0.2</x:v>
      </x:c>
      <x:c r="Q737" s="12" t="n">
        <x:v>7275.79</x:v>
      </x:c>
      <x:c r="R737" s="12" t="n">
        <x:v>6152.87</x:v>
      </x:c>
      <x:c r="S737" s="12" t="n">
        <x:v>1122.92</x:v>
      </x:c>
      <x:c r="T737" s="12" t="str">
        <x:v>Paid</x:v>
      </x:c>
      <x:c r="U737" s="12" t="str">
        <x:v>Completed</x:v>
      </x:c>
    </x:row>
    <x:row r="738">
      <x:c r="A738" s="12" t="str">
        <x:v>ORD-2024-10737</x:v>
      </x:c>
      <x:c r="B738" s="12" t="str">
        <x:v>06 Dec 2024</x:v>
      </x:c>
      <x:c r="C738" s="12" t="str">
        <x:v>09-12-2024</x:v>
      </x:c>
      <x:c r="D738" s="12" t="str">
        <x:v>CUST-9017</x:v>
      </x:c>
      <x:c r="E738" s="12" t="str">
        <x:v>Aditi Sen</x:v>
      </x:c>
      <x:c r="F738" s="12" t="str">
        <x:v>Consumer</x:v>
      </x:c>
      <x:c r="G738" s="12" t="str">
        <x:v>West</x:v>
      </x:c>
      <x:c r="H738" s="12" t="str">
        <x:v>Maharashtra</x:v>
      </x:c>
      <x:c r="I738" s="12" t="str">
        <x:v>Mumbai</x:v>
      </x:c>
      <x:c r="J738" s="12" t="str">
        <x:v>Furniture</x:v>
      </x:c>
      <x:c r="K738" s="12" t="str">
        <x:v>Chairs</x:v>
      </x:c>
      <x:c r="L738" s="12" t="str">
        <x:v>Pro Chairs 383</x:v>
      </x:c>
      <x:c r="M738" s="12" t="str">
        <x:v>Second Class</x:v>
      </x:c>
      <x:c r="N738" s="12" t="n">
        <x:v>9</x:v>
      </x:c>
      <x:c r="O738" s="12" t="n">
        <x:v>290.75</x:v>
      </x:c>
      <x:c r="P738" s="12" t="n">
        <x:v>0.1</x:v>
      </x:c>
      <x:c r="Q738" s="12" t="n">
        <x:v>2355.08</x:v>
      </x:c>
      <x:c r="R738" s="12" t="n">
        <x:v>1350.03</x:v>
      </x:c>
      <x:c r="S738" s="12" t="n">
        <x:v>1005.05</x:v>
      </x:c>
      <x:c r="T738" s="12" t="str">
        <x:v>Paid</x:v>
      </x:c>
      <x:c r="U738" s="12" t="str">
        <x:v>Completed</x:v>
      </x:c>
    </x:row>
    <x:row r="739">
      <x:c r="A739" s="12" t="str">
        <x:v>ORD-2024-10738</x:v>
      </x:c>
      <x:c r="B739" s="12" t="str">
        <x:v>2024-02-10</x:v>
      </x:c>
      <x:c r="C739" s="12" t="str">
        <x:v>10 Feb 2024</x:v>
      </x:c>
      <x:c r="D739" s="12" t="str">
        <x:v>CUST-7967</x:v>
      </x:c>
      <x:c r="E739" s="12" t="str">
        <x:v>Isha Nair</x:v>
      </x:c>
      <x:c r="F739" s="12" t="str">
        <x:v>Home Office </x:v>
      </x:c>
      <x:c r="G739" s="12" t="str">
        <x:v>West</x:v>
      </x:c>
      <x:c r="H739" s="12" t="str">
        <x:v>Maharashtra</x:v>
      </x:c>
      <x:c r="I739" s="12" t="str">
        <x:v>Mumbai</x:v>
      </x:c>
      <x:c r="J739" s="12" t="str">
        <x:v>Furniture</x:v>
      </x:c>
      <x:c r="K739" s="12" t="str">
        <x:v>Chairs</x:v>
      </x:c>
      <x:c r="L739" s="12" t="str">
        <x:v>Max Chairs 845</x:v>
      </x:c>
      <x:c r="M739" s="12" t="str">
        <x:v>Same Day</x:v>
      </x:c>
      <x:c r="N739" s="12" t="n">
        <x:v>6</x:v>
      </x:c>
      <x:c r="O739" s="12" t="n">
        <x:v>601.52</x:v>
      </x:c>
      <x:c r="P739" s="12" t="n">
        <x:v>0</x:v>
      </x:c>
      <x:c r="Q739" s="12" t="n">
        <x:v>3609.12</x:v>
      </x:c>
      <x:c r="R739" s="12" t="n">
        <x:v>2645.5</x:v>
      </x:c>
      <x:c r="S739" s="12" t="n">
        <x:v>963.62</x:v>
      </x:c>
      <x:c r="T739" s="12" t="str">
        <x:v>Paid</x:v>
      </x:c>
      <x:c r="U739" s="12" t="str">
        <x:v>Completed</x:v>
      </x:c>
    </x:row>
    <x:row r="740">
      <x:c r="A740" s="12" t="str">
        <x:v>ORD-2025-10739</x:v>
      </x:c>
      <x:c r="B740" s="12" t="str">
        <x:v>20 Feb 2025</x:v>
      </x:c>
      <x:c r="C740" s="12" t="str">
        <x:v>02/22/2025</x:v>
      </x:c>
      <x:c r="D740" s="12" t="str">
        <x:v>CUST-5334</x:v>
      </x:c>
      <x:c r="E740" s="12" t="str">
        <x:v>Priya Menon</x:v>
      </x:c>
      <x:c r="F740" s="12" t="str">
        <x:v>Corporate</x:v>
      </x:c>
      <x:c r="G740" s="12" t="str">
        <x:v>South</x:v>
      </x:c>
      <x:c r="H740" s="12" t="str">
        <x:v>Kerala</x:v>
      </x:c>
      <x:c r="I740" s="12" t="str">
        <x:v>Kochi</x:v>
      </x:c>
      <x:c r="J740" s="12" t="str">
        <x:v>Office Supplies</x:v>
      </x:c>
      <x:c r="K740" s="12" t="str">
        <x:v>Paper</x:v>
      </x:c>
      <x:c r="L740" s="12" t="str">
        <x:v>Prime Paper 307</x:v>
      </x:c>
      <x:c r="M740" s="12" t="str">
        <x:v>First Class</x:v>
      </x:c>
      <x:c r="N740" s="12" t="n">
        <x:v>1</x:v>
      </x:c>
      <x:c r="O740" s="12" t="n">
        <x:v>2188.19</x:v>
      </x:c>
      <x:c r="P740" s="12" t="n">
        <x:v>0</x:v>
      </x:c>
      <x:c r="Q740" s="12" t="n">
        <x:v>2188.19</x:v>
      </x:c>
      <x:c r="R740" s="12" t="n">
        <x:v>1298.84</x:v>
      </x:c>
      <x:c r="S740" s="12" t="n">
        <x:v>889.35</x:v>
      </x:c>
      <x:c r="T740" s="12" t="str">
        <x:v>Paid</x:v>
      </x:c>
      <x:c r="U740" s="12" t="str">
        <x:v>Completed</x:v>
      </x:c>
    </x:row>
    <x:row r="741">
      <x:c r="A741" s="12" t="str">
        <x:v>ORD-2024-10740</x:v>
      </x:c>
      <x:c r="B741" s="12" t="str">
        <x:v>03 Dec 2024</x:v>
      </x:c>
      <x:c r="C741" s="12" t="str">
        <x:v>12/10/2024</x:v>
      </x:c>
      <x:c r="D741" s="12" t="str">
        <x:v>CUST-5846</x:v>
      </x:c>
      <x:c r="E741" s="12" t="str">
        <x:v>Neha Gupta</x:v>
      </x:c>
      <x:c r="F741" s="12" t="str">
        <x:v>Corporate</x:v>
      </x:c>
      <x:c r="G741" s="12" t="str">
        <x:v>North</x:v>
      </x:c>
      <x:c r="H741" s="12" t="str">
        <x:v>Rajasthan</x:v>
      </x:c>
      <x:c r="I741" s="12" t="str">
        <x:v>Jaipur</x:v>
      </x:c>
      <x:c r="J741" s="12" t="str">
        <x:v>Technology</x:v>
      </x:c>
      <x:c r="K741" s="12" t="str">
        <x:v>Phones</x:v>
      </x:c>
      <x:c r="L741" s="12" t="str">
        <x:v>Basic Phones 859</x:v>
      </x:c>
      <x:c r="M741" s="12" t="str">
        <x:v>Standard Class</x:v>
      </x:c>
      <x:c r="N741" s="12" t="n">
        <x:v>5</x:v>
      </x:c>
      <x:c r="O741" s="12" t="n">
        <x:v>2393.86</x:v>
      </x:c>
      <x:c r="P741" s="12" t="n">
        <x:v>0.05</x:v>
      </x:c>
      <x:c r="Q741" s="12" t="n">
        <x:v>11370.84</x:v>
      </x:c>
      <x:c r="R741" s="12" t="n">
        <x:v>7469.58</x:v>
      </x:c>
      <x:c r="S741" s="12" t="n">
        <x:v>3901.26</x:v>
      </x:c>
      <x:c r="T741" s="12" t="str">
        <x:v>Paid</x:v>
      </x:c>
      <x:c r="U741" s="12" t="str">
        <x:v>Completed</x:v>
      </x:c>
    </x:row>
    <x:row r="742">
      <x:c r="A742" s="12" t="str">
        <x:v>ORD-2024-10741</x:v>
      </x:c>
      <x:c r="B742" s="12" t="str">
        <x:v>02 Apr 2024</x:v>
      </x:c>
      <x:c r="C742" s="12" t="str">
        <x:v>04/02/2024</x:v>
      </x:c>
      <x:c r="D742" s="12" t="str">
        <x:v>CUST-7932</x:v>
      </x:c>
      <x:c r="E742" s="12" t="str">
        <x:v>Sneha Kapoor</x:v>
      </x:c>
      <x:c r="F742" s="12" t="str">
        <x:v>Small Business</x:v>
      </x:c>
      <x:c r="G742" s="12" t="str">
        <x:v>West</x:v>
      </x:c>
      <x:c r="H742" s="12" t="str">
        <x:v>Maharashtra</x:v>
      </x:c>
      <x:c r="I742" s="12" t="str">
        <x:v>Mumbai</x:v>
      </x:c>
      <x:c r="J742" s="12" t="str">
        <x:v>Furniture</x:v>
      </x:c>
      <x:c r="K742" s="12" t="str">
        <x:v>Chairs</x:v>
      </x:c>
      <x:c r="L742" s="12" t="str">
        <x:v>Eco Chairs 883</x:v>
      </x:c>
      <x:c r="M742" s="12" t="str">
        <x:v>First Class</x:v>
      </x:c>
      <x:c r="N742" s="12" t="n">
        <x:v>4</x:v>
      </x:c>
      <x:c r="O742" s="12" t="n">
        <x:v>2583</x:v>
      </x:c>
      <x:c r="P742" s="12" t="n">
        <x:v>0.1</x:v>
      </x:c>
      <x:c r="Q742" s="12" t="n">
        <x:v>9298.8</x:v>
      </x:c>
      <x:c r="R742" s="12" t="n">
        <x:v>6548.5</x:v>
      </x:c>
      <x:c r="S742" s="12" t="n">
        <x:v>2750.3</x:v>
      </x:c>
      <x:c r="T742" s="12" t="str">
        <x:v>Paid</x:v>
      </x:c>
      <x:c r="U742" s="12" t="str">
        <x:v>Completed</x:v>
      </x:c>
    </x:row>
    <x:row r="743">
      <x:c r="A743" s="12" t="str">
        <x:v>ORD-2025-10742</x:v>
      </x:c>
      <x:c r="B743" s="12" t="str">
        <x:v>04/23/2025</x:v>
      </x:c>
      <x:c r="C743" s="12" t="str">
        <x:v>2025-04-25</x:v>
      </x:c>
      <x:c r="D743" s="12" t="str">
        <x:v>CUST-3285</x:v>
      </x:c>
      <x:c r="E743" s="12" t="str">
        <x:v>Isha Nair</x:v>
      </x:c>
      <x:c r="F743" s="12" t="str">
        <x:v>Home Office</x:v>
      </x:c>
      <x:c r="G743" s="12" t="str">
        <x:v>South</x:v>
      </x:c>
      <x:c r="H743" s="12" t="str">
        <x:v>Tamil Nadu</x:v>
      </x:c>
      <x:c r="I743" s="12" t="str">
        <x:v>Chennai</x:v>
      </x:c>
      <x:c r="J743" s="12" t="str">
        <x:v>Furniture</x:v>
      </x:c>
      <x:c r="K743" s="12" t="str">
        <x:v>Chairs</x:v>
      </x:c>
      <x:c r="L743" s="12" t="str">
        <x:v>Max Chairs 706</x:v>
      </x:c>
      <x:c r="M743" s="12" t="str">
        <x:v>Second Class</x:v>
      </x:c>
      <x:c r="N743" s="12" t="n">
        <x:v>3</x:v>
      </x:c>
      <x:c r="O743" s="12" t="n">
        <x:v>2951.12</x:v>
      </x:c>
      <x:c r="P743" s="12"/>
      <x:c r="Q743" s="12" t="n">
        <x:v>7082.69</x:v>
      </x:c>
      <x:c r="R743" s="12" t="n">
        <x:v>5596.34</x:v>
      </x:c>
      <x:c r="S743" s="12" t="n">
        <x:v>1486.35</x:v>
      </x:c>
      <x:c r="T743" s="12" t="str">
        <x:v>Paid</x:v>
      </x:c>
      <x:c r="U743" s="12" t="str">
        <x:v>Cancelled</x:v>
      </x:c>
    </x:row>
    <x:row r="744">
      <x:c r="A744" s="12" t="str">
        <x:v>ORD-2024-10743</x:v>
      </x:c>
      <x:c r="B744" s="12" t="str">
        <x:v>10/15/2024</x:v>
      </x:c>
      <x:c r="C744" s="12" t="str">
        <x:v>22 Oct 2024</x:v>
      </x:c>
      <x:c r="D744" s="12" t="str">
        <x:v>CUST-6368</x:v>
      </x:c>
      <x:c r="E744" s="12" t="str">
        <x:v>Karan Malhotra</x:v>
      </x:c>
      <x:c r="F744" s="12" t="str">
        <x:v>Corporate</x:v>
      </x:c>
      <x:c r="G744" s="12" t="str">
        <x:v>east</x:v>
      </x:c>
      <x:c r="H744" s="12" t="str">
        <x:v>Odisha</x:v>
      </x:c>
      <x:c r="I744" s="12" t="str">
        <x:v>Bhubaneswar</x:v>
      </x:c>
      <x:c r="J744" s="12" t="str">
        <x:v>Office Supplies</x:v>
      </x:c>
      <x:c r="K744" s="12" t="str">
        <x:v>Paper</x:v>
      </x:c>
      <x:c r="L744" s="12" t="str">
        <x:v>Prime Paper 768</x:v>
      </x:c>
      <x:c r="M744" s="12" t="str">
        <x:v>Standard Class</x:v>
      </x:c>
      <x:c r="N744" s="12" t="n">
        <x:v>4</x:v>
      </x:c>
      <x:c r="O744" s="12" t="n">
        <x:v>2260.95</x:v>
      </x:c>
      <x:c r="P744" s="12" t="n">
        <x:v>0</x:v>
      </x:c>
      <x:c r="Q744" s="12" t="n">
        <x:v>9043.8</x:v>
      </x:c>
      <x:c r="R744" s="12" t="n">
        <x:v>5913.38</x:v>
      </x:c>
      <x:c r="S744" s="12" t="n">
        <x:v>3130.42</x:v>
      </x:c>
      <x:c r="T744" s="12" t="str">
        <x:v>Paid</x:v>
      </x:c>
      <x:c r="U744" s="12" t="str">
        <x:v>Completed</x:v>
      </x:c>
    </x:row>
    <x:row r="745">
      <x:c r="A745" s="12" t="str">
        <x:v>ORD-2025-10744</x:v>
      </x:c>
      <x:c r="B745" s="12" t="str">
        <x:v>02/12/2025</x:v>
      </x:c>
      <x:c r="C745" s="12" t="str">
        <x:v>14 Feb 2025</x:v>
      </x:c>
      <x:c r="D745" s="12" t="str">
        <x:v>CUST-6231</x:v>
      </x:c>
      <x:c r="E745" s="12" t="str">
        <x:v>Sneha Kapoor</x:v>
      </x:c>
      <x:c r="F745" s="12" t="str">
        <x:v>Consumer</x:v>
      </x:c>
      <x:c r="G745" s="12" t="str">
        <x:v>North</x:v>
      </x:c>
      <x:c r="H745" s="12" t="str">
        <x:v>Uttar Pradesh</x:v>
      </x:c>
      <x:c r="I745" s="12" t="str">
        <x:v>Noida</x:v>
      </x:c>
      <x:c r="J745" s="12" t="str">
        <x:v>Office Supplies</x:v>
      </x:c>
      <x:c r="K745" s="12" t="str">
        <x:v>Art</x:v>
      </x:c>
      <x:c r="L745" s="12" t="str">
        <x:v>Basic Art 764</x:v>
      </x:c>
      <x:c r="M745" s="12" t="str">
        <x:v>Standard Class</x:v>
      </x:c>
      <x:c r="N745" s="12" t="n">
        <x:v>6</x:v>
      </x:c>
      <x:c r="O745" s="12" t="n">
        <x:v>491.4</x:v>
      </x:c>
      <x:c r="P745" s="12" t="n">
        <x:v>0.25</x:v>
      </x:c>
      <x:c r="Q745" s="12" t="n">
        <x:v>2211.3</x:v>
      </x:c>
      <x:c r="R745" s="12" t="n">
        <x:v>1735.64</x:v>
      </x:c>
      <x:c r="S745" s="12" t="n">
        <x:v>475.66</x:v>
      </x:c>
      <x:c r="T745" s="12" t="str">
        <x:v>Paid</x:v>
      </x:c>
      <x:c r="U745" s="12" t="str">
        <x:v>Completed</x:v>
      </x:c>
    </x:row>
    <x:row r="746">
      <x:c r="A746" s="12" t="str">
        <x:v>ORD-2025-10745</x:v>
      </x:c>
      <x:c r="B746" s="12" t="str">
        <x:v>2025-08-17</x:v>
      </x:c>
      <x:c r="C746" s="12" t="str">
        <x:v>2025-08-20</x:v>
      </x:c>
      <x:c r="D746" s="12" t="str">
        <x:v>CUST-2021</x:v>
      </x:c>
      <x:c r="E746" s="12" t="str">
        <x:v>Mira Das</x:v>
      </x:c>
      <x:c r="F746" s="12" t="str">
        <x:v>Home Office</x:v>
      </x:c>
      <x:c r="G746" s="12" t="str">
        <x:v>North</x:v>
      </x:c>
      <x:c r="H746" s="12" t="str">
        <x:v>Punjab</x:v>
      </x:c>
      <x:c r="I746" s="12" t="str">
        <x:v>Ludhiana</x:v>
      </x:c>
      <x:c r="J746" s="12" t="str">
        <x:v>Office Supplies</x:v>
      </x:c>
      <x:c r="K746" s="12" t="str">
        <x:v>Binders</x:v>
      </x:c>
      <x:c r="L746" s="12" t="str">
        <x:v>Prime Binders 181</x:v>
      </x:c>
      <x:c r="M746" s="12" t="str">
        <x:v>First Class</x:v>
      </x:c>
      <x:c r="N746" s="12" t="n">
        <x:v>5</x:v>
      </x:c>
      <x:c r="O746" s="12" t="n">
        <x:v>2701.89</x:v>
      </x:c>
      <x:c r="P746" s="12" t="n">
        <x:v>0.1</x:v>
      </x:c>
      <x:c r="Q746" s="12" t="n">
        <x:v>12158.5</x:v>
      </x:c>
      <x:c r="R746" s="12" t="n">
        <x:v>10260.07</x:v>
      </x:c>
      <x:c r="S746" s="12" t="n">
        <x:v>1898.43</x:v>
      </x:c>
      <x:c r="T746" s="12" t="str">
        <x:v>Paid</x:v>
      </x:c>
      <x:c r="U746" s="12" t="str">
        <x:v>Cancelled</x:v>
      </x:c>
    </x:row>
    <x:row r="747">
      <x:c r="A747" s="12" t="str">
        <x:v>ORD-2024-10746</x:v>
      </x:c>
      <x:c r="B747" s="12" t="str">
        <x:v>24 Oct 2024</x:v>
      </x:c>
      <x:c r="C747" s="12" t="str">
        <x:v>28-10-2024</x:v>
      </x:c>
      <x:c r="D747" s="12" t="str">
        <x:v>CUST-1493</x:v>
      </x:c>
      <x:c r="E747" s="12" t="str">
        <x:v>Mira Das</x:v>
      </x:c>
      <x:c r="F747" s="12" t="str">
        <x:v>Small Business</x:v>
      </x:c>
      <x:c r="G747" s="12" t="str">
        <x:v>East</x:v>
      </x:c>
      <x:c r="H747" s="12" t="str">
        <x:v>Assam</x:v>
      </x:c>
      <x:c r="I747" s="12" t="str">
        <x:v>Guwahati</x:v>
      </x:c>
      <x:c r="J747" s="12" t="str">
        <x:v>Technology</x:v>
      </x:c>
      <x:c r="K747" s="12" t="str">
        <x:v>Copiers</x:v>
      </x:c>
      <x:c r="L747" s="12" t="str">
        <x:v>Max Copiers 866</x:v>
      </x:c>
      <x:c r="M747" s="12" t="str">
        <x:v>Standard Class</x:v>
      </x:c>
      <x:c r="N747" s="12" t="n">
        <x:v>3</x:v>
      </x:c>
      <x:c r="O747" s="12" t="n">
        <x:v>723.59</x:v>
      </x:c>
      <x:c r="P747" s="12" t="n">
        <x:v>0.2</x:v>
      </x:c>
      <x:c r="Q747" s="12" t="n">
        <x:v>1736.62</x:v>
      </x:c>
      <x:c r="R747" s="12" t="n">
        <x:v>1059.52</x:v>
      </x:c>
      <x:c r="S747" s="12" t="n">
        <x:v>677.1</x:v>
      </x:c>
      <x:c r="T747" s="12" t="str">
        <x:v>Paid</x:v>
      </x:c>
      <x:c r="U747" s="12" t="str">
        <x:v>Completed</x:v>
      </x:c>
    </x:row>
    <x:row r="748">
      <x:c r="A748" s="12" t="str">
        <x:v>ORD-2025-10747</x:v>
      </x:c>
      <x:c r="B748" s="12" t="str">
        <x:v>2025-01-04</x:v>
      </x:c>
      <x:c r="C748" s="12" t="str">
        <x:v>10-01-2025</x:v>
      </x:c>
      <x:c r="D748" s="12" t="str">
        <x:v>CUST-2314</x:v>
      </x:c>
      <x:c r="E748" s="12" t="str">
        <x:v>Aarav Sharma</x:v>
      </x:c>
      <x:c r="F748" s="12" t="str">
        <x:v>Home Office</x:v>
      </x:c>
      <x:c r="G748" s="12" t="str">
        <x:v>East</x:v>
      </x:c>
      <x:c r="H748" s="12" t="str">
        <x:v>West Bengal</x:v>
      </x:c>
      <x:c r="I748" s="12" t="str">
        <x:v>Kolkata</x:v>
      </x:c>
      <x:c r="J748" s="12" t="str">
        <x:v>Office Supplies</x:v>
      </x:c>
      <x:c r="K748" s="12" t="str">
        <x:v>Paper</x:v>
      </x:c>
      <x:c r="L748" s="12" t="str">
        <x:v>Pro Paper 662</x:v>
      </x:c>
      <x:c r="M748" s="12" t="str">
        <x:v>Standard Class</x:v>
      </x:c>
      <x:c r="N748" s="12" t="n">
        <x:v>4</x:v>
      </x:c>
      <x:c r="O748" s="12" t="n">
        <x:v>2583.19</x:v>
      </x:c>
      <x:c r="P748" s="12" t="n">
        <x:v>0.2</x:v>
      </x:c>
      <x:c r="Q748" s="12" t="n">
        <x:v>8266.21</x:v>
      </x:c>
      <x:c r="R748" s="12" t="n">
        <x:v>6236.32</x:v>
      </x:c>
      <x:c r="S748" s="12" t="n">
        <x:v>2029.89</x:v>
      </x:c>
      <x:c r="T748" s="12" t="str">
        <x:v>Paid</x:v>
      </x:c>
      <x:c r="U748" s="12" t="str">
        <x:v>Completed</x:v>
      </x:c>
    </x:row>
    <x:row r="749">
      <x:c r="A749" s="12" t="str">
        <x:v>ORD-2024-10748</x:v>
      </x:c>
      <x:c r="B749" s="12" t="str">
        <x:v>2024-05-01</x:v>
      </x:c>
      <x:c r="C749" s="12" t="str">
        <x:v>07 May 2024</x:v>
      </x:c>
      <x:c r="D749" s="12" t="str">
        <x:v>CUST-8416</x:v>
      </x:c>
      <x:c r="E749" s="12" t="str">
        <x:v>Isha Nair</x:v>
      </x:c>
      <x:c r="F749" s="12" t="str">
        <x:v>Home Office</x:v>
      </x:c>
      <x:c r="G749" s="12" t="str">
        <x:v>East</x:v>
      </x:c>
      <x:c r="H749" s="12" t="str">
        <x:v>Odisha</x:v>
      </x:c>
      <x:c r="I749" s="12" t="str">
        <x:v>Bhubaneswar</x:v>
      </x:c>
      <x:c r="J749" s="12" t="str">
        <x:v>Office Supplies</x:v>
      </x:c>
      <x:c r="K749" s="12" t="str">
        <x:v>Paper</x:v>
      </x:c>
      <x:c r="L749" s="12" t="str">
        <x:v>Classic Paper 388</x:v>
      </x:c>
      <x:c r="M749" s="12" t="str">
        <x:v>Same Day</x:v>
      </x:c>
      <x:c r="N749" s="12" t="n">
        <x:v>8</x:v>
      </x:c>
      <x:c r="O749" s="12" t="n">
        <x:v>1473.83</x:v>
      </x:c>
      <x:c r="P749" s="12" t="n">
        <x:v>0.15</x:v>
      </x:c>
      <x:c r="Q749" s="12" t="n">
        <x:v>10022.04</x:v>
      </x:c>
      <x:c r="R749" s="12" t="n">
        <x:v>5576.98</x:v>
      </x:c>
      <x:c r="S749" s="12" t="n">
        <x:v>4445.06</x:v>
      </x:c>
      <x:c r="T749" s="12" t="str">
        <x:v>Paid</x:v>
      </x:c>
      <x:c r="U749" s="12" t="str">
        <x:v>Completed</x:v>
      </x:c>
    </x:row>
    <x:row r="750">
      <x:c r="A750" s="12" t="str">
        <x:v>ORD-2024-10749</x:v>
      </x:c>
      <x:c r="B750" s="12" t="str">
        <x:v>30-05-2024</x:v>
      </x:c>
      <x:c r="C750" s="12" t="str">
        <x:v>05/30/2024</x:v>
      </x:c>
      <x:c r="D750" s="12" t="str">
        <x:v>CUST-3103</x:v>
      </x:c>
      <x:c r="E750" s="12" t="str">
        <x:v>Diya Patel</x:v>
      </x:c>
      <x:c r="F750" s="12" t="str">
        <x:v>Home Office</x:v>
      </x:c>
      <x:c r="G750" s="12" t="str">
        <x:v>North</x:v>
      </x:c>
      <x:c r="H750" s="12" t="str">
        <x:v>Haryana</x:v>
      </x:c>
      <x:c r="I750" s="12" t="str">
        <x:v>Gurugram</x:v>
      </x:c>
      <x:c r="J750" s="12" t="str">
        <x:v>Technology</x:v>
      </x:c>
      <x:c r="K750" s="12" t="str">
        <x:v>Phones</x:v>
      </x:c>
      <x:c r="L750" s="12" t="str">
        <x:v>Pro Phones 765</x:v>
      </x:c>
      <x:c r="M750" s="12" t="str">
        <x:v>Second Class</x:v>
      </x:c>
      <x:c r="N750" s="12" t="n">
        <x:v>1</x:v>
      </x:c>
      <x:c r="O750" s="12" t="n">
        <x:v>3848.04</x:v>
      </x:c>
      <x:c r="P750" s="12" t="n">
        <x:v>0.25</x:v>
      </x:c>
      <x:c r="Q750" s="12" t="n">
        <x:v>2886.03</x:v>
      </x:c>
      <x:c r="R750" s="12" t="n">
        <x:v>2064.83</x:v>
      </x:c>
      <x:c r="S750" s="12" t="n">
        <x:v>821.2</x:v>
      </x:c>
      <x:c r="T750" s="12" t="str">
        <x:v>Paid</x:v>
      </x:c>
      <x:c r="U750" s="12" t="str">
        <x:v>Completed</x:v>
      </x:c>
    </x:row>
    <x:row r="751">
      <x:c r="A751" s="12" t="str">
        <x:v>ORD-2024-10750</x:v>
      </x:c>
      <x:c r="B751" s="12" t="str">
        <x:v>21 Mar 2024</x:v>
      </x:c>
      <x:c r="C751" s="12" t="str">
        <x:v>2024-03-25</x:v>
      </x:c>
      <x:c r="D751" s="12" t="str">
        <x:v>CUST-4457</x:v>
      </x:c>
      <x:c r="E751" s="12" t="str">
        <x:v>Aditi Sen</x:v>
      </x:c>
      <x:c r="F751" s="12" t="str">
        <x:v>Home Office</x:v>
      </x:c>
      <x:c r="G751" s="12" t="str">
        <x:v>East</x:v>
      </x:c>
      <x:c r="H751" s="12" t="str">
        <x:v>Assam</x:v>
      </x:c>
      <x:c r="I751" s="12" t="str">
        <x:v>Guwahati</x:v>
      </x:c>
      <x:c r="J751" s="12" t="str">
        <x:v>Technology</x:v>
      </x:c>
      <x:c r="K751" s="12" t="str">
        <x:v>Machines</x:v>
      </x:c>
      <x:c r="L751" s="12" t="str">
        <x:v>Classic Machines 543</x:v>
      </x:c>
      <x:c r="M751" s="12" t="str">
        <x:v>Standard Class</x:v>
      </x:c>
      <x:c r="N751" s="12" t="n">
        <x:v>1</x:v>
      </x:c>
      <x:c r="O751" s="12" t="n">
        <x:v>1716.7</x:v>
      </x:c>
      <x:c r="P751" s="12" t="n">
        <x:v>0.15</x:v>
      </x:c>
      <x:c r="Q751" s="12" t="n">
        <x:v>1459.19</x:v>
      </x:c>
      <x:c r="R751" s="12" t="n">
        <x:v>1055.79</x:v>
      </x:c>
      <x:c r="S751" s="12" t="n">
        <x:v>403.4</x:v>
      </x:c>
      <x:c r="T751" s="12" t="str">
        <x:v>Paid</x:v>
      </x:c>
      <x:c r="U751" s="12" t="str">
        <x:v>Completed</x:v>
      </x:c>
    </x:row>
    <x:row r="752">
      <x:c r="A752" s="12" t="str">
        <x:v>ORD-2025-10751</x:v>
      </x:c>
      <x:c r="B752" s="12" t="str">
        <x:v>06/02/2025</x:v>
      </x:c>
      <x:c r="C752" s="12" t="str">
        <x:v>2025-06-02</x:v>
      </x:c>
      <x:c r="D752" s="12" t="str">
        <x:v>CUST-7036</x:v>
      </x:c>
      <x:c r="E752" s="12" t="str">
        <x:v>Aarav Sharma</x:v>
      </x:c>
      <x:c r="F752" s="12" t="str">
        <x:v>Home Office</x:v>
      </x:c>
      <x:c r="G752" s="12" t="str">
        <x:v>South</x:v>
      </x:c>
      <x:c r="H752" s="12" t="str">
        <x:v>Telangana</x:v>
      </x:c>
      <x:c r="I752" s="12" t="str">
        <x:v>Hyderabad</x:v>
      </x:c>
      <x:c r="J752" s="12" t="str">
        <x:v>Technology</x:v>
      </x:c>
      <x:c r="K752" s="12" t="str">
        <x:v>Accessories</x:v>
      </x:c>
      <x:c r="L752" s="12" t="str">
        <x:v>Max Accessories 291</x:v>
      </x:c>
      <x:c r="M752" s="12" t="str">
        <x:v>First Class</x:v>
      </x:c>
      <x:c r="N752" s="12" t="n">
        <x:v>8</x:v>
      </x:c>
      <x:c r="O752" s="12" t="n">
        <x:v>3925.93</x:v>
      </x:c>
      <x:c r="P752" s="12" t="n">
        <x:v>0.15</x:v>
      </x:c>
      <x:c r="Q752" s="12" t="n">
        <x:v>26696.32</x:v>
      </x:c>
      <x:c r="R752" s="12" t="n">
        <x:v>22724.52</x:v>
      </x:c>
      <x:c r="S752" s="12" t="n">
        <x:v>3971.8</x:v>
      </x:c>
      <x:c r="T752" s="12" t="str">
        <x:v>Paid</x:v>
      </x:c>
      <x:c r="U752" s="12" t="str">
        <x:v>Completed</x:v>
      </x:c>
    </x:row>
    <x:row r="753">
      <x:c r="A753" s="12" t="str">
        <x:v>ORD-2025-10752</x:v>
      </x:c>
      <x:c r="B753" s="12" t="str">
        <x:v>18-07-2025</x:v>
      </x:c>
      <x:c r="C753" s="12" t="str">
        <x:v>19-07-2025</x:v>
      </x:c>
      <x:c r="D753" s="12" t="str">
        <x:v>CUST-8512</x:v>
      </x:c>
      <x:c r="E753" s="12" t="str">
        <x:v>Priya Menon</x:v>
      </x:c>
      <x:c r="F753" s="12" t="str">
        <x:v>Home Office</x:v>
      </x:c>
      <x:c r="G753" s="12"/>
      <x:c r="H753" s="12" t="str">
        <x:v>Uttar Pradesh</x:v>
      </x:c>
      <x:c r="I753" s="12" t="str">
        <x:v>Noida</x:v>
      </x:c>
      <x:c r="J753" s="12" t="str">
        <x:v>Technology</x:v>
      </x:c>
      <x:c r="K753" s="12" t="str">
        <x:v>Machines</x:v>
      </x:c>
      <x:c r="L753" s="12" t="str">
        <x:v>Eco Machines 414</x:v>
      </x:c>
      <x:c r="M753" s="12"/>
      <x:c r="N753" s="12" t="n">
        <x:v>3</x:v>
      </x:c>
      <x:c r="O753" s="12" t="n">
        <x:v>2963.25</x:v>
      </x:c>
      <x:c r="P753" s="12" t="n">
        <x:v>0.05</x:v>
      </x:c>
      <x:c r="Q753" s="12" t="n">
        <x:v>8445.26</x:v>
      </x:c>
      <x:c r="R753" s="12" t="n">
        <x:v>6937.6</x:v>
      </x:c>
      <x:c r="S753" s="12" t="n">
        <x:v>1507.66</x:v>
      </x:c>
      <x:c r="T753" s="12" t="str">
        <x:v>Paid</x:v>
      </x:c>
      <x:c r="U753" s="12" t="str">
        <x:v>Completed</x:v>
      </x:c>
    </x:row>
    <x:row r="754">
      <x:c r="A754" s="12" t="str">
        <x:v>ORD-2024-10753</x:v>
      </x:c>
      <x:c r="B754" s="12" t="str">
        <x:v>24-03-2024</x:v>
      </x:c>
      <x:c r="C754" s="12" t="str">
        <x:v>27-03-2024</x:v>
      </x:c>
      <x:c r="D754" s="12" t="str">
        <x:v>CUST-6345</x:v>
      </x:c>
      <x:c r="E754" s="12" t="str">
        <x:v>Aditi Sen</x:v>
      </x:c>
      <x:c r="F754" s="12" t="str">
        <x:v>Corporate</x:v>
      </x:c>
      <x:c r="G754" s="12" t="str">
        <x:v>West </x:v>
      </x:c>
      <x:c r="H754" s="12" t="str">
        <x:v>Gujarat</x:v>
      </x:c>
      <x:c r="I754" s="12" t="str">
        <x:v>Ahmedabad</x:v>
      </x:c>
      <x:c r="J754" s="12" t="str">
        <x:v>Office Supplies</x:v>
      </x:c>
      <x:c r="K754" s="12" t="str">
        <x:v>Storage</x:v>
      </x:c>
      <x:c r="L754" s="12" t="str">
        <x:v>Basic Storage 273</x:v>
      </x:c>
      <x:c r="M754" s="12" t="str">
        <x:v>First Class</x:v>
      </x:c>
      <x:c r="N754" s="12" t="n">
        <x:v>5</x:v>
      </x:c>
      <x:c r="O754" s="12" t="n">
        <x:v>2465.22</x:v>
      </x:c>
      <x:c r="P754" s="12" t="n">
        <x:v>0.05</x:v>
      </x:c>
      <x:c r="Q754" s="12" t="n">
        <x:v>11709.79</x:v>
      </x:c>
      <x:c r="R754" s="12" t="n">
        <x:v>8372.29</x:v>
      </x:c>
      <x:c r="S754" s="12" t="n">
        <x:v>3337.5</x:v>
      </x:c>
      <x:c r="T754" s="12" t="str">
        <x:v>Paid</x:v>
      </x:c>
      <x:c r="U754" s="12" t="str">
        <x:v>Completed</x:v>
      </x:c>
    </x:row>
    <x:row r="755">
      <x:c r="A755" s="12" t="str">
        <x:v>ORD-2024-10754</x:v>
      </x:c>
      <x:c r="B755" s="12" t="str">
        <x:v>11 Aug 2024</x:v>
      </x:c>
      <x:c r="C755" s="12" t="str">
        <x:v>10-08-2024</x:v>
      </x:c>
      <x:c r="D755" s="12" t="str">
        <x:v>CUST-4505</x:v>
      </x:c>
      <x:c r="E755" s="12" t="str">
        <x:v>Aditi Sen</x:v>
      </x:c>
      <x:c r="F755" s="12" t="str">
        <x:v>Corporate</x:v>
      </x:c>
      <x:c r="G755" s="12" t="str">
        <x:v>North</x:v>
      </x:c>
      <x:c r="H755" s="12" t="str">
        <x:v>Delhi</x:v>
      </x:c>
      <x:c r="I755" s="12" t="str">
        <x:v>New Delhi</x:v>
      </x:c>
      <x:c r="J755" s="12" t="str">
        <x:v>  Furniture </x:v>
      </x:c>
      <x:c r="K755" s="12" t="str">
        <x:v>Furnishings</x:v>
      </x:c>
      <x:c r="L755" s="12" t="str">
        <x:v>Elite Furnishings 588</x:v>
      </x:c>
      <x:c r="M755" s="12" t="str">
        <x:v>Second Class</x:v>
      </x:c>
      <x:c r="N755" s="12" t="n">
        <x:v>3</x:v>
      </x:c>
      <x:c r="O755" s="12" t="n">
        <x:v>1017.22</x:v>
      </x:c>
      <x:c r="P755" s="12" t="n">
        <x:v>0.15</x:v>
      </x:c>
      <x:c r="Q755" s="12" t="n">
        <x:v>2593.91</x:v>
      </x:c>
      <x:c r="R755" s="12" t="n">
        <x:v>1848.48</x:v>
      </x:c>
      <x:c r="S755" s="12" t="n">
        <x:v>745.43</x:v>
      </x:c>
      <x:c r="T755" s="12" t="str">
        <x:v>Failed</x:v>
      </x:c>
      <x:c r="U755" s="12" t="str">
        <x:v>Returned</x:v>
      </x:c>
    </x:row>
    <x:row r="756">
      <x:c r="A756" s="12" t="str">
        <x:v>ORD-2025-10755</x:v>
      </x:c>
      <x:c r="B756" s="12" t="str">
        <x:v>06/04/2025</x:v>
      </x:c>
      <x:c r="C756" s="12" t="str">
        <x:v>06/04/2025</x:v>
      </x:c>
      <x:c r="D756" s="12" t="str">
        <x:v>CUST-7960</x:v>
      </x:c>
      <x:c r="E756" s="12" t="str">
        <x:v>Neha Gupta</x:v>
      </x:c>
      <x:c r="F756" s="12" t="str">
        <x:v>Corporate</x:v>
      </x:c>
      <x:c r="G756" s="12" t="str">
        <x:v>South</x:v>
      </x:c>
      <x:c r="H756" s="12" t="str">
        <x:v>Kerala</x:v>
      </x:c>
      <x:c r="I756" s="12" t="str">
        <x:v>Kochi</x:v>
      </x:c>
      <x:c r="J756" s="12" t="str">
        <x:v>Office Supplies</x:v>
      </x:c>
      <x:c r="K756" s="12" t="str">
        <x:v>Storage</x:v>
      </x:c>
      <x:c r="L756" s="12" t="str">
        <x:v>Elite Storage 857</x:v>
      </x:c>
      <x:c r="M756" s="12" t="str">
        <x:v>Standard Class</x:v>
      </x:c>
      <x:c r="N756" s="12" t="n">
        <x:v>4</x:v>
      </x:c>
      <x:c r="O756" s="12" t="n">
        <x:v>891.34</x:v>
      </x:c>
      <x:c r="P756" s="12" t="n">
        <x:v>0.25</x:v>
      </x:c>
      <x:c r="Q756" s="12" t="n">
        <x:v>2674.02</x:v>
      </x:c>
      <x:c r="R756" s="12" t="n">
        <x:v>2207.57</x:v>
      </x:c>
      <x:c r="S756" s="12" t="n">
        <x:v>466.45</x:v>
      </x:c>
      <x:c r="T756" s="12" t="str">
        <x:v>Paid</x:v>
      </x:c>
      <x:c r="U756" s="12" t="str">
        <x:v>Completed</x:v>
      </x:c>
    </x:row>
    <x:row r="757">
      <x:c r="A757" s="12" t="str">
        <x:v>ORD-2025-10756</x:v>
      </x:c>
      <x:c r="B757" s="12" t="str">
        <x:v>20-07-2025</x:v>
      </x:c>
      <x:c r="C757" s="12" t="str">
        <x:v>24-07-2025</x:v>
      </x:c>
      <x:c r="D757" s="12" t="str">
        <x:v>CUST-3365</x:v>
      </x:c>
      <x:c r="E757" s="12" t="str">
        <x:v>Priya Menon</x:v>
      </x:c>
      <x:c r="F757" s="12" t="str">
        <x:v>Home Office</x:v>
      </x:c>
      <x:c r="G757" s="12" t="str">
        <x:v>West</x:v>
      </x:c>
      <x:c r="H757" s="12" t="str">
        <x:v>Madhya Pradesh</x:v>
      </x:c>
      <x:c r="I757" s="12" t="str">
        <x:v>Indore</x:v>
      </x:c>
      <x:c r="J757" s="12" t="str">
        <x:v>Office Supplies</x:v>
      </x:c>
      <x:c r="K757" s="12" t="str">
        <x:v>Storage</x:v>
      </x:c>
      <x:c r="L757" s="12" t="str">
        <x:v>Prime Storage 183</x:v>
      </x:c>
      <x:c r="M757" s="12" t="str">
        <x:v>Second Class</x:v>
      </x:c>
      <x:c r="N757" s="12" t="n">
        <x:v>5</x:v>
      </x:c>
      <x:c r="O757" s="12" t="n">
        <x:v>2481.74</x:v>
      </x:c>
      <x:c r="P757" s="12" t="n">
        <x:v>0.2</x:v>
      </x:c>
      <x:c r="Q757" s="12" t="n">
        <x:v>9926.96</x:v>
      </x:c>
      <x:c r="R757" s="12" t="n">
        <x:v>7994.98</x:v>
      </x:c>
      <x:c r="S757" s="12" t="n">
        <x:v>1931.98</x:v>
      </x:c>
      <x:c r="T757" s="12" t="str">
        <x:v>Paid</x:v>
      </x:c>
      <x:c r="U757" s="12" t="str">
        <x:v>Completed</x:v>
      </x:c>
    </x:row>
    <x:row r="758">
      <x:c r="A758" s="12" t="str">
        <x:v>ORD-2024-10757</x:v>
      </x:c>
      <x:c r="B758" s="12" t="str">
        <x:v>10/27/2024</x:v>
      </x:c>
      <x:c r="C758" s="12" t="str">
        <x:v>11/01/2024</x:v>
      </x:c>
      <x:c r="D758" s="12" t="str">
        <x:v>CUST-1557</x:v>
      </x:c>
      <x:c r="E758" s="12" t="str">
        <x:v>Rohan Mehta</x:v>
      </x:c>
      <x:c r="F758" s="12" t="str">
        <x:v>Consumer</x:v>
      </x:c>
      <x:c r="G758" s="12" t="str">
        <x:v>North</x:v>
      </x:c>
      <x:c r="H758" s="12" t="str">
        <x:v>Rajasthan</x:v>
      </x:c>
      <x:c r="I758" s="12" t="str">
        <x:v>Jaipur</x:v>
      </x:c>
      <x:c r="J758" s="12" t="str">
        <x:v>Technology</x:v>
      </x:c>
      <x:c r="K758" s="12" t="str">
        <x:v>Accessories</x:v>
      </x:c>
      <x:c r="L758" s="12" t="str">
        <x:v>Smart Accessories 362</x:v>
      </x:c>
      <x:c r="M758" s="12" t="str">
        <x:v>Same Day</x:v>
      </x:c>
      <x:c r="N758" s="12" t="n">
        <x:v>7</x:v>
      </x:c>
      <x:c r="O758" s="12" t="n">
        <x:v>2177.1</x:v>
      </x:c>
      <x:c r="P758" s="12" t="n">
        <x:v>0.2</x:v>
      </x:c>
      <x:c r="Q758" s="12" t="n">
        <x:v>12191.76</x:v>
      </x:c>
      <x:c r="R758" s="12" t="n">
        <x:v>10457.49</x:v>
      </x:c>
      <x:c r="S758" s="12" t="n">
        <x:v>1734.27</x:v>
      </x:c>
      <x:c r="T758" s="12" t="str">
        <x:v>Paid</x:v>
      </x:c>
      <x:c r="U758" s="12" t="str">
        <x:v>Returned</x:v>
      </x:c>
    </x:row>
    <x:row r="759">
      <x:c r="A759" s="12" t="str">
        <x:v>ORD-2025-10758</x:v>
      </x:c>
      <x:c r="B759" s="12" t="str">
        <x:v>01 Aug 2025</x:v>
      </x:c>
      <x:c r="C759" s="12" t="str">
        <x:v>2025-08-03</x:v>
      </x:c>
      <x:c r="D759" s="12" t="str">
        <x:v>CUST-3058</x:v>
      </x:c>
      <x:c r="E759" s="12" t="str">
        <x:v>Aditi Sen</x:v>
      </x:c>
      <x:c r="F759" s="12" t="str">
        <x:v>Small Business</x:v>
      </x:c>
      <x:c r="G759" s="12" t="str">
        <x:v>South</x:v>
      </x:c>
      <x:c r="H759" s="12" t="str">
        <x:v>Kerala</x:v>
      </x:c>
      <x:c r="I759" s="12" t="str">
        <x:v>Kochi</x:v>
      </x:c>
      <x:c r="J759" s="12" t="str">
        <x:v>Furniture</x:v>
      </x:c>
      <x:c r="K759" s="12" t="str">
        <x:v>Bookcases</x:v>
      </x:c>
      <x:c r="L759" s="12" t="str">
        <x:v>Classic Bookcases 310</x:v>
      </x:c>
      <x:c r="M759" s="12" t="str">
        <x:v>Standard Class</x:v>
      </x:c>
      <x:c r="N759" s="12" t="n">
        <x:v>3</x:v>
      </x:c>
      <x:c r="O759" s="12" t="n">
        <x:v>1904.78</x:v>
      </x:c>
      <x:c r="P759" s="12" t="n">
        <x:v>0.25</x:v>
      </x:c>
      <x:c r="Q759" s="12" t="n">
        <x:v>4285.76</x:v>
      </x:c>
      <x:c r="R759" s="12" t="n">
        <x:v>2386.33</x:v>
      </x:c>
      <x:c r="S759" s="12" t="n">
        <x:v>1899.43</x:v>
      </x:c>
      <x:c r="T759" s="12" t="str">
        <x:v>Failed</x:v>
      </x:c>
      <x:c r="U759" s="12" t="str">
        <x:v>Cancelled</x:v>
      </x:c>
    </x:row>
    <x:row r="760">
      <x:c r="A760" s="12" t="str">
        <x:v>ORD-2024-10759</x:v>
      </x:c>
      <x:c r="B760" s="12" t="str">
        <x:v>02 May 2024</x:v>
      </x:c>
      <x:c r="C760" s="12" t="str">
        <x:v>10 May 2024</x:v>
      </x:c>
      <x:c r="D760" s="12" t="str">
        <x:v>CUST-6076</x:v>
      </x:c>
      <x:c r="E760" s="12" t="str">
        <x:v>Aarav Sharma</x:v>
      </x:c>
      <x:c r="F760" s="12" t="str">
        <x:v>Small Business</x:v>
      </x:c>
      <x:c r="G760" s="12" t="str">
        <x:v>South</x:v>
      </x:c>
      <x:c r="H760" s="12" t="str">
        <x:v>Karnataka</x:v>
      </x:c>
      <x:c r="I760" s="12" t="str">
        <x:v>Bengaluru</x:v>
      </x:c>
      <x:c r="J760" s="12" t="str">
        <x:v>Furniture</x:v>
      </x:c>
      <x:c r="K760" s="12" t="str">
        <x:v>Chairs</x:v>
      </x:c>
      <x:c r="L760" s="12" t="str">
        <x:v>Prime Chairs 721</x:v>
      </x:c>
      <x:c r="M760" s="12" t="str">
        <x:v>Standard Class</x:v>
      </x:c>
      <x:c r="N760" s="12" t="n">
        <x:v>1</x:v>
      </x:c>
      <x:c r="O760" s="12" t="n">
        <x:v>4166.91</x:v>
      </x:c>
      <x:c r="P760" s="12" t="n">
        <x:v>0</x:v>
      </x:c>
      <x:c r="Q760" s="12" t="n">
        <x:v>4166.91</x:v>
      </x:c>
      <x:c r="R760" s="12" t="n">
        <x:v>3412.63</x:v>
      </x:c>
      <x:c r="S760" s="12" t="n">
        <x:v>754.28</x:v>
      </x:c>
      <x:c r="T760" s="12" t="str">
        <x:v>Paid</x:v>
      </x:c>
      <x:c r="U760" s="12" t="str">
        <x:v>Completed</x:v>
      </x:c>
    </x:row>
    <x:row r="761">
      <x:c r="A761" s="12" t="str">
        <x:v>ORD-2024-10760</x:v>
      </x:c>
      <x:c r="B761" s="12" t="str">
        <x:v>2024-07-19</x:v>
      </x:c>
      <x:c r="C761" s="12" t="str">
        <x:v>26-07-2024</x:v>
      </x:c>
      <x:c r="D761" s="12" t="str">
        <x:v>CUST-2098</x:v>
      </x:c>
      <x:c r="E761" s="12" t="str">
        <x:v>Arjun Bose</x:v>
      </x:c>
      <x:c r="F761" s="12" t="str">
        <x:v>Home Office</x:v>
      </x:c>
      <x:c r="G761" s="12" t="str">
        <x:v>  South </x:v>
      </x:c>
      <x:c r="H761" s="12" t="str">
        <x:v>Karnataka</x:v>
      </x:c>
      <x:c r="I761" s="12" t="str">
        <x:v>Bengaluru</x:v>
      </x:c>
      <x:c r="J761" s="12" t="str">
        <x:v>Furniture</x:v>
      </x:c>
      <x:c r="K761" s="12" t="str">
        <x:v>Tables</x:v>
      </x:c>
      <x:c r="L761" s="12" t="str">
        <x:v>Prime Tables 797</x:v>
      </x:c>
      <x:c r="M761" s="12" t="str">
        <x:v>Second Class</x:v>
      </x:c>
      <x:c r="N761" s="12" t="n">
        <x:v>5</x:v>
      </x:c>
      <x:c r="O761" s="12" t="n">
        <x:v>3986.01</x:v>
      </x:c>
      <x:c r="P761" s="12" t="n">
        <x:v>0.25</x:v>
      </x:c>
      <x:c r="Q761" s="12" t="n">
        <x:v>14947.54</x:v>
      </x:c>
      <x:c r="R761" s="12" t="n">
        <x:v>9438.46</x:v>
      </x:c>
      <x:c r="S761" s="12" t="n">
        <x:v>5509.08</x:v>
      </x:c>
      <x:c r="T761" s="12" t="str">
        <x:v>Paid</x:v>
      </x:c>
      <x:c r="U761" s="12" t="str">
        <x:v>Completed</x:v>
      </x:c>
    </x:row>
    <x:row r="762">
      <x:c r="A762" s="12" t="str">
        <x:v>ORD-2024-10761</x:v>
      </x:c>
      <x:c r="B762" s="12" t="str">
        <x:v>28-08-2024</x:v>
      </x:c>
      <x:c r="C762" s="12" t="str">
        <x:v>02 Sep 2024</x:v>
      </x:c>
      <x:c r="D762" s="12" t="str">
        <x:v>CUST-7193</x:v>
      </x:c>
      <x:c r="E762" s="12" t="str">
        <x:v>Aditi Sen</x:v>
      </x:c>
      <x:c r="F762" s="12" t="str">
        <x:v>Home Office</x:v>
      </x:c>
      <x:c r="G762" s="12" t="str">
        <x:v>East</x:v>
      </x:c>
      <x:c r="H762" s="12" t="str">
        <x:v>Assam</x:v>
      </x:c>
      <x:c r="I762" s="12" t="str">
        <x:v>Guwahati</x:v>
      </x:c>
      <x:c r="J762" s="12" t="str">
        <x:v>Office Supplies</x:v>
      </x:c>
      <x:c r="K762" s="12" t="str">
        <x:v>Art</x:v>
      </x:c>
      <x:c r="L762" s="12" t="str">
        <x:v>Max Art 926</x:v>
      </x:c>
      <x:c r="M762" s="12" t="str">
        <x:v>Second Class</x:v>
      </x:c>
      <x:c r="N762" s="12" t="n">
        <x:v>4</x:v>
      </x:c>
      <x:c r="O762" s="12" t="n">
        <x:v>3365.53</x:v>
      </x:c>
      <x:c r="P762" s="12" t="n">
        <x:v>0</x:v>
      </x:c>
      <x:c r="Q762" s="12" t="n">
        <x:v>13462.12</x:v>
      </x:c>
      <x:c r="R762" s="12" t="n">
        <x:v>7600.63</x:v>
      </x:c>
      <x:c r="S762" s="12" t="n">
        <x:v>5861.49</x:v>
      </x:c>
      <x:c r="T762" s="12" t="str">
        <x:v>Pending</x:v>
      </x:c>
      <x:c r="U762" s="12" t="str">
        <x:v>Returned</x:v>
      </x:c>
    </x:row>
    <x:row r="763">
      <x:c r="A763" s="12" t="str">
        <x:v>ORD-2025-10762</x:v>
      </x:c>
      <x:c r="B763" s="12" t="str">
        <x:v>27 Aug 2025</x:v>
      </x:c>
      <x:c r="C763" s="12" t="str">
        <x:v>08/31/2025</x:v>
      </x:c>
      <x:c r="D763" s="12" t="str">
        <x:v>CUST-8948</x:v>
      </x:c>
      <x:c r="E763" s="12" t="str">
        <x:v>Isha Nair</x:v>
      </x:c>
      <x:c r="F763" s="12" t="str">
        <x:v>Consumer</x:v>
      </x:c>
      <x:c r="G763" s="12" t="str">
        <x:v>South</x:v>
      </x:c>
      <x:c r="H763" s="12" t="str">
        <x:v>Karnataka</x:v>
      </x:c>
      <x:c r="I763" s="12" t="str">
        <x:v>Bengaluru</x:v>
      </x:c>
      <x:c r="J763" s="12" t="str">
        <x:v>Technology</x:v>
      </x:c>
      <x:c r="K763" s="12" t="str">
        <x:v>Machines</x:v>
      </x:c>
      <x:c r="L763" s="12" t="str">
        <x:v>Max Machines 364</x:v>
      </x:c>
      <x:c r="M763" s="12" t="str">
        <x:v>First Class</x:v>
      </x:c>
      <x:c r="N763" s="12" t="n">
        <x:v>3</x:v>
      </x:c>
      <x:c r="O763" s="12" t="n">
        <x:v>2489.12</x:v>
      </x:c>
      <x:c r="P763" s="12" t="n">
        <x:v>0</x:v>
      </x:c>
      <x:c r="Q763" s="12" t="n">
        <x:v>7467.36</x:v>
      </x:c>
      <x:c r="R763" s="12" t="n">
        <x:v>5010.61</x:v>
      </x:c>
      <x:c r="S763" s="12" t="n">
        <x:v>2456.75</x:v>
      </x:c>
      <x:c r="T763" s="12" t="str">
        <x:v>Paid</x:v>
      </x:c>
      <x:c r="U763" s="12" t="str">
        <x:v>Completed</x:v>
      </x:c>
    </x:row>
    <x:row r="764">
      <x:c r="A764" s="12" t="str">
        <x:v>ORD-2024-10763</x:v>
      </x:c>
      <x:c r="B764" s="12" t="str">
        <x:v>01/01/2024</x:v>
      </x:c>
      <x:c r="C764" s="12" t="str">
        <x:v>05 Jan 2024</x:v>
      </x:c>
      <x:c r="D764" s="12" t="str">
        <x:v>CUST-6921</x:v>
      </x:c>
      <x:c r="E764" s="12" t="str">
        <x:v>Diya Patel</x:v>
      </x:c>
      <x:c r="F764" s="12" t="str">
        <x:v>Corporate</x:v>
      </x:c>
      <x:c r="G764" s="12" t="str">
        <x:v>West</x:v>
      </x:c>
      <x:c r="H764" s="12" t="str">
        <x:v>Madhya Pradesh</x:v>
      </x:c>
      <x:c r="I764" s="12" t="str">
        <x:v>Indore</x:v>
      </x:c>
      <x:c r="J764" s="12" t="str">
        <x:v>Technology</x:v>
      </x:c>
      <x:c r="K764" s="12" t="str">
        <x:v>Machines</x:v>
      </x:c>
      <x:c r="L764" s="12" t="str">
        <x:v>Classic Machines 122</x:v>
      </x:c>
      <x:c r="M764" s="12" t="str">
        <x:v>Second Class</x:v>
      </x:c>
      <x:c r="N764" s="12" t="n">
        <x:v>2</x:v>
      </x:c>
      <x:c r="O764" s="12" t="n">
        <x:v>3694.12</x:v>
      </x:c>
      <x:c r="P764" s="12" t="n">
        <x:v>0.2</x:v>
      </x:c>
      <x:c r="Q764" s="12" t="n">
        <x:v>5910.59</x:v>
      </x:c>
      <x:c r="R764" s="12" t="n">
        <x:v>4775.44</x:v>
      </x:c>
      <x:c r="S764" s="12" t="n">
        <x:v>1135.15</x:v>
      </x:c>
      <x:c r="T764" s="12" t="str">
        <x:v>Refunded</x:v>
      </x:c>
      <x:c r="U764" s="12" t="str">
        <x:v>Returned</x:v>
      </x:c>
    </x:row>
    <x:row r="765">
      <x:c r="A765" s="12" t="str">
        <x:v>ORD-2025-10764</x:v>
      </x:c>
      <x:c r="B765" s="12" t="str">
        <x:v>23 Aug 2025</x:v>
      </x:c>
      <x:c r="C765" s="12" t="str">
        <x:v>2025-08-25</x:v>
      </x:c>
      <x:c r="D765" s="12" t="str">
        <x:v>CUST-4086</x:v>
      </x:c>
      <x:c r="E765" s="12" t="str">
        <x:v>Diya Patel</x:v>
      </x:c>
      <x:c r="F765" s="12" t="str">
        <x:v>Consumer</x:v>
      </x:c>
      <x:c r="G765" s="12" t="str">
        <x:v>North</x:v>
      </x:c>
      <x:c r="H765" s="12" t="str">
        <x:v>Rajasthan</x:v>
      </x:c>
      <x:c r="I765" s="12" t="str">
        <x:v>Jaipur</x:v>
      </x:c>
      <x:c r="J765" s="12" t="str">
        <x:v>Furniture</x:v>
      </x:c>
      <x:c r="K765" s="12" t="str">
        <x:v>Furnishings</x:v>
      </x:c>
      <x:c r="L765" s="12" t="str">
        <x:v>Elite Furnishings 169</x:v>
      </x:c>
      <x:c r="M765" s="12" t="str">
        <x:v>Same Day</x:v>
      </x:c>
      <x:c r="N765" s="12" t="n">
        <x:v>6</x:v>
      </x:c>
      <x:c r="O765" s="12" t="n">
        <x:v>2742.48</x:v>
      </x:c>
      <x:c r="P765" s="12" t="n">
        <x:v>0</x:v>
      </x:c>
      <x:c r="Q765" s="12" t="n">
        <x:v>16454.88</x:v>
      </x:c>
      <x:c r="R765" s="12" t="n">
        <x:v>12081.54</x:v>
      </x:c>
      <x:c r="S765" s="12" t="n">
        <x:v>4373.34</x:v>
      </x:c>
      <x:c r="T765" s="12" t="str">
        <x:v>Paid</x:v>
      </x:c>
      <x:c r="U765" s="12" t="str">
        <x:v>Completed</x:v>
      </x:c>
    </x:row>
    <x:row r="766">
      <x:c r="A766" s="12" t="str">
        <x:v>ORD-2025-10765</x:v>
      </x:c>
      <x:c r="B766" s="12" t="str">
        <x:v>2025-04-13</x:v>
      </x:c>
      <x:c r="C766" s="12" t="str">
        <x:v>13-04-2025</x:v>
      </x:c>
      <x:c r="D766" s="12" t="str">
        <x:v>CUST-5174</x:v>
      </x:c>
      <x:c r="E766" s="12" t="str">
        <x:v>Priya Menon</x:v>
      </x:c>
      <x:c r="F766" s="12" t="str">
        <x:v>Corporate</x:v>
      </x:c>
      <x:c r="G766" s="12" t="str">
        <x:v>South</x:v>
      </x:c>
      <x:c r="H766" s="12" t="str">
        <x:v>Kerala</x:v>
      </x:c>
      <x:c r="I766" s="12" t="str">
        <x:v>Kochi</x:v>
      </x:c>
      <x:c r="J766" s="12" t="str">
        <x:v>Furniture</x:v>
      </x:c>
      <x:c r="K766" s="12" t="str">
        <x:v>Bookcases</x:v>
      </x:c>
      <x:c r="L766" s="12" t="str">
        <x:v>Pro Bookcases 615</x:v>
      </x:c>
      <x:c r="M766" s="12" t="str">
        <x:v>First Class</x:v>
      </x:c>
      <x:c r="N766" s="12" t="n">
        <x:v>6</x:v>
      </x:c>
      <x:c r="O766" s="12" t="n">
        <x:v>4414</x:v>
      </x:c>
      <x:c r="P766" s="12" t="n">
        <x:v>0.05</x:v>
      </x:c>
      <x:c r="Q766" s="12" t="n">
        <x:v>25159.8</x:v>
      </x:c>
      <x:c r="R766" s="12" t="n">
        <x:v>21606.83</x:v>
      </x:c>
      <x:c r="S766" s="12" t="n">
        <x:v>3552.97</x:v>
      </x:c>
      <x:c r="T766" s="12" t="str">
        <x:v>Paid</x:v>
      </x:c>
      <x:c r="U766" s="12" t="str">
        <x:v>Completed</x:v>
      </x:c>
    </x:row>
    <x:row r="767">
      <x:c r="A767" s="12" t="str">
        <x:v>ORD-2025-10766</x:v>
      </x:c>
      <x:c r="B767" s="12" t="str">
        <x:v>29-06-2025</x:v>
      </x:c>
      <x:c r="C767" s="12" t="str">
        <x:v>2025-07-03</x:v>
      </x:c>
      <x:c r="D767" s="12" t="str">
        <x:v>CUST-8747</x:v>
      </x:c>
      <x:c r="E767" s="12" t="str">
        <x:v>Vikram Iyer</x:v>
      </x:c>
      <x:c r="F767" s="12" t="str">
        <x:v>Corporate</x:v>
      </x:c>
      <x:c r="G767" s="12" t="str">
        <x:v>East</x:v>
      </x:c>
      <x:c r="H767" s="12" t="str">
        <x:v>Jharkhand</x:v>
      </x:c>
      <x:c r="I767" s="12" t="str">
        <x:v>Ranchi</x:v>
      </x:c>
      <x:c r="J767" s="12" t="str">
        <x:v>Office Supplies</x:v>
      </x:c>
      <x:c r="K767" s="12" t="str">
        <x:v>Labels</x:v>
      </x:c>
      <x:c r="L767" s="12" t="str">
        <x:v>Max Labels 136</x:v>
      </x:c>
      <x:c r="M767" s="12" t="str">
        <x:v>First Class</x:v>
      </x:c>
      <x:c r="N767" s="12" t="n">
        <x:v>3</x:v>
      </x:c>
      <x:c r="O767" s="12" t="n">
        <x:v>608.14</x:v>
      </x:c>
      <x:c r="P767" s="12" t="n">
        <x:v>0</x:v>
      </x:c>
      <x:c r="Q767" s="12" t="n">
        <x:v>1824.42</x:v>
      </x:c>
      <x:c r="R767" s="12" t="n">
        <x:v>1214.87</x:v>
      </x:c>
      <x:c r="S767" s="12" t="n">
        <x:v>609.55</x:v>
      </x:c>
      <x:c r="T767" s="12" t="str">
        <x:v>Paid</x:v>
      </x:c>
      <x:c r="U767" s="12" t="str">
        <x:v>Completed</x:v>
      </x:c>
    </x:row>
    <x:row r="768">
      <x:c r="A768" s="12" t="str">
        <x:v>ORD-2024-10767</x:v>
      </x:c>
      <x:c r="B768" s="12" t="str">
        <x:v>17 Sep 2024</x:v>
      </x:c>
      <x:c r="C768" s="12" t="str">
        <x:v>24 Sep 2024</x:v>
      </x:c>
      <x:c r="D768" s="12" t="str">
        <x:v>CUST-3156</x:v>
      </x:c>
      <x:c r="E768" s="12" t="str">
        <x:v>Mira Das</x:v>
      </x:c>
      <x:c r="F768" s="12" t="str">
        <x:v>Corporate</x:v>
      </x:c>
      <x:c r="G768" s="12" t="str">
        <x:v>West</x:v>
      </x:c>
      <x:c r="H768" s="12" t="str">
        <x:v>Gujarat</x:v>
      </x:c>
      <x:c r="I768" s="12" t="str">
        <x:v>Ahmedabad</x:v>
      </x:c>
      <x:c r="J768" s="12" t="str">
        <x:v>Office Supplies</x:v>
      </x:c>
      <x:c r="K768" s="12" t="str">
        <x:v>Art</x:v>
      </x:c>
      <x:c r="L768" s="12" t="str">
        <x:v>Prime Art 380</x:v>
      </x:c>
      <x:c r="M768" s="12" t="str">
        <x:v>Second Class</x:v>
      </x:c>
      <x:c r="N768" s="12" t="n">
        <x:v>9</x:v>
      </x:c>
      <x:c r="O768" s="12" t="n">
        <x:v>2307.96</x:v>
      </x:c>
      <x:c r="P768" s="12" t="n">
        <x:v>0.2</x:v>
      </x:c>
      <x:c r="Q768" s="12" t="n">
        <x:v>16617.31</x:v>
      </x:c>
      <x:c r="R768" s="12" t="n">
        <x:v>9195.73</x:v>
      </x:c>
      <x:c r="S768" s="12" t="n">
        <x:v>7421.58</x:v>
      </x:c>
      <x:c r="T768" s="12" t="str">
        <x:v>Paid</x:v>
      </x:c>
      <x:c r="U768" s="12" t="str">
        <x:v>Cancelled</x:v>
      </x:c>
    </x:row>
    <x:row r="769">
      <x:c r="A769" s="12" t="str">
        <x:v>ORD-2024-10768</x:v>
      </x:c>
      <x:c r="B769" s="12" t="str">
        <x:v>03 May 2024</x:v>
      </x:c>
      <x:c r="C769" s="12" t="str">
        <x:v>05/06/2024</x:v>
      </x:c>
      <x:c r="D769" s="12" t="str">
        <x:v>CUST-2043</x:v>
      </x:c>
      <x:c r="E769" s="12" t="str">
        <x:v>Ananya Rao</x:v>
      </x:c>
      <x:c r="F769" s="12" t="str">
        <x:v>Home Office</x:v>
      </x:c>
      <x:c r="G769" s="12" t="str">
        <x:v>North</x:v>
      </x:c>
      <x:c r="H769" s="12" t="str">
        <x:v>Uttar Pradesh</x:v>
      </x:c>
      <x:c r="I769" s="12" t="str">
        <x:v>Noida</x:v>
      </x:c>
      <x:c r="J769" s="12" t="str">
        <x:v>OFFICE SUPPLIES</x:v>
      </x:c>
      <x:c r="K769" s="12" t="str">
        <x:v>Binders</x:v>
      </x:c>
      <x:c r="L769" s="12" t="str">
        <x:v>Classic Binders 234</x:v>
      </x:c>
      <x:c r="M769" s="12" t="str">
        <x:v>Standard Class</x:v>
      </x:c>
      <x:c r="N769" s="12" t="n">
        <x:v>1</x:v>
      </x:c>
      <x:c r="O769" s="12" t="n">
        <x:v>1244.58</x:v>
      </x:c>
      <x:c r="P769" s="12" t="n">
        <x:v>0.25</x:v>
      </x:c>
      <x:c r="Q769" s="12" t="n">
        <x:v>933.43</x:v>
      </x:c>
      <x:c r="R769" s="12" t="n">
        <x:v>583.09</x:v>
      </x:c>
      <x:c r="S769" s="12" t="n">
        <x:v>350.34</x:v>
      </x:c>
      <x:c r="T769" s="12" t="str">
        <x:v>Paid</x:v>
      </x:c>
      <x:c r="U769" s="12" t="str">
        <x:v>Completed</x:v>
      </x:c>
    </x:row>
    <x:row r="770">
      <x:c r="A770" s="12" t="str">
        <x:v>ORD-2025-10769</x:v>
      </x:c>
      <x:c r="B770" s="12" t="str">
        <x:v>2025-04-02</x:v>
      </x:c>
      <x:c r="C770" s="12" t="str">
        <x:v>2025-04-04</x:v>
      </x:c>
      <x:c r="D770" s="12" t="str">
        <x:v>CUST-8808</x:v>
      </x:c>
      <x:c r="E770" s="12" t="str">
        <x:v>Sneha Kapoor</x:v>
      </x:c>
      <x:c r="F770" s="12" t="str">
        <x:v>Home Office</x:v>
      </x:c>
      <x:c r="G770" s="12" t="str">
        <x:v>East</x:v>
      </x:c>
      <x:c r="H770" s="12" t="str">
        <x:v>Jharkhand</x:v>
      </x:c>
      <x:c r="I770" s="12" t="str">
        <x:v>Ranchi</x:v>
      </x:c>
      <x:c r="J770" s="12" t="str">
        <x:v>Office Supplies</x:v>
      </x:c>
      <x:c r="K770" s="12" t="str">
        <x:v>Paper</x:v>
      </x:c>
      <x:c r="L770" s="12" t="str">
        <x:v>Classic Paper 280</x:v>
      </x:c>
      <x:c r="M770" s="12" t="str">
        <x:v>Same Day</x:v>
      </x:c>
      <x:c r="N770" s="12" t="n">
        <x:v>5</x:v>
      </x:c>
      <x:c r="O770" s="12" t="n">
        <x:v>3234.24</x:v>
      </x:c>
      <x:c r="P770" s="12" t="n">
        <x:v>0.1</x:v>
      </x:c>
      <x:c r="Q770" s="12" t="n">
        <x:v>14554.08</x:v>
      </x:c>
      <x:c r="R770" s="12" t="n">
        <x:v>11166.84</x:v>
      </x:c>
      <x:c r="S770" s="12" t="n">
        <x:v>3387.24</x:v>
      </x:c>
      <x:c r="T770" s="12" t="str">
        <x:v>Paid</x:v>
      </x:c>
      <x:c r="U770" s="12" t="str">
        <x:v>Completed</x:v>
      </x:c>
    </x:row>
    <x:row r="771">
      <x:c r="A771" s="12" t="str">
        <x:v>ORD-2024-10770</x:v>
      </x:c>
      <x:c r="B771" s="12" t="str">
        <x:v>05/11/2024</x:v>
      </x:c>
      <x:c r="C771" s="12" t="str">
        <x:v>13 May 2024</x:v>
      </x:c>
      <x:c r="D771" s="12" t="str">
        <x:v>CUST-1293</x:v>
      </x:c>
      <x:c r="E771" s="12" t="str">
        <x:v>Priya Menon</x:v>
      </x:c>
      <x:c r="F771" s="12" t="str">
        <x:v>Home Office</x:v>
      </x:c>
      <x:c r="G771" s="12" t="str">
        <x:v>West</x:v>
      </x:c>
      <x:c r="H771" s="12" t="str">
        <x:v>Goa</x:v>
      </x:c>
      <x:c r="I771" s="12" t="str">
        <x:v>Panaji</x:v>
      </x:c>
      <x:c r="J771" s="12" t="str">
        <x:v>Furniture</x:v>
      </x:c>
      <x:c r="K771" s="12" t="str">
        <x:v>Bookcases</x:v>
      </x:c>
      <x:c r="L771" s="12" t="str">
        <x:v>Classic Bookcases 922</x:v>
      </x:c>
      <x:c r="M771" s="12" t="str">
        <x:v>Same Day</x:v>
      </x:c>
      <x:c r="N771" s="12" t="n">
        <x:v>3</x:v>
      </x:c>
      <x:c r="O771" s="12" t="n">
        <x:v>3612.75</x:v>
      </x:c>
      <x:c r="P771" s="12" t="n">
        <x:v>0.25</x:v>
      </x:c>
      <x:c r="Q771" s="12" t="n">
        <x:v>8128.69</x:v>
      </x:c>
      <x:c r="R771" s="12" t="n">
        <x:v>5071.66</x:v>
      </x:c>
      <x:c r="S771" s="12" t="n">
        <x:v>3057.03</x:v>
      </x:c>
      <x:c r="T771" s="12" t="str">
        <x:v>Paid</x:v>
      </x:c>
      <x:c r="U771" s="12" t="str">
        <x:v>Completed</x:v>
      </x:c>
    </x:row>
    <x:row r="772">
      <x:c r="A772" s="12" t="str">
        <x:v>ORD-2024-10771</x:v>
      </x:c>
      <x:c r="B772" s="12" t="str">
        <x:v>02/15/2024</x:v>
      </x:c>
      <x:c r="C772" s="12" t="str">
        <x:v>17-02-2024</x:v>
      </x:c>
      <x:c r="D772" s="12" t="str">
        <x:v>CUST-8384</x:v>
      </x:c>
      <x:c r="E772" s="12" t="str">
        <x:v>Neha Gupta</x:v>
      </x:c>
      <x:c r="F772" s="12" t="str">
        <x:v>Consumer</x:v>
      </x:c>
      <x:c r="G772" s="12" t="str">
        <x:v>North</x:v>
      </x:c>
      <x:c r="H772" s="12" t="str">
        <x:v>Uttar Pradesh</x:v>
      </x:c>
      <x:c r="I772" s="12" t="str">
        <x:v>Noida</x:v>
      </x:c>
      <x:c r="J772" s="12" t="str">
        <x:v>Technology</x:v>
      </x:c>
      <x:c r="K772" s="12" t="str">
        <x:v>Copiers</x:v>
      </x:c>
      <x:c r="L772" s="12" t="str">
        <x:v>Eco Copiers 396</x:v>
      </x:c>
      <x:c r="M772" s="12" t="str">
        <x:v>First Class</x:v>
      </x:c>
      <x:c r="N772" s="12" t="n">
        <x:v>4</x:v>
      </x:c>
      <x:c r="O772" s="12" t="n">
        <x:v>863</x:v>
      </x:c>
      <x:c r="P772" s="12"/>
      <x:c r="Q772" s="12" t="n">
        <x:v>3106.8</x:v>
      </x:c>
      <x:c r="R772" s="12" t="n">
        <x:v>2376.62</x:v>
      </x:c>
      <x:c r="S772" s="12" t="n">
        <x:v>730.18</x:v>
      </x:c>
      <x:c r="T772" s="12" t="str">
        <x:v>Paid</x:v>
      </x:c>
      <x:c r="U772" s="12" t="str">
        <x:v>Completed</x:v>
      </x:c>
    </x:row>
    <x:row r="773">
      <x:c r="A773" s="12" t="str">
        <x:v>ORD-2024-10772</x:v>
      </x:c>
      <x:c r="B773" s="12" t="str">
        <x:v>2024-07-12</x:v>
      </x:c>
      <x:c r="C773" s="12" t="str">
        <x:v>2024-07-14</x:v>
      </x:c>
      <x:c r="D773" s="12" t="str">
        <x:v>CUST-7861</x:v>
      </x:c>
      <x:c r="E773" s="12" t="str">
        <x:v>Ananya Rao</x:v>
      </x:c>
      <x:c r="F773" s="12" t="str">
        <x:v>Consumer</x:v>
      </x:c>
      <x:c r="G773" s="12" t="str">
        <x:v>North</x:v>
      </x:c>
      <x:c r="H773" s="12" t="str">
        <x:v>Haryana</x:v>
      </x:c>
      <x:c r="I773" s="12" t="str">
        <x:v>Gurugram</x:v>
      </x:c>
      <x:c r="J773" s="12" t="str">
        <x:v>Technology</x:v>
      </x:c>
      <x:c r="K773" s="12" t="str">
        <x:v>Machines</x:v>
      </x:c>
      <x:c r="L773" s="12" t="str">
        <x:v>Basic Machines 401</x:v>
      </x:c>
      <x:c r="M773" s="12" t="str">
        <x:v>Second Class</x:v>
      </x:c>
      <x:c r="N773" s="12" t="n">
        <x:v>4</x:v>
      </x:c>
      <x:c r="O773" s="12" t="n">
        <x:v>2131.41</x:v>
      </x:c>
      <x:c r="P773" s="12"/>
      <x:c r="Q773" s="12" t="n">
        <x:v>6394.23</x:v>
      </x:c>
      <x:c r="R773" s="12" t="n">
        <x:v>3520.69</x:v>
      </x:c>
      <x:c r="S773" s="12" t="n">
        <x:v>2873.54</x:v>
      </x:c>
      <x:c r="T773" s="12" t="str">
        <x:v>Paid</x:v>
      </x:c>
      <x:c r="U773" s="12" t="str">
        <x:v>Completed</x:v>
      </x:c>
    </x:row>
    <x:row r="774">
      <x:c r="A774" s="12" t="str">
        <x:v>ORD-2025-10773</x:v>
      </x:c>
      <x:c r="B774" s="12" t="str">
        <x:v>07/15/2025</x:v>
      </x:c>
      <x:c r="C774" s="12" t="str">
        <x:v>19 Jul 2025</x:v>
      </x:c>
      <x:c r="D774" s="12" t="str">
        <x:v>CUST-8422</x:v>
      </x:c>
      <x:c r="E774" s="12" t="str">
        <x:v>Diya Patel</x:v>
      </x:c>
      <x:c r="F774" s="12" t="str">
        <x:v>Consumer</x:v>
      </x:c>
      <x:c r="G774" s="12" t="str">
        <x:v>South</x:v>
      </x:c>
      <x:c r="H774" s="12" t="str">
        <x:v>Tamil Nadu</x:v>
      </x:c>
      <x:c r="I774" s="12" t="str">
        <x:v>Chennai</x:v>
      </x:c>
      <x:c r="J774" s="12" t="str">
        <x:v>Furniture</x:v>
      </x:c>
      <x:c r="K774" s="12" t="str">
        <x:v>Chairs</x:v>
      </x:c>
      <x:c r="L774" s="12" t="str">
        <x:v>Basic Chairs 279</x:v>
      </x:c>
      <x:c r="M774" s="12" t="str">
        <x:v>Same Day</x:v>
      </x:c>
      <x:c r="N774" s="12" t="n">
        <x:v>1</x:v>
      </x:c>
      <x:c r="O774" s="12" t="n">
        <x:v>3903.22</x:v>
      </x:c>
      <x:c r="P774" s="12" t="n">
        <x:v>0.05</x:v>
      </x:c>
      <x:c r="Q774" s="12" t="n">
        <x:v>3708.06</x:v>
      </x:c>
      <x:c r="R774" s="12" t="n">
        <x:v>2760.29</x:v>
      </x:c>
      <x:c r="S774" s="12" t="n">
        <x:v>947.77</x:v>
      </x:c>
      <x:c r="T774" s="12" t="str">
        <x:v>Pending</x:v>
      </x:c>
      <x:c r="U774" s="12" t="str">
        <x:v>Cancelled</x:v>
      </x:c>
    </x:row>
    <x:row r="775">
      <x:c r="A775" s="12" t="str">
        <x:v>ORD-2025-10774</x:v>
      </x:c>
      <x:c r="B775" s="12" t="str">
        <x:v>2025-02-21</x:v>
      </x:c>
      <x:c r="C775" s="12" t="str">
        <x:v>21 Feb 2025</x:v>
      </x:c>
      <x:c r="D775" s="12" t="str">
        <x:v>CUST-4766</x:v>
      </x:c>
      <x:c r="E775" s="12" t="str">
        <x:v>Karan Malhotra</x:v>
      </x:c>
      <x:c r="F775" s="12" t="str">
        <x:v>Home Office</x:v>
      </x:c>
      <x:c r="G775" s="12" t="str">
        <x:v>West</x:v>
      </x:c>
      <x:c r="H775" s="12" t="str">
        <x:v>Gujarat</x:v>
      </x:c>
      <x:c r="I775" s="12" t="str">
        <x:v>Ahmedabad</x:v>
      </x:c>
      <x:c r="J775" s="12" t="str">
        <x:v>Technology</x:v>
      </x:c>
      <x:c r="K775" s="12" t="str">
        <x:v>Phones</x:v>
      </x:c>
      <x:c r="L775" s="12" t="str">
        <x:v>Basic Phones 753</x:v>
      </x:c>
      <x:c r="M775" s="12"/>
      <x:c r="N775" s="12" t="n">
        <x:v>4</x:v>
      </x:c>
      <x:c r="O775" s="12" t="n">
        <x:v>2945.07</x:v>
      </x:c>
      <x:c r="P775" s="12" t="n">
        <x:v>0.2</x:v>
      </x:c>
      <x:c r="Q775" s="12" t="n">
        <x:v>9424.22</x:v>
      </x:c>
      <x:c r="R775" s="12" t="n">
        <x:v>6178.92</x:v>
      </x:c>
      <x:c r="S775" s="12" t="n">
        <x:v>3245.3</x:v>
      </x:c>
      <x:c r="T775" s="12" t="str">
        <x:v>Paid</x:v>
      </x:c>
      <x:c r="U775" s="12" t="str">
        <x:v>Completed</x:v>
      </x:c>
    </x:row>
    <x:row r="776">
      <x:c r="A776" s="12" t="str">
        <x:v>ORD-2025-10775</x:v>
      </x:c>
      <x:c r="B776" s="12" t="str">
        <x:v>07-08-2025</x:v>
      </x:c>
      <x:c r="C776" s="12" t="str">
        <x:v>2025-08-07</x:v>
      </x:c>
      <x:c r="D776" s="12" t="str">
        <x:v>CUST-1182</x:v>
      </x:c>
      <x:c r="E776" s="12" t="str">
        <x:v>Kabir Singh</x:v>
      </x:c>
      <x:c r="F776" s="12" t="str">
        <x:v>Consumer</x:v>
      </x:c>
      <x:c r="G776" s="12" t="str">
        <x:v>West</x:v>
      </x:c>
      <x:c r="H776" s="12" t="str">
        <x:v>Rajasthan</x:v>
      </x:c>
      <x:c r="I776" s="12" t="str">
        <x:v>Udaipur</x:v>
      </x:c>
      <x:c r="J776" s="12" t="str">
        <x:v>Technology</x:v>
      </x:c>
      <x:c r="K776" s="12" t="str">
        <x:v>Machines</x:v>
      </x:c>
      <x:c r="L776" s="12" t="str">
        <x:v>Smart Machines 789</x:v>
      </x:c>
      <x:c r="M776" s="12"/>
      <x:c r="N776" s="12" t="n">
        <x:v>9</x:v>
      </x:c>
      <x:c r="O776" s="12" t="n">
        <x:v>1076.75</x:v>
      </x:c>
      <x:c r="P776" s="12" t="n">
        <x:v>0.2</x:v>
      </x:c>
      <x:c r="Q776" s="12" t="n">
        <x:v>7752.6</x:v>
      </x:c>
      <x:c r="R776" s="12" t="n">
        <x:v>4689.3</x:v>
      </x:c>
      <x:c r="S776" s="12" t="n">
        <x:v>3063.3</x:v>
      </x:c>
      <x:c r="T776" s="12" t="str">
        <x:v>Paid</x:v>
      </x:c>
      <x:c r="U776" s="12" t="str">
        <x:v>Completed</x:v>
      </x:c>
    </x:row>
    <x:row r="777">
      <x:c r="A777" s="12" t="str">
        <x:v>ORD-2024-10776</x:v>
      </x:c>
      <x:c r="B777" s="12" t="str">
        <x:v>14 Apr 2024</x:v>
      </x:c>
      <x:c r="C777" s="12" t="str">
        <x:v>22-04-2024</x:v>
      </x:c>
      <x:c r="D777" s="12" t="str">
        <x:v>CUST-4461</x:v>
      </x:c>
      <x:c r="E777" s="12" t="str">
        <x:v>Arjun Bose</x:v>
      </x:c>
      <x:c r="F777" s="12" t="str">
        <x:v>Consumer</x:v>
      </x:c>
      <x:c r="G777" s="12" t="str">
        <x:v>North</x:v>
      </x:c>
      <x:c r="H777" s="12" t="str">
        <x:v>Haryana</x:v>
      </x:c>
      <x:c r="I777" s="12" t="str">
        <x:v>Gurugram</x:v>
      </x:c>
      <x:c r="J777" s="12" t="str">
        <x:v>Technology</x:v>
      </x:c>
      <x:c r="K777" s="12" t="str">
        <x:v>Accessories</x:v>
      </x:c>
      <x:c r="L777" s="12" t="str">
        <x:v>Elite Accessories 312</x:v>
      </x:c>
      <x:c r="M777" s="12" t="str">
        <x:v>Standard Class</x:v>
      </x:c>
      <x:c r="N777" s="12" t="n">
        <x:v>8</x:v>
      </x:c>
      <x:c r="O777" s="12" t="n">
        <x:v>3956.12</x:v>
      </x:c>
      <x:c r="P777" s="12" t="n">
        <x:v>0.25</x:v>
      </x:c>
      <x:c r="Q777" s="12" t="n">
        <x:v>23736.72</x:v>
      </x:c>
      <x:c r="R777" s="12" t="n">
        <x:v>13890.9</x:v>
      </x:c>
      <x:c r="S777" s="12" t="n">
        <x:v>9845.82</x:v>
      </x:c>
      <x:c r="T777" s="12" t="str">
        <x:v>Paid</x:v>
      </x:c>
      <x:c r="U777" s="12" t="str">
        <x:v>Completed</x:v>
      </x:c>
    </x:row>
    <x:row r="778">
      <x:c r="A778" s="12" t="str">
        <x:v>ORD-2025-10777</x:v>
      </x:c>
      <x:c r="B778" s="12" t="str">
        <x:v>08-06-2025</x:v>
      </x:c>
      <x:c r="C778" s="12" t="str">
        <x:v>06/13/2025</x:v>
      </x:c>
      <x:c r="D778" s="12" t="str">
        <x:v>CUST-9690</x:v>
      </x:c>
      <x:c r="E778" s="12" t="str">
        <x:v>Aditi Sen</x:v>
      </x:c>
      <x:c r="F778" s="12" t="str">
        <x:v>Small Business</x:v>
      </x:c>
      <x:c r="G778" s="12" t="str">
        <x:v>North</x:v>
      </x:c>
      <x:c r="H778" s="12" t="str">
        <x:v>Rajasthan</x:v>
      </x:c>
      <x:c r="I778" s="12" t="str">
        <x:v>Jaipur</x:v>
      </x:c>
      <x:c r="J778" s="12" t="str">
        <x:v>Technology</x:v>
      </x:c>
      <x:c r="K778" s="12" t="str">
        <x:v>Copiers</x:v>
      </x:c>
      <x:c r="L778" s="12" t="str">
        <x:v>Eco Copiers 528</x:v>
      </x:c>
      <x:c r="M778" s="12" t="str">
        <x:v>Second Class</x:v>
      </x:c>
      <x:c r="N778" s="12" t="n">
        <x:v>7</x:v>
      </x:c>
      <x:c r="O778" s="12" t="n">
        <x:v>3857.13</x:v>
      </x:c>
      <x:c r="P778" s="12" t="n">
        <x:v>0</x:v>
      </x:c>
      <x:c r="Q778" s="12" t="n">
        <x:v>26999.91</x:v>
      </x:c>
      <x:c r="R778" s="12" t="n">
        <x:v>17815.98</x:v>
      </x:c>
      <x:c r="S778" s="12" t="n">
        <x:v>9183.93</x:v>
      </x:c>
      <x:c r="T778" s="12" t="str">
        <x:v>Paid</x:v>
      </x:c>
      <x:c r="U778" s="12" t="str">
        <x:v>Completed</x:v>
      </x:c>
    </x:row>
    <x:row r="779">
      <x:c r="A779" s="12" t="str">
        <x:v>ORD-2024-10778</x:v>
      </x:c>
      <x:c r="B779" s="12" t="str">
        <x:v>04-02-2024</x:v>
      </x:c>
      <x:c r="C779" s="12" t="str">
        <x:v>2024-02-06</x:v>
      </x:c>
      <x:c r="D779" s="12" t="str">
        <x:v>CUST-6879</x:v>
      </x:c>
      <x:c r="E779" s="12" t="str">
        <x:v>Kabir Singh</x:v>
      </x:c>
      <x:c r="F779" s="12" t="str">
        <x:v>Small Business</x:v>
      </x:c>
      <x:c r="G779" s="12" t="str">
        <x:v>West</x:v>
      </x:c>
      <x:c r="H779" s="12" t="str">
        <x:v>Madhya Pradesh</x:v>
      </x:c>
      <x:c r="I779" s="12" t="str">
        <x:v>Indore</x:v>
      </x:c>
      <x:c r="J779" s="12" t="str">
        <x:v>Technology</x:v>
      </x:c>
      <x:c r="K779" s="12" t="str">
        <x:v>Accessories</x:v>
      </x:c>
      <x:c r="L779" s="12" t="str">
        <x:v>Elite Accessories 226</x:v>
      </x:c>
      <x:c r="M779" s="12" t="str">
        <x:v>Second Class</x:v>
      </x:c>
      <x:c r="N779" s="12" t="n">
        <x:v>4</x:v>
      </x:c>
      <x:c r="O779" s="12" t="n">
        <x:v>1489.74</x:v>
      </x:c>
      <x:c r="P779" s="12" t="n">
        <x:v>0.15</x:v>
      </x:c>
      <x:c r="Q779" s="12" t="n">
        <x:v>5065.12</x:v>
      </x:c>
      <x:c r="R779" s="12" t="n">
        <x:v>3530.12</x:v>
      </x:c>
      <x:c r="S779" s="12" t="n">
        <x:v>1535</x:v>
      </x:c>
      <x:c r="T779" s="12" t="str">
        <x:v>Failed</x:v>
      </x:c>
      <x:c r="U779" s="12" t="str">
        <x:v>Cancelled</x:v>
      </x:c>
    </x:row>
    <x:row r="780">
      <x:c r="A780" s="12" t="str">
        <x:v>ORD-2024-10779</x:v>
      </x:c>
      <x:c r="B780" s="12" t="str">
        <x:v>07/24/2024</x:v>
      </x:c>
      <x:c r="C780" s="12" t="str">
        <x:v>24-07-2024</x:v>
      </x:c>
      <x:c r="D780" s="12" t="str">
        <x:v>CUST-4714</x:v>
      </x:c>
      <x:c r="E780" s="12" t="str">
        <x:v>Karan Malhotra</x:v>
      </x:c>
      <x:c r="F780" s="12" t="str">
        <x:v>Small Business</x:v>
      </x:c>
      <x:c r="G780" s="12" t="str">
        <x:v>North</x:v>
      </x:c>
      <x:c r="H780" s="12" t="str">
        <x:v>Haryana</x:v>
      </x:c>
      <x:c r="I780" s="12" t="str">
        <x:v>Gurugram</x:v>
      </x:c>
      <x:c r="J780" s="12" t="str">
        <x:v>Technology</x:v>
      </x:c>
      <x:c r="K780" s="12" t="str">
        <x:v>Copiers</x:v>
      </x:c>
      <x:c r="L780" s="12" t="str">
        <x:v>Pro Copiers 298</x:v>
      </x:c>
      <x:c r="M780" s="12" t="str">
        <x:v>Second Class</x:v>
      </x:c>
      <x:c r="N780" s="12" t="n">
        <x:v>4</x:v>
      </x:c>
      <x:c r="O780" s="12" t="n">
        <x:v>1676.88</x:v>
      </x:c>
      <x:c r="P780" s="12" t="n">
        <x:v>0</x:v>
      </x:c>
      <x:c r="Q780" s="12" t="n">
        <x:v>6707.52</x:v>
      </x:c>
      <x:c r="R780" s="12" t="n">
        <x:v>5672.57</x:v>
      </x:c>
      <x:c r="S780" s="12" t="n">
        <x:v>1034.95</x:v>
      </x:c>
      <x:c r="T780" s="12" t="str">
        <x:v>Paid</x:v>
      </x:c>
      <x:c r="U780" s="12" t="str">
        <x:v>Completed</x:v>
      </x:c>
    </x:row>
    <x:row r="781">
      <x:c r="A781" s="12" t="str">
        <x:v>ORD-2024-10780</x:v>
      </x:c>
      <x:c r="B781" s="12" t="str">
        <x:v>01/15/2024</x:v>
      </x:c>
      <x:c r="C781" s="12" t="str">
        <x:v>20-01-2024</x:v>
      </x:c>
      <x:c r="D781" s="12" t="str">
        <x:v>CUST-7547</x:v>
      </x:c>
      <x:c r="E781" s="12" t="str">
        <x:v>Priya Menon</x:v>
      </x:c>
      <x:c r="F781" s="12" t="str">
        <x:v>Small Business</x:v>
      </x:c>
      <x:c r="G781" s="12" t="str">
        <x:v>South</x:v>
      </x:c>
      <x:c r="H781" s="12" t="str">
        <x:v>Andhra Pradesh</x:v>
      </x:c>
      <x:c r="I781" s="12" t="str">
        <x:v>Vijayawada</x:v>
      </x:c>
      <x:c r="J781" s="12" t="str">
        <x:v>Furniture</x:v>
      </x:c>
      <x:c r="K781" s="12" t="str">
        <x:v>Chairs</x:v>
      </x:c>
      <x:c r="L781" s="12" t="str">
        <x:v>Prime Chairs 331</x:v>
      </x:c>
      <x:c r="M781" s="12" t="str">
        <x:v>Standard Class</x:v>
      </x:c>
      <x:c r="N781" s="12" t="n">
        <x:v>4</x:v>
      </x:c>
      <x:c r="O781" s="12" t="n">
        <x:v>3153.54</x:v>
      </x:c>
      <x:c r="P781" s="12" t="n">
        <x:v>0.05</x:v>
      </x:c>
      <x:c r="Q781" s="12" t="n">
        <x:v>11983.45</x:v>
      </x:c>
      <x:c r="R781" s="12" t="n">
        <x:v>8572.9</x:v>
      </x:c>
      <x:c r="S781" s="12" t="n">
        <x:v>3410.55</x:v>
      </x:c>
      <x:c r="T781" s="12" t="str">
        <x:v>Paid</x:v>
      </x:c>
      <x:c r="U781" s="12" t="str">
        <x:v>Completed</x:v>
      </x:c>
    </x:row>
    <x:row r="782">
      <x:c r="A782" s="12" t="str">
        <x:v>ORD-2024-10781</x:v>
      </x:c>
      <x:c r="B782" s="12" t="str">
        <x:v>04 Aug 2024</x:v>
      </x:c>
      <x:c r="C782" s="12" t="str">
        <x:v>08/10/2024</x:v>
      </x:c>
      <x:c r="D782" s="12" t="str">
        <x:v>CUST-3288</x:v>
      </x:c>
      <x:c r="E782" s="12" t="str">
        <x:v>Diya Patel</x:v>
      </x:c>
      <x:c r="F782" s="12" t="str">
        <x:v>Small Business</x:v>
      </x:c>
      <x:c r="G782" s="12" t="str">
        <x:v>West</x:v>
      </x:c>
      <x:c r="H782" s="12" t="str">
        <x:v>Rajasthan</x:v>
      </x:c>
      <x:c r="I782" s="12" t="str">
        <x:v>Udaipur</x:v>
      </x:c>
      <x:c r="J782" s="12" t="str">
        <x:v>Furniture</x:v>
      </x:c>
      <x:c r="K782" s="12" t="str">
        <x:v>Chairs</x:v>
      </x:c>
      <x:c r="L782" s="12" t="str">
        <x:v>Classic Chairs 798</x:v>
      </x:c>
      <x:c r="M782" s="12" t="str">
        <x:v>Same Day</x:v>
      </x:c>
      <x:c r="N782" s="12" t="n">
        <x:v>4</x:v>
      </x:c>
      <x:c r="O782" s="12" t="n">
        <x:v>426.43</x:v>
      </x:c>
      <x:c r="P782" s="12" t="n">
        <x:v>0.2</x:v>
      </x:c>
      <x:c r="Q782" s="12" t="n">
        <x:v>1364.58</x:v>
      </x:c>
      <x:c r="R782" s="12" t="n">
        <x:v>978.16</x:v>
      </x:c>
      <x:c r="S782" s="12" t="n">
        <x:v>386.42</x:v>
      </x:c>
      <x:c r="T782" s="12" t="str">
        <x:v>Paid</x:v>
      </x:c>
      <x:c r="U782" s="12" t="str">
        <x:v>Completed</x:v>
      </x:c>
    </x:row>
    <x:row r="783">
      <x:c r="A783" s="12" t="str">
        <x:v>ORD-2024-10782</x:v>
      </x:c>
      <x:c r="B783" s="12" t="str">
        <x:v>2024-02-02</x:v>
      </x:c>
      <x:c r="C783" s="12" t="str">
        <x:v>10 Feb 2024</x:v>
      </x:c>
      <x:c r="D783" s="12" t="str">
        <x:v>CUST-8597</x:v>
      </x:c>
      <x:c r="E783" s="12" t="str">
        <x:v>Karan Malhotra</x:v>
      </x:c>
      <x:c r="F783" s="12" t="str">
        <x:v>Home Office</x:v>
      </x:c>
      <x:c r="G783" s="12" t="str">
        <x:v>West</x:v>
      </x:c>
      <x:c r="H783" s="12" t="str">
        <x:v>Rajasthan</x:v>
      </x:c>
      <x:c r="I783" s="12" t="str">
        <x:v>Udaipur</x:v>
      </x:c>
      <x:c r="J783" s="12" t="str">
        <x:v>Office Supplies</x:v>
      </x:c>
      <x:c r="K783" s="12" t="str">
        <x:v>Labels</x:v>
      </x:c>
      <x:c r="L783" s="12" t="str">
        <x:v>Classic Labels 204</x:v>
      </x:c>
      <x:c r="M783" s="12" t="str">
        <x:v>First Class</x:v>
      </x:c>
      <x:c r="N783" s="12" t="n">
        <x:v>3</x:v>
      </x:c>
      <x:c r="O783" s="12" t="n">
        <x:v>383.4</x:v>
      </x:c>
      <x:c r="P783" s="12" t="n">
        <x:v>0.25</x:v>
      </x:c>
      <x:c r="Q783" s="12" t="n">
        <x:v>862.65</x:v>
      </x:c>
      <x:c r="R783" s="12" t="n">
        <x:v>603.73</x:v>
      </x:c>
      <x:c r="S783" s="12" t="n">
        <x:v>258.92</x:v>
      </x:c>
      <x:c r="T783" s="12" t="str">
        <x:v>Pending</x:v>
      </x:c>
      <x:c r="U783" s="12" t="str">
        <x:v>Returned</x:v>
      </x:c>
    </x:row>
    <x:row r="784">
      <x:c r="A784" s="12" t="str">
        <x:v>ORD-2025-10783</x:v>
      </x:c>
      <x:c r="B784" s="12" t="str">
        <x:v>2025-03-14</x:v>
      </x:c>
      <x:c r="C784" s="12" t="str">
        <x:v>03/22/2025</x:v>
      </x:c>
      <x:c r="D784" s="12" t="str">
        <x:v>CUST-9085</x:v>
      </x:c>
      <x:c r="E784" s="12" t="str">
        <x:v>Mira Das</x:v>
      </x:c>
      <x:c r="F784" s="12" t="str">
        <x:v>Corporate</x:v>
      </x:c>
      <x:c r="G784" s="12" t="str">
        <x:v>East</x:v>
      </x:c>
      <x:c r="H784" s="12" t="str">
        <x:v>West Bengal</x:v>
      </x:c>
      <x:c r="I784" s="12" t="str">
        <x:v>Kolkata</x:v>
      </x:c>
      <x:c r="J784" s="12" t="str">
        <x:v>Technology</x:v>
      </x:c>
      <x:c r="K784" s="12" t="str">
        <x:v>Copiers</x:v>
      </x:c>
      <x:c r="L784" s="12" t="str">
        <x:v>Basic Copiers 254</x:v>
      </x:c>
      <x:c r="M784" s="12" t="str">
        <x:v>Standard Class</x:v>
      </x:c>
      <x:c r="N784" s="12" t="n">
        <x:v>2</x:v>
      </x:c>
      <x:c r="O784" s="12" t="n">
        <x:v>669.63</x:v>
      </x:c>
      <x:c r="P784" s="12" t="n">
        <x:v>0.15</x:v>
      </x:c>
      <x:c r="Q784" s="12" t="n">
        <x:v>1138.37</x:v>
      </x:c>
      <x:c r="R784" s="12" t="n">
        <x:v>797.34</x:v>
      </x:c>
      <x:c r="S784" s="12" t="n">
        <x:v>341.03</x:v>
      </x:c>
      <x:c r="T784" s="12" t="str">
        <x:v>Paid</x:v>
      </x:c>
      <x:c r="U784" s="12" t="str">
        <x:v>Completed</x:v>
      </x:c>
    </x:row>
    <x:row r="785">
      <x:c r="A785" s="12" t="str">
        <x:v>ORD-2024-10784</x:v>
      </x:c>
      <x:c r="B785" s="12" t="str">
        <x:v>07 Jun 2024</x:v>
      </x:c>
      <x:c r="C785" s="12" t="str">
        <x:v>2024-06-07</x:v>
      </x:c>
      <x:c r="D785" s="12" t="str">
        <x:v>CUST-7746</x:v>
      </x:c>
      <x:c r="E785" s="12" t="str">
        <x:v>Aarav Sharma</x:v>
      </x:c>
      <x:c r="F785" s="12" t="str">
        <x:v>Small Business</x:v>
      </x:c>
      <x:c r="G785" s="12" t="str">
        <x:v>East</x:v>
      </x:c>
      <x:c r="H785" s="12" t="str">
        <x:v>Bihar</x:v>
      </x:c>
      <x:c r="I785" s="12" t="str">
        <x:v>Patna</x:v>
      </x:c>
      <x:c r="J785" s="12" t="str">
        <x:v>Office Supplies</x:v>
      </x:c>
      <x:c r="K785" s="12" t="str">
        <x:v>Art</x:v>
      </x:c>
      <x:c r="L785" s="12" t="str">
        <x:v>Basic Art 709</x:v>
      </x:c>
      <x:c r="M785" s="12" t="str">
        <x:v>Second Class</x:v>
      </x:c>
      <x:c r="N785" s="12" t="n">
        <x:v>1</x:v>
      </x:c>
      <x:c r="O785" s="12" t="n">
        <x:v>2581.93</x:v>
      </x:c>
      <x:c r="P785" s="12" t="n">
        <x:v>0.05</x:v>
      </x:c>
      <x:c r="Q785" s="12" t="n">
        <x:v>2452.83</x:v>
      </x:c>
      <x:c r="R785" s="12" t="n">
        <x:v>1906.7</x:v>
      </x:c>
      <x:c r="S785" s="12" t="n">
        <x:v>546.13</x:v>
      </x:c>
      <x:c r="T785" s="12" t="str">
        <x:v>Paid</x:v>
      </x:c>
      <x:c r="U785" s="12" t="str">
        <x:v>Completed</x:v>
      </x:c>
    </x:row>
    <x:row r="786">
      <x:c r="A786" s="12" t="str">
        <x:v>ORD-2025-10785</x:v>
      </x:c>
      <x:c r="B786" s="12" t="str">
        <x:v>10/04/2025</x:v>
      </x:c>
      <x:c r="C786" s="12" t="str">
        <x:v>2025-10-05</x:v>
      </x:c>
      <x:c r="D786" s="12" t="str">
        <x:v>CUST-3119</x:v>
      </x:c>
      <x:c r="E786" s="12" t="str">
        <x:v>Priya Menon</x:v>
      </x:c>
      <x:c r="F786" s="12" t="str">
        <x:v>Corporate</x:v>
      </x:c>
      <x:c r="G786" s="12" t="str">
        <x:v>north</x:v>
      </x:c>
      <x:c r="H786" s="12" t="str">
        <x:v>Punjab</x:v>
      </x:c>
      <x:c r="I786" s="12" t="str">
        <x:v>Ludhiana</x:v>
      </x:c>
      <x:c r="J786" s="12" t="str">
        <x:v>Technology</x:v>
      </x:c>
      <x:c r="K786" s="12" t="str">
        <x:v>Copiers</x:v>
      </x:c>
      <x:c r="L786" s="12" t="str">
        <x:v>Max Copiers 551</x:v>
      </x:c>
      <x:c r="M786" s="12" t="str">
        <x:v>First Class</x:v>
      </x:c>
      <x:c r="N786" s="12" t="n">
        <x:v>4</x:v>
      </x:c>
      <x:c r="O786" s="12" t="n">
        <x:v>418.18</x:v>
      </x:c>
      <x:c r="P786" s="12" t="n">
        <x:v>0.05</x:v>
      </x:c>
      <x:c r="Q786" s="12" t="n">
        <x:v>1589.08</x:v>
      </x:c>
      <x:c r="R786" s="12" t="n">
        <x:v>1084.66</x:v>
      </x:c>
      <x:c r="S786" s="12" t="n">
        <x:v>504.42</x:v>
      </x:c>
      <x:c r="T786" s="12" t="str">
        <x:v>Paid</x:v>
      </x:c>
      <x:c r="U786" s="12" t="str">
        <x:v>Completed</x:v>
      </x:c>
    </x:row>
    <x:row r="787">
      <x:c r="A787" s="12" t="str">
        <x:v>ORD-2024-10786</x:v>
      </x:c>
      <x:c r="B787" s="12" t="str">
        <x:v>23-05-2024</x:v>
      </x:c>
      <x:c r="C787" s="12" t="str">
        <x:v>29-05-2024</x:v>
      </x:c>
      <x:c r="D787" s="12" t="str">
        <x:v>CUST-7518</x:v>
      </x:c>
      <x:c r="E787" s="12" t="str">
        <x:v>Diya Patel</x:v>
      </x:c>
      <x:c r="F787" s="12" t="str">
        <x:v>Small Business</x:v>
      </x:c>
      <x:c r="G787" s="12" t="str">
        <x:v>North</x:v>
      </x:c>
      <x:c r="H787" s="12" t="str">
        <x:v>Haryana</x:v>
      </x:c>
      <x:c r="I787" s="12" t="str">
        <x:v>Gurugram</x:v>
      </x:c>
      <x:c r="J787" s="12" t="str">
        <x:v>Office Supplies</x:v>
      </x:c>
      <x:c r="K787" s="12" t="str">
        <x:v>Storage</x:v>
      </x:c>
      <x:c r="L787" s="12" t="str">
        <x:v>Eco Storage 183</x:v>
      </x:c>
      <x:c r="M787" s="12" t="str">
        <x:v>Same Day</x:v>
      </x:c>
      <x:c r="N787" s="12" t="n">
        <x:v>2</x:v>
      </x:c>
      <x:c r="O787" s="12" t="n">
        <x:v>3012.94</x:v>
      </x:c>
      <x:c r="P787" s="12" t="n">
        <x:v>0.25</x:v>
      </x:c>
      <x:c r="Q787" s="12" t="n">
        <x:v>4519.41</x:v>
      </x:c>
      <x:c r="R787" s="12" t="n">
        <x:v>3504.16</x:v>
      </x:c>
      <x:c r="S787" s="12" t="n">
        <x:v>1275.55</x:v>
      </x:c>
      <x:c r="T787" s="12" t="str">
        <x:v>Failed</x:v>
      </x:c>
      <x:c r="U787" s="12" t="str">
        <x:v>Cancelled</x:v>
      </x:c>
    </x:row>
    <x:row r="788">
      <x:c r="A788" s="12" t="str">
        <x:v>ORD-2025-10787</x:v>
      </x:c>
      <x:c r="B788" s="12" t="str">
        <x:v>07/06/2025</x:v>
      </x:c>
      <x:c r="C788" s="12" t="str">
        <x:v>08 Jul 2025</x:v>
      </x:c>
      <x:c r="D788" s="12" t="str">
        <x:v>CUST-1343</x:v>
      </x:c>
      <x:c r="E788" s="12" t="str">
        <x:v>Ananya Rao</x:v>
      </x:c>
      <x:c r="F788" s="12" t="str">
        <x:v>Corporate</x:v>
      </x:c>
      <x:c r="G788" s="12" t="str">
        <x:v>North</x:v>
      </x:c>
      <x:c r="H788" s="12" t="str">
        <x:v>Rajasthan</x:v>
      </x:c>
      <x:c r="I788" s="12" t="str">
        <x:v>Jaipur</x:v>
      </x:c>
      <x:c r="J788" s="12" t="str">
        <x:v>Furniture</x:v>
      </x:c>
      <x:c r="K788" s="12" t="str">
        <x:v>Furnishings</x:v>
      </x:c>
      <x:c r="L788" s="12" t="str">
        <x:v>Pro Furnishings 233</x:v>
      </x:c>
      <x:c r="M788" s="12"/>
      <x:c r="N788" s="12" t="n">
        <x:v>4</x:v>
      </x:c>
      <x:c r="O788" s="12" t="n">
        <x:v>715.45</x:v>
      </x:c>
      <x:c r="P788" s="12" t="n">
        <x:v>0.05</x:v>
      </x:c>
      <x:c r="Q788" s="12" t="n">
        <x:v>2718.71</x:v>
      </x:c>
      <x:c r="R788" s="12" t="n">
        <x:v>2065.05</x:v>
      </x:c>
      <x:c r="S788" s="12" t="n">
        <x:v>653.66</x:v>
      </x:c>
      <x:c r="T788" s="12" t="str">
        <x:v>Refunded</x:v>
      </x:c>
      <x:c r="U788" s="12" t="str">
        <x:v>Returned</x:v>
      </x:c>
    </x:row>
    <x:row r="789">
      <x:c r="A789" s="12" t="str">
        <x:v>ORD-2024-10788</x:v>
      </x:c>
      <x:c r="B789" s="12" t="str">
        <x:v>2024-09-12</x:v>
      </x:c>
      <x:c r="C789" s="12" t="str">
        <x:v>2024-09-18</x:v>
      </x:c>
      <x:c r="D789" s="12" t="str">
        <x:v>CUST-7548</x:v>
      </x:c>
      <x:c r="E789" s="12" t="str">
        <x:v>Ananya Rao</x:v>
      </x:c>
      <x:c r="F789" s="12" t="str">
        <x:v>Home Office</x:v>
      </x:c>
      <x:c r="G789" s="12" t="str">
        <x:v>East</x:v>
      </x:c>
      <x:c r="H789" s="12" t="str">
        <x:v>Bihar</x:v>
      </x:c>
      <x:c r="I789" s="12" t="str">
        <x:v>Patna</x:v>
      </x:c>
      <x:c r="J789" s="12" t="str">
        <x:v>Office Supplies</x:v>
      </x:c>
      <x:c r="K789" s="12" t="str">
        <x:v>Paper</x:v>
      </x:c>
      <x:c r="L789" s="12" t="str">
        <x:v>Prime Paper 878</x:v>
      </x:c>
      <x:c r="M789" s="12" t="str">
        <x:v>Second Class</x:v>
      </x:c>
      <x:c r="N789" s="12" t="n">
        <x:v>2</x:v>
      </x:c>
      <x:c r="O789" s="12" t="n">
        <x:v>3718.77</x:v>
      </x:c>
      <x:c r="P789" s="12" t="n">
        <x:v>0.05</x:v>
      </x:c>
      <x:c r="Q789" s="12" t="n">
        <x:v>7065.66</x:v>
      </x:c>
      <x:c r="R789" s="12" t="n">
        <x:v>4915.27</x:v>
      </x:c>
      <x:c r="S789" s="12" t="n">
        <x:v>2150.39</x:v>
      </x:c>
      <x:c r="T789" s="12" t="str">
        <x:v>Paid </x:v>
      </x:c>
      <x:c r="U789" s="12" t="str">
        <x:v>Completed</x:v>
      </x:c>
    </x:row>
    <x:row r="790">
      <x:c r="A790" s="12" t="str">
        <x:v>ORD-2024-10789</x:v>
      </x:c>
      <x:c r="B790" s="12" t="str">
        <x:v>01 Aug 2024</x:v>
      </x:c>
      <x:c r="C790" s="12" t="str">
        <x:v>02-08-2024</x:v>
      </x:c>
      <x:c r="D790" s="12" t="str">
        <x:v>CUST-3631</x:v>
      </x:c>
      <x:c r="E790" s="12" t="str">
        <x:v>Isha Nair</x:v>
      </x:c>
      <x:c r="F790" s="12" t="str">
        <x:v>Corporate</x:v>
      </x:c>
      <x:c r="G790" s="12" t="str">
        <x:v>North</x:v>
      </x:c>
      <x:c r="H790" s="12" t="str">
        <x:v>Uttar Pradesh</x:v>
      </x:c>
      <x:c r="I790" s="12" t="str">
        <x:v>Noida</x:v>
      </x:c>
      <x:c r="J790" s="12" t="str">
        <x:v>Furniture</x:v>
      </x:c>
      <x:c r="K790" s="12" t="str">
        <x:v>Chairs</x:v>
      </x:c>
      <x:c r="L790" s="12" t="str">
        <x:v>Smart Chairs 353</x:v>
      </x:c>
      <x:c r="M790" s="12" t="str">
        <x:v>Standard Class</x:v>
      </x:c>
      <x:c r="N790" s="12" t="n">
        <x:v>8</x:v>
      </x:c>
      <x:c r="O790" s="12" t="n">
        <x:v>2487.64</x:v>
      </x:c>
      <x:c r="P790" s="12" t="n">
        <x:v>0.1</x:v>
      </x:c>
      <x:c r="Q790" s="12" t="n">
        <x:v>17911.01</x:v>
      </x:c>
      <x:c r="R790" s="12" t="n">
        <x:v>11546.05</x:v>
      </x:c>
      <x:c r="S790" s="12" t="n">
        <x:v>6364.96</x:v>
      </x:c>
      <x:c r="T790" s="12" t="str">
        <x:v>Failed</x:v>
      </x:c>
      <x:c r="U790" s="12" t="str">
        <x:v>Returned</x:v>
      </x:c>
    </x:row>
    <x:row r="791">
      <x:c r="A791" s="12" t="str">
        <x:v>ORD-2025-10790</x:v>
      </x:c>
      <x:c r="B791" s="12" t="str">
        <x:v>07 Mar 2025</x:v>
      </x:c>
      <x:c r="C791" s="12" t="str">
        <x:v>08 Mar 2025</x:v>
      </x:c>
      <x:c r="D791" s="12" t="str">
        <x:v>CUST-1453</x:v>
      </x:c>
      <x:c r="E791" s="12" t="str">
        <x:v>Priya Menon</x:v>
      </x:c>
      <x:c r="F791" s="12" t="str">
        <x:v>Home Office</x:v>
      </x:c>
      <x:c r="G791" s="12"/>
      <x:c r="H791" s="12" t="str">
        <x:v>Rajasthan</x:v>
      </x:c>
      <x:c r="I791" s="12" t="str">
        <x:v>Udaipur</x:v>
      </x:c>
      <x:c r="J791" s="12" t="str">
        <x:v>Technology</x:v>
      </x:c>
      <x:c r="K791" s="12" t="str">
        <x:v>Copiers</x:v>
      </x:c>
      <x:c r="L791" s="12" t="str">
        <x:v>Smart Copiers 408</x:v>
      </x:c>
      <x:c r="M791" s="12" t="str">
        <x:v>Same Day</x:v>
      </x:c>
      <x:c r="N791" s="12" t="n">
        <x:v>4</x:v>
      </x:c>
      <x:c r="O791" s="12" t="n">
        <x:v>3537.48</x:v>
      </x:c>
      <x:c r="P791" s="12" t="n">
        <x:v>0</x:v>
      </x:c>
      <x:c r="Q791" s="12" t="n">
        <x:v>14149.92</x:v>
      </x:c>
      <x:c r="R791" s="12" t="n">
        <x:v>9466.51</x:v>
      </x:c>
      <x:c r="S791" s="12" t="n">
        <x:v>4683.41</x:v>
      </x:c>
      <x:c r="T791" s="12" t="str">
        <x:v>Paid</x:v>
      </x:c>
      <x:c r="U791" s="12" t="str">
        <x:v>Completed</x:v>
      </x:c>
    </x:row>
    <x:row r="792">
      <x:c r="A792" s="12" t="str">
        <x:v>ORD-2024-10791</x:v>
      </x:c>
      <x:c r="B792" s="12" t="str">
        <x:v>31 May 2024</x:v>
      </x:c>
      <x:c r="C792" s="12" t="str">
        <x:v>2024-06-02</x:v>
      </x:c>
      <x:c r="D792" s="12" t="str">
        <x:v>CUST-1951</x:v>
      </x:c>
      <x:c r="E792" s="12" t="str">
        <x:v>Rahul Verma</x:v>
      </x:c>
      <x:c r="F792" s="12" t="str">
        <x:v>Corporate</x:v>
      </x:c>
      <x:c r="G792" s="12" t="str">
        <x:v>South</x:v>
      </x:c>
      <x:c r="H792" s="12" t="str">
        <x:v>Andhra Pradesh</x:v>
      </x:c>
      <x:c r="I792" s="12" t="str">
        <x:v>Vijayawada</x:v>
      </x:c>
      <x:c r="J792" s="12" t="str">
        <x:v>Office Supplies</x:v>
      </x:c>
      <x:c r="K792" s="12" t="str">
        <x:v>Art</x:v>
      </x:c>
      <x:c r="L792" s="12" t="str">
        <x:v>Classic Art 781</x:v>
      </x:c>
      <x:c r="M792" s="12" t="str">
        <x:v>Standard Class</x:v>
      </x:c>
      <x:c r="N792" s="12" t="n">
        <x:v>8</x:v>
      </x:c>
      <x:c r="O792" s="12" t="n">
        <x:v>667.59</x:v>
      </x:c>
      <x:c r="P792" s="12" t="n">
        <x:v>0.2</x:v>
      </x:c>
      <x:c r="Q792" s="12" t="n">
        <x:v>4272.58</x:v>
      </x:c>
      <x:c r="R792" s="12" t="n">
        <x:v>3328.92</x:v>
      </x:c>
      <x:c r="S792" s="12" t="n">
        <x:v>943.66</x:v>
      </x:c>
      <x:c r="T792" s="12" t="str">
        <x:v>Paid</x:v>
      </x:c>
      <x:c r="U792" s="12" t="str">
        <x:v>Completed</x:v>
      </x:c>
    </x:row>
    <x:row r="793">
      <x:c r="A793" s="12" t="str">
        <x:v>ORD-2024-10792</x:v>
      </x:c>
      <x:c r="B793" s="12" t="str">
        <x:v>02 Oct 2024</x:v>
      </x:c>
      <x:c r="C793" s="12" t="str">
        <x:v>2024-10-06</x:v>
      </x:c>
      <x:c r="D793" s="12" t="str">
        <x:v>CUST-6300</x:v>
      </x:c>
      <x:c r="E793" s="12" t="str">
        <x:v>Rahul Verma</x:v>
      </x:c>
      <x:c r="F793" s="12" t="str">
        <x:v>Home Office</x:v>
      </x:c>
      <x:c r="G793" s="12" t="str">
        <x:v>South</x:v>
      </x:c>
      <x:c r="H793" s="12" t="str">
        <x:v>Karnataka</x:v>
      </x:c>
      <x:c r="I793" s="12" t="str">
        <x:v>Bengaluru</x:v>
      </x:c>
      <x:c r="J793" s="12" t="str">
        <x:v>Furniture</x:v>
      </x:c>
      <x:c r="K793" s="12" t="str">
        <x:v>Bookcases</x:v>
      </x:c>
      <x:c r="L793" s="12" t="str">
        <x:v>Eco Bookcases 144</x:v>
      </x:c>
      <x:c r="M793" s="12" t="str">
        <x:v>Same Day</x:v>
      </x:c>
      <x:c r="N793" s="12" t="n">
        <x:v>8</x:v>
      </x:c>
      <x:c r="O793" s="12" t="n">
        <x:v>1558.77</x:v>
      </x:c>
      <x:c r="P793" s="12" t="n">
        <x:v>0.25</x:v>
      </x:c>
      <x:c r="Q793" s="12" t="n">
        <x:v>9352.62</x:v>
      </x:c>
      <x:c r="R793" s="12" t="n">
        <x:v>5269.41</x:v>
      </x:c>
      <x:c r="S793" s="12" t="n">
        <x:v>4083.21</x:v>
      </x:c>
      <x:c r="T793" s="12" t="str">
        <x:v>Paid</x:v>
      </x:c>
      <x:c r="U793" s="12" t="str">
        <x:v>Completed</x:v>
      </x:c>
    </x:row>
    <x:row r="794">
      <x:c r="A794" s="12" t="str">
        <x:v>ORD-2025-10793</x:v>
      </x:c>
      <x:c r="B794" s="12" t="str">
        <x:v>2025-06-04</x:v>
      </x:c>
      <x:c r="C794" s="12" t="str">
        <x:v>08 Jun 2025</x:v>
      </x:c>
      <x:c r="D794" s="12" t="str">
        <x:v>CUST-1417</x:v>
      </x:c>
      <x:c r="E794" s="12" t="str">
        <x:v>Arjun Bose</x:v>
      </x:c>
      <x:c r="F794" s="12" t="str">
        <x:v>Small Business</x:v>
      </x:c>
      <x:c r="G794" s="12" t="str">
        <x:v>East</x:v>
      </x:c>
      <x:c r="H794" s="12" t="str">
        <x:v>Assam</x:v>
      </x:c>
      <x:c r="I794" s="12" t="str">
        <x:v>Guwahati</x:v>
      </x:c>
      <x:c r="J794" s="12" t="str">
        <x:v>Furniture</x:v>
      </x:c>
      <x:c r="K794" s="12" t="str">
        <x:v>Furnishings</x:v>
      </x:c>
      <x:c r="L794" s="12" t="str">
        <x:v>Elite Furnishings 852</x:v>
      </x:c>
      <x:c r="M794" s="12" t="str">
        <x:v>Second Class</x:v>
      </x:c>
      <x:c r="N794" s="12" t="n">
        <x:v>1</x:v>
      </x:c>
      <x:c r="O794" s="12" t="n">
        <x:v>3501.12</x:v>
      </x:c>
      <x:c r="P794" s="12" t="n">
        <x:v>0.2</x:v>
      </x:c>
      <x:c r="Q794" s="12" t="n">
        <x:v>2800.9</x:v>
      </x:c>
      <x:c r="R794" s="12" t="n">
        <x:v>1735.98</x:v>
      </x:c>
      <x:c r="S794" s="12" t="n">
        <x:v>1064.92</x:v>
      </x:c>
      <x:c r="T794" s="12" t="str">
        <x:v>Paid</x:v>
      </x:c>
      <x:c r="U794" s="12" t="str">
        <x:v>Returned</x:v>
      </x:c>
    </x:row>
    <x:row r="795">
      <x:c r="A795" s="12" t="str">
        <x:v>ORD-2024-10794</x:v>
      </x:c>
      <x:c r="B795" s="12" t="str">
        <x:v>28-05-2024</x:v>
      </x:c>
      <x:c r="C795" s="12" t="str">
        <x:v>03 Jun 2024</x:v>
      </x:c>
      <x:c r="D795" s="12" t="str">
        <x:v>CUST-5421</x:v>
      </x:c>
      <x:c r="E795" s="12" t="str">
        <x:v>Vikram Iyer</x:v>
      </x:c>
      <x:c r="F795" s="12" t="str">
        <x:v>Corporate</x:v>
      </x:c>
      <x:c r="G795" s="12" t="str">
        <x:v>North</x:v>
      </x:c>
      <x:c r="H795" s="12" t="str">
        <x:v>Rajasthan</x:v>
      </x:c>
      <x:c r="I795" s="12" t="str">
        <x:v>Jaipur</x:v>
      </x:c>
      <x:c r="J795" s="12" t="str">
        <x:v>Technology</x:v>
      </x:c>
      <x:c r="K795" s="12" t="str">
        <x:v>Copiers</x:v>
      </x:c>
      <x:c r="L795" s="12" t="str">
        <x:v>Basic Copiers 238</x:v>
      </x:c>
      <x:c r="M795" s="12" t="str">
        <x:v>Second Class</x:v>
      </x:c>
      <x:c r="N795" s="12" t="n">
        <x:v>5</x:v>
      </x:c>
      <x:c r="O795" s="12" t="n">
        <x:v>4302.32</x:v>
      </x:c>
      <x:c r="P795" s="12" t="n">
        <x:v>0</x:v>
      </x:c>
      <x:c r="Q795" s="12" t="n">
        <x:v>21511.6</x:v>
      </x:c>
      <x:c r="R795" s="12" t="n">
        <x:v>15408.47</x:v>
      </x:c>
      <x:c r="S795" s="12" t="n">
        <x:v>6103.13</x:v>
      </x:c>
      <x:c r="T795" s="12" t="str">
        <x:v>Paid</x:v>
      </x:c>
      <x:c r="U795" s="12" t="str">
        <x:v>Completed</x:v>
      </x:c>
    </x:row>
    <x:row r="796">
      <x:c r="A796" s="12" t="str">
        <x:v>ORD-2025-10795</x:v>
      </x:c>
      <x:c r="B796" s="12" t="str">
        <x:v>2025-06-22</x:v>
      </x:c>
      <x:c r="C796" s="12" t="str">
        <x:v>2025-06-24</x:v>
      </x:c>
      <x:c r="D796" s="12" t="str">
        <x:v>CUST-2829</x:v>
      </x:c>
      <x:c r="E796" s="12" t="str">
        <x:v>Sneha Kapoor</x:v>
      </x:c>
      <x:c r="F796" s="12" t="str">
        <x:v>Corporate</x:v>
      </x:c>
      <x:c r="G796" s="12" t="str">
        <x:v>East</x:v>
      </x:c>
      <x:c r="H796" s="12" t="str">
        <x:v>Assam</x:v>
      </x:c>
      <x:c r="I796" s="12" t="str">
        <x:v>Guwahati</x:v>
      </x:c>
      <x:c r="J796" s="12" t="str">
        <x:v>Office Supplies</x:v>
      </x:c>
      <x:c r="K796" s="12" t="str">
        <x:v>Paper</x:v>
      </x:c>
      <x:c r="L796" s="12" t="str">
        <x:v>Elite Paper 847</x:v>
      </x:c>
      <x:c r="M796" s="12" t="str">
        <x:v>Standard Class</x:v>
      </x:c>
      <x:c r="N796" s="12" t="n">
        <x:v>9</x:v>
      </x:c>
      <x:c r="O796" s="12" t="n">
        <x:v>951.55</x:v>
      </x:c>
      <x:c r="P796" s="12" t="n">
        <x:v>0.15</x:v>
      </x:c>
      <x:c r="Q796" s="12" t="n">
        <x:v>7279.36</x:v>
      </x:c>
      <x:c r="R796" s="12" t="n">
        <x:v>4870.39</x:v>
      </x:c>
      <x:c r="S796" s="12" t="n">
        <x:v>2408.97</x:v>
      </x:c>
      <x:c r="T796" s="12" t="str">
        <x:v>Paid</x:v>
      </x:c>
      <x:c r="U796" s="12" t="str">
        <x:v>Completed</x:v>
      </x:c>
    </x:row>
    <x:row r="797">
      <x:c r="A797" s="12" t="str">
        <x:v>ORD-2024-10796</x:v>
      </x:c>
      <x:c r="B797" s="12" t="str">
        <x:v>30-07-2024</x:v>
      </x:c>
      <x:c r="C797" s="12" t="str">
        <x:v>2024-07-30</x:v>
      </x:c>
      <x:c r="D797" s="12" t="str">
        <x:v>CUST-6529</x:v>
      </x:c>
      <x:c r="E797" s="12" t="str">
        <x:v>Diya Patel</x:v>
      </x:c>
      <x:c r="F797" s="12" t="str">
        <x:v>Home Office</x:v>
      </x:c>
      <x:c r="G797" s="12" t="str">
        <x:v>East</x:v>
      </x:c>
      <x:c r="H797" s="12" t="str">
        <x:v>Odisha</x:v>
      </x:c>
      <x:c r="I797" s="12" t="str">
        <x:v>Bhubaneswar</x:v>
      </x:c>
      <x:c r="J797" s="12" t="str">
        <x:v>Technology</x:v>
      </x:c>
      <x:c r="K797" s="12" t="str">
        <x:v>Copiers</x:v>
      </x:c>
      <x:c r="L797" s="12" t="str">
        <x:v>Pro Copiers 653</x:v>
      </x:c>
      <x:c r="M797" s="12" t="str">
        <x:v>Same Day</x:v>
      </x:c>
      <x:c r="N797" s="12" t="n">
        <x:v>9</x:v>
      </x:c>
      <x:c r="O797" s="12" t="n">
        <x:v>2894.66</x:v>
      </x:c>
      <x:c r="P797" s="12" t="n">
        <x:v>0</x:v>
      </x:c>
      <x:c r="Q797" s="12" t="n">
        <x:v>26051.94</x:v>
      </x:c>
      <x:c r="R797" s="12" t="n">
        <x:v>16883.59</x:v>
      </x:c>
      <x:c r="S797" s="12" t="n">
        <x:v>9168.35</x:v>
      </x:c>
      <x:c r="T797" s="12" t="str">
        <x:v>Refunded</x:v>
      </x:c>
      <x:c r="U797" s="12" t="str">
        <x:v>Cancelled</x:v>
      </x:c>
    </x:row>
    <x:row r="798">
      <x:c r="A798" s="12" t="str">
        <x:v>ORD-2024-10797</x:v>
      </x:c>
      <x:c r="B798" s="12" t="str">
        <x:v>03/23/2024</x:v>
      </x:c>
      <x:c r="C798" s="12" t="str">
        <x:v>30-03-2024</x:v>
      </x:c>
      <x:c r="D798" s="12" t="str">
        <x:v>CUST-3126</x:v>
      </x:c>
      <x:c r="E798" s="12" t="str">
        <x:v>Rohan Mehta</x:v>
      </x:c>
      <x:c r="F798" s="12" t="str">
        <x:v>Small Business</x:v>
      </x:c>
      <x:c r="G798" s="12" t="str">
        <x:v>South</x:v>
      </x:c>
      <x:c r="H798" s="12" t="str">
        <x:v>Andhra Pradesh</x:v>
      </x:c>
      <x:c r="I798" s="12" t="str">
        <x:v>Vijayawada</x:v>
      </x:c>
      <x:c r="J798" s="12" t="str">
        <x:v>Technology</x:v>
      </x:c>
      <x:c r="K798" s="12" t="str">
        <x:v>Machines</x:v>
      </x:c>
      <x:c r="L798" s="12" t="str">
        <x:v>Elite Machines 459</x:v>
      </x:c>
      <x:c r="M798" s="12" t="str">
        <x:v>First Class</x:v>
      </x:c>
      <x:c r="N798" s="12" t="n">
        <x:v>6</x:v>
      </x:c>
      <x:c r="O798" s="12" t="n">
        <x:v>1894.44</x:v>
      </x:c>
      <x:c r="P798" s="12" t="n">
        <x:v>0.15</x:v>
      </x:c>
      <x:c r="Q798" s="12" t="n">
        <x:v>9661.64</x:v>
      </x:c>
      <x:c r="R798" s="12" t="n">
        <x:v>6303.77</x:v>
      </x:c>
      <x:c r="S798" s="12" t="n">
        <x:v>3357.87</x:v>
      </x:c>
      <x:c r="T798" s="12" t="str">
        <x:v>Paid</x:v>
      </x:c>
      <x:c r="U798" s="12" t="str">
        <x:v>Completed</x:v>
      </x:c>
    </x:row>
    <x:row r="799">
      <x:c r="A799" s="12" t="str">
        <x:v>ORD-2024-10798</x:v>
      </x:c>
      <x:c r="B799" s="12" t="str">
        <x:v>18 Apr 2024</x:v>
      </x:c>
      <x:c r="C799" s="12" t="str">
        <x:v>22-04-2024</x:v>
      </x:c>
      <x:c r="D799" s="12" t="str">
        <x:v>CUST-3991</x:v>
      </x:c>
      <x:c r="E799" s="12" t="str">
        <x:v>Aarav Sharma</x:v>
      </x:c>
      <x:c r="F799" s="12" t="str">
        <x:v>Consumer</x:v>
      </x:c>
      <x:c r="G799" s="12" t="str">
        <x:v>East</x:v>
      </x:c>
      <x:c r="H799" s="12" t="str">
        <x:v>Odisha</x:v>
      </x:c>
      <x:c r="I799" s="12" t="str">
        <x:v>Bhubaneswar</x:v>
      </x:c>
      <x:c r="J799" s="12" t="str">
        <x:v>Office Supplies</x:v>
      </x:c>
      <x:c r="K799" s="12" t="str">
        <x:v>Binders</x:v>
      </x:c>
      <x:c r="L799" s="12" t="str">
        <x:v>Elite Binders 764</x:v>
      </x:c>
      <x:c r="M799" s="12" t="str">
        <x:v>First Class</x:v>
      </x:c>
      <x:c r="N799" s="12" t="n">
        <x:v>8</x:v>
      </x:c>
      <x:c r="O799" s="12" t="n">
        <x:v>1714.37</x:v>
      </x:c>
      <x:c r="P799" s="12" t="n">
        <x:v>0</x:v>
      </x:c>
      <x:c r="Q799" s="12" t="n">
        <x:v>13714.96</x:v>
      </x:c>
      <x:c r="R799" s="12" t="n">
        <x:v>10550.47</x:v>
      </x:c>
      <x:c r="S799" s="12" t="n">
        <x:v>3164.49</x:v>
      </x:c>
      <x:c r="T799" s="12" t="str">
        <x:v>Failed</x:v>
      </x:c>
      <x:c r="U799" s="12" t="str">
        <x:v>Cancelled</x:v>
      </x:c>
    </x:row>
    <x:row r="800">
      <x:c r="A800" s="12" t="str">
        <x:v>ORD-2025-10799</x:v>
      </x:c>
      <x:c r="B800" s="12" t="str">
        <x:v>2025-07-11</x:v>
      </x:c>
      <x:c r="C800" s="12" t="str">
        <x:v>09-07-2025</x:v>
      </x:c>
      <x:c r="D800" s="12" t="str">
        <x:v>CUST-7553</x:v>
      </x:c>
      <x:c r="E800" s="12" t="str">
        <x:v>Aditi Sen</x:v>
      </x:c>
      <x:c r="F800" s="12" t="str">
        <x:v>Corporate</x:v>
      </x:c>
      <x:c r="G800" s="12" t="str">
        <x:v>North</x:v>
      </x:c>
      <x:c r="H800" s="12" t="str">
        <x:v>Delhi</x:v>
      </x:c>
      <x:c r="I800" s="12" t="str">
        <x:v>New Delhi</x:v>
      </x:c>
      <x:c r="J800" s="12" t="str">
        <x:v>Furniture</x:v>
      </x:c>
      <x:c r="K800" s="12" t="str">
        <x:v>Furnishings</x:v>
      </x:c>
      <x:c r="L800" s="12" t="str">
        <x:v>Classic Furnishings 348</x:v>
      </x:c>
      <x:c r="M800" s="12" t="str">
        <x:v>Standard Class</x:v>
      </x:c>
      <x:c r="N800" s="12" t="n">
        <x:v>9</x:v>
      </x:c>
      <x:c r="O800" s="12" t="n">
        <x:v>1706.05</x:v>
      </x:c>
      <x:c r="P800" s="12" t="n">
        <x:v>0</x:v>
      </x:c>
      <x:c r="Q800" s="12" t="n">
        <x:v>15354.45</x:v>
      </x:c>
      <x:c r="R800" s="12" t="n">
        <x:v>9656.5</x:v>
      </x:c>
      <x:c r="S800" s="12" t="n">
        <x:v>5697.95</x:v>
      </x:c>
      <x:c r="T800" s="12" t="str">
        <x:v>Paid</x:v>
      </x:c>
      <x:c r="U800" s="12" t="str">
        <x:v>Completed</x:v>
      </x:c>
    </x:row>
    <x:row r="801">
      <x:c r="A801" s="12" t="str">
        <x:v>ORD-2024-10800</x:v>
      </x:c>
      <x:c r="B801" s="12" t="str">
        <x:v>10 Oct 2024</x:v>
      </x:c>
      <x:c r="C801" s="12" t="str">
        <x:v>2024-10-17</x:v>
      </x:c>
      <x:c r="D801" s="12" t="str">
        <x:v>CUST-8527</x:v>
      </x:c>
      <x:c r="E801" s="12" t="str">
        <x:v>Isha Nair</x:v>
      </x:c>
      <x:c r="F801" s="12" t="str">
        <x:v>Home Office</x:v>
      </x:c>
      <x:c r="G801" s="12" t="str">
        <x:v>North</x:v>
      </x:c>
      <x:c r="H801" s="12" t="str">
        <x:v>Haryana</x:v>
      </x:c>
      <x:c r="I801" s="12" t="str">
        <x:v>Gurugram</x:v>
      </x:c>
      <x:c r="J801" s="12" t="str">
        <x:v>Technology</x:v>
      </x:c>
      <x:c r="K801" s="12" t="str">
        <x:v>Accessories</x:v>
      </x:c>
      <x:c r="L801" s="12" t="str">
        <x:v>Smart Accessories 487</x:v>
      </x:c>
      <x:c r="M801" s="12"/>
      <x:c r="N801" s="12" t="n">
        <x:v>5</x:v>
      </x:c>
      <x:c r="O801" s="12" t="n">
        <x:v>967.41</x:v>
      </x:c>
      <x:c r="P801" s="12" t="n">
        <x:v>0.05</x:v>
      </x:c>
      <x:c r="Q801" s="12" t="n">
        <x:v>4595.2</x:v>
      </x:c>
      <x:c r="R801" s="12" t="n">
        <x:v>3887.41</x:v>
      </x:c>
      <x:c r="S801" s="12" t="n">
        <x:v>707.79</x:v>
      </x:c>
      <x:c r="T801" s="12" t="str">
        <x:v>Paid</x:v>
      </x:c>
      <x:c r="U801" s="12" t="str">
        <x:v>Returned</x:v>
      </x:c>
    </x:row>
    <x:row r="802">
      <x:c r="A802" s="12" t="str">
        <x:v>ORD-2024-10801</x:v>
      </x:c>
      <x:c r="B802" s="12" t="str">
        <x:v>01 Mar 2024</x:v>
      </x:c>
      <x:c r="C802" s="12" t="str">
        <x:v>2024-03-07</x:v>
      </x:c>
      <x:c r="D802" s="12" t="str">
        <x:v>CUST-5015</x:v>
      </x:c>
      <x:c r="E802" s="12" t="str">
        <x:v>Vikram Iyer</x:v>
      </x:c>
      <x:c r="F802" s="12" t="str">
        <x:v>Small Business</x:v>
      </x:c>
      <x:c r="G802" s="12" t="str">
        <x:v>West</x:v>
      </x:c>
      <x:c r="H802" s="12" t="str">
        <x:v>Maharashtra</x:v>
      </x:c>
      <x:c r="I802" s="12" t="str">
        <x:v>Mumbai</x:v>
      </x:c>
      <x:c r="J802" s="12" t="str">
        <x:v>Office Supplies</x:v>
      </x:c>
      <x:c r="K802" s="12" t="str">
        <x:v>Storage</x:v>
      </x:c>
      <x:c r="L802" s="12" t="str">
        <x:v>Elite Storage 825</x:v>
      </x:c>
      <x:c r="M802" s="12" t="str">
        <x:v>Second Class</x:v>
      </x:c>
      <x:c r="N802" s="12" t="n">
        <x:v>6</x:v>
      </x:c>
      <x:c r="O802" s="12" t="n">
        <x:v>4163.72</x:v>
      </x:c>
      <x:c r="P802" s="12" t="n">
        <x:v>0.15</x:v>
      </x:c>
      <x:c r="Q802" s="12" t="n">
        <x:v>21234.97</x:v>
      </x:c>
      <x:c r="R802" s="12" t="n">
        <x:v>16736.09</x:v>
      </x:c>
      <x:c r="S802" s="12" t="n">
        <x:v>4498.88</x:v>
      </x:c>
      <x:c r="T802" s="12" t="str">
        <x:v>Paid</x:v>
      </x:c>
      <x:c r="U802" s="12" t="str">
        <x:v>Completed</x:v>
      </x:c>
    </x:row>
    <x:row r="803">
      <x:c r="A803" s="12" t="str">
        <x:v>ORD-2025-10802</x:v>
      </x:c>
      <x:c r="B803" s="12" t="str">
        <x:v>2025-10-08</x:v>
      </x:c>
      <x:c r="C803" s="12" t="str">
        <x:v>15 Oct 2025</x:v>
      </x:c>
      <x:c r="D803" s="12" t="str">
        <x:v>CUST-3344</x:v>
      </x:c>
      <x:c r="E803" s="12" t="str">
        <x:v>Aarav Sharma</x:v>
      </x:c>
      <x:c r="F803" s="12" t="str">
        <x:v>Home Office</x:v>
      </x:c>
      <x:c r="G803" s="12" t="str">
        <x:v>East</x:v>
      </x:c>
      <x:c r="H803" s="12" t="str">
        <x:v>Odisha</x:v>
      </x:c>
      <x:c r="I803" s="12" t="str">
        <x:v>Bhubaneswar</x:v>
      </x:c>
      <x:c r="J803" s="12" t="str">
        <x:v>Technology</x:v>
      </x:c>
      <x:c r="K803" s="12" t="str">
        <x:v>Accessories</x:v>
      </x:c>
      <x:c r="L803" s="12" t="str">
        <x:v>Pro Accessories 500</x:v>
      </x:c>
      <x:c r="M803" s="12" t="str">
        <x:v>Second Class</x:v>
      </x:c>
      <x:c r="N803" s="12" t="n">
        <x:v>3</x:v>
      </x:c>
      <x:c r="O803" s="12" t="n">
        <x:v>3372.21</x:v>
      </x:c>
      <x:c r="P803" s="12" t="n">
        <x:v>0.2</x:v>
      </x:c>
      <x:c r="Q803" s="12" t="n">
        <x:v>8093.3</x:v>
      </x:c>
      <x:c r="R803" s="12" t="n">
        <x:v>6052.43</x:v>
      </x:c>
      <x:c r="S803" s="12" t="n">
        <x:v>2040.87</x:v>
      </x:c>
      <x:c r="T803" s="12" t="str">
        <x:v>Pending</x:v>
      </x:c>
      <x:c r="U803" s="12" t="str">
        <x:v>Cancelled</x:v>
      </x:c>
    </x:row>
    <x:row r="804">
      <x:c r="A804" s="12" t="str">
        <x:v>ORD-2025-10803</x:v>
      </x:c>
      <x:c r="B804" s="12" t="str">
        <x:v>16 Feb 2025</x:v>
      </x:c>
      <x:c r="C804" s="12" t="str">
        <x:v>2025-02-16</x:v>
      </x:c>
      <x:c r="D804" s="12" t="str">
        <x:v>CUST-5866</x:v>
      </x:c>
      <x:c r="E804" s="12" t="str">
        <x:v>Rohan Mehta</x:v>
      </x:c>
      <x:c r="F804" s="12" t="str">
        <x:v>Small Business</x:v>
      </x:c>
      <x:c r="G804" s="12" t="str">
        <x:v>East</x:v>
      </x:c>
      <x:c r="H804" s="12" t="str">
        <x:v>Assam</x:v>
      </x:c>
      <x:c r="I804" s="12" t="str">
        <x:v>Guwahati</x:v>
      </x:c>
      <x:c r="J804" s="12" t="str">
        <x:v>Furniture</x:v>
      </x:c>
      <x:c r="K804" s="12" t="str">
        <x:v>Furnishings</x:v>
      </x:c>
      <x:c r="L804" s="12" t="str">
        <x:v>Pro Furnishings 909</x:v>
      </x:c>
      <x:c r="M804" s="12" t="str">
        <x:v>Second Class</x:v>
      </x:c>
      <x:c r="N804" s="12" t="n">
        <x:v>6</x:v>
      </x:c>
      <x:c r="O804" s="12" t="n">
        <x:v>1441.91</x:v>
      </x:c>
      <x:c r="P804" s="12" t="n">
        <x:v>0</x:v>
      </x:c>
      <x:c r="Q804" s="12" t="n">
        <x:v>8651.46</x:v>
      </x:c>
      <x:c r="R804" s="12" t="n">
        <x:v>5254.62</x:v>
      </x:c>
      <x:c r="S804" s="12" t="n">
        <x:v>3396.84</x:v>
      </x:c>
      <x:c r="T804" s="12" t="str">
        <x:v>failed</x:v>
      </x:c>
      <x:c r="U804" s="12" t="str">
        <x:v>Returned</x:v>
      </x:c>
    </x:row>
    <x:row r="805">
      <x:c r="A805" s="12" t="str">
        <x:v>ORD-2024-10804</x:v>
      </x:c>
      <x:c r="B805" s="12" t="str">
        <x:v>09 Dec 2024</x:v>
      </x:c>
      <x:c r="C805" s="12" t="str">
        <x:v>13 Dec 2024</x:v>
      </x:c>
      <x:c r="D805" s="12" t="str">
        <x:v>CUST-7180</x:v>
      </x:c>
      <x:c r="E805" s="12" t="str">
        <x:v>Rohan Mehta</x:v>
      </x:c>
      <x:c r="F805" s="12" t="str">
        <x:v>Consumer</x:v>
      </x:c>
      <x:c r="G805" s="12"/>
      <x:c r="H805" s="12" t="str">
        <x:v>Jharkhand</x:v>
      </x:c>
      <x:c r="I805" s="12" t="str">
        <x:v>Ranchi</x:v>
      </x:c>
      <x:c r="J805" s="12" t="str">
        <x:v>Office Supplies</x:v>
      </x:c>
      <x:c r="K805" s="12" t="str">
        <x:v>Labels</x:v>
      </x:c>
      <x:c r="L805" s="12" t="str">
        <x:v>Basic Labels 359</x:v>
      </x:c>
      <x:c r="M805" s="12" t="str">
        <x:v>First Class</x:v>
      </x:c>
      <x:c r="N805" s="12" t="n">
        <x:v>1</x:v>
      </x:c>
      <x:c r="O805" s="12" t="n">
        <x:v>4306.65</x:v>
      </x:c>
      <x:c r="P805" s="12" t="n">
        <x:v>0</x:v>
      </x:c>
      <x:c r="Q805" s="12" t="n">
        <x:v>4306.65</x:v>
      </x:c>
      <x:c r="R805" s="12" t="n">
        <x:v>2568.82</x:v>
      </x:c>
      <x:c r="S805" s="12" t="n">
        <x:v>1737.83</x:v>
      </x:c>
      <x:c r="T805" s="12" t="str">
        <x:v>Paid</x:v>
      </x:c>
      <x:c r="U805" s="12" t="str">
        <x:v>Completed</x:v>
      </x:c>
    </x:row>
    <x:row r="806">
      <x:c r="A806" s="12" t="str">
        <x:v>ORD-2025-10805</x:v>
      </x:c>
      <x:c r="B806" s="12" t="str">
        <x:v>10-09-2025</x:v>
      </x:c>
      <x:c r="C806" s="12" t="str">
        <x:v>18-09-2025</x:v>
      </x:c>
      <x:c r="D806" s="12" t="str">
        <x:v>CUST-8745</x:v>
      </x:c>
      <x:c r="E806" s="12" t="str">
        <x:v>Rahul Verma</x:v>
      </x:c>
      <x:c r="F806" s="12" t="str">
        <x:v>Home Office</x:v>
      </x:c>
      <x:c r="G806" s="12" t="str">
        <x:v>South</x:v>
      </x:c>
      <x:c r="H806" s="12" t="str">
        <x:v>Telangana</x:v>
      </x:c>
      <x:c r="I806" s="12" t="str">
        <x:v>Hyderabad</x:v>
      </x:c>
      <x:c r="J806" s="12" t="str">
        <x:v>Furniture</x:v>
      </x:c>
      <x:c r="K806" s="12" t="str">
        <x:v>Furnishings</x:v>
      </x:c>
      <x:c r="L806" s="12" t="str">
        <x:v>Eco Furnishings 541</x:v>
      </x:c>
      <x:c r="M806" s="12" t="str">
        <x:v>Standard Class</x:v>
      </x:c>
      <x:c r="N806" s="12" t="n">
        <x:v>1</x:v>
      </x:c>
      <x:c r="O806" s="12" t="n">
        <x:v>2050.62</x:v>
      </x:c>
      <x:c r="P806" s="12" t="n">
        <x:v>0.05</x:v>
      </x:c>
      <x:c r="Q806" s="12" t="n">
        <x:v>1948.09</x:v>
      </x:c>
      <x:c r="R806" s="12" t="n">
        <x:v>1507.08</x:v>
      </x:c>
      <x:c r="S806" s="12" t="n">
        <x:v>441.01</x:v>
      </x:c>
      <x:c r="T806" s="12" t="str">
        <x:v>Paid</x:v>
      </x:c>
      <x:c r="U806" s="12" t="str">
        <x:v>Completed</x:v>
      </x:c>
    </x:row>
    <x:row r="807">
      <x:c r="A807" s="12" t="str">
        <x:v>ORD-2025-10806</x:v>
      </x:c>
      <x:c r="B807" s="12" t="str">
        <x:v>2025-04-06</x:v>
      </x:c>
      <x:c r="C807" s="12" t="str">
        <x:v>07-04-2025</x:v>
      </x:c>
      <x:c r="D807" s="12" t="str">
        <x:v>CUST-2098</x:v>
      </x:c>
      <x:c r="E807" s="12" t="str">
        <x:v>Priya Menon</x:v>
      </x:c>
      <x:c r="F807" s="12" t="str">
        <x:v>Home Office</x:v>
      </x:c>
      <x:c r="G807" s="12" t="str">
        <x:v>East</x:v>
      </x:c>
      <x:c r="H807" s="12" t="str">
        <x:v>Assam</x:v>
      </x:c>
      <x:c r="I807" s="12" t="str">
        <x:v>Guwahati</x:v>
      </x:c>
      <x:c r="J807" s="12" t="str">
        <x:v>Office Supplies</x:v>
      </x:c>
      <x:c r="K807" s="12" t="str">
        <x:v>Binders</x:v>
      </x:c>
      <x:c r="L807" s="12" t="str">
        <x:v>Classic Binders 103</x:v>
      </x:c>
      <x:c r="M807" s="12" t="str">
        <x:v>Second Class</x:v>
      </x:c>
      <x:c r="N807" s="12" t="n">
        <x:v>2</x:v>
      </x:c>
      <x:c r="O807" s="12" t="n">
        <x:v>2030.06</x:v>
      </x:c>
      <x:c r="P807" s="12" t="n">
        <x:v>0.25</x:v>
      </x:c>
      <x:c r="Q807" s="12" t="n">
        <x:v>3045.09</x:v>
      </x:c>
      <x:c r="R807" s="12" t="n">
        <x:v>2601.09</x:v>
      </x:c>
      <x:c r="S807" s="12" t="n">
        <x:v>444</x:v>
      </x:c>
      <x:c r="T807" s="12" t="str">
        <x:v>Paid</x:v>
      </x:c>
      <x:c r="U807" s="12" t="str">
        <x:v>Completed</x:v>
      </x:c>
    </x:row>
    <x:row r="808">
      <x:c r="A808" s="12" t="str">
        <x:v>ORD-2024-10807</x:v>
      </x:c>
      <x:c r="B808" s="12" t="str">
        <x:v>09-11-2024</x:v>
      </x:c>
      <x:c r="C808" s="12" t="str">
        <x:v>15 Nov 2024</x:v>
      </x:c>
      <x:c r="D808" s="12" t="str">
        <x:v>CUST-3704</x:v>
      </x:c>
      <x:c r="E808" s="12" t="str">
        <x:v>Isha Nair</x:v>
      </x:c>
      <x:c r="F808" s="12" t="str">
        <x:v>Home Office</x:v>
      </x:c>
      <x:c r="G808" s="12" t="str">
        <x:v>North</x:v>
      </x:c>
      <x:c r="H808" s="12" t="str">
        <x:v>Rajasthan</x:v>
      </x:c>
      <x:c r="I808" s="12" t="str">
        <x:v>Jaipur</x:v>
      </x:c>
      <x:c r="J808" s="12" t="str">
        <x:v>Technology</x:v>
      </x:c>
      <x:c r="K808" s="12" t="str">
        <x:v>Copiers</x:v>
      </x:c>
      <x:c r="L808" s="12" t="str">
        <x:v>Max Copiers 560</x:v>
      </x:c>
      <x:c r="M808" s="12" t="str">
        <x:v>Standard Class</x:v>
      </x:c>
      <x:c r="N808" s="12" t="n">
        <x:v>1</x:v>
      </x:c>
      <x:c r="O808" s="12" t="n">
        <x:v>3665.97</x:v>
      </x:c>
      <x:c r="P808" s="12" t="n">
        <x:v>0.2</x:v>
      </x:c>
      <x:c r="Q808" s="12" t="n">
        <x:v>2932.78</x:v>
      </x:c>
      <x:c r="R808" s="12" t="n">
        <x:v>1900.35</x:v>
      </x:c>
      <x:c r="S808" s="12" t="n">
        <x:v>1032.43</x:v>
      </x:c>
      <x:c r="T808" s="12" t="str">
        <x:v>Failed</x:v>
      </x:c>
      <x:c r="U808" s="12" t="str">
        <x:v>Cancelled</x:v>
      </x:c>
    </x:row>
    <x:row r="809">
      <x:c r="A809" s="12" t="str">
        <x:v>ORD-2025-10808</x:v>
      </x:c>
      <x:c r="B809" s="12" t="str">
        <x:v>07 Feb 2025</x:v>
      </x:c>
      <x:c r="C809" s="12" t="str">
        <x:v>2025-02-08</x:v>
      </x:c>
      <x:c r="D809" s="12" t="str">
        <x:v>CUST-5884</x:v>
      </x:c>
      <x:c r="E809" s="12" t="str">
        <x:v>Karan Malhotra</x:v>
      </x:c>
      <x:c r="F809" s="12" t="str">
        <x:v>Small Business</x:v>
      </x:c>
      <x:c r="G809" s="12" t="str">
        <x:v>South</x:v>
      </x:c>
      <x:c r="H809" s="12" t="str">
        <x:v>Telangana</x:v>
      </x:c>
      <x:c r="I809" s="12" t="str">
        <x:v>Hyderabad</x:v>
      </x:c>
      <x:c r="J809" s="12" t="str">
        <x:v>Office Supplies</x:v>
      </x:c>
      <x:c r="K809" s="12" t="str">
        <x:v>Labels</x:v>
      </x:c>
      <x:c r="L809" s="12" t="str">
        <x:v>Smart Labels 436</x:v>
      </x:c>
      <x:c r="M809" s="12" t="str">
        <x:v>standard class</x:v>
      </x:c>
      <x:c r="N809" s="12" t="n">
        <x:v>2</x:v>
      </x:c>
      <x:c r="O809" s="12" t="n">
        <x:v>2432.98</x:v>
      </x:c>
      <x:c r="P809" s="12" t="n">
        <x:v>0.1</x:v>
      </x:c>
      <x:c r="Q809" s="12" t="n">
        <x:v>4379.36</x:v>
      </x:c>
      <x:c r="R809" s="12" t="n">
        <x:v>3723.93</x:v>
      </x:c>
      <x:c r="S809" s="12" t="n">
        <x:v>655.43</x:v>
      </x:c>
      <x:c r="T809" s="12" t="str">
        <x:v>Paid</x:v>
      </x:c>
      <x:c r="U809" s="12" t="str">
        <x:v>Completed</x:v>
      </x:c>
    </x:row>
    <x:row r="810">
      <x:c r="A810" s="12" t="str">
        <x:v>ORD-2025-10809</x:v>
      </x:c>
      <x:c r="B810" s="12" t="str">
        <x:v>2025-08-31</x:v>
      </x:c>
      <x:c r="C810" s="12" t="str">
        <x:v>2025-08-28</x:v>
      </x:c>
      <x:c r="D810" s="12" t="str">
        <x:v>CUST-7503</x:v>
      </x:c>
      <x:c r="E810" s="12" t="str">
        <x:v>Aarav Sharma</x:v>
      </x:c>
      <x:c r="F810" s="12" t="str">
        <x:v>Small Business</x:v>
      </x:c>
      <x:c r="G810" s="12" t="str">
        <x:v>South</x:v>
      </x:c>
      <x:c r="H810" s="12" t="str">
        <x:v>Tamil Nadu</x:v>
      </x:c>
      <x:c r="I810" s="12" t="str">
        <x:v>Chennai</x:v>
      </x:c>
      <x:c r="J810" s="12" t="str">
        <x:v>Furniture</x:v>
      </x:c>
      <x:c r="K810" s="12" t="str">
        <x:v>Furnishings</x:v>
      </x:c>
      <x:c r="L810" s="12" t="str">
        <x:v>Pro Furnishings 386</x:v>
      </x:c>
      <x:c r="M810" s="12" t="str">
        <x:v>First Class</x:v>
      </x:c>
      <x:c r="N810" s="12" t="n">
        <x:v>7</x:v>
      </x:c>
      <x:c r="O810" s="12" t="n">
        <x:v>977.28</x:v>
      </x:c>
      <x:c r="P810" s="12" t="n">
        <x:v>0.2</x:v>
      </x:c>
      <x:c r="Q810" s="12" t="n">
        <x:v>5472.77</x:v>
      </x:c>
      <x:c r="R810" s="12" t="n">
        <x:v>4477.33</x:v>
      </x:c>
      <x:c r="S810" s="12" t="n">
        <x:v>995.44</x:v>
      </x:c>
      <x:c r="T810" s="12" t="str">
        <x:v>Paid</x:v>
      </x:c>
      <x:c r="U810" s="12" t="str">
        <x:v>Completed</x:v>
      </x:c>
    </x:row>
    <x:row r="811">
      <x:c r="A811" s="12" t="str">
        <x:v>ORD-2025-10810</x:v>
      </x:c>
      <x:c r="B811" s="12" t="str">
        <x:v>25 Jun 2025</x:v>
      </x:c>
      <x:c r="C811" s="12" t="str">
        <x:v>25 Jun 2025</x:v>
      </x:c>
      <x:c r="D811" s="12" t="str">
        <x:v>CUST-6973</x:v>
      </x:c>
      <x:c r="E811" s="12" t="str">
        <x:v>Arjun Bose</x:v>
      </x:c>
      <x:c r="F811" s="12" t="str">
        <x:v>Small Business</x:v>
      </x:c>
      <x:c r="G811" s="12"/>
      <x:c r="H811" s="12" t="str">
        <x:v>Punjab</x:v>
      </x:c>
      <x:c r="I811" s="12" t="str">
        <x:v>Ludhiana</x:v>
      </x:c>
      <x:c r="J811" s="12" t="str">
        <x:v>Office Supplies</x:v>
      </x:c>
      <x:c r="K811" s="12" t="str">
        <x:v>Binders</x:v>
      </x:c>
      <x:c r="L811" s="12" t="str">
        <x:v>Eco Binders 601</x:v>
      </x:c>
      <x:c r="M811" s="12" t="str">
        <x:v>Second Class</x:v>
      </x:c>
      <x:c r="N811" s="12" t="n">
        <x:v>6</x:v>
      </x:c>
      <x:c r="O811" s="12" t="n">
        <x:v>1366.13</x:v>
      </x:c>
      <x:c r="P811" s="12" t="n">
        <x:v>0.1</x:v>
      </x:c>
      <x:c r="Q811" s="12" t="n">
        <x:v>7377.1</x:v>
      </x:c>
      <x:c r="R811" s="12" t="n">
        <x:v>5085.21</x:v>
      </x:c>
      <x:c r="S811" s="12" t="n">
        <x:v>2291.89</x:v>
      </x:c>
      <x:c r="T811" s="12" t="str">
        <x:v>Paid</x:v>
      </x:c>
      <x:c r="U811" s="12" t="str">
        <x:v>Completed</x:v>
      </x:c>
    </x:row>
    <x:row r="812">
      <x:c r="A812" s="12" t="str">
        <x:v>ORD-2024-10811</x:v>
      </x:c>
      <x:c r="B812" s="12" t="str">
        <x:v>04/03/2024</x:v>
      </x:c>
      <x:c r="C812" s="12" t="str">
        <x:v>08-04-2024</x:v>
      </x:c>
      <x:c r="D812" s="12" t="str">
        <x:v>CUST-4653</x:v>
      </x:c>
      <x:c r="E812" s="12" t="str">
        <x:v>Kabir Singh</x:v>
      </x:c>
      <x:c r="F812" s="12" t="str">
        <x:v>Home Office </x:v>
      </x:c>
      <x:c r="G812" s="12" t="str">
        <x:v>West</x:v>
      </x:c>
      <x:c r="H812" s="12" t="str">
        <x:v>Gujarat</x:v>
      </x:c>
      <x:c r="I812" s="12" t="str">
        <x:v>Ahmedabad</x:v>
      </x:c>
      <x:c r="J812" s="12" t="str">
        <x:v>Technology</x:v>
      </x:c>
      <x:c r="K812" s="12" t="str">
        <x:v>Copiers</x:v>
      </x:c>
      <x:c r="L812" s="12" t="str">
        <x:v>Pro Copiers 867</x:v>
      </x:c>
      <x:c r="M812" s="12" t="str">
        <x:v>First Class</x:v>
      </x:c>
      <x:c r="N812" s="12" t="n">
        <x:v>1</x:v>
      </x:c>
      <x:c r="O812" s="12" t="n">
        <x:v>3151.85</x:v>
      </x:c>
      <x:c r="P812" s="12" t="n">
        <x:v>0.25</x:v>
      </x:c>
      <x:c r="Q812" s="12" t="n">
        <x:v>2363.89</x:v>
      </x:c>
      <x:c r="R812" s="12" t="n">
        <x:v>1471.51</x:v>
      </x:c>
      <x:c r="S812" s="12" t="n">
        <x:v>892.38</x:v>
      </x:c>
      <x:c r="T812" s="12" t="str">
        <x:v>Paid</x:v>
      </x:c>
      <x:c r="U812" s="12" t="str">
        <x:v>Completed</x:v>
      </x:c>
    </x:row>
    <x:row r="813">
      <x:c r="A813" s="12" t="str">
        <x:v>ORD-2024-10812</x:v>
      </x:c>
      <x:c r="B813" s="12" t="str">
        <x:v>12 Dec 2024</x:v>
      </x:c>
      <x:c r="C813" s="12" t="str">
        <x:v>19 Dec 2024</x:v>
      </x:c>
      <x:c r="D813" s="12" t="str">
        <x:v>CUST-3303</x:v>
      </x:c>
      <x:c r="E813" s="12" t="str">
        <x:v>Rohan Mehta</x:v>
      </x:c>
      <x:c r="F813" s="12" t="str">
        <x:v>Home Office</x:v>
      </x:c>
      <x:c r="G813" s="12" t="str">
        <x:v>North</x:v>
      </x:c>
      <x:c r="H813" s="12" t="str">
        <x:v>Haryana</x:v>
      </x:c>
      <x:c r="I813" s="12" t="str">
        <x:v>Gurugram</x:v>
      </x:c>
      <x:c r="J813" s="12" t="str">
        <x:v>Technology</x:v>
      </x:c>
      <x:c r="K813" s="12" t="str">
        <x:v>Accessories</x:v>
      </x:c>
      <x:c r="L813" s="12" t="str">
        <x:v>Eco Accessories 122</x:v>
      </x:c>
      <x:c r="M813" s="12" t="str">
        <x:v>First Class</x:v>
      </x:c>
      <x:c r="N813" s="12" t="n">
        <x:v>2</x:v>
      </x:c>
      <x:c r="O813" s="12" t="n">
        <x:v>1610.75</x:v>
      </x:c>
      <x:c r="P813" s="12" t="n">
        <x:v>0.2</x:v>
      </x:c>
      <x:c r="Q813" s="12" t="n">
        <x:v>2577.2</x:v>
      </x:c>
      <x:c r="R813" s="12" t="n">
        <x:v>1475.87</x:v>
      </x:c>
      <x:c r="S813" s="12" t="n">
        <x:v>1101.33</x:v>
      </x:c>
      <x:c r="T813" s="12" t="str">
        <x:v>Paid</x:v>
      </x:c>
      <x:c r="U813" s="12" t="str">
        <x:v>Completed</x:v>
      </x:c>
    </x:row>
    <x:row r="814">
      <x:c r="A814" s="12" t="str">
        <x:v>ORD-2024-10813</x:v>
      </x:c>
      <x:c r="B814" s="12" t="str">
        <x:v>2024-06-15</x:v>
      </x:c>
      <x:c r="C814" s="12" t="str">
        <x:v>20-06-2024</x:v>
      </x:c>
      <x:c r="D814" s="12" t="str">
        <x:v>CUST-5754</x:v>
      </x:c>
      <x:c r="E814" s="12" t="str">
        <x:v>Sneha Kapoor</x:v>
      </x:c>
      <x:c r="F814" s="12" t="str">
        <x:v>Small Business</x:v>
      </x:c>
      <x:c r="G814" s="12" t="str">
        <x:v>East</x:v>
      </x:c>
      <x:c r="H814" s="12" t="str">
        <x:v>Jharkhand</x:v>
      </x:c>
      <x:c r="I814" s="12" t="str">
        <x:v>Ranchi</x:v>
      </x:c>
      <x:c r="J814" s="12" t="str">
        <x:v>Furniture</x:v>
      </x:c>
      <x:c r="K814" s="12" t="str">
        <x:v>Tables</x:v>
      </x:c>
      <x:c r="L814" s="12" t="str">
        <x:v>Basic Tables 127</x:v>
      </x:c>
      <x:c r="M814" s="12" t="str">
        <x:v>First Class</x:v>
      </x:c>
      <x:c r="N814" s="12" t="n">
        <x:v>8</x:v>
      </x:c>
      <x:c r="O814" s="12" t="n">
        <x:v>2228.47</x:v>
      </x:c>
      <x:c r="P814" s="12" t="n">
        <x:v>0</x:v>
      </x:c>
      <x:c r="Q814" s="12" t="n">
        <x:v>17827.76</x:v>
      </x:c>
      <x:c r="R814" s="12" t="n">
        <x:v>14122.13</x:v>
      </x:c>
      <x:c r="S814" s="12" t="n">
        <x:v>3705.63</x:v>
      </x:c>
      <x:c r="T814" s="12" t="str">
        <x:v>Paid</x:v>
      </x:c>
      <x:c r="U814" s="12" t="str">
        <x:v>Completed</x:v>
      </x:c>
    </x:row>
    <x:row r="815">
      <x:c r="A815" s="12" t="str">
        <x:v>ORD-2025-10814</x:v>
      </x:c>
      <x:c r="B815" s="12" t="str">
        <x:v>04/06/2025</x:v>
      </x:c>
      <x:c r="C815" s="12" t="str">
        <x:v>10 Apr 2025</x:v>
      </x:c>
      <x:c r="D815" s="12" t="str">
        <x:v>CUST-7848</x:v>
      </x:c>
      <x:c r="E815" s="12" t="str">
        <x:v>Rohan Mehta</x:v>
      </x:c>
      <x:c r="F815" s="12" t="str">
        <x:v>Consumer</x:v>
      </x:c>
      <x:c r="G815" s="12" t="str">
        <x:v>East</x:v>
      </x:c>
      <x:c r="H815" s="12" t="str">
        <x:v>Odisha</x:v>
      </x:c>
      <x:c r="I815" s="12" t="str">
        <x:v>Bhubaneswar</x:v>
      </x:c>
      <x:c r="J815" s="12" t="str">
        <x:v>Furniture</x:v>
      </x:c>
      <x:c r="K815" s="12" t="str">
        <x:v>Bookcases</x:v>
      </x:c>
      <x:c r="L815" s="12" t="str">
        <x:v>Elite Bookcases 988</x:v>
      </x:c>
      <x:c r="M815" s="12" t="str">
        <x:v>Standard Class</x:v>
      </x:c>
      <x:c r="N815" s="12" t="n">
        <x:v>2</x:v>
      </x:c>
      <x:c r="O815" s="12" t="n">
        <x:v>1337.67</x:v>
      </x:c>
      <x:c r="P815" s="12" t="n">
        <x:v>0</x:v>
      </x:c>
      <x:c r="Q815" s="12" t="n">
        <x:v>2675.34</x:v>
      </x:c>
      <x:c r="R815" s="12" t="n">
        <x:v>1595.87</x:v>
      </x:c>
      <x:c r="S815" s="12" t="n">
        <x:v>1079.47</x:v>
      </x:c>
      <x:c r="T815" s="12" t="str">
        <x:v>Paid</x:v>
      </x:c>
      <x:c r="U815" s="12" t="str">
        <x:v>Completed</x:v>
      </x:c>
    </x:row>
    <x:row r="816">
      <x:c r="A816" s="12" t="str">
        <x:v>ORD-2025-10815</x:v>
      </x:c>
      <x:c r="B816" s="12" t="str">
        <x:v>06 Aug 2025</x:v>
      </x:c>
      <x:c r="C816" s="12" t="str">
        <x:v>2025-08-11</x:v>
      </x:c>
      <x:c r="D816" s="12" t="str">
        <x:v>CUST-9048</x:v>
      </x:c>
      <x:c r="E816" s="12" t="str">
        <x:v>Arjun Bose</x:v>
      </x:c>
      <x:c r="F816" s="12" t="str">
        <x:v>Consumer</x:v>
      </x:c>
      <x:c r="G816" s="12" t="str">
        <x:v>West</x:v>
      </x:c>
      <x:c r="H816" s="12" t="str">
        <x:v>Madhya Pradesh</x:v>
      </x:c>
      <x:c r="I816" s="12" t="str">
        <x:v>Indore</x:v>
      </x:c>
      <x:c r="J816" s="12" t="str">
        <x:v>Office Supplies</x:v>
      </x:c>
      <x:c r="K816" s="12" t="str">
        <x:v>Labels</x:v>
      </x:c>
      <x:c r="L816" s="12" t="str">
        <x:v>Smart Labels 126</x:v>
      </x:c>
      <x:c r="M816" s="12" t="str">
        <x:v>First Class</x:v>
      </x:c>
      <x:c r="N816" s="12" t="n">
        <x:v>2</x:v>
      </x:c>
      <x:c r="O816" s="12" t="n">
        <x:v>2375.94</x:v>
      </x:c>
      <x:c r="P816" s="12" t="n">
        <x:v>0.25</x:v>
      </x:c>
      <x:c r="Q816" s="12" t="n">
        <x:v>3563.91</x:v>
      </x:c>
      <x:c r="R816" s="12" t="n">
        <x:v>2639.7</x:v>
      </x:c>
      <x:c r="S816" s="12" t="n">
        <x:v>924.21</x:v>
      </x:c>
      <x:c r="T816" s="12" t="str">
        <x:v>Paid</x:v>
      </x:c>
      <x:c r="U816" s="12" t="str">
        <x:v>Completed</x:v>
      </x:c>
    </x:row>
    <x:row r="817">
      <x:c r="A817" s="12" t="str">
        <x:v>ORD-2024-10816</x:v>
      </x:c>
      <x:c r="B817" s="12" t="str">
        <x:v>04/01/2024</x:v>
      </x:c>
      <x:c r="C817" s="12" t="str">
        <x:v>2024-04-08</x:v>
      </x:c>
      <x:c r="D817" s="12" t="str">
        <x:v>CUST-2951</x:v>
      </x:c>
      <x:c r="E817" s="12" t="str">
        <x:v>Diya Patel</x:v>
      </x:c>
      <x:c r="F817" s="12" t="str">
        <x:v>Consumer</x:v>
      </x:c>
      <x:c r="G817" s="12" t="str">
        <x:v>East</x:v>
      </x:c>
      <x:c r="H817" s="12" t="str">
        <x:v>Odisha</x:v>
      </x:c>
      <x:c r="I817" s="12" t="str">
        <x:v>Bhubaneswar</x:v>
      </x:c>
      <x:c r="J817" s="12" t="str">
        <x:v>Technology</x:v>
      </x:c>
      <x:c r="K817" s="12" t="str">
        <x:v>Machines</x:v>
      </x:c>
      <x:c r="L817" s="12" t="str">
        <x:v>Max Machines 569</x:v>
      </x:c>
      <x:c r="M817" s="12" t="str">
        <x:v>Standard Class</x:v>
      </x:c>
      <x:c r="N817" s="12" t="n">
        <x:v>7</x:v>
      </x:c>
      <x:c r="O817" s="12" t="n">
        <x:v>715.81</x:v>
      </x:c>
      <x:c r="P817" s="12" t="n">
        <x:v>0.15</x:v>
      </x:c>
      <x:c r="Q817" s="12" t="n">
        <x:v>4259.07</x:v>
      </x:c>
      <x:c r="R817" s="12" t="n">
        <x:v>3130.32</x:v>
      </x:c>
      <x:c r="S817" s="12" t="n">
        <x:v>1128.75</x:v>
      </x:c>
      <x:c r="T817" s="12" t="str">
        <x:v>Pending</x:v>
      </x:c>
      <x:c r="U817" s="12" t="str">
        <x:v>Cancelled</x:v>
      </x:c>
    </x:row>
    <x:row r="818">
      <x:c r="A818" s="12" t="str">
        <x:v>ORD-2024-10817</x:v>
      </x:c>
      <x:c r="B818" s="12" t="str">
        <x:v>11/27/2024</x:v>
      </x:c>
      <x:c r="C818" s="12" t="str">
        <x:v>2024-11-30</x:v>
      </x:c>
      <x:c r="D818" s="12" t="str">
        <x:v>CUST-3072</x:v>
      </x:c>
      <x:c r="E818" s="12" t="str">
        <x:v>Rahul Verma</x:v>
      </x:c>
      <x:c r="F818" s="12" t="str">
        <x:v>Small Business</x:v>
      </x:c>
      <x:c r="G818" s="12" t="str">
        <x:v>East</x:v>
      </x:c>
      <x:c r="H818" s="12" t="str">
        <x:v>Jharkhand</x:v>
      </x:c>
      <x:c r="I818" s="12" t="str">
        <x:v>Ranchi</x:v>
      </x:c>
      <x:c r="J818" s="12" t="str">
        <x:v>Furniture</x:v>
      </x:c>
      <x:c r="K818" s="12" t="str">
        <x:v>Furnishings</x:v>
      </x:c>
      <x:c r="L818" s="12" t="str">
        <x:v>Basic Furnishings 306</x:v>
      </x:c>
      <x:c r="M818" s="12" t="str">
        <x:v>First Class</x:v>
      </x:c>
      <x:c r="N818" s="12" t="n">
        <x:v>1</x:v>
      </x:c>
      <x:c r="O818" s="12" t="n">
        <x:v>874.3</x:v>
      </x:c>
      <x:c r="P818" s="12" t="n">
        <x:v>0.1</x:v>
      </x:c>
      <x:c r="Q818" s="12" t="n">
        <x:v>786.87</x:v>
      </x:c>
      <x:c r="R818" s="12" t="n">
        <x:v>498.5</x:v>
      </x:c>
      <x:c r="S818" s="12" t="n">
        <x:v>288.37</x:v>
      </x:c>
      <x:c r="T818" s="12" t="str">
        <x:v>Paid</x:v>
      </x:c>
      <x:c r="U818" s="12" t="str">
        <x:v>Completed</x:v>
      </x:c>
    </x:row>
    <x:row r="819">
      <x:c r="A819" s="12" t="str">
        <x:v>ORD-2025-10818</x:v>
      </x:c>
      <x:c r="B819" s="12" t="str">
        <x:v>05 Apr 2025</x:v>
      </x:c>
      <x:c r="C819" s="12" t="str">
        <x:v>04/05/2025</x:v>
      </x:c>
      <x:c r="D819" s="12" t="str">
        <x:v>CUST-2221</x:v>
      </x:c>
      <x:c r="E819" s="12" t="str">
        <x:v>Sneha Kapoor</x:v>
      </x:c>
      <x:c r="F819" s="12" t="str">
        <x:v>Consumer</x:v>
      </x:c>
      <x:c r="G819" s="12" t="str">
        <x:v>East</x:v>
      </x:c>
      <x:c r="H819" s="12" t="str">
        <x:v>Bihar</x:v>
      </x:c>
      <x:c r="I819" s="12" t="str">
        <x:v>Patna</x:v>
      </x:c>
      <x:c r="J819" s="12" t="str">
        <x:v>Office Supplies</x:v>
      </x:c>
      <x:c r="K819" s="12" t="str">
        <x:v>Binders</x:v>
      </x:c>
      <x:c r="L819" s="12" t="str">
        <x:v>Classic Binders 873</x:v>
      </x:c>
      <x:c r="M819" s="12" t="str">
        <x:v>Standard Class</x:v>
      </x:c>
      <x:c r="N819" s="12" t="n">
        <x:v>6</x:v>
      </x:c>
      <x:c r="O819" s="12" t="n">
        <x:v>1829.69</x:v>
      </x:c>
      <x:c r="P819" s="12" t="n">
        <x:v>0.25</x:v>
      </x:c>
      <x:c r="Q819" s="12" t="n">
        <x:v>8233.6</x:v>
      </x:c>
      <x:c r="R819" s="12" t="n">
        <x:v>4713.79</x:v>
      </x:c>
      <x:c r="S819" s="12" t="n">
        <x:v>3519.81</x:v>
      </x:c>
      <x:c r="T819" s="12" t="str">
        <x:v>Paid</x:v>
      </x:c>
      <x:c r="U819" s="12" t="str">
        <x:v>Completed</x:v>
      </x:c>
    </x:row>
    <x:row r="820">
      <x:c r="A820" s="12" t="str">
        <x:v>ORD-2024-10819</x:v>
      </x:c>
      <x:c r="B820" s="12" t="str">
        <x:v>29 Sep 2024</x:v>
      </x:c>
      <x:c r="C820" s="12" t="str">
        <x:v>05-10-2024</x:v>
      </x:c>
      <x:c r="D820" s="12" t="str">
        <x:v>CUST-3943</x:v>
      </x:c>
      <x:c r="E820" s="12" t="str">
        <x:v>Priya Menon</x:v>
      </x:c>
      <x:c r="F820" s="12" t="str">
        <x:v>Small Business</x:v>
      </x:c>
      <x:c r="G820" s="12" t="str">
        <x:v>West</x:v>
      </x:c>
      <x:c r="H820" s="12" t="str">
        <x:v>Maharashtra</x:v>
      </x:c>
      <x:c r="I820" s="12" t="str">
        <x:v>Mumbai</x:v>
      </x:c>
      <x:c r="J820" s="12" t="str">
        <x:v>Office Supplies</x:v>
      </x:c>
      <x:c r="K820" s="12" t="str">
        <x:v>Labels</x:v>
      </x:c>
      <x:c r="L820" s="12" t="str">
        <x:v>Pro Labels 611</x:v>
      </x:c>
      <x:c r="M820" s="12" t="str">
        <x:v>First Class</x:v>
      </x:c>
      <x:c r="N820" s="12" t="n">
        <x:v>8</x:v>
      </x:c>
      <x:c r="O820" s="12" t="n">
        <x:v>1981.04</x:v>
      </x:c>
      <x:c r="P820" s="12" t="n">
        <x:v>-0.14</x:v>
      </x:c>
      <x:c r="Q820" s="12" t="n">
        <x:v>12678.66</x:v>
      </x:c>
      <x:c r="R820" s="12" t="n">
        <x:v>10088.65</x:v>
      </x:c>
      <x:c r="S820" s="12" t="n">
        <x:v>2590.01</x:v>
      </x:c>
      <x:c r="T820" s="12" t="str">
        <x:v>Paid</x:v>
      </x:c>
      <x:c r="U820" s="12" t="str">
        <x:v>Completed</x:v>
      </x:c>
    </x:row>
    <x:row r="821">
      <x:c r="A821" s="12" t="str">
        <x:v>ORD-2024-10820</x:v>
      </x:c>
      <x:c r="B821" s="12" t="str">
        <x:v>07/31/2024</x:v>
      </x:c>
      <x:c r="C821" s="12" t="str">
        <x:v>31-07-2024</x:v>
      </x:c>
      <x:c r="D821" s="12" t="str">
        <x:v>CUST-7510</x:v>
      </x:c>
      <x:c r="E821" s="12" t="str">
        <x:v>Karan Malhotra</x:v>
      </x:c>
      <x:c r="F821" s="12" t="str">
        <x:v>Home Office</x:v>
      </x:c>
      <x:c r="G821" s="12" t="str">
        <x:v>South</x:v>
      </x:c>
      <x:c r="H821" s="12" t="str">
        <x:v>Kerala</x:v>
      </x:c>
      <x:c r="I821" s="12" t="str">
        <x:v>Kochi</x:v>
      </x:c>
      <x:c r="J821" s="12" t="str">
        <x:v>Technology</x:v>
      </x:c>
      <x:c r="K821" s="12" t="str">
        <x:v>MACHINES</x:v>
      </x:c>
      <x:c r="L821" s="12" t="str">
        <x:v>Prime Machines 524</x:v>
      </x:c>
      <x:c r="M821" s="12" t="str">
        <x:v>Standard Class</x:v>
      </x:c>
      <x:c r="N821" s="12" t="n">
        <x:v>8</x:v>
      </x:c>
      <x:c r="O821" s="12" t="n">
        <x:v>4246.01</x:v>
      </x:c>
      <x:c r="P821" s="12" t="n">
        <x:v>0</x:v>
      </x:c>
      <x:c r="Q821" s="12" t="n">
        <x:v>33968.08</x:v>
      </x:c>
      <x:c r="R821" s="12" t="n">
        <x:v>26902.44</x:v>
      </x:c>
      <x:c r="S821" s="12" t="n">
        <x:v>7065.64</x:v>
      </x:c>
      <x:c r="T821" s="12" t="str">
        <x:v>Failed</x:v>
      </x:c>
      <x:c r="U821" s="12" t="str">
        <x:v>Cancelled</x:v>
      </x:c>
    </x:row>
    <x:row r="822">
      <x:c r="A822" s="12" t="str">
        <x:v>ORD-2025-10821</x:v>
      </x:c>
      <x:c r="B822" s="12" t="str">
        <x:v>06-02-2025</x:v>
      </x:c>
      <x:c r="C822" s="12" t="str">
        <x:v>10-02-2025</x:v>
      </x:c>
      <x:c r="D822" s="12" t="str">
        <x:v>CUST-2041</x:v>
      </x:c>
      <x:c r="E822" s="12" t="str">
        <x:v>Ananya Rao</x:v>
      </x:c>
      <x:c r="F822" s="12" t="str">
        <x:v>Home Office</x:v>
      </x:c>
      <x:c r="G822" s="12" t="str">
        <x:v>North</x:v>
      </x:c>
      <x:c r="H822" s="12" t="str">
        <x:v>Uttar Pradesh</x:v>
      </x:c>
      <x:c r="I822" s="12" t="str">
        <x:v>Noida</x:v>
      </x:c>
      <x:c r="J822" s="12" t="str">
        <x:v>Furniture</x:v>
      </x:c>
      <x:c r="K822" s="12" t="str">
        <x:v>Bookcases</x:v>
      </x:c>
      <x:c r="L822" s="12" t="str">
        <x:v>Classic Bookcases 882</x:v>
      </x:c>
      <x:c r="M822" s="12" t="str">
        <x:v>Standard Class</x:v>
      </x:c>
      <x:c r="N822" s="12" t="n">
        <x:v>2</x:v>
      </x:c>
      <x:c r="O822" s="12" t="n">
        <x:v>319.57</x:v>
      </x:c>
      <x:c r="P822" s="12" t="n">
        <x:v>0.2</x:v>
      </x:c>
      <x:c r="Q822" s="12" t="n">
        <x:v>511.31</x:v>
      </x:c>
      <x:c r="R822" s="12" t="n">
        <x:v>436.43</x:v>
      </x:c>
      <x:c r="S822" s="12" t="n">
        <x:v>74.88</x:v>
      </x:c>
      <x:c r="T822" s="12" t="str">
        <x:v>Paid</x:v>
      </x:c>
      <x:c r="U822" s="12" t="str">
        <x:v>Completed</x:v>
      </x:c>
    </x:row>
    <x:row r="823">
      <x:c r="A823" s="12" t="str">
        <x:v>ORD-2024-10822</x:v>
      </x:c>
      <x:c r="B823" s="12" t="str">
        <x:v>2024-07-03</x:v>
      </x:c>
      <x:c r="C823" s="12" t="str">
        <x:v>06-07-2024</x:v>
      </x:c>
      <x:c r="D823" s="12" t="str">
        <x:v>CUST-4466</x:v>
      </x:c>
      <x:c r="E823" s="12" t="str">
        <x:v>Aarav Sharma</x:v>
      </x:c>
      <x:c r="F823" s="12" t="str">
        <x:v>Corporate</x:v>
      </x:c>
      <x:c r="G823" s="12" t="str">
        <x:v>South</x:v>
      </x:c>
      <x:c r="H823" s="12" t="str">
        <x:v>Karnataka</x:v>
      </x:c>
      <x:c r="I823" s="12" t="str">
        <x:v>Bengaluru</x:v>
      </x:c>
      <x:c r="J823" s="12" t="str">
        <x:v>Technology</x:v>
      </x:c>
      <x:c r="K823" s="12" t="str">
        <x:v>Accessories</x:v>
      </x:c>
      <x:c r="L823" s="12" t="str">
        <x:v>Classic Accessories 471</x:v>
      </x:c>
      <x:c r="M823" s="12" t="str">
        <x:v>First Class</x:v>
      </x:c>
      <x:c r="N823" s="12" t="n">
        <x:v>7</x:v>
      </x:c>
      <x:c r="O823" s="12" t="n">
        <x:v>1942.49</x:v>
      </x:c>
      <x:c r="P823" s="12" t="n">
        <x:v>0.2</x:v>
      </x:c>
      <x:c r="Q823" s="12" t="n">
        <x:v>10877.94</x:v>
      </x:c>
      <x:c r="R823" s="12" t="n">
        <x:v>9110.14</x:v>
      </x:c>
      <x:c r="S823" s="12" t="n">
        <x:v>1767.8</x:v>
      </x:c>
      <x:c r="T823" s="12" t="str">
        <x:v>Paid</x:v>
      </x:c>
      <x:c r="U823" s="12" t="str">
        <x:v>Completed</x:v>
      </x:c>
    </x:row>
    <x:row r="824">
      <x:c r="A824" s="12" t="str">
        <x:v>ORD-2024-10823</x:v>
      </x:c>
      <x:c r="B824" s="12" t="str">
        <x:v>10/12/2024</x:v>
      </x:c>
      <x:c r="C824" s="12" t="str">
        <x:v>08 Oct 2024</x:v>
      </x:c>
      <x:c r="D824" s="12" t="str">
        <x:v>CUST-3188</x:v>
      </x:c>
      <x:c r="E824" s="12" t="str">
        <x:v>Mira Das</x:v>
      </x:c>
      <x:c r="F824" s="12" t="str">
        <x:v>Corporate</x:v>
      </x:c>
      <x:c r="G824" s="12" t="str">
        <x:v>East</x:v>
      </x:c>
      <x:c r="H824" s="12" t="str">
        <x:v>Assam</x:v>
      </x:c>
      <x:c r="I824" s="12" t="str">
        <x:v>Guwahati</x:v>
      </x:c>
      <x:c r="J824" s="12" t="str">
        <x:v>Furniture</x:v>
      </x:c>
      <x:c r="K824" s="12" t="str">
        <x:v>Furnishings</x:v>
      </x:c>
      <x:c r="L824" s="12" t="str">
        <x:v>Smart Furnishings 175</x:v>
      </x:c>
      <x:c r="M824" s="12" t="str">
        <x:v>Second Class</x:v>
      </x:c>
      <x:c r="N824" s="12" t="n">
        <x:v>4</x:v>
      </x:c>
      <x:c r="O824" s="12" t="n">
        <x:v>3202.04</x:v>
      </x:c>
      <x:c r="P824" s="12" t="n">
        <x:v>0.2</x:v>
      </x:c>
      <x:c r="Q824" s="12" t="n">
        <x:v>10246.53</x:v>
      </x:c>
      <x:c r="R824" s="12" t="n">
        <x:v>8634.42</x:v>
      </x:c>
      <x:c r="S824" s="12" t="n">
        <x:v>1612.11</x:v>
      </x:c>
      <x:c r="T824" s="12" t="str">
        <x:v>Pending</x:v>
      </x:c>
      <x:c r="U824" s="12" t="str">
        <x:v>Returned</x:v>
      </x:c>
    </x:row>
    <x:row r="825">
      <x:c r="A825" s="12" t="str">
        <x:v>ORD-2025-10824</x:v>
      </x:c>
      <x:c r="B825" s="12" t="str">
        <x:v>2025-01-06</x:v>
      </x:c>
      <x:c r="C825" s="12" t="str">
        <x:v>12 Jan 2025</x:v>
      </x:c>
      <x:c r="D825" s="12" t="str">
        <x:v>CUST-6638</x:v>
      </x:c>
      <x:c r="E825" s="12" t="str">
        <x:v>Mira Das</x:v>
      </x:c>
      <x:c r="F825" s="12" t="str">
        <x:v>Home Office</x:v>
      </x:c>
      <x:c r="G825" s="12" t="str">
        <x:v>West</x:v>
      </x:c>
      <x:c r="H825" s="12" t="str">
        <x:v>Goa</x:v>
      </x:c>
      <x:c r="I825" s="12" t="str">
        <x:v>Panaji</x:v>
      </x:c>
      <x:c r="J825" s="12" t="str">
        <x:v>Office Supplies</x:v>
      </x:c>
      <x:c r="K825" s="12" t="str">
        <x:v>Paper</x:v>
      </x:c>
      <x:c r="L825" s="12" t="str">
        <x:v>Basic Paper 899</x:v>
      </x:c>
      <x:c r="M825" s="12" t="str">
        <x:v>Same Day</x:v>
      </x:c>
      <x:c r="N825" s="12" t="n">
        <x:v>3</x:v>
      </x:c>
      <x:c r="O825" s="12" t="n">
        <x:v>668.33</x:v>
      </x:c>
      <x:c r="P825" s="12" t="n">
        <x:v>0.15</x:v>
      </x:c>
      <x:c r="Q825" s="12" t="n">
        <x:v>1704.24</x:v>
      </x:c>
      <x:c r="R825" s="12" t="n">
        <x:v>957.55</x:v>
      </x:c>
      <x:c r="S825" s="12" t="n">
        <x:v>746.69</x:v>
      </x:c>
      <x:c r="T825" s="12" t="str">
        <x:v>Paid</x:v>
      </x:c>
      <x:c r="U825" s="12" t="str">
        <x:v>Completed</x:v>
      </x:c>
    </x:row>
    <x:row r="826">
      <x:c r="A826" s="12" t="str">
        <x:v>ORD-2025-10825</x:v>
      </x:c>
      <x:c r="B826" s="12" t="str">
        <x:v>21-03-2025</x:v>
      </x:c>
      <x:c r="C826" s="12" t="str">
        <x:v>22 Mar 2025</x:v>
      </x:c>
      <x:c r="D826" s="12" t="str">
        <x:v>CUST-3540</x:v>
      </x:c>
      <x:c r="E826" s="12" t="str">
        <x:v>Priya Menon</x:v>
      </x:c>
      <x:c r="F826" s="12" t="str">
        <x:v>Consumer</x:v>
      </x:c>
      <x:c r="G826" s="12" t="str">
        <x:v>West</x:v>
      </x:c>
      <x:c r="H826" s="12" t="str">
        <x:v>Goa</x:v>
      </x:c>
      <x:c r="I826" s="12" t="str">
        <x:v>Panaji</x:v>
      </x:c>
      <x:c r="J826" s="12" t="str">
        <x:v>Office Supplies</x:v>
      </x:c>
      <x:c r="K826" s="12" t="str">
        <x:v>Paper</x:v>
      </x:c>
      <x:c r="L826" s="12" t="str">
        <x:v>Pro Paper 267</x:v>
      </x:c>
      <x:c r="M826" s="12" t="str">
        <x:v>First Class</x:v>
      </x:c>
      <x:c r="N826" s="12" t="n">
        <x:v>8</x:v>
      </x:c>
      <x:c r="O826" s="12" t="n">
        <x:v>4436.74</x:v>
      </x:c>
      <x:c r="P826" s="12" t="n">
        <x:v>0.05</x:v>
      </x:c>
      <x:c r="Q826" s="12" t="n">
        <x:v>33719.22</x:v>
      </x:c>
      <x:c r="R826" s="12" t="n">
        <x:v>28924.43</x:v>
      </x:c>
      <x:c r="S826" s="12" t="n">
        <x:v>4794.79</x:v>
      </x:c>
      <x:c r="T826" s="12" t="str">
        <x:v>Paid</x:v>
      </x:c>
      <x:c r="U826" s="12" t="str">
        <x:v>Completed</x:v>
      </x:c>
    </x:row>
    <x:row r="827">
      <x:c r="A827" s="12" t="str">
        <x:v>ORD-2025-10826</x:v>
      </x:c>
      <x:c r="B827" s="12" t="str">
        <x:v>16 Apr 2025</x:v>
      </x:c>
      <x:c r="C827" s="12" t="str">
        <x:v>17-04-2025</x:v>
      </x:c>
      <x:c r="D827" s="12" t="str">
        <x:v>CUST-3351</x:v>
      </x:c>
      <x:c r="E827" s="12" t="str">
        <x:v>Vikram Iyer</x:v>
      </x:c>
      <x:c r="F827" s="12" t="str">
        <x:v>Small Business</x:v>
      </x:c>
      <x:c r="G827" s="12" t="str">
        <x:v>North</x:v>
      </x:c>
      <x:c r="H827" s="12" t="str">
        <x:v>Uttar Pradesh</x:v>
      </x:c>
      <x:c r="I827" s="12" t="str">
        <x:v>Noida</x:v>
      </x:c>
      <x:c r="J827" s="12" t="str">
        <x:v>Technology</x:v>
      </x:c>
      <x:c r="K827" s="12" t="str">
        <x:v>Machines</x:v>
      </x:c>
      <x:c r="L827" s="12" t="str">
        <x:v>Basic Machines 832</x:v>
      </x:c>
      <x:c r="M827" s="12" t="str">
        <x:v>First Class</x:v>
      </x:c>
      <x:c r="N827" s="12" t="n">
        <x:v>1</x:v>
      </x:c>
      <x:c r="O827" s="12" t="n">
        <x:v>2720.17</x:v>
      </x:c>
      <x:c r="P827" s="12" t="n">
        <x:v>0</x:v>
      </x:c>
      <x:c r="Q827" s="12" t="n">
        <x:v>2720.17</x:v>
      </x:c>
      <x:c r="R827" s="12" t="n">
        <x:v>1834.23</x:v>
      </x:c>
      <x:c r="S827" s="12" t="n">
        <x:v>885.94</x:v>
      </x:c>
      <x:c r="T827" s="12" t="str">
        <x:v>Paid</x:v>
      </x:c>
      <x:c r="U827" s="12" t="str">
        <x:v>Completed</x:v>
      </x:c>
    </x:row>
    <x:row r="828">
      <x:c r="A828" s="12" t="str">
        <x:v>ORD-2025-10827</x:v>
      </x:c>
      <x:c r="B828" s="12" t="str">
        <x:v>2025-08-10</x:v>
      </x:c>
      <x:c r="C828" s="12" t="str">
        <x:v>14 Aug 2025</x:v>
      </x:c>
      <x:c r="D828" s="12" t="str">
        <x:v>CUST-4375</x:v>
      </x:c>
      <x:c r="E828" s="12" t="str">
        <x:v>Aditi Sen</x:v>
      </x:c>
      <x:c r="F828" s="12" t="str">
        <x:v>Consumer</x:v>
      </x:c>
      <x:c r="G828" s="12" t="str">
        <x:v>West</x:v>
      </x:c>
      <x:c r="H828" s="12" t="str">
        <x:v>Rajasthan</x:v>
      </x:c>
      <x:c r="I828" s="12" t="str">
        <x:v>Udaipur</x:v>
      </x:c>
      <x:c r="J828" s="12" t="str">
        <x:v>Technology</x:v>
      </x:c>
      <x:c r="K828" s="12" t="str">
        <x:v>Accessories</x:v>
      </x:c>
      <x:c r="L828" s="12" t="str">
        <x:v>Elite Accessories 790</x:v>
      </x:c>
      <x:c r="M828" s="12" t="str">
        <x:v>Standard Class</x:v>
      </x:c>
      <x:c r="N828" s="12" t="n">
        <x:v>5</x:v>
      </x:c>
      <x:c r="O828" s="12" t="n">
        <x:v>2190.14</x:v>
      </x:c>
      <x:c r="P828" s="12" t="n">
        <x:v>0.25</x:v>
      </x:c>
      <x:c r="Q828" s="12" t="n">
        <x:v>8213.02</x:v>
      </x:c>
      <x:c r="R828" s="12" t="n">
        <x:v>5569.3</x:v>
      </x:c>
      <x:c r="S828" s="12" t="n">
        <x:v>2643.72</x:v>
      </x:c>
      <x:c r="T828" s="12" t="str">
        <x:v>Paid</x:v>
      </x:c>
      <x:c r="U828" s="12" t="str">
        <x:v>Completed</x:v>
      </x:c>
    </x:row>
    <x:row r="829">
      <x:c r="A829" s="12" t="str">
        <x:v>ORD-2024-10828</x:v>
      </x:c>
      <x:c r="B829" s="12" t="str">
        <x:v>24 Nov 2024</x:v>
      </x:c>
      <x:c r="C829" s="12" t="str">
        <x:v>01-12-2024</x:v>
      </x:c>
      <x:c r="D829" s="12" t="str">
        <x:v>CUST-5125</x:v>
      </x:c>
      <x:c r="E829" s="12" t="str">
        <x:v>Priya Menon</x:v>
      </x:c>
      <x:c r="F829" s="12" t="str">
        <x:v>Home Office</x:v>
      </x:c>
      <x:c r="G829" s="12" t="str">
        <x:v>South</x:v>
      </x:c>
      <x:c r="H829" s="12" t="str">
        <x:v>Tamil Nadu</x:v>
      </x:c>
      <x:c r="I829" s="12" t="str">
        <x:v>Chennai</x:v>
      </x:c>
      <x:c r="J829" s="12" t="str">
        <x:v>Office Supplies</x:v>
      </x:c>
      <x:c r="K829" s="12" t="str">
        <x:v>Paper</x:v>
      </x:c>
      <x:c r="L829" s="12" t="str">
        <x:v>Basic Paper 707</x:v>
      </x:c>
      <x:c r="M829" s="12" t="str">
        <x:v>Same Day</x:v>
      </x:c>
      <x:c r="N829" s="12" t="n">
        <x:v>1</x:v>
      </x:c>
      <x:c r="O829" s="12" t="n">
        <x:v>844.89</x:v>
      </x:c>
      <x:c r="P829" s="12" t="n">
        <x:v>0.25</x:v>
      </x:c>
      <x:c r="Q829" s="12" t="n">
        <x:v>633.67</x:v>
      </x:c>
      <x:c r="R829" s="12" t="n">
        <x:v>520.47</x:v>
      </x:c>
      <x:c r="S829" s="12" t="n">
        <x:v>113.2</x:v>
      </x:c>
      <x:c r="T829" s="12" t="str">
        <x:v>Paid</x:v>
      </x:c>
      <x:c r="U829" s="12" t="str">
        <x:v>Cancelled</x:v>
      </x:c>
    </x:row>
    <x:row r="830">
      <x:c r="A830" s="12" t="str">
        <x:v>ORD-2025-10829</x:v>
      </x:c>
      <x:c r="B830" s="12" t="str">
        <x:v>10/10/2025</x:v>
      </x:c>
      <x:c r="C830" s="12" t="str">
        <x:v>11-10-2025</x:v>
      </x:c>
      <x:c r="D830" s="12" t="str">
        <x:v>CUST-6010</x:v>
      </x:c>
      <x:c r="E830" s="12" t="str">
        <x:v>Karan Malhotra </x:v>
      </x:c>
      <x:c r="F830" s="12" t="str">
        <x:v>Corporate</x:v>
      </x:c>
      <x:c r="G830" s="12" t="str">
        <x:v>East</x:v>
      </x:c>
      <x:c r="H830" s="12" t="str">
        <x:v>Odisha</x:v>
      </x:c>
      <x:c r="I830" s="12" t="str">
        <x:v>Bhubaneswar</x:v>
      </x:c>
      <x:c r="J830" s="12" t="str">
        <x:v>Furniture</x:v>
      </x:c>
      <x:c r="K830" s="12" t="str">
        <x:v>Chairs</x:v>
      </x:c>
      <x:c r="L830" s="12" t="str">
        <x:v>Elite Chairs 979</x:v>
      </x:c>
      <x:c r="M830" s="12" t="str">
        <x:v>Second Class</x:v>
      </x:c>
      <x:c r="N830" s="12" t="n">
        <x:v>7</x:v>
      </x:c>
      <x:c r="O830" s="12" t="n">
        <x:v>3791.96</x:v>
      </x:c>
      <x:c r="P830" s="12" t="n">
        <x:v>0.05</x:v>
      </x:c>
      <x:c r="Q830" s="12" t="n">
        <x:v>25216.53</x:v>
      </x:c>
      <x:c r="R830" s="12" t="n">
        <x:v>14216.94</x:v>
      </x:c>
      <x:c r="S830" s="12" t="n">
        <x:v>10999.59</x:v>
      </x:c>
      <x:c r="T830" s="12" t="str">
        <x:v>Failed</x:v>
      </x:c>
      <x:c r="U830" s="12" t="str">
        <x:v>Cancelled</x:v>
      </x:c>
    </x:row>
    <x:row r="831">
      <x:c r="A831" s="12" t="str">
        <x:v>ORD-2024-10830</x:v>
      </x:c>
      <x:c r="B831" s="12" t="str">
        <x:v>02/26/2024</x:v>
      </x:c>
      <x:c r="C831" s="12" t="str">
        <x:v>28-02-2024</x:v>
      </x:c>
      <x:c r="D831" s="12" t="str">
        <x:v>CUST-9036</x:v>
      </x:c>
      <x:c r="E831" s="12" t="str">
        <x:v>Aditi Sen</x:v>
      </x:c>
      <x:c r="F831" s="12" t="str">
        <x:v>Small Business</x:v>
      </x:c>
      <x:c r="G831" s="12" t="str">
        <x:v>West</x:v>
      </x:c>
      <x:c r="H831" s="12" t="str">
        <x:v>Goa</x:v>
      </x:c>
      <x:c r="I831" s="12" t="str">
        <x:v>Panaji</x:v>
      </x:c>
      <x:c r="J831" s="12" t="str">
        <x:v>Furniture</x:v>
      </x:c>
      <x:c r="K831" s="12" t="str">
        <x:v>Furnishings</x:v>
      </x:c>
      <x:c r="L831" s="12" t="str">
        <x:v>Pro Furnishings 192</x:v>
      </x:c>
      <x:c r="M831" s="12" t="str">
        <x:v>Second Class</x:v>
      </x:c>
      <x:c r="N831" s="12" t="n">
        <x:v>7</x:v>
      </x:c>
      <x:c r="O831" s="12" t="n">
        <x:v>1035.14</x:v>
      </x:c>
      <x:c r="P831" s="12" t="n">
        <x:v>0.1</x:v>
      </x:c>
      <x:c r="Q831" s="12" t="n">
        <x:v>6521.38</x:v>
      </x:c>
      <x:c r="R831" s="12" t="n">
        <x:v>4511.1</x:v>
      </x:c>
      <x:c r="S831" s="12" t="n">
        <x:v>2010.28</x:v>
      </x:c>
      <x:c r="T831" s="12" t="str">
        <x:v>Paid</x:v>
      </x:c>
      <x:c r="U831" s="12" t="str">
        <x:v>Completed</x:v>
      </x:c>
    </x:row>
    <x:row r="832">
      <x:c r="A832" s="12" t="str">
        <x:v>ORD-2025-10831</x:v>
      </x:c>
      <x:c r="B832" s="12" t="str">
        <x:v>15 Jul 2025</x:v>
      </x:c>
      <x:c r="C832" s="12" t="str">
        <x:v>18-07-2025</x:v>
      </x:c>
      <x:c r="D832" s="12" t="str">
        <x:v>CUST-7929</x:v>
      </x:c>
      <x:c r="E832" s="12" t="str">
        <x:v>Aditi Sen</x:v>
      </x:c>
      <x:c r="F832" s="12" t="str">
        <x:v>Small Business</x:v>
      </x:c>
      <x:c r="G832" s="12"/>
      <x:c r="H832" s="12" t="str">
        <x:v>Tamil Nadu</x:v>
      </x:c>
      <x:c r="I832" s="12" t="str">
        <x:v>Chennai</x:v>
      </x:c>
      <x:c r="J832" s="12" t="str">
        <x:v>Technology</x:v>
      </x:c>
      <x:c r="K832" s="12" t="str">
        <x:v>Machines</x:v>
      </x:c>
      <x:c r="L832" s="12" t="str">
        <x:v>Smart Machines 951</x:v>
      </x:c>
      <x:c r="M832" s="12" t="str">
        <x:v>First Class</x:v>
      </x:c>
      <x:c r="N832" s="12" t="n">
        <x:v>6</x:v>
      </x:c>
      <x:c r="O832" s="12" t="n">
        <x:v>2382.88</x:v>
      </x:c>
      <x:c r="P832" s="12" t="n">
        <x:v>0.1</x:v>
      </x:c>
      <x:c r="Q832" s="12" t="n">
        <x:v>12867.55</x:v>
      </x:c>
      <x:c r="R832" s="12" t="n">
        <x:v>10068.94</x:v>
      </x:c>
      <x:c r="S832" s="12" t="n">
        <x:v>2798.61</x:v>
      </x:c>
      <x:c r="T832" s="12" t="str">
        <x:v>Paid</x:v>
      </x:c>
      <x:c r="U832" s="12" t="str">
        <x:v>Completed</x:v>
      </x:c>
    </x:row>
    <x:row r="833">
      <x:c r="A833" s="12" t="str">
        <x:v>ORD-2025-10832</x:v>
      </x:c>
      <x:c r="B833" s="12" t="str">
        <x:v>04/03/2025</x:v>
      </x:c>
      <x:c r="C833" s="12" t="str">
        <x:v>03-04-2025</x:v>
      </x:c>
      <x:c r="D833" s="12" t="str">
        <x:v>CUST-1106</x:v>
      </x:c>
      <x:c r="E833" s="12" t="str">
        <x:v>Diya Patel</x:v>
      </x:c>
      <x:c r="F833" s="12" t="str">
        <x:v>Home Office</x:v>
      </x:c>
      <x:c r="G833" s="12"/>
      <x:c r="H833" s="12" t="str">
        <x:v>Haryana</x:v>
      </x:c>
      <x:c r="I833" s="12" t="str">
        <x:v>Gurugram</x:v>
      </x:c>
      <x:c r="J833" s="12" t="str">
        <x:v>Furniture</x:v>
      </x:c>
      <x:c r="K833" s="12" t="str">
        <x:v>Chairs</x:v>
      </x:c>
      <x:c r="L833" s="12" t="str">
        <x:v>Smart Chairs 794</x:v>
      </x:c>
      <x:c r="M833" s="12" t="str">
        <x:v>First Class</x:v>
      </x:c>
      <x:c r="N833" s="12" t="n">
        <x:v>9</x:v>
      </x:c>
      <x:c r="O833" s="12" t="n">
        <x:v>3462.7</x:v>
      </x:c>
      <x:c r="P833" s="12" t="n">
        <x:v>0.15</x:v>
      </x:c>
      <x:c r="Q833" s="12" t="n">
        <x:v>26489.65</x:v>
      </x:c>
      <x:c r="R833" s="12" t="n">
        <x:v>15818.46</x:v>
      </x:c>
      <x:c r="S833" s="12" t="n">
        <x:v>10671.19</x:v>
      </x:c>
      <x:c r="T833" s="12" t="str">
        <x:v>Failed</x:v>
      </x:c>
      <x:c r="U833" s="12" t="str">
        <x:v>Returned</x:v>
      </x:c>
    </x:row>
    <x:row r="834">
      <x:c r="A834" s="12" t="str">
        <x:v>ORD-2025-10833</x:v>
      </x:c>
      <x:c r="B834" s="12" t="str">
        <x:v>26 May 2025</x:v>
      </x:c>
      <x:c r="C834" s="12" t="str">
        <x:v>28-05-2025</x:v>
      </x:c>
      <x:c r="D834" s="12" t="str">
        <x:v>CUST-9557</x:v>
      </x:c>
      <x:c r="E834" s="12" t="str">
        <x:v>Kabir Singh</x:v>
      </x:c>
      <x:c r="F834" s="12" t="str">
        <x:v>Small Business</x:v>
      </x:c>
      <x:c r="G834" s="12" t="str">
        <x:v>South</x:v>
      </x:c>
      <x:c r="H834" s="12" t="str">
        <x:v>Andhra Pradesh</x:v>
      </x:c>
      <x:c r="I834" s="12" t="str">
        <x:v>Vijayawada</x:v>
      </x:c>
      <x:c r="J834" s="12" t="str">
        <x:v>Technology</x:v>
      </x:c>
      <x:c r="K834" s="12" t="str">
        <x:v>Phones</x:v>
      </x:c>
      <x:c r="L834" s="12" t="str">
        <x:v>Max Phones 919</x:v>
      </x:c>
      <x:c r="M834" s="12" t="str">
        <x:v>Second Class</x:v>
      </x:c>
      <x:c r="N834" s="12" t="n">
        <x:v>9</x:v>
      </x:c>
      <x:c r="O834" s="12" t="n">
        <x:v>4302.02</x:v>
      </x:c>
      <x:c r="P834" s="12" t="n">
        <x:v>0.05</x:v>
      </x:c>
      <x:c r="Q834" s="12" t="n">
        <x:v>36782.27</x:v>
      </x:c>
      <x:c r="R834" s="12" t="n">
        <x:v>25902.81</x:v>
      </x:c>
      <x:c r="S834" s="12" t="n">
        <x:v>10879.46</x:v>
      </x:c>
      <x:c r="T834" s="12" t="str">
        <x:v>Paid</x:v>
      </x:c>
      <x:c r="U834" s="12" t="str">
        <x:v>Completed</x:v>
      </x:c>
    </x:row>
    <x:row r="835">
      <x:c r="A835" s="12" t="str">
        <x:v>ORD-2024-10834</x:v>
      </x:c>
      <x:c r="B835" s="12" t="str">
        <x:v>2024-06-04</x:v>
      </x:c>
      <x:c r="C835" s="12" t="str">
        <x:v>06/04/2024</x:v>
      </x:c>
      <x:c r="D835" s="12" t="str">
        <x:v>CUST-2689</x:v>
      </x:c>
      <x:c r="E835" s="12" t="str">
        <x:v>Rahul Verma</x:v>
      </x:c>
      <x:c r="F835" s="12" t="str">
        <x:v>Home Office</x:v>
      </x:c>
      <x:c r="G835" s="12" t="str">
        <x:v>East</x:v>
      </x:c>
      <x:c r="H835" s="12" t="str">
        <x:v>West Bengal</x:v>
      </x:c>
      <x:c r="I835" s="12" t="str">
        <x:v>Kolkata</x:v>
      </x:c>
      <x:c r="J835" s="12" t="str">
        <x:v>Furniture</x:v>
      </x:c>
      <x:c r="K835" s="12" t="str">
        <x:v>Bookcases</x:v>
      </x:c>
      <x:c r="L835" s="12" t="str">
        <x:v>Basic Bookcases 499</x:v>
      </x:c>
      <x:c r="M835" s="12" t="str">
        <x:v>First Class</x:v>
      </x:c>
      <x:c r="N835" s="12" t="n">
        <x:v>6</x:v>
      </x:c>
      <x:c r="O835" s="12" t="n">
        <x:v>3949.4</x:v>
      </x:c>
      <x:c r="P835" s="12" t="n">
        <x:v>0</x:v>
      </x:c>
      <x:c r="Q835" s="12" t="n">
        <x:v>23696.4</x:v>
      </x:c>
      <x:c r="R835" s="12" t="n">
        <x:v>18109.77</x:v>
      </x:c>
      <x:c r="S835" s="12" t="n">
        <x:v>5586.63</x:v>
      </x:c>
      <x:c r="T835" s="12" t="str">
        <x:v>Paid</x:v>
      </x:c>
      <x:c r="U835" s="12" t="str">
        <x:v>Completed</x:v>
      </x:c>
    </x:row>
    <x:row r="836">
      <x:c r="A836" s="12" t="str">
        <x:v>ORD-2024-10835</x:v>
      </x:c>
      <x:c r="B836" s="12" t="str">
        <x:v>18-10-2024</x:v>
      </x:c>
      <x:c r="C836" s="12" t="str">
        <x:v>2024-10-22</x:v>
      </x:c>
      <x:c r="D836" s="12" t="str">
        <x:v>CUST-2879</x:v>
      </x:c>
      <x:c r="E836" s="12" t="str">
        <x:v>Aarav Sharma</x:v>
      </x:c>
      <x:c r="F836" s="12" t="str">
        <x:v>Home Office</x:v>
      </x:c>
      <x:c r="G836" s="12" t="str">
        <x:v>South</x:v>
      </x:c>
      <x:c r="H836" s="12" t="str">
        <x:v>Telangana</x:v>
      </x:c>
      <x:c r="I836" s="12" t="str">
        <x:v>Hyderabad</x:v>
      </x:c>
      <x:c r="J836" s="12" t="str">
        <x:v>Office Supplies</x:v>
      </x:c>
      <x:c r="K836" s="12" t="str">
        <x:v>Art</x:v>
      </x:c>
      <x:c r="L836" s="12" t="str">
        <x:v>Basic Art 143</x:v>
      </x:c>
      <x:c r="M836" s="12" t="str">
        <x:v>First Class</x:v>
      </x:c>
      <x:c r="N836" s="12" t="n">
        <x:v>6</x:v>
      </x:c>
      <x:c r="O836" s="12" t="n">
        <x:v>674.61</x:v>
      </x:c>
      <x:c r="P836" s="12" t="n">
        <x:v>0</x:v>
      </x:c>
      <x:c r="Q836" s="12" t="n">
        <x:v>4047.66</x:v>
      </x:c>
      <x:c r="R836" s="12" t="n">
        <x:v>3078.93</x:v>
      </x:c>
      <x:c r="S836" s="12" t="n">
        <x:v>1279.79</x:v>
      </x:c>
      <x:c r="T836" s="12" t="str">
        <x:v>Paid</x:v>
      </x:c>
      <x:c r="U836" s="12" t="str">
        <x:v>Completed</x:v>
      </x:c>
    </x:row>
    <x:row r="837">
      <x:c r="A837" s="12" t="str">
        <x:v>ORD-2025-10836</x:v>
      </x:c>
      <x:c r="B837" s="12" t="str">
        <x:v>09/26/2025</x:v>
      </x:c>
      <x:c r="C837" s="12" t="str">
        <x:v>04-10-2025</x:v>
      </x:c>
      <x:c r="D837" s="12" t="str">
        <x:v>CUST-5150</x:v>
      </x:c>
      <x:c r="E837" s="12" t="str">
        <x:v>Priya Menon</x:v>
      </x:c>
      <x:c r="F837" s="12" t="str">
        <x:v>Small Business</x:v>
      </x:c>
      <x:c r="G837" s="12" t="str">
        <x:v>East</x:v>
      </x:c>
      <x:c r="H837" s="12" t="str">
        <x:v>Assam</x:v>
      </x:c>
      <x:c r="I837" s="12" t="str">
        <x:v>Guwahati</x:v>
      </x:c>
      <x:c r="J837" s="12" t="str">
        <x:v>Technology</x:v>
      </x:c>
      <x:c r="K837" s="12" t="str">
        <x:v>Phones</x:v>
      </x:c>
      <x:c r="L837" s="12" t="str">
        <x:v>Prime Phones 338</x:v>
      </x:c>
      <x:c r="M837" s="12" t="str">
        <x:v>Second Class</x:v>
      </x:c>
      <x:c r="N837" s="12" t="n">
        <x:v>7</x:v>
      </x:c>
      <x:c r="O837" s="12" t="n">
        <x:v>1509.59</x:v>
      </x:c>
      <x:c r="P837" s="12" t="n">
        <x:v>0.05</x:v>
      </x:c>
      <x:c r="Q837" s="12" t="n">
        <x:v>10038.77</x:v>
      </x:c>
      <x:c r="R837" s="12" t="n">
        <x:v>5673.1</x:v>
      </x:c>
      <x:c r="S837" s="12" t="n">
        <x:v>4365.67</x:v>
      </x:c>
      <x:c r="T837" s="12" t="str">
        <x:v>Paid</x:v>
      </x:c>
      <x:c r="U837" s="12" t="str">
        <x:v>Completed</x:v>
      </x:c>
    </x:row>
    <x:row r="838">
      <x:c r="A838" s="12" t="str">
        <x:v>ORD-2024-10837</x:v>
      </x:c>
      <x:c r="B838" s="12" t="str">
        <x:v>2024-12-15</x:v>
      </x:c>
      <x:c r="C838" s="12" t="str">
        <x:v>2024-12-18</x:v>
      </x:c>
      <x:c r="D838" s="12" t="str">
        <x:v>CUST-9776</x:v>
      </x:c>
      <x:c r="E838" s="12" t="str">
        <x:v>Isha Nair</x:v>
      </x:c>
      <x:c r="F838" s="12" t="str">
        <x:v>Small Business</x:v>
      </x:c>
      <x:c r="G838" s="12" t="str">
        <x:v>North</x:v>
      </x:c>
      <x:c r="H838" s="12" t="str">
        <x:v>Rajasthan</x:v>
      </x:c>
      <x:c r="I838" s="12" t="str">
        <x:v>Jaipur</x:v>
      </x:c>
      <x:c r="J838" s="12" t="str">
        <x:v>Office Supplies</x:v>
      </x:c>
      <x:c r="K838" s="12" t="str">
        <x:v>Labels</x:v>
      </x:c>
      <x:c r="L838" s="12" t="str">
        <x:v>Smart Labels 814</x:v>
      </x:c>
      <x:c r="M838" s="12" t="str">
        <x:v>Second Class</x:v>
      </x:c>
      <x:c r="N838" s="12" t="n">
        <x:v>2</x:v>
      </x:c>
      <x:c r="O838" s="12" t="n">
        <x:v>537.11</x:v>
      </x:c>
      <x:c r="P838" s="12" t="n">
        <x:v>0</x:v>
      </x:c>
      <x:c r="Q838" s="12" t="n">
        <x:v>1074.22</x:v>
      </x:c>
      <x:c r="R838" s="12" t="n">
        <x:v>850.86</x:v>
      </x:c>
      <x:c r="S838" s="12" t="n">
        <x:v>223.36</x:v>
      </x:c>
      <x:c r="T838" s="12" t="str">
        <x:v>Paid</x:v>
      </x:c>
      <x:c r="U838" s="12" t="str">
        <x:v>Completed</x:v>
      </x:c>
    </x:row>
    <x:row r="839">
      <x:c r="A839" s="12" t="str">
        <x:v>ORD-2025-10838</x:v>
      </x:c>
      <x:c r="B839" s="12" t="str">
        <x:v>2025-09-27</x:v>
      </x:c>
      <x:c r="C839" s="12" t="str">
        <x:v>09/28/2025</x:v>
      </x:c>
      <x:c r="D839" s="12" t="str">
        <x:v>CUST-2551</x:v>
      </x:c>
      <x:c r="E839" s="12" t="str">
        <x:v>Karan Malhotra</x:v>
      </x:c>
      <x:c r="F839" s="12" t="str">
        <x:v>Home Office</x:v>
      </x:c>
      <x:c r="G839" s="12" t="str">
        <x:v>West</x:v>
      </x:c>
      <x:c r="H839" s="12" t="str">
        <x:v>Maharashtra</x:v>
      </x:c>
      <x:c r="I839" s="12" t="str">
        <x:v>Mumbai</x:v>
      </x:c>
      <x:c r="J839" s="12" t="str">
        <x:v>Office Supplies</x:v>
      </x:c>
      <x:c r="K839" s="12" t="str">
        <x:v>Paper</x:v>
      </x:c>
      <x:c r="L839" s="12" t="str">
        <x:v>Prime Paper 812</x:v>
      </x:c>
      <x:c r="M839" s="12" t="str">
        <x:v>First Class</x:v>
      </x:c>
      <x:c r="N839" s="12" t="n">
        <x:v>3</x:v>
      </x:c>
      <x:c r="O839" s="12" t="n">
        <x:v>4177.63</x:v>
      </x:c>
      <x:c r="P839" s="12" t="n">
        <x:v>0.25</x:v>
      </x:c>
      <x:c r="Q839" s="12" t="n">
        <x:v>9399.67</x:v>
      </x:c>
      <x:c r="R839" s="12" t="n">
        <x:v>6540.37</x:v>
      </x:c>
      <x:c r="S839" s="12" t="n">
        <x:v>2859.3</x:v>
      </x:c>
      <x:c r="T839" s="12" t="str">
        <x:v>Paid</x:v>
      </x:c>
      <x:c r="U839" s="12" t="str">
        <x:v>Completed</x:v>
      </x:c>
    </x:row>
    <x:row r="840">
      <x:c r="A840" s="12" t="str">
        <x:v>ORD-2025-10839</x:v>
      </x:c>
      <x:c r="B840" s="12" t="str">
        <x:v>04/03/2025</x:v>
      </x:c>
      <x:c r="C840" s="12" t="str">
        <x:v>07 Apr 2025</x:v>
      </x:c>
      <x:c r="D840" s="12" t="str">
        <x:v>CUST-4708</x:v>
      </x:c>
      <x:c r="E840" s="12" t="str">
        <x:v>Ananya Rao</x:v>
      </x:c>
      <x:c r="F840" s="12" t="str">
        <x:v>Small Business</x:v>
      </x:c>
      <x:c r="G840" s="12" t="str">
        <x:v>West</x:v>
      </x:c>
      <x:c r="H840" s="12" t="str">
        <x:v>Goa</x:v>
      </x:c>
      <x:c r="I840" s="12" t="str">
        <x:v>Panaji</x:v>
      </x:c>
      <x:c r="J840" s="12" t="str">
        <x:v>Office Supplies</x:v>
      </x:c>
      <x:c r="K840" s="12" t="str">
        <x:v>Paper</x:v>
      </x:c>
      <x:c r="L840" s="12" t="str">
        <x:v>Pro Paper 355</x:v>
      </x:c>
      <x:c r="M840" s="12" t="str">
        <x:v>Same Day</x:v>
      </x:c>
      <x:c r="N840" s="12" t="n">
        <x:v>1</x:v>
      </x:c>
      <x:c r="O840" s="12" t="n">
        <x:v>1470.57</x:v>
      </x:c>
      <x:c r="P840" s="12" t="n">
        <x:v>0</x:v>
      </x:c>
      <x:c r="Q840" s="12" t="n">
        <x:v>1470.57</x:v>
      </x:c>
      <x:c r="R840" s="12" t="n">
        <x:v>834.02</x:v>
      </x:c>
      <x:c r="S840" s="12" t="n">
        <x:v>636.55</x:v>
      </x:c>
      <x:c r="T840" s="12" t="str">
        <x:v>Paid</x:v>
      </x:c>
      <x:c r="U840" s="12" t="str">
        <x:v>Returned</x:v>
      </x:c>
    </x:row>
    <x:row r="841">
      <x:c r="A841" s="12" t="str">
        <x:v>ORD-2024-10840</x:v>
      </x:c>
      <x:c r="B841" s="12" t="str">
        <x:v>09/20/2024</x:v>
      </x:c>
      <x:c r="C841" s="12" t="str">
        <x:v>22-09-2024</x:v>
      </x:c>
      <x:c r="D841" s="12" t="str">
        <x:v>CUST-8206</x:v>
      </x:c>
      <x:c r="E841" s="12" t="str">
        <x:v>Rohan Mehta</x:v>
      </x:c>
      <x:c r="F841" s="12" t="str">
        <x:v>Home Office</x:v>
      </x:c>
      <x:c r="G841" s="12" t="str">
        <x:v>East</x:v>
      </x:c>
      <x:c r="H841" s="12" t="str">
        <x:v>Odisha</x:v>
      </x:c>
      <x:c r="I841" s="12" t="str">
        <x:v>Bhubaneswar</x:v>
      </x:c>
      <x:c r="J841" s="12" t="str">
        <x:v>Technology</x:v>
      </x:c>
      <x:c r="K841" s="12" t="str">
        <x:v>Phones</x:v>
      </x:c>
      <x:c r="L841" s="12" t="str">
        <x:v>Basic Phones 398</x:v>
      </x:c>
      <x:c r="M841" s="12" t="str">
        <x:v>Standard Class</x:v>
      </x:c>
      <x:c r="N841" s="12" t="n">
        <x:v>8</x:v>
      </x:c>
      <x:c r="O841" s="12" t="n">
        <x:v>531.43</x:v>
      </x:c>
      <x:c r="P841" s="12" t="n">
        <x:v>0.1</x:v>
      </x:c>
      <x:c r="Q841" s="12" t="n">
        <x:v>3826.3</x:v>
      </x:c>
      <x:c r="R841" s="12" t="n">
        <x:v>2194.12</x:v>
      </x:c>
      <x:c r="S841" s="12" t="n">
        <x:v>1632.18</x:v>
      </x:c>
      <x:c r="T841" s="12" t="str">
        <x:v>Paid</x:v>
      </x:c>
      <x:c r="U841" s="12" t="str">
        <x:v>Completed</x:v>
      </x:c>
    </x:row>
    <x:row r="842">
      <x:c r="A842" s="12" t="str">
        <x:v>ORD-2025-10841</x:v>
      </x:c>
      <x:c r="B842" s="12" t="str">
        <x:v>2025-09-19</x:v>
      </x:c>
      <x:c r="C842" s="12" t="str">
        <x:v>19-09-2025</x:v>
      </x:c>
      <x:c r="D842" s="12" t="str">
        <x:v>CUST-1297</x:v>
      </x:c>
      <x:c r="E842" s="12" t="str">
        <x:v>Neha Gupta</x:v>
      </x:c>
      <x:c r="F842" s="12" t="str">
        <x:v>Home Office</x:v>
      </x:c>
      <x:c r="G842" s="12" t="str">
        <x:v>North</x:v>
      </x:c>
      <x:c r="H842" s="12" t="str">
        <x:v>Delhi</x:v>
      </x:c>
      <x:c r="I842" s="12" t="str">
        <x:v>New Delhi</x:v>
      </x:c>
      <x:c r="J842" s="12" t="str">
        <x:v>Furniture</x:v>
      </x:c>
      <x:c r="K842" s="12" t="str">
        <x:v>Chairs</x:v>
      </x:c>
      <x:c r="L842" s="12" t="str">
        <x:v>Classic Chairs 204</x:v>
      </x:c>
      <x:c r="M842" s="12" t="str">
        <x:v>Same Day</x:v>
      </x:c>
      <x:c r="N842" s="12" t="n">
        <x:v>4</x:v>
      </x:c>
      <x:c r="O842" s="12" t="n">
        <x:v>1584.11</x:v>
      </x:c>
      <x:c r="P842" s="12" t="n">
        <x:v>0</x:v>
      </x:c>
      <x:c r="Q842" s="12" t="n">
        <x:v>6336.44</x:v>
      </x:c>
      <x:c r="R842" s="12" t="n">
        <x:v>4680.68</x:v>
      </x:c>
      <x:c r="S842" s="12" t="n">
        <x:v>1655.76</x:v>
      </x:c>
      <x:c r="T842" s="12" t="str">
        <x:v>Paid</x:v>
      </x:c>
      <x:c r="U842" s="12" t="str">
        <x:v>Completed</x:v>
      </x:c>
    </x:row>
    <x:row r="843">
      <x:c r="A843" s="12" t="str">
        <x:v>ORD-2025-10842</x:v>
      </x:c>
      <x:c r="B843" s="12" t="str">
        <x:v>2025-02-06</x:v>
      </x:c>
      <x:c r="C843" s="12" t="str">
        <x:v>12 Feb 2025</x:v>
      </x:c>
      <x:c r="D843" s="12" t="str">
        <x:v>CUST-7558</x:v>
      </x:c>
      <x:c r="E843" s="12" t="str">
        <x:v>Ananya Rao</x:v>
      </x:c>
      <x:c r="F843" s="12" t="str">
        <x:v>Small Business</x:v>
      </x:c>
      <x:c r="G843" s="12" t="str">
        <x:v>East</x:v>
      </x:c>
      <x:c r="H843" s="12" t="str">
        <x:v>Bihar</x:v>
      </x:c>
      <x:c r="I843" s="12" t="str">
        <x:v>Patna</x:v>
      </x:c>
      <x:c r="J843" s="12" t="str">
        <x:v>Office Supplies</x:v>
      </x:c>
      <x:c r="K843" s="12" t="str">
        <x:v>Art</x:v>
      </x:c>
      <x:c r="L843" s="12" t="str">
        <x:v>Max Art 339</x:v>
      </x:c>
      <x:c r="M843" s="12" t="str">
        <x:v>Standard Class</x:v>
      </x:c>
      <x:c r="N843" s="12" t="n">
        <x:v>9</x:v>
      </x:c>
      <x:c r="O843" s="12" t="n">
        <x:v>3237.16</x:v>
      </x:c>
      <x:c r="P843" s="12" t="n">
        <x:v>0.25</x:v>
      </x:c>
      <x:c r="Q843" s="12" t="n">
        <x:v>21850.83</x:v>
      </x:c>
      <x:c r="R843" s="12" t="n">
        <x:v>16600.13</x:v>
      </x:c>
      <x:c r="S843" s="12" t="n">
        <x:v>5250.7</x:v>
      </x:c>
      <x:c r="T843" s="12" t="str">
        <x:v>Paid</x:v>
      </x:c>
      <x:c r="U843" s="12" t="str">
        <x:v>Completed</x:v>
      </x:c>
    </x:row>
    <x:row r="844">
      <x:c r="A844" s="12" t="str">
        <x:v>ORD-2024-10843</x:v>
      </x:c>
      <x:c r="B844" s="12" t="str">
        <x:v>31-03-2024</x:v>
      </x:c>
      <x:c r="C844" s="12" t="str">
        <x:v>03/30/2024</x:v>
      </x:c>
      <x:c r="D844" s="12" t="str">
        <x:v>CUST-1798</x:v>
      </x:c>
      <x:c r="E844" s="12" t="str">
        <x:v>kabir singh</x:v>
      </x:c>
      <x:c r="F844" s="12" t="str">
        <x:v>Consumer</x:v>
      </x:c>
      <x:c r="G844" s="12" t="str">
        <x:v>North</x:v>
      </x:c>
      <x:c r="H844" s="12" t="str">
        <x:v>Haryana</x:v>
      </x:c>
      <x:c r="I844" s="12" t="str">
        <x:v>Gurugram</x:v>
      </x:c>
      <x:c r="J844" s="12" t="str">
        <x:v>Technology</x:v>
      </x:c>
      <x:c r="K844" s="12" t="str">
        <x:v>Machines</x:v>
      </x:c>
      <x:c r="L844" s="12" t="str">
        <x:v>Smart Machines 581</x:v>
      </x:c>
      <x:c r="M844" s="12" t="str">
        <x:v>First Class</x:v>
      </x:c>
      <x:c r="N844" s="12" t="n">
        <x:v>4</x:v>
      </x:c>
      <x:c r="O844" s="12" t="n">
        <x:v>2192.08</x:v>
      </x:c>
      <x:c r="P844" s="12" t="n">
        <x:v>0.15</x:v>
      </x:c>
      <x:c r="Q844" s="12" t="n">
        <x:v>7453.07</x:v>
      </x:c>
      <x:c r="R844" s="12" t="n">
        <x:v>5133.78</x:v>
      </x:c>
      <x:c r="S844" s="12" t="n">
        <x:v>2319.29</x:v>
      </x:c>
      <x:c r="T844" s="12" t="str">
        <x:v>Paid</x:v>
      </x:c>
      <x:c r="U844" s="12" t="str">
        <x:v>Returned</x:v>
      </x:c>
    </x:row>
    <x:row r="845">
      <x:c r="A845" s="12" t="str">
        <x:v>ORD-2025-10844</x:v>
      </x:c>
      <x:c r="B845" s="12" t="str">
        <x:v>18 Jul 2025</x:v>
      </x:c>
      <x:c r="C845" s="12" t="str">
        <x:v>25 Jul 2025</x:v>
      </x:c>
      <x:c r="D845" s="12" t="str">
        <x:v>CUST-7333</x:v>
      </x:c>
      <x:c r="E845" s="12" t="str">
        <x:v>Priya Menon</x:v>
      </x:c>
      <x:c r="F845" s="12" t="str">
        <x:v>Small Business</x:v>
      </x:c>
      <x:c r="G845" s="12" t="str">
        <x:v>North</x:v>
      </x:c>
      <x:c r="H845" s="12" t="str">
        <x:v>Uttar Pradesh</x:v>
      </x:c>
      <x:c r="I845" s="12" t="str">
        <x:v>Noida</x:v>
      </x:c>
      <x:c r="J845" s="12" t="str">
        <x:v>Technology</x:v>
      </x:c>
      <x:c r="K845" s="12" t="str">
        <x:v>Phones</x:v>
      </x:c>
      <x:c r="L845" s="12" t="str">
        <x:v>Prime Phones 482</x:v>
      </x:c>
      <x:c r="M845" s="12" t="str">
        <x:v>First Class</x:v>
      </x:c>
      <x:c r="N845" s="12" t="n">
        <x:v>9</x:v>
      </x:c>
      <x:c r="O845" s="12" t="n">
        <x:v>3989.52</x:v>
      </x:c>
      <x:c r="P845" s="12" t="n">
        <x:v>-0.02</x:v>
      </x:c>
      <x:c r="Q845" s="12" t="n">
        <x:v>35905.68</x:v>
      </x:c>
      <x:c r="R845" s="12" t="n">
        <x:v>23916.1</x:v>
      </x:c>
      <x:c r="S845" s="12" t="n">
        <x:v>11989.58</x:v>
      </x:c>
      <x:c r="T845" s="12" t="str">
        <x:v>Paid</x:v>
      </x:c>
      <x:c r="U845" s="12" t="str">
        <x:v>Completed</x:v>
      </x:c>
    </x:row>
    <x:row r="846">
      <x:c r="A846" s="12" t="str">
        <x:v>ORD-2025-10845</x:v>
      </x:c>
      <x:c r="B846" s="12" t="str">
        <x:v>20-01-2025</x:v>
      </x:c>
      <x:c r="C846" s="12" t="str">
        <x:v>25-01-2025</x:v>
      </x:c>
      <x:c r="D846" s="12" t="str">
        <x:v>CUST-2086</x:v>
      </x:c>
      <x:c r="E846" s="12" t="str">
        <x:v>Aditi Sen</x:v>
      </x:c>
      <x:c r="F846" s="12" t="str">
        <x:v>Home Office</x:v>
      </x:c>
      <x:c r="G846" s="12" t="str">
        <x:v>West</x:v>
      </x:c>
      <x:c r="H846" s="12" t="str">
        <x:v>Goa</x:v>
      </x:c>
      <x:c r="I846" s="12" t="str">
        <x:v>Panaji</x:v>
      </x:c>
      <x:c r="J846" s="12" t="str">
        <x:v>Office Supplies</x:v>
      </x:c>
      <x:c r="K846" s="12" t="str">
        <x:v>Art</x:v>
      </x:c>
      <x:c r="L846" s="12" t="str">
        <x:v>Pro Art 588</x:v>
      </x:c>
      <x:c r="M846" s="12" t="str">
        <x:v>First Class</x:v>
      </x:c>
      <x:c r="N846" s="12" t="n">
        <x:v>1</x:v>
      </x:c>
      <x:c r="O846" s="12" t="n">
        <x:v>3515.15</x:v>
      </x:c>
      <x:c r="P846" s="12" t="n">
        <x:v>0</x:v>
      </x:c>
      <x:c r="Q846" s="12" t="n">
        <x:v>3515.15</x:v>
      </x:c>
      <x:c r="R846" s="12" t="n">
        <x:v>2216.34</x:v>
      </x:c>
      <x:c r="S846" s="12" t="n">
        <x:v>1298.81</x:v>
      </x:c>
      <x:c r="T846" s="12" t="str">
        <x:v>Paid</x:v>
      </x:c>
      <x:c r="U846" s="12" t="str">
        <x:v>Completed</x:v>
      </x:c>
    </x:row>
    <x:row r="847">
      <x:c r="A847" s="12" t="str">
        <x:v>ORD-2024-10846</x:v>
      </x:c>
      <x:c r="B847" s="12" t="str">
        <x:v>23-02-2024</x:v>
      </x:c>
      <x:c r="C847" s="12" t="str">
        <x:v>27 Feb 2024</x:v>
      </x:c>
      <x:c r="D847" s="12" t="str">
        <x:v>CUST-2367</x:v>
      </x:c>
      <x:c r="E847" s="12" t="str">
        <x:v>Karan Malhotra</x:v>
      </x:c>
      <x:c r="F847" s="12" t="str">
        <x:v>Consumer</x:v>
      </x:c>
      <x:c r="G847" s="12" t="str">
        <x:v>East</x:v>
      </x:c>
      <x:c r="H847" s="12" t="str">
        <x:v>Odisha</x:v>
      </x:c>
      <x:c r="I847" s="12" t="str">
        <x:v>Bhubaneswar</x:v>
      </x:c>
      <x:c r="J847" s="12" t="str">
        <x:v>Furniture</x:v>
      </x:c>
      <x:c r="K847" s="12" t="str">
        <x:v>Tables</x:v>
      </x:c>
      <x:c r="L847" s="12" t="str">
        <x:v>Eco Tables 792</x:v>
      </x:c>
      <x:c r="M847" s="12" t="str">
        <x:v>First Class</x:v>
      </x:c>
      <x:c r="N847" s="12" t="n">
        <x:v>9</x:v>
      </x:c>
      <x:c r="O847" s="12" t="n">
        <x:v>3616.23</x:v>
      </x:c>
      <x:c r="P847" s="12" t="n">
        <x:v>0.25</x:v>
      </x:c>
      <x:c r="Q847" s="12" t="n">
        <x:v>24409.55</x:v>
      </x:c>
      <x:c r="R847" s="12" t="n">
        <x:v>17157.58</x:v>
      </x:c>
      <x:c r="S847" s="12" t="n">
        <x:v>7251.97</x:v>
      </x:c>
      <x:c r="T847" s="12" t="str">
        <x:v>Pending</x:v>
      </x:c>
      <x:c r="U847" s="12" t="str">
        <x:v>Returned</x:v>
      </x:c>
    </x:row>
    <x:row r="848">
      <x:c r="A848" s="12" t="str">
        <x:v>ORD-2024-10847</x:v>
      </x:c>
      <x:c r="B848" s="12" t="str">
        <x:v>2024-04-14</x:v>
      </x:c>
      <x:c r="C848" s="12" t="str">
        <x:v>2024-04-22</x:v>
      </x:c>
      <x:c r="D848" s="12" t="str">
        <x:v>CUST-6522</x:v>
      </x:c>
      <x:c r="E848" s="12" t="str">
        <x:v>Priya Menon</x:v>
      </x:c>
      <x:c r="F848" s="12" t="str">
        <x:v>Small Business</x:v>
      </x:c>
      <x:c r="G848" s="12" t="str">
        <x:v>West</x:v>
      </x:c>
      <x:c r="H848" s="12" t="str">
        <x:v>Gujarat</x:v>
      </x:c>
      <x:c r="I848" s="12" t="str">
        <x:v>Ahmedabad</x:v>
      </x:c>
      <x:c r="J848" s="12" t="str">
        <x:v>Furniture</x:v>
      </x:c>
      <x:c r="K848" s="12" t="str">
        <x:v>Bookcases</x:v>
      </x:c>
      <x:c r="L848" s="12" t="str">
        <x:v>Prime Bookcases 177</x:v>
      </x:c>
      <x:c r="M848" s="12" t="str">
        <x:v>Standard Class</x:v>
      </x:c>
      <x:c r="N848" s="12" t="n">
        <x:v>2</x:v>
      </x:c>
      <x:c r="O848" s="12" t="n">
        <x:v>3977.52</x:v>
      </x:c>
      <x:c r="P848" s="12" t="n">
        <x:v>0</x:v>
      </x:c>
      <x:c r="Q848" s="12" t="n">
        <x:v>7955.04</x:v>
      </x:c>
      <x:c r="R848" s="12" t="n">
        <x:v>5580.68</x:v>
      </x:c>
      <x:c r="S848" s="12" t="n">
        <x:v>2374.36</x:v>
      </x:c>
      <x:c r="T848" s="12" t="str">
        <x:v>Pending</x:v>
      </x:c>
      <x:c r="U848" s="12" t="str">
        <x:v>Returned</x:v>
      </x:c>
    </x:row>
    <x:row r="849">
      <x:c r="A849" s="12" t="str">
        <x:v>ORD-2025-10848</x:v>
      </x:c>
      <x:c r="B849" s="12" t="str">
        <x:v>2025-05-20</x:v>
      </x:c>
      <x:c r="C849" s="12" t="str">
        <x:v>05/22/2025</x:v>
      </x:c>
      <x:c r="D849" s="12" t="str">
        <x:v>CUST-8329</x:v>
      </x:c>
      <x:c r="E849" s="12" t="str">
        <x:v>Diya Patel</x:v>
      </x:c>
      <x:c r="F849" s="12" t="str">
        <x:v>Home Office</x:v>
      </x:c>
      <x:c r="G849" s="12" t="str">
        <x:v>East</x:v>
      </x:c>
      <x:c r="H849" s="12" t="str">
        <x:v>Odisha</x:v>
      </x:c>
      <x:c r="I849" s="12" t="str">
        <x:v>Bhubaneswar</x:v>
      </x:c>
      <x:c r="J849" s="12" t="str">
        <x:v>Furniture</x:v>
      </x:c>
      <x:c r="K849" s="12" t="str">
        <x:v>Tables</x:v>
      </x:c>
      <x:c r="L849" s="12" t="str">
        <x:v>Pro Tables 828</x:v>
      </x:c>
      <x:c r="M849" s="12" t="str">
        <x:v>Second Class</x:v>
      </x:c>
      <x:c r="N849" s="12" t="n">
        <x:v>2</x:v>
      </x:c>
      <x:c r="O849" s="12" t="n">
        <x:v>210.08</x:v>
      </x:c>
      <x:c r="P849" s="12" t="n">
        <x:v>0.2</x:v>
      </x:c>
      <x:c r="Q849" s="12" t="n">
        <x:v>336.13</x:v>
      </x:c>
      <x:c r="R849" s="12" t="n">
        <x:v>242.19</x:v>
      </x:c>
      <x:c r="S849" s="12" t="n">
        <x:v>93.94</x:v>
      </x:c>
      <x:c r="T849" s="12" t="str">
        <x:v>Paid</x:v>
      </x:c>
      <x:c r="U849" s="12" t="str">
        <x:v>Completed</x:v>
      </x:c>
    </x:row>
    <x:row r="850">
      <x:c r="A850" s="12" t="str">
        <x:v>ORD-2025-10849</x:v>
      </x:c>
      <x:c r="B850" s="12" t="str">
        <x:v>27-05-2025</x:v>
      </x:c>
      <x:c r="C850" s="12" t="str">
        <x:v>29 May 2025</x:v>
      </x:c>
      <x:c r="D850" s="12" t="str">
        <x:v>CUST-4426</x:v>
      </x:c>
      <x:c r="E850" s="12" t="str">
        <x:v>Rahul Verma</x:v>
      </x:c>
      <x:c r="F850" s="12" t="str">
        <x:v>Home Office</x:v>
      </x:c>
      <x:c r="G850" s="12" t="str">
        <x:v>South</x:v>
      </x:c>
      <x:c r="H850" s="12" t="str">
        <x:v>Tamil Nadu</x:v>
      </x:c>
      <x:c r="I850" s="12" t="str">
        <x:v>Chennai</x:v>
      </x:c>
      <x:c r="J850" s="12" t="str">
        <x:v>Furniture</x:v>
      </x:c>
      <x:c r="K850" s="12" t="str">
        <x:v>Furnishings</x:v>
      </x:c>
      <x:c r="L850" s="12" t="str">
        <x:v>Elite Furnishings 480</x:v>
      </x:c>
      <x:c r="M850" s="12" t="str">
        <x:v>Second Class</x:v>
      </x:c>
      <x:c r="N850" s="12" t="n">
        <x:v>1</x:v>
      </x:c>
      <x:c r="O850" s="12" t="n">
        <x:v>1744.35</x:v>
      </x:c>
      <x:c r="P850" s="12" t="n">
        <x:v>0.25</x:v>
      </x:c>
      <x:c r="Q850" s="12" t="n">
        <x:v>1308.26</x:v>
      </x:c>
      <x:c r="R850" s="12" t="n">
        <x:v>1083.56</x:v>
      </x:c>
      <x:c r="S850" s="12" t="n">
        <x:v>224.7</x:v>
      </x:c>
      <x:c r="T850" s="12" t="str">
        <x:v>Paid</x:v>
      </x:c>
      <x:c r="U850" s="12" t="str">
        <x:v>Completed</x:v>
      </x:c>
    </x:row>
    <x:row r="851">
      <x:c r="A851" s="12" t="str">
        <x:v>ORD-2024-10850</x:v>
      </x:c>
      <x:c r="B851" s="12" t="str">
        <x:v>2024-03-06</x:v>
      </x:c>
      <x:c r="C851" s="12" t="str">
        <x:v>12-03-2024</x:v>
      </x:c>
      <x:c r="D851" s="12" t="str">
        <x:v>CUST-3360</x:v>
      </x:c>
      <x:c r="E851" s="12" t="str">
        <x:v>Isha Nair</x:v>
      </x:c>
      <x:c r="F851" s="12" t="str">
        <x:v>Home Office</x:v>
      </x:c>
      <x:c r="G851" s="12" t="str">
        <x:v>West</x:v>
      </x:c>
      <x:c r="H851" s="12" t="str">
        <x:v>Gujarat</x:v>
      </x:c>
      <x:c r="I851" s="12" t="str">
        <x:v>Ahmedabad</x:v>
      </x:c>
      <x:c r="J851" s="12" t="str">
        <x:v>Furniture</x:v>
      </x:c>
      <x:c r="K851" s="12" t="str">
        <x:v>Bookcases</x:v>
      </x:c>
      <x:c r="L851" s="12" t="str">
        <x:v>Prime Bookcases 755</x:v>
      </x:c>
      <x:c r="M851" s="12" t="str">
        <x:v>Standard Class</x:v>
      </x:c>
      <x:c r="N851" s="12" t="n">
        <x:v>3</x:v>
      </x:c>
      <x:c r="O851" s="12" t="n">
        <x:v>679.63</x:v>
      </x:c>
      <x:c r="P851" s="12" t="n">
        <x:v>0.2</x:v>
      </x:c>
      <x:c r="Q851" s="12" t="n">
        <x:v>1631.11</x:v>
      </x:c>
      <x:c r="R851" s="12" t="n">
        <x:v>898.73</x:v>
      </x:c>
      <x:c r="S851" s="12" t="n">
        <x:v>396.58</x:v>
      </x:c>
      <x:c r="T851" s="12" t="str">
        <x:v>Paid</x:v>
      </x:c>
      <x:c r="U851" s="12" t="str">
        <x:v>Completed </x:v>
      </x:c>
    </x:row>
    <x:row r="852">
      <x:c r="A852" s="12" t="str">
        <x:v>ORD-2024-10851</x:v>
      </x:c>
      <x:c r="B852" s="12" t="str">
        <x:v>30-06-2024</x:v>
      </x:c>
      <x:c r="C852" s="12" t="str">
        <x:v>2024-07-03</x:v>
      </x:c>
      <x:c r="D852" s="12" t="str">
        <x:v>CUST-2623</x:v>
      </x:c>
      <x:c r="E852" s="12" t="str">
        <x:v>Priya Menon</x:v>
      </x:c>
      <x:c r="F852" s="12" t="str">
        <x:v>Home Office</x:v>
      </x:c>
      <x:c r="G852" s="12" t="str">
        <x:v>East</x:v>
      </x:c>
      <x:c r="H852" s="12" t="str">
        <x:v>West Bengal</x:v>
      </x:c>
      <x:c r="I852" s="12" t="str">
        <x:v>Kolkata</x:v>
      </x:c>
      <x:c r="J852" s="12" t="str">
        <x:v>Office Supplies</x:v>
      </x:c>
      <x:c r="K852" s="12" t="str">
        <x:v>Paper</x:v>
      </x:c>
      <x:c r="L852" s="12" t="str">
        <x:v>Prime Paper 317</x:v>
      </x:c>
      <x:c r="M852" s="12" t="str">
        <x:v>First Class</x:v>
      </x:c>
      <x:c r="N852" s="12" t="n">
        <x:v>6</x:v>
      </x:c>
      <x:c r="O852" s="12" t="n">
        <x:v>1211.01</x:v>
      </x:c>
      <x:c r="P852" s="12" t="n">
        <x:v>0</x:v>
      </x:c>
      <x:c r="Q852" s="12" t="n">
        <x:v>7266.06</x:v>
      </x:c>
      <x:c r="R852" s="12" t="n">
        <x:v>6216.89</x:v>
      </x:c>
      <x:c r="S852" s="12" t="n">
        <x:v>1049.17</x:v>
      </x:c>
      <x:c r="T852" s="12" t="str">
        <x:v>Paid</x:v>
      </x:c>
      <x:c r="U852" s="12" t="str">
        <x:v>Completed</x:v>
      </x:c>
    </x:row>
    <x:row r="853">
      <x:c r="A853" s="12" t="str">
        <x:v>ORD-2024-10852</x:v>
      </x:c>
      <x:c r="B853" s="12" t="str">
        <x:v>2024-03-26</x:v>
      </x:c>
      <x:c r="C853" s="12" t="str">
        <x:v>01 Apr 2024</x:v>
      </x:c>
      <x:c r="D853" s="12" t="str">
        <x:v>CUST-3175</x:v>
      </x:c>
      <x:c r="E853" s="12" t="str">
        <x:v>Karan Malhotra</x:v>
      </x:c>
      <x:c r="F853" s="12" t="str">
        <x:v>Small Business</x:v>
      </x:c>
      <x:c r="G853" s="12" t="str">
        <x:v>West</x:v>
      </x:c>
      <x:c r="H853" s="12" t="str">
        <x:v>Gujarat</x:v>
      </x:c>
      <x:c r="I853" s="12" t="str">
        <x:v>Ahmedabad</x:v>
      </x:c>
      <x:c r="J853" s="12" t="str">
        <x:v>Technology</x:v>
      </x:c>
      <x:c r="K853" s="12" t="str">
        <x:v>Accessories</x:v>
      </x:c>
      <x:c r="L853" s="12" t="str">
        <x:v>Classic Accessories 933</x:v>
      </x:c>
      <x:c r="M853" s="12" t="str">
        <x:v>First Class</x:v>
      </x:c>
      <x:c r="N853" s="12" t="n">
        <x:v>2</x:v>
      </x:c>
      <x:c r="O853" s="12" t="n">
        <x:v>1161.3</x:v>
      </x:c>
      <x:c r="P853" s="12" t="n">
        <x:v>0.2</x:v>
      </x:c>
      <x:c r="Q853" s="12" t="n">
        <x:v>1858.08</x:v>
      </x:c>
      <x:c r="R853" s="12" t="n">
        <x:v>1590.75</x:v>
      </x:c>
      <x:c r="S853" s="12" t="n">
        <x:v>267.33</x:v>
      </x:c>
      <x:c r="T853" s="12" t="str">
        <x:v>Paid</x:v>
      </x:c>
      <x:c r="U853" s="12" t="str">
        <x:v>Completed</x:v>
      </x:c>
    </x:row>
    <x:row r="854">
      <x:c r="A854" s="12" t="str">
        <x:v>ORD-2024-10853</x:v>
      </x:c>
      <x:c r="B854" s="12" t="str">
        <x:v>01-04-2024</x:v>
      </x:c>
      <x:c r="C854" s="12" t="str">
        <x:v>08-04-2024</x:v>
      </x:c>
      <x:c r="D854" s="12" t="str">
        <x:v>CUST-9630</x:v>
      </x:c>
      <x:c r="E854" s="12" t="str">
        <x:v>Ananya Rao</x:v>
      </x:c>
      <x:c r="F854" s="12" t="str">
        <x:v>Consumer</x:v>
      </x:c>
      <x:c r="G854" s="12" t="str">
        <x:v>East</x:v>
      </x:c>
      <x:c r="H854" s="12" t="str">
        <x:v>Assam</x:v>
      </x:c>
      <x:c r="I854" s="12" t="str">
        <x:v>Guwahati</x:v>
      </x:c>
      <x:c r="J854" s="12" t="str">
        <x:v>Furniture</x:v>
      </x:c>
      <x:c r="K854" s="12" t="str">
        <x:v>Tables</x:v>
      </x:c>
      <x:c r="L854" s="12" t="str">
        <x:v>Smart Tables 513</x:v>
      </x:c>
      <x:c r="M854" s="12" t="str">
        <x:v>Second Class</x:v>
      </x:c>
      <x:c r="N854" s="12" t="n">
        <x:v>7</x:v>
      </x:c>
      <x:c r="O854" s="12" t="n">
        <x:v>4205.35</x:v>
      </x:c>
      <x:c r="P854" s="12" t="n">
        <x:v>0.15</x:v>
      </x:c>
      <x:c r="Q854" s="12" t="n">
        <x:v>25021.83</x:v>
      </x:c>
      <x:c r="R854" s="12" t="n">
        <x:v>15544.44</x:v>
      </x:c>
      <x:c r="S854" s="12" t="n">
        <x:v>9477.39</x:v>
      </x:c>
      <x:c r="T854" s="12" t="str">
        <x:v>Pending</x:v>
      </x:c>
      <x:c r="U854" s="12" t="str">
        <x:v>Cancelled</x:v>
      </x:c>
    </x:row>
    <x:row r="855">
      <x:c r="A855" s="12" t="str">
        <x:v>ORD-2025-10854</x:v>
      </x:c>
      <x:c r="B855" s="12" t="str">
        <x:v>2025-05-16</x:v>
      </x:c>
      <x:c r="C855" s="12" t="str">
        <x:v>05/22/2025</x:v>
      </x:c>
      <x:c r="D855" s="12" t="str">
        <x:v>CUST-8274</x:v>
      </x:c>
      <x:c r="E855" s="12" t="str">
        <x:v>Arjun Bose</x:v>
      </x:c>
      <x:c r="F855" s="12" t="str">
        <x:v>Corporate</x:v>
      </x:c>
      <x:c r="G855" s="12" t="str">
        <x:v>South</x:v>
      </x:c>
      <x:c r="H855" s="12" t="str">
        <x:v>Tamil Nadu</x:v>
      </x:c>
      <x:c r="I855" s="12" t="str">
        <x:v>Chennai</x:v>
      </x:c>
      <x:c r="J855" s="12" t="str">
        <x:v>Technology</x:v>
      </x:c>
      <x:c r="K855" s="12" t="str">
        <x:v>Accessories</x:v>
      </x:c>
      <x:c r="L855" s="12" t="str">
        <x:v>Elite Accessories 708</x:v>
      </x:c>
      <x:c r="M855" s="12" t="str">
        <x:v>Same Day</x:v>
      </x:c>
      <x:c r="N855" s="12" t="n">
        <x:v>8</x:v>
      </x:c>
      <x:c r="O855" s="12" t="n">
        <x:v>579.8</x:v>
      </x:c>
      <x:c r="P855" s="12" t="n">
        <x:v>0.2</x:v>
      </x:c>
      <x:c r="Q855" s="12" t="n">
        <x:v>3710.72</x:v>
      </x:c>
      <x:c r="R855" s="12" t="n">
        <x:v>3115.29</x:v>
      </x:c>
      <x:c r="S855" s="12" t="n">
        <x:v>595.43</x:v>
      </x:c>
      <x:c r="T855" s="12" t="str">
        <x:v>Paid</x:v>
      </x:c>
      <x:c r="U855" s="12" t="str">
        <x:v>Completed</x:v>
      </x:c>
    </x:row>
    <x:row r="856">
      <x:c r="A856" s="12" t="str">
        <x:v>ORD-2025-10855</x:v>
      </x:c>
      <x:c r="B856" s="12" t="str">
        <x:v>03/25/2025</x:v>
      </x:c>
      <x:c r="C856" s="12" t="str">
        <x:v>04/02/2025</x:v>
      </x:c>
      <x:c r="D856" s="12" t="str">
        <x:v>CUST-2514</x:v>
      </x:c>
      <x:c r="E856" s="12" t="str">
        <x:v>Priya Menon</x:v>
      </x:c>
      <x:c r="F856" s="12" t="str">
        <x:v>Consumer</x:v>
      </x:c>
      <x:c r="G856" s="12" t="str">
        <x:v>South</x:v>
      </x:c>
      <x:c r="H856" s="12" t="str">
        <x:v>Karnataka</x:v>
      </x:c>
      <x:c r="I856" s="12" t="str">
        <x:v>Bengaluru</x:v>
      </x:c>
      <x:c r="J856" s="12" t="str">
        <x:v>Furniture</x:v>
      </x:c>
      <x:c r="K856" s="12" t="str">
        <x:v>Bookcases</x:v>
      </x:c>
      <x:c r="L856" s="12" t="str">
        <x:v>Max Bookcases 381</x:v>
      </x:c>
      <x:c r="M856" s="12" t="str">
        <x:v>Second Class</x:v>
      </x:c>
      <x:c r="N856" s="12" t="n">
        <x:v>4</x:v>
      </x:c>
      <x:c r="O856" s="12" t="n">
        <x:v>2233.64</x:v>
      </x:c>
      <x:c r="P856" s="12" t="n">
        <x:v>0.05</x:v>
      </x:c>
      <x:c r="Q856" s="12" t="n">
        <x:v>8487.83</x:v>
      </x:c>
      <x:c r="R856" s="12" t="n">
        <x:v>5245.72</x:v>
      </x:c>
      <x:c r="S856" s="12" t="n">
        <x:v>3242.11</x:v>
      </x:c>
      <x:c r="T856" s="12" t="str">
        <x:v>Paid</x:v>
      </x:c>
      <x:c r="U856" s="12" t="str">
        <x:v>Completed</x:v>
      </x:c>
    </x:row>
    <x:row r="857">
      <x:c r="A857" s="12" t="str">
        <x:v>ORD-2024-10856</x:v>
      </x:c>
      <x:c r="B857" s="12" t="str">
        <x:v>25-07-2024</x:v>
      </x:c>
      <x:c r="C857" s="12" t="str">
        <x:v>02 Aug 2024</x:v>
      </x:c>
      <x:c r="D857" s="12" t="str">
        <x:v>CUST-2752</x:v>
      </x:c>
      <x:c r="E857" s="12" t="str">
        <x:v>Rahul Verma</x:v>
      </x:c>
      <x:c r="F857" s="12" t="str">
        <x:v>Consumer</x:v>
      </x:c>
      <x:c r="G857" s="12" t="str">
        <x:v>North</x:v>
      </x:c>
      <x:c r="H857" s="12" t="str">
        <x:v>Rajasthan</x:v>
      </x:c>
      <x:c r="I857" s="12" t="str">
        <x:v>Jaipur</x:v>
      </x:c>
      <x:c r="J857" s="12" t="str">
        <x:v>Office Supplies</x:v>
      </x:c>
      <x:c r="K857" s="12" t="str">
        <x:v>LABELS</x:v>
      </x:c>
      <x:c r="L857" s="12" t="str">
        <x:v>Classic Labels 215</x:v>
      </x:c>
      <x:c r="M857" s="12" t="str">
        <x:v>Second Class</x:v>
      </x:c>
      <x:c r="N857" s="12" t="n">
        <x:v>2</x:v>
      </x:c>
      <x:c r="O857" s="12" t="n">
        <x:v>2073.53</x:v>
      </x:c>
      <x:c r="P857" s="12" t="n">
        <x:v>0.25</x:v>
      </x:c>
      <x:c r="Q857" s="12" t="n">
        <x:v>3110.3</x:v>
      </x:c>
      <x:c r="R857" s="12" t="n">
        <x:v>2101.03</x:v>
      </x:c>
      <x:c r="S857" s="12" t="n">
        <x:v>1009.27</x:v>
      </x:c>
      <x:c r="T857" s="12" t="str">
        <x:v>Paid</x:v>
      </x:c>
      <x:c r="U857" s="12" t="str">
        <x:v>Completed</x:v>
      </x:c>
    </x:row>
    <x:row r="858">
      <x:c r="A858" s="12" t="str">
        <x:v>ORD-2024-10857</x:v>
      </x:c>
      <x:c r="B858" s="12" t="str">
        <x:v>2024-06-12</x:v>
      </x:c>
      <x:c r="C858" s="12" t="str">
        <x:v>19 Jun 2024</x:v>
      </x:c>
      <x:c r="D858" s="12" t="str">
        <x:v>CUST-5647</x:v>
      </x:c>
      <x:c r="E858" s="12" t="str">
        <x:v>Rohan Mehta</x:v>
      </x:c>
      <x:c r="F858" s="12" t="str">
        <x:v>Home Office</x:v>
      </x:c>
      <x:c r="G858" s="12" t="str">
        <x:v>South</x:v>
      </x:c>
      <x:c r="H858" s="12" t="str">
        <x:v>Tamil Nadu</x:v>
      </x:c>
      <x:c r="I858" s="12" t="str">
        <x:v>Chennai</x:v>
      </x:c>
      <x:c r="J858" s="12" t="str">
        <x:v>Office Supplies</x:v>
      </x:c>
      <x:c r="K858" s="12" t="str">
        <x:v>Storage</x:v>
      </x:c>
      <x:c r="L858" s="12" t="str">
        <x:v>Classic Storage 918</x:v>
      </x:c>
      <x:c r="M858" s="12" t="str">
        <x:v>Standard Class</x:v>
      </x:c>
      <x:c r="N858" s="12" t="n">
        <x:v>4</x:v>
      </x:c>
      <x:c r="O858" s="12" t="n">
        <x:v>395.1</x:v>
      </x:c>
      <x:c r="P858" s="12" t="n">
        <x:v>-0.16</x:v>
      </x:c>
      <x:c r="Q858" s="12" t="n">
        <x:v>1185.3</x:v>
      </x:c>
      <x:c r="R858" s="12" t="n">
        <x:v>966.55</x:v>
      </x:c>
      <x:c r="S858" s="12" t="n">
        <x:v>218.75</x:v>
      </x:c>
      <x:c r="T858" s="12" t="str">
        <x:v>Failed</x:v>
      </x:c>
      <x:c r="U858" s="12" t="str">
        <x:v>Cancelled</x:v>
      </x:c>
    </x:row>
    <x:row r="859">
      <x:c r="A859" s="12" t="str">
        <x:v>ORD-2024-10858</x:v>
      </x:c>
      <x:c r="B859" s="12" t="str">
        <x:v>04 Jun 2024</x:v>
      </x:c>
      <x:c r="C859" s="12" t="str">
        <x:v>04-06-2024</x:v>
      </x:c>
      <x:c r="D859" s="12" t="str">
        <x:v>CUST-8575</x:v>
      </x:c>
      <x:c r="E859" s="12" t="str">
        <x:v>Sneha Kapoor</x:v>
      </x:c>
      <x:c r="F859" s="12" t="str">
        <x:v>Home Office</x:v>
      </x:c>
      <x:c r="G859" s="12" t="str">
        <x:v>South</x:v>
      </x:c>
      <x:c r="H859" s="12" t="str">
        <x:v>Kerala</x:v>
      </x:c>
      <x:c r="I859" s="12" t="str">
        <x:v>Kochi</x:v>
      </x:c>
      <x:c r="J859" s="12" t="str">
        <x:v>Office Supplies</x:v>
      </x:c>
      <x:c r="K859" s="12" t="str">
        <x:v>Storage</x:v>
      </x:c>
      <x:c r="L859" s="12" t="str">
        <x:v>Max Storage 223</x:v>
      </x:c>
      <x:c r="M859" s="12" t="str">
        <x:v>First Class</x:v>
      </x:c>
      <x:c r="N859" s="12" t="n">
        <x:v>6</x:v>
      </x:c>
      <x:c r="O859" s="12" t="n">
        <x:v>2708.97</x:v>
      </x:c>
      <x:c r="P859" s="12" t="n">
        <x:v>0.25</x:v>
      </x:c>
      <x:c r="Q859" s="12" t="n">
        <x:v>12190.36</x:v>
      </x:c>
      <x:c r="R859" s="12" t="n">
        <x:v>10176.99</x:v>
      </x:c>
      <x:c r="S859" s="12" t="n">
        <x:v>2013.37</x:v>
      </x:c>
      <x:c r="T859" s="12" t="str">
        <x:v>Paid</x:v>
      </x:c>
      <x:c r="U859" s="12" t="str">
        <x:v>Completed</x:v>
      </x:c>
    </x:row>
    <x:row r="860">
      <x:c r="A860" s="12" t="str">
        <x:v>ORD-2024-10859</x:v>
      </x:c>
      <x:c r="B860" s="12" t="str">
        <x:v>05/02/2024</x:v>
      </x:c>
      <x:c r="C860" s="12" t="str">
        <x:v>09 May 2024</x:v>
      </x:c>
      <x:c r="D860" s="12" t="str">
        <x:v>CUST-9576</x:v>
      </x:c>
      <x:c r="E860" s="12" t="str">
        <x:v>Arjun Bose</x:v>
      </x:c>
      <x:c r="F860" s="12" t="str">
        <x:v>Consumer</x:v>
      </x:c>
      <x:c r="G860" s="12" t="str">
        <x:v>East</x:v>
      </x:c>
      <x:c r="H860" s="12" t="str">
        <x:v>Odisha</x:v>
      </x:c>
      <x:c r="I860" s="12" t="str">
        <x:v>Bhubaneswar</x:v>
      </x:c>
      <x:c r="J860" s="12" t="str">
        <x:v>Technology</x:v>
      </x:c>
      <x:c r="K860" s="12" t="str">
        <x:v>Accessories</x:v>
      </x:c>
      <x:c r="L860" s="12" t="str">
        <x:v>Basic Accessories 602</x:v>
      </x:c>
      <x:c r="M860" s="12" t="str">
        <x:v>Second Class</x:v>
      </x:c>
      <x:c r="N860" s="12" t="n">
        <x:v>4</x:v>
      </x:c>
      <x:c r="O860" s="12" t="n">
        <x:v>2904.86</x:v>
      </x:c>
      <x:c r="P860" s="12" t="n">
        <x:v>0</x:v>
      </x:c>
      <x:c r="Q860" s="12" t="n">
        <x:v>11619.44</x:v>
      </x:c>
      <x:c r="R860" s="12" t="n">
        <x:v>7184.32</x:v>
      </x:c>
      <x:c r="S860" s="12" t="n">
        <x:v>4494.64</x:v>
      </x:c>
      <x:c r="T860" s="12" t="str">
        <x:v>Paid</x:v>
      </x:c>
      <x:c r="U860" s="12" t="str">
        <x:v>Completed</x:v>
      </x:c>
    </x:row>
    <x:row r="861">
      <x:c r="A861" s="12" t="str">
        <x:v>ORD-2024-10860</x:v>
      </x:c>
      <x:c r="B861" s="12" t="str">
        <x:v>10/27/2024</x:v>
      </x:c>
      <x:c r="C861" s="12" t="str">
        <x:v>2024-11-01</x:v>
      </x:c>
      <x:c r="D861" s="12" t="str">
        <x:v>CUST-2395</x:v>
      </x:c>
      <x:c r="E861" s="12" t="str">
        <x:v>Aditi Sen</x:v>
      </x:c>
      <x:c r="F861" s="12" t="str">
        <x:v>Corporate</x:v>
      </x:c>
      <x:c r="G861" s="12" t="str">
        <x:v>South</x:v>
      </x:c>
      <x:c r="H861" s="12" t="str">
        <x:v>Tamil Nadu</x:v>
      </x:c>
      <x:c r="I861" s="12" t="str">
        <x:v>Chennai</x:v>
      </x:c>
      <x:c r="J861" s="12" t="str">
        <x:v>Technology</x:v>
      </x:c>
      <x:c r="K861" s="12" t="str">
        <x:v>Phones</x:v>
      </x:c>
      <x:c r="L861" s="12" t="str">
        <x:v>Elite Phones 394</x:v>
      </x:c>
      <x:c r="M861" s="12" t="str">
        <x:v>Standard Class</x:v>
      </x:c>
      <x:c r="N861" s="12" t="n">
        <x:v>6</x:v>
      </x:c>
      <x:c r="O861" s="12" t="n">
        <x:v>4399.2</x:v>
      </x:c>
      <x:c r="P861" s="12" t="n">
        <x:v>0.05</x:v>
      </x:c>
      <x:c r="Q861" s="12" t="n">
        <x:v>25075.44</x:v>
      </x:c>
      <x:c r="R861" s="12" t="n">
        <x:v>16282.74</x:v>
      </x:c>
      <x:c r="S861" s="12" t="n">
        <x:v>8792.7</x:v>
      </x:c>
      <x:c r="T861" s="12" t="str">
        <x:v>Paid</x:v>
      </x:c>
      <x:c r="U861" s="12" t="str">
        <x:v>Completed</x:v>
      </x:c>
    </x:row>
    <x:row r="862">
      <x:c r="A862" s="12" t="str">
        <x:v>ORD-2024-10861</x:v>
      </x:c>
      <x:c r="B862" s="12" t="str">
        <x:v>02 Feb 2024</x:v>
      </x:c>
      <x:c r="C862" s="12" t="str">
        <x:v>04 Feb 2024</x:v>
      </x:c>
      <x:c r="D862" s="12" t="str">
        <x:v>CUST-8941</x:v>
      </x:c>
      <x:c r="E862" s="12" t="str">
        <x:v>Vikram Iyer</x:v>
      </x:c>
      <x:c r="F862" s="12" t="str">
        <x:v>Home Office</x:v>
      </x:c>
      <x:c r="G862" s="12" t="str">
        <x:v>North</x:v>
      </x:c>
      <x:c r="H862" s="12" t="str">
        <x:v>Uttar Pradesh</x:v>
      </x:c>
      <x:c r="I862" s="12" t="str">
        <x:v>Noida</x:v>
      </x:c>
      <x:c r="J862" s="12" t="str">
        <x:v>Office Supplies</x:v>
      </x:c>
      <x:c r="K862" s="12" t="str">
        <x:v>Storage</x:v>
      </x:c>
      <x:c r="L862" s="12" t="str">
        <x:v>Classic Storage 194</x:v>
      </x:c>
      <x:c r="M862" s="12" t="str">
        <x:v>Second Class</x:v>
      </x:c>
      <x:c r="N862" s="12" t="n">
        <x:v>1</x:v>
      </x:c>
      <x:c r="O862" s="12" t="n">
        <x:v>4397.32</x:v>
      </x:c>
      <x:c r="P862" s="12" t="n">
        <x:v>0.05</x:v>
      </x:c>
      <x:c r="Q862" s="12" t="n">
        <x:v>4177.45</x:v>
      </x:c>
      <x:c r="R862" s="12" t="n">
        <x:v>2299.5</x:v>
      </x:c>
      <x:c r="S862" s="12" t="n">
        <x:v>1877.95</x:v>
      </x:c>
      <x:c r="T862" s="12" t="str">
        <x:v>Paid</x:v>
      </x:c>
      <x:c r="U862" s="12" t="str">
        <x:v>Completed</x:v>
      </x:c>
    </x:row>
    <x:row r="863">
      <x:c r="A863" s="12" t="str">
        <x:v>ORD-2025-10862</x:v>
      </x:c>
      <x:c r="B863" s="12" t="str">
        <x:v>2025-03-08</x:v>
      </x:c>
      <x:c r="C863" s="12" t="str">
        <x:v>2025-03-09</x:v>
      </x:c>
      <x:c r="D863" s="12" t="str">
        <x:v>CUST-9448</x:v>
      </x:c>
      <x:c r="E863" s="12" t="str">
        <x:v>Priya Menon</x:v>
      </x:c>
      <x:c r="F863" s="12" t="str">
        <x:v>Home Office</x:v>
      </x:c>
      <x:c r="G863" s="12" t="str">
        <x:v>North</x:v>
      </x:c>
      <x:c r="H863" s="12" t="str">
        <x:v>Delhi</x:v>
      </x:c>
      <x:c r="I863" s="12" t="str">
        <x:v>New Delhi</x:v>
      </x:c>
      <x:c r="J863" s="12" t="str">
        <x:v>Furniture</x:v>
      </x:c>
      <x:c r="K863" s="12" t="str">
        <x:v>Furnishings</x:v>
      </x:c>
      <x:c r="L863" s="12" t="str">
        <x:v>Smart Furnishings 892</x:v>
      </x:c>
      <x:c r="M863" s="12" t="str">
        <x:v>Same Day</x:v>
      </x:c>
      <x:c r="N863" s="12" t="n">
        <x:v>4</x:v>
      </x:c>
      <x:c r="O863" s="12" t="n">
        <x:v>3405.68</x:v>
      </x:c>
      <x:c r="P863" s="12" t="n">
        <x:v>0.2</x:v>
      </x:c>
      <x:c r="Q863" s="12" t="n">
        <x:v>10898.18</x:v>
      </x:c>
      <x:c r="R863" s="12" t="n">
        <x:v>6231.41</x:v>
      </x:c>
      <x:c r="S863" s="12" t="n">
        <x:v>4666.77</x:v>
      </x:c>
      <x:c r="T863" s="12" t="str">
        <x:v>Paid</x:v>
      </x:c>
      <x:c r="U863" s="12" t="str">
        <x:v>Completed</x:v>
      </x:c>
    </x:row>
    <x:row r="864">
      <x:c r="A864" s="12" t="str">
        <x:v>ORD-2025-10863</x:v>
      </x:c>
      <x:c r="B864" s="12" t="str">
        <x:v>2025-03-26</x:v>
      </x:c>
      <x:c r="C864" s="12" t="str">
        <x:v>31-03-2025</x:v>
      </x:c>
      <x:c r="D864" s="12" t="str">
        <x:v>CUST-8354</x:v>
      </x:c>
      <x:c r="E864" s="12" t="str">
        <x:v>Priya Menon</x:v>
      </x:c>
      <x:c r="F864" s="12" t="str">
        <x:v>Small Business</x:v>
      </x:c>
      <x:c r="G864" s="12" t="str">
        <x:v>East</x:v>
      </x:c>
      <x:c r="H864" s="12" t="str">
        <x:v>Jharkhand</x:v>
      </x:c>
      <x:c r="I864" s="12" t="str">
        <x:v>Ranchi</x:v>
      </x:c>
      <x:c r="J864" s="12" t="str">
        <x:v>Office Supplies</x:v>
      </x:c>
      <x:c r="K864" s="12" t="str">
        <x:v>Binders</x:v>
      </x:c>
      <x:c r="L864" s="12" t="str">
        <x:v>Pro Binders 488</x:v>
      </x:c>
      <x:c r="M864" s="12" t="str">
        <x:v>First Class</x:v>
      </x:c>
      <x:c r="N864" s="12" t="n">
        <x:v>5</x:v>
      </x:c>
      <x:c r="O864" s="12" t="n">
        <x:v>1395.14</x:v>
      </x:c>
      <x:c r="P864" s="12" t="n">
        <x:v>0</x:v>
      </x:c>
      <x:c r="Q864" s="12" t="n">
        <x:v>6975.7</x:v>
      </x:c>
      <x:c r="R864" s="12" t="n">
        <x:v>4797.88</x:v>
      </x:c>
      <x:c r="S864" s="12" t="n">
        <x:v>2177.82</x:v>
      </x:c>
      <x:c r="T864" s="12" t="str">
        <x:v>Paid</x:v>
      </x:c>
      <x:c r="U864" s="12" t="str">
        <x:v>Cancelled</x:v>
      </x:c>
    </x:row>
    <x:row r="865">
      <x:c r="A865" s="12" t="str">
        <x:v>ORD-2025-10864</x:v>
      </x:c>
      <x:c r="B865" s="12" t="str">
        <x:v>09/06/2025</x:v>
      </x:c>
      <x:c r="C865" s="12" t="str">
        <x:v>09/08/2025</x:v>
      </x:c>
      <x:c r="D865" s="12" t="str">
        <x:v>CUST-2200</x:v>
      </x:c>
      <x:c r="E865" s="12" t="str">
        <x:v>Aarav Sharma</x:v>
      </x:c>
      <x:c r="F865" s="12" t="str">
        <x:v>Home Office</x:v>
      </x:c>
      <x:c r="G865" s="12" t="str">
        <x:v>West</x:v>
      </x:c>
      <x:c r="H865" s="12" t="str">
        <x:v>Madhya Pradesh</x:v>
      </x:c>
      <x:c r="I865" s="12" t="str">
        <x:v>Indore</x:v>
      </x:c>
      <x:c r="J865" s="12" t="str">
        <x:v>Furniture</x:v>
      </x:c>
      <x:c r="K865" s="12" t="str">
        <x:v>Furnishings</x:v>
      </x:c>
      <x:c r="L865" s="12" t="str">
        <x:v>Prime Furnishings 679</x:v>
      </x:c>
      <x:c r="M865" s="12" t="str">
        <x:v>Same Day</x:v>
      </x:c>
      <x:c r="N865" s="12" t="n">
        <x:v>3</x:v>
      </x:c>
      <x:c r="O865" s="12" t="n">
        <x:v>2937.23</x:v>
      </x:c>
      <x:c r="P865" s="12" t="n">
        <x:v>0</x:v>
      </x:c>
      <x:c r="Q865" s="12" t="n">
        <x:v>8811.69</x:v>
      </x:c>
      <x:c r="R865" s="12" t="n">
        <x:v>6765.91</x:v>
      </x:c>
      <x:c r="S865" s="12" t="n">
        <x:v>2045.78</x:v>
      </x:c>
      <x:c r="T865" s="12" t="str">
        <x:v>Paid</x:v>
      </x:c>
      <x:c r="U865" s="12" t="str">
        <x:v>Completed</x:v>
      </x:c>
    </x:row>
    <x:row r="866">
      <x:c r="A866" s="12" t="str">
        <x:v>ORD-2025-10865</x:v>
      </x:c>
      <x:c r="B866" s="12" t="str">
        <x:v>02 Sep 2025</x:v>
      </x:c>
      <x:c r="C866" s="12" t="str">
        <x:v>05-09-2025</x:v>
      </x:c>
      <x:c r="D866" s="12" t="str">
        <x:v>CUST-1178</x:v>
      </x:c>
      <x:c r="E866" s="12" t="str">
        <x:v>Vikram Iyer</x:v>
      </x:c>
      <x:c r="F866" s="12" t="str">
        <x:v>Consumer</x:v>
      </x:c>
      <x:c r="G866" s="12" t="str">
        <x:v>South</x:v>
      </x:c>
      <x:c r="H866" s="12" t="str">
        <x:v>Tamil Nadu</x:v>
      </x:c>
      <x:c r="I866" s="12" t="str">
        <x:v>Chennai</x:v>
      </x:c>
      <x:c r="J866" s="12" t="str">
        <x:v>Technology</x:v>
      </x:c>
      <x:c r="K866" s="12" t="str">
        <x:v>Phones</x:v>
      </x:c>
      <x:c r="L866" s="12" t="str">
        <x:v>Smart Phones 158</x:v>
      </x:c>
      <x:c r="M866" s="12" t="str">
        <x:v>First Class</x:v>
      </x:c>
      <x:c r="N866" s="12" t="n">
        <x:v>5</x:v>
      </x:c>
      <x:c r="O866" s="12" t="n">
        <x:v>3406.87</x:v>
      </x:c>
      <x:c r="P866" s="12" t="n">
        <x:v>0</x:v>
      </x:c>
      <x:c r="Q866" s="12" t="n">
        <x:v>17034.35</x:v>
      </x:c>
      <x:c r="R866" s="12" t="n">
        <x:v>14631.36</x:v>
      </x:c>
      <x:c r="S866" s="12" t="n">
        <x:v>2402.99</x:v>
      </x:c>
      <x:c r="T866" s="12" t="str">
        <x:v>Paid</x:v>
      </x:c>
      <x:c r="U866" s="12" t="str">
        <x:v>Completed</x:v>
      </x:c>
    </x:row>
    <x:row r="867">
      <x:c r="A867" s="12" t="str">
        <x:v>ORD-2025-10866</x:v>
      </x:c>
      <x:c r="B867" s="12" t="str">
        <x:v>06-02-2025</x:v>
      </x:c>
      <x:c r="C867" s="12" t="str">
        <x:v>14-02-2025</x:v>
      </x:c>
      <x:c r="D867" s="12" t="str">
        <x:v>CUST-8099</x:v>
      </x:c>
      <x:c r="E867" s="12" t="str">
        <x:v>Kabir Singh</x:v>
      </x:c>
      <x:c r="F867" s="12" t="str">
        <x:v>Consumer</x:v>
      </x:c>
      <x:c r="G867" s="12" t="str">
        <x:v>West</x:v>
      </x:c>
      <x:c r="H867" s="12" t="str">
        <x:v>Maharashtra</x:v>
      </x:c>
      <x:c r="I867" s="12" t="str">
        <x:v>Mumbai</x:v>
      </x:c>
      <x:c r="J867" s="12" t="str">
        <x:v>Office Supplies</x:v>
      </x:c>
      <x:c r="K867" s="12" t="str">
        <x:v>Labels</x:v>
      </x:c>
      <x:c r="L867" s="12" t="str">
        <x:v>Classic Labels 218</x:v>
      </x:c>
      <x:c r="M867" s="12" t="str">
        <x:v>Second Class</x:v>
      </x:c>
      <x:c r="N867" s="12" t="n">
        <x:v>2</x:v>
      </x:c>
      <x:c r="O867" s="12" t="n">
        <x:v>3992.04</x:v>
      </x:c>
      <x:c r="P867" s="12" t="n">
        <x:v>0</x:v>
      </x:c>
      <x:c r="Q867" s="12" t="n">
        <x:v>7984.08</x:v>
      </x:c>
      <x:c r="R867" s="12" t="n">
        <x:v>5658.05</x:v>
      </x:c>
      <x:c r="S867" s="12" t="n">
        <x:v>2326.03</x:v>
      </x:c>
      <x:c r="T867" s="12" t="str">
        <x:v>Paid</x:v>
      </x:c>
      <x:c r="U867" s="12" t="str">
        <x:v>Completed</x:v>
      </x:c>
    </x:row>
    <x:row r="868">
      <x:c r="A868" s="12" t="str">
        <x:v>ORD-2025-10867</x:v>
      </x:c>
      <x:c r="B868" s="12" t="str">
        <x:v>02/26/2025</x:v>
      </x:c>
      <x:c r="C868" s="12" t="str">
        <x:v>2025-03-06</x:v>
      </x:c>
      <x:c r="D868" s="12" t="str">
        <x:v>CUST-7596</x:v>
      </x:c>
      <x:c r="E868" s="12" t="str">
        <x:v>Priya Menon</x:v>
      </x:c>
      <x:c r="F868" s="12" t="str">
        <x:v>Consumer</x:v>
      </x:c>
      <x:c r="G868" s="12" t="str">
        <x:v>East</x:v>
      </x:c>
      <x:c r="H868" s="12" t="str">
        <x:v>Bihar</x:v>
      </x:c>
      <x:c r="I868" s="12" t="str">
        <x:v>Patna</x:v>
      </x:c>
      <x:c r="J868" s="12" t="str">
        <x:v>Furniture</x:v>
      </x:c>
      <x:c r="K868" s="12" t="str">
        <x:v>Bookcases</x:v>
      </x:c>
      <x:c r="L868" s="12" t="str">
        <x:v>Smart Bookcases 552</x:v>
      </x:c>
      <x:c r="M868" s="12" t="str">
        <x:v>First Class</x:v>
      </x:c>
      <x:c r="N868" s="12" t="n">
        <x:v>9</x:v>
      </x:c>
      <x:c r="O868" s="12" t="n">
        <x:v>3043.37</x:v>
      </x:c>
      <x:c r="P868" s="12" t="n">
        <x:v>0.2</x:v>
      </x:c>
      <x:c r="Q868" s="12" t="n">
        <x:v>21912.26</x:v>
      </x:c>
      <x:c r="R868" s="12" t="n">
        <x:v>16367.78</x:v>
      </x:c>
      <x:c r="S868" s="12" t="n">
        <x:v>5544.48</x:v>
      </x:c>
      <x:c r="T868" s="12" t="str">
        <x:v>Pending</x:v>
      </x:c>
      <x:c r="U868" s="12" t="str">
        <x:v>Cancelled</x:v>
      </x:c>
    </x:row>
    <x:row r="869">
      <x:c r="A869" s="12" t="str">
        <x:v>ORD-2024-10868</x:v>
      </x:c>
      <x:c r="B869" s="12" t="str">
        <x:v>21 Nov 2024</x:v>
      </x:c>
      <x:c r="C869" s="12" t="str">
        <x:v>22 Nov 2024</x:v>
      </x:c>
      <x:c r="D869" s="12" t="str">
        <x:v>CUST-2328</x:v>
      </x:c>
      <x:c r="E869" s="12" t="str">
        <x:v>Rahul Verma</x:v>
      </x:c>
      <x:c r="F869" s="12" t="str">
        <x:v>Home Office</x:v>
      </x:c>
      <x:c r="G869" s="12" t="str">
        <x:v>South</x:v>
      </x:c>
      <x:c r="H869" s="12" t="str">
        <x:v>Andhra Pradesh</x:v>
      </x:c>
      <x:c r="I869" s="12" t="str">
        <x:v>Vijayawada</x:v>
      </x:c>
      <x:c r="J869" s="12" t="str">
        <x:v>Technology</x:v>
      </x:c>
      <x:c r="K869" s="12" t="str">
        <x:v>Accessories</x:v>
      </x:c>
      <x:c r="L869" s="12" t="str">
        <x:v>Eco Accessories 389</x:v>
      </x:c>
      <x:c r="M869" s="12" t="str">
        <x:v>Same Day</x:v>
      </x:c>
      <x:c r="N869" s="12" t="n">
        <x:v>6</x:v>
      </x:c>
      <x:c r="O869" s="12" t="n">
        <x:v>1043.49</x:v>
      </x:c>
      <x:c r="P869" s="12" t="n">
        <x:v>0.25</x:v>
      </x:c>
      <x:c r="Q869" s="12" t="n">
        <x:v>4695.7</x:v>
      </x:c>
      <x:c r="R869" s="12" t="n">
        <x:v>3871.69</x:v>
      </x:c>
      <x:c r="S869" s="12" t="n">
        <x:v>824.01</x:v>
      </x:c>
      <x:c r="T869" s="12" t="str">
        <x:v>Failed</x:v>
      </x:c>
      <x:c r="U869" s="12" t="str">
        <x:v>Cancelled</x:v>
      </x:c>
    </x:row>
    <x:row r="870">
      <x:c r="A870" s="12" t="str">
        <x:v>ORD-2025-10869</x:v>
      </x:c>
      <x:c r="B870" s="12" t="str">
        <x:v>11-04-2025</x:v>
      </x:c>
      <x:c r="C870" s="12" t="str">
        <x:v>2025-04-15</x:v>
      </x:c>
      <x:c r="D870" s="12" t="str">
        <x:v>CUST-8483</x:v>
      </x:c>
      <x:c r="E870" s="12" t="str">
        <x:v>Vikram Iyer</x:v>
      </x:c>
      <x:c r="F870" s="12" t="str">
        <x:v>Home Office</x:v>
      </x:c>
      <x:c r="G870" s="12" t="str">
        <x:v>South</x:v>
      </x:c>
      <x:c r="H870" s="12" t="str">
        <x:v>Karnataka</x:v>
      </x:c>
      <x:c r="I870" s="12" t="str">
        <x:v>Bengaluru</x:v>
      </x:c>
      <x:c r="J870" s="12" t="str">
        <x:v>Office Supplies</x:v>
      </x:c>
      <x:c r="K870" s="12" t="str">
        <x:v>Storage</x:v>
      </x:c>
      <x:c r="L870" s="12" t="str">
        <x:v>Elite Storage 187</x:v>
      </x:c>
      <x:c r="M870" s="12" t="str">
        <x:v>Same Day</x:v>
      </x:c>
      <x:c r="N870" s="12" t="n">
        <x:v>9</x:v>
      </x:c>
      <x:c r="O870" s="12" t="n">
        <x:v>224.94</x:v>
      </x:c>
      <x:c r="P870" s="12" t="n">
        <x:v>0.05</x:v>
      </x:c>
      <x:c r="Q870" s="12" t="n">
        <x:v>1923.24</x:v>
      </x:c>
      <x:c r="R870" s="12" t="n">
        <x:v>1093.66</x:v>
      </x:c>
      <x:c r="S870" s="12" t="n">
        <x:v>829.58</x:v>
      </x:c>
      <x:c r="T870" s="12" t="str">
        <x:v>Paid</x:v>
      </x:c>
      <x:c r="U870" s="12" t="str">
        <x:v>Completed</x:v>
      </x:c>
    </x:row>
    <x:row r="871">
      <x:c r="A871" s="12" t="str">
        <x:v>ORD-2025-10870</x:v>
      </x:c>
      <x:c r="B871" s="12" t="str">
        <x:v>03/06/2025</x:v>
      </x:c>
      <x:c r="C871" s="12" t="str">
        <x:v>07-03-2025</x:v>
      </x:c>
      <x:c r="D871" s="12" t="str">
        <x:v>CUST-2388</x:v>
      </x:c>
      <x:c r="E871" s="12" t="str">
        <x:v>Rohan Mehta</x:v>
      </x:c>
      <x:c r="F871" s="12" t="str">
        <x:v>Home Office</x:v>
      </x:c>
      <x:c r="G871" s="12"/>
      <x:c r="H871" s="12" t="str">
        <x:v>Delhi</x:v>
      </x:c>
      <x:c r="I871" s="12" t="str">
        <x:v>New Delhi</x:v>
      </x:c>
      <x:c r="J871" s="12" t="str">
        <x:v>Furniture</x:v>
      </x:c>
      <x:c r="K871" s="12" t="str">
        <x:v>Chairs</x:v>
      </x:c>
      <x:c r="L871" s="12" t="str">
        <x:v>Max Chairs 487</x:v>
      </x:c>
      <x:c r="M871" s="12" t="str">
        <x:v>Same Day</x:v>
      </x:c>
      <x:c r="N871" s="12" t="n">
        <x:v>6</x:v>
      </x:c>
      <x:c r="O871" s="12" t="n">
        <x:v>796.65</x:v>
      </x:c>
      <x:c r="P871" s="12" t="n">
        <x:v>0.1</x:v>
      </x:c>
      <x:c r="Q871" s="12" t="n">
        <x:v>4301.91</x:v>
      </x:c>
      <x:c r="R871" s="12" t="n">
        <x:v>2374.4</x:v>
      </x:c>
      <x:c r="S871" s="12" t="n">
        <x:v>1927.51</x:v>
      </x:c>
      <x:c r="T871" s="12" t="str">
        <x:v>Paid</x:v>
      </x:c>
      <x:c r="U871" s="12" t="str">
        <x:v>Completed</x:v>
      </x:c>
    </x:row>
    <x:row r="872">
      <x:c r="A872" s="12" t="str">
        <x:v>ORD-2025-10871</x:v>
      </x:c>
      <x:c r="B872" s="12" t="str">
        <x:v>06 Jun 2025</x:v>
      </x:c>
      <x:c r="C872" s="12" t="str">
        <x:v>07 Jun 2025</x:v>
      </x:c>
      <x:c r="D872" s="12" t="str">
        <x:v>CUST-7054</x:v>
      </x:c>
      <x:c r="E872" s="12" t="str">
        <x:v>Vikram Iyer</x:v>
      </x:c>
      <x:c r="F872" s="12" t="str">
        <x:v>Corporate</x:v>
      </x:c>
      <x:c r="G872" s="12" t="str">
        <x:v>West</x:v>
      </x:c>
      <x:c r="H872" s="12" t="str">
        <x:v>Goa</x:v>
      </x:c>
      <x:c r="I872" s="12" t="str">
        <x:v>Panaji</x:v>
      </x:c>
      <x:c r="J872" s="12" t="str">
        <x:v>Furniture</x:v>
      </x:c>
      <x:c r="K872" s="12" t="str">
        <x:v>Tables</x:v>
      </x:c>
      <x:c r="L872" s="12" t="str">
        <x:v>Max Tables 281</x:v>
      </x:c>
      <x:c r="M872" s="12" t="str">
        <x:v>Standard Class</x:v>
      </x:c>
      <x:c r="N872" s="12" t="n">
        <x:v>9</x:v>
      </x:c>
      <x:c r="O872" s="12" t="n">
        <x:v>2932.92</x:v>
      </x:c>
      <x:c r="P872" s="12" t="n">
        <x:v>0.15</x:v>
      </x:c>
      <x:c r="Q872" s="12" t="n">
        <x:v>22436.84</x:v>
      </x:c>
      <x:c r="R872" s="12" t="n">
        <x:v>17454.67</x:v>
      </x:c>
      <x:c r="S872" s="12" t="n">
        <x:v>4982.17</x:v>
      </x:c>
      <x:c r="T872" s="12" t="str">
        <x:v>Paid</x:v>
      </x:c>
      <x:c r="U872" s="12" t="str">
        <x:v>Cancelled</x:v>
      </x:c>
    </x:row>
    <x:row r="873">
      <x:c r="A873" s="12" t="str">
        <x:v>ORD-2024-10872</x:v>
      </x:c>
      <x:c r="B873" s="12" t="str">
        <x:v>02/20/2024</x:v>
      </x:c>
      <x:c r="C873" s="12" t="str">
        <x:v>2024-02-22</x:v>
      </x:c>
      <x:c r="D873" s="12" t="str">
        <x:v>CUST-4375</x:v>
      </x:c>
      <x:c r="E873" s="12" t="str">
        <x:v>Neha Gupta</x:v>
      </x:c>
      <x:c r="F873" s="12" t="str">
        <x:v>Small Business</x:v>
      </x:c>
      <x:c r="G873" s="12" t="str">
        <x:v>South</x:v>
      </x:c>
      <x:c r="H873" s="12" t="str">
        <x:v>Telangana</x:v>
      </x:c>
      <x:c r="I873" s="12" t="str">
        <x:v>Hyderabad</x:v>
      </x:c>
      <x:c r="J873" s="12" t="str">
        <x:v>Technology</x:v>
      </x:c>
      <x:c r="K873" s="12" t="str">
        <x:v>Accessories</x:v>
      </x:c>
      <x:c r="L873" s="12" t="str">
        <x:v>Pro Accessories 325</x:v>
      </x:c>
      <x:c r="M873" s="12" t="str">
        <x:v>First Class</x:v>
      </x:c>
      <x:c r="N873" s="12" t="n">
        <x:v>9</x:v>
      </x:c>
      <x:c r="O873" s="12" t="n">
        <x:v>2186.23</x:v>
      </x:c>
      <x:c r="P873" s="12" t="n">
        <x:v>0</x:v>
      </x:c>
      <x:c r="Q873" s="12" t="n">
        <x:v>19676.07</x:v>
      </x:c>
      <x:c r="R873" s="12" t="n">
        <x:v>12458.62</x:v>
      </x:c>
      <x:c r="S873" s="12" t="n">
        <x:v>7217.45</x:v>
      </x:c>
      <x:c r="T873" s="12" t="str">
        <x:v>Refunded</x:v>
      </x:c>
      <x:c r="U873" s="12" t="str">
        <x:v>Cancelled</x:v>
      </x:c>
    </x:row>
    <x:row r="874">
      <x:c r="A874" s="12" t="str">
        <x:v>ORD-2024-10873</x:v>
      </x:c>
      <x:c r="B874" s="12" t="str">
        <x:v>11/01/2024</x:v>
      </x:c>
      <x:c r="C874" s="12" t="str">
        <x:v>02 Nov 2024</x:v>
      </x:c>
      <x:c r="D874" s="12" t="str">
        <x:v>CUST-6262</x:v>
      </x:c>
      <x:c r="E874" s="12" t="str">
        <x:v>Karan Malhotra</x:v>
      </x:c>
      <x:c r="F874" s="12" t="str">
        <x:v>Corporate</x:v>
      </x:c>
      <x:c r="G874" s="12" t="str">
        <x:v>East</x:v>
      </x:c>
      <x:c r="H874" s="12" t="str">
        <x:v>West Bengal</x:v>
      </x:c>
      <x:c r="I874" s="12" t="str">
        <x:v>Kolkata</x:v>
      </x:c>
      <x:c r="J874" s="12" t="str">
        <x:v>Furniture</x:v>
      </x:c>
      <x:c r="K874" s="12" t="str">
        <x:v>Furnishings</x:v>
      </x:c>
      <x:c r="L874" s="12" t="str">
        <x:v>Prime Furnishings 178</x:v>
      </x:c>
      <x:c r="M874" s="12" t="str">
        <x:v>Standard Class</x:v>
      </x:c>
      <x:c r="N874" s="12" t="n">
        <x:v>5</x:v>
      </x:c>
      <x:c r="O874" s="12" t="n">
        <x:v>2212.02</x:v>
      </x:c>
      <x:c r="P874" s="12" t="n">
        <x:v>0.2</x:v>
      </x:c>
      <x:c r="Q874" s="12" t="n">
        <x:v>8848.08</x:v>
      </x:c>
      <x:c r="R874" s="12" t="n">
        <x:v>5691.56</x:v>
      </x:c>
      <x:c r="S874" s="12" t="n">
        <x:v>3156.52</x:v>
      </x:c>
      <x:c r="T874" s="12" t="str">
        <x:v>Paid</x:v>
      </x:c>
      <x:c r="U874" s="12" t="str">
        <x:v>Completed</x:v>
      </x:c>
    </x:row>
    <x:row r="875">
      <x:c r="A875" s="12" t="str">
        <x:v>ORD-2025-10874</x:v>
      </x:c>
      <x:c r="B875" s="12" t="str">
        <x:v>01 Feb 2025</x:v>
      </x:c>
      <x:c r="C875" s="12" t="str">
        <x:v>08-02-2025</x:v>
      </x:c>
      <x:c r="D875" s="12" t="str">
        <x:v>CUST-8160</x:v>
      </x:c>
      <x:c r="E875" s="12" t="str">
        <x:v>Aditi Sen</x:v>
      </x:c>
      <x:c r="F875" s="12" t="str">
        <x:v>Home Office</x:v>
      </x:c>
      <x:c r="G875" s="12" t="str">
        <x:v>West</x:v>
      </x:c>
      <x:c r="H875" s="12" t="str">
        <x:v>Gujarat</x:v>
      </x:c>
      <x:c r="I875" s="12" t="str">
        <x:v>Ahmedabad</x:v>
      </x:c>
      <x:c r="J875" s="12" t="str">
        <x:v>Office Supplies</x:v>
      </x:c>
      <x:c r="K875" s="12" t="str">
        <x:v>Storage</x:v>
      </x:c>
      <x:c r="L875" s="12" t="str">
        <x:v>Elite Storage 144</x:v>
      </x:c>
      <x:c r="M875" s="12" t="str">
        <x:v>Second Class</x:v>
      </x:c>
      <x:c r="N875" s="12" t="n">
        <x:v>8</x:v>
      </x:c>
      <x:c r="O875" s="12" t="n">
        <x:v>623.31</x:v>
      </x:c>
      <x:c r="P875" s="12" t="n">
        <x:v>0.1</x:v>
      </x:c>
      <x:c r="Q875" s="12" t="n">
        <x:v>4487.83</x:v>
      </x:c>
      <x:c r="R875" s="12" t="n">
        <x:v>2633.78</x:v>
      </x:c>
      <x:c r="S875" s="12" t="n">
        <x:v>1854.05</x:v>
      </x:c>
      <x:c r="T875" s="12" t="str">
        <x:v>Paid</x:v>
      </x:c>
      <x:c r="U875" s="12" t="str">
        <x:v>Completed</x:v>
      </x:c>
    </x:row>
    <x:row r="876">
      <x:c r="A876" s="12" t="str">
        <x:v>ORD-2025-10875</x:v>
      </x:c>
      <x:c r="B876" s="12" t="str">
        <x:v>15 Jul 2025</x:v>
      </x:c>
      <x:c r="C876" s="12" t="str">
        <x:v>16 Jul 2025</x:v>
      </x:c>
      <x:c r="D876" s="12" t="str">
        <x:v>CUST-8770</x:v>
      </x:c>
      <x:c r="E876" s="12" t="str">
        <x:v>Vikram Iyer</x:v>
      </x:c>
      <x:c r="F876" s="12" t="str">
        <x:v>Small Business</x:v>
      </x:c>
      <x:c r="G876" s="12" t="str">
        <x:v>West</x:v>
      </x:c>
      <x:c r="H876" s="12" t="str">
        <x:v>Maharashtra</x:v>
      </x:c>
      <x:c r="I876" s="12" t="str">
        <x:v>Mumbai</x:v>
      </x:c>
      <x:c r="J876" s="12" t="str">
        <x:v>Office Supplies</x:v>
      </x:c>
      <x:c r="K876" s="12" t="str">
        <x:v>Paper</x:v>
      </x:c>
      <x:c r="L876" s="12" t="str">
        <x:v>Elite Paper 309</x:v>
      </x:c>
      <x:c r="M876" s="12" t="str">
        <x:v>Standard Class</x:v>
      </x:c>
      <x:c r="N876" s="12" t="n">
        <x:v>8</x:v>
      </x:c>
      <x:c r="O876" s="12" t="n">
        <x:v>3924.88</x:v>
      </x:c>
      <x:c r="P876" s="12" t="n">
        <x:v>0.05</x:v>
      </x:c>
      <x:c r="Q876" s="12" t="n">
        <x:v>29829.09</x:v>
      </x:c>
      <x:c r="R876" s="12" t="n">
        <x:v>20710.18</x:v>
      </x:c>
      <x:c r="S876" s="12" t="n">
        <x:v>9118.91</x:v>
      </x:c>
      <x:c r="T876" s="12" t="str">
        <x:v>Paid</x:v>
      </x:c>
      <x:c r="U876" s="12" t="str">
        <x:v>Completed</x:v>
      </x:c>
    </x:row>
    <x:row r="877">
      <x:c r="A877" s="12" t="str">
        <x:v>ORD-2024-10876</x:v>
      </x:c>
      <x:c r="B877" s="12" t="str">
        <x:v>10 Aug 2024</x:v>
      </x:c>
      <x:c r="C877" s="12" t="str">
        <x:v>08/11/2024</x:v>
      </x:c>
      <x:c r="D877" s="12" t="str">
        <x:v>CUST-6928</x:v>
      </x:c>
      <x:c r="E877" s="12" t="str">
        <x:v>Mira Das</x:v>
      </x:c>
      <x:c r="F877" s="12" t="str">
        <x:v>Corporate</x:v>
      </x:c>
      <x:c r="G877" s="12" t="str">
        <x:v>West</x:v>
      </x:c>
      <x:c r="H877" s="12" t="str">
        <x:v>Maharashtra</x:v>
      </x:c>
      <x:c r="I877" s="12" t="str">
        <x:v>Mumbai</x:v>
      </x:c>
      <x:c r="J877" s="12" t="str">
        <x:v>Technology</x:v>
      </x:c>
      <x:c r="K877" s="12" t="str">
        <x:v>Copiers</x:v>
      </x:c>
      <x:c r="L877" s="12" t="str">
        <x:v>Elite Copiers 752</x:v>
      </x:c>
      <x:c r="M877" s="12" t="str">
        <x:v>First Class</x:v>
      </x:c>
      <x:c r="N877" s="12" t="n">
        <x:v>7</x:v>
      </x:c>
      <x:c r="O877" s="12" t="n">
        <x:v>3852.62</x:v>
      </x:c>
      <x:c r="P877" s="12" t="n">
        <x:v>0.2</x:v>
      </x:c>
      <x:c r="Q877" s="12" t="n">
        <x:v>21574.67</x:v>
      </x:c>
      <x:c r="R877" s="12" t="n">
        <x:v>14672.83</x:v>
      </x:c>
      <x:c r="S877" s="12" t="n">
        <x:v>6901.84</x:v>
      </x:c>
      <x:c r="T877" s="12" t="str">
        <x:v>Paid</x:v>
      </x:c>
      <x:c r="U877" s="12" t="str">
        <x:v>Completed</x:v>
      </x:c>
    </x:row>
    <x:row r="878">
      <x:c r="A878" s="12" t="str">
        <x:v>ORD-2024-10877</x:v>
      </x:c>
      <x:c r="B878" s="12" t="str">
        <x:v>11/18/2024</x:v>
      </x:c>
      <x:c r="C878" s="12" t="str">
        <x:v>20-11-2024</x:v>
      </x:c>
      <x:c r="D878" s="12" t="str">
        <x:v>CUST-9044</x:v>
      </x:c>
      <x:c r="E878" s="12" t="str">
        <x:v>Priya Menon</x:v>
      </x:c>
      <x:c r="F878" s="12" t="str">
        <x:v>Consumer</x:v>
      </x:c>
      <x:c r="G878" s="12" t="str">
        <x:v>West</x:v>
      </x:c>
      <x:c r="H878" s="12" t="str">
        <x:v>Rajasthan</x:v>
      </x:c>
      <x:c r="I878" s="12" t="str">
        <x:v>Udaipur</x:v>
      </x:c>
      <x:c r="J878" s="12" t="str">
        <x:v>Furniture</x:v>
      </x:c>
      <x:c r="K878" s="12" t="str">
        <x:v>Chairs</x:v>
      </x:c>
      <x:c r="L878" s="12" t="str">
        <x:v>Pro Chairs 316</x:v>
      </x:c>
      <x:c r="M878" s="12" t="str">
        <x:v>First Class</x:v>
      </x:c>
      <x:c r="N878" s="12" t="n">
        <x:v>6</x:v>
      </x:c>
      <x:c r="O878" s="12" t="n">
        <x:v>3790.22</x:v>
      </x:c>
      <x:c r="P878" s="12" t="n">
        <x:v>0</x:v>
      </x:c>
      <x:c r="Q878" s="12" t="n">
        <x:v>22741.32</x:v>
      </x:c>
      <x:c r="R878" s="12" t="n">
        <x:v>16388.57</x:v>
      </x:c>
      <x:c r="S878" s="12" t="n">
        <x:v>6352.75</x:v>
      </x:c>
      <x:c r="T878" s="12" t="str">
        <x:v>Paid</x:v>
      </x:c>
      <x:c r="U878" s="12" t="str">
        <x:v>Completed</x:v>
      </x:c>
    </x:row>
    <x:row r="879">
      <x:c r="A879" s="12" t="str">
        <x:v>ORD-2025-10878</x:v>
      </x:c>
      <x:c r="B879" s="12" t="str">
        <x:v>26-08-2025</x:v>
      </x:c>
      <x:c r="C879" s="12" t="str">
        <x:v>2025-09-03</x:v>
      </x:c>
      <x:c r="D879" s="12" t="str">
        <x:v>CUST-7146</x:v>
      </x:c>
      <x:c r="E879" s="12" t="str">
        <x:v>Aarav Sharma</x:v>
      </x:c>
      <x:c r="F879" s="12" t="str">
        <x:v>Consumer</x:v>
      </x:c>
      <x:c r="G879" s="12" t="str">
        <x:v>West</x:v>
      </x:c>
      <x:c r="H879" s="12" t="str">
        <x:v>Rajasthan</x:v>
      </x:c>
      <x:c r="I879" s="12" t="str">
        <x:v>Udaipur</x:v>
      </x:c>
      <x:c r="J879" s="12" t="str">
        <x:v>Office Supplies</x:v>
      </x:c>
      <x:c r="K879" s="12" t="str">
        <x:v>Storage</x:v>
      </x:c>
      <x:c r="L879" s="12" t="str">
        <x:v>Max Storage 438</x:v>
      </x:c>
      <x:c r="M879" s="12" t="str">
        <x:v>Second Class</x:v>
      </x:c>
      <x:c r="N879" s="12" t="n">
        <x:v>6</x:v>
      </x:c>
      <x:c r="O879" s="12" t="n">
        <x:v>674.36</x:v>
      </x:c>
      <x:c r="P879" s="12" t="n">
        <x:v>0.1</x:v>
      </x:c>
      <x:c r="Q879" s="12" t="n">
        <x:v>3641.54</x:v>
      </x:c>
      <x:c r="R879" s="12" t="n">
        <x:v>2690.37</x:v>
      </x:c>
      <x:c r="S879" s="12" t="n">
        <x:v>951.17</x:v>
      </x:c>
      <x:c r="T879" s="12" t="str">
        <x:v>Paid</x:v>
      </x:c>
      <x:c r="U879" s="12" t="str">
        <x:v>Completed</x:v>
      </x:c>
    </x:row>
    <x:row r="880">
      <x:c r="A880" s="12" t="str">
        <x:v>ORD-2024-10879</x:v>
      </x:c>
      <x:c r="B880" s="12" t="str">
        <x:v>2024-01-22</x:v>
      </x:c>
      <x:c r="C880" s="12" t="str">
        <x:v>2024-01-22</x:v>
      </x:c>
      <x:c r="D880" s="12" t="str">
        <x:v>CUST-8534</x:v>
      </x:c>
      <x:c r="E880" s="12" t="str">
        <x:v>Karan Malhotra</x:v>
      </x:c>
      <x:c r="F880" s="12" t="str">
        <x:v>Corporate</x:v>
      </x:c>
      <x:c r="G880" s="12" t="str">
        <x:v>East</x:v>
      </x:c>
      <x:c r="H880" s="12" t="str">
        <x:v>West Bengal</x:v>
      </x:c>
      <x:c r="I880" s="12" t="str">
        <x:v>Kolkata</x:v>
      </x:c>
      <x:c r="J880" s="12" t="str">
        <x:v>Office Supplies</x:v>
      </x:c>
      <x:c r="K880" s="12" t="str">
        <x:v>Paper</x:v>
      </x:c>
      <x:c r="L880" s="12" t="str">
        <x:v>Basic Paper 904</x:v>
      </x:c>
      <x:c r="M880" s="12" t="str">
        <x:v>First Class</x:v>
      </x:c>
      <x:c r="N880" s="12" t="n">
        <x:v>8</x:v>
      </x:c>
      <x:c r="O880" s="12" t="n">
        <x:v>1557.21</x:v>
      </x:c>
      <x:c r="P880" s="12" t="n">
        <x:v>0.05</x:v>
      </x:c>
      <x:c r="Q880" s="12" t="n">
        <x:v>11834.8</x:v>
      </x:c>
      <x:c r="R880" s="12" t="n">
        <x:v>9322.36</x:v>
      </x:c>
      <x:c r="S880" s="12" t="n">
        <x:v>2512.44</x:v>
      </x:c>
      <x:c r="T880" s="12" t="str">
        <x:v>Paid</x:v>
      </x:c>
      <x:c r="U880" s="12" t="str">
        <x:v>Completed</x:v>
      </x:c>
    </x:row>
    <x:row r="881">
      <x:c r="A881" s="12" t="str">
        <x:v>ORD-2025-10880</x:v>
      </x:c>
      <x:c r="B881" s="12" t="str">
        <x:v>2025-08-27</x:v>
      </x:c>
      <x:c r="C881" s="12" t="str">
        <x:v>08/28/2025</x:v>
      </x:c>
      <x:c r="D881" s="12" t="str">
        <x:v>CUST-4486</x:v>
      </x:c>
      <x:c r="E881" s="12" t="str">
        <x:v>Ananya Rao</x:v>
      </x:c>
      <x:c r="F881" s="12" t="str">
        <x:v>Home Office</x:v>
      </x:c>
      <x:c r="G881" s="12" t="str">
        <x:v>North</x:v>
      </x:c>
      <x:c r="H881" s="12" t="str">
        <x:v>Uttar Pradesh</x:v>
      </x:c>
      <x:c r="I881" s="12" t="str">
        <x:v>Noida</x:v>
      </x:c>
      <x:c r="J881" s="12" t="str">
        <x:v>Office Supplies</x:v>
      </x:c>
      <x:c r="K881" s="12" t="str">
        <x:v>Art</x:v>
      </x:c>
      <x:c r="L881" s="12" t="str">
        <x:v>Smart Art 990</x:v>
      </x:c>
      <x:c r="M881" s="12" t="str">
        <x:v>Standard Class</x:v>
      </x:c>
      <x:c r="N881" s="12" t="n">
        <x:v>6</x:v>
      </x:c>
      <x:c r="O881" s="12" t="n">
        <x:v>1182.03</x:v>
      </x:c>
      <x:c r="P881" s="12" t="n">
        <x:v>0.15</x:v>
      </x:c>
      <x:c r="Q881" s="12" t="n">
        <x:v>6028.35</x:v>
      </x:c>
      <x:c r="R881" s="12" t="n">
        <x:v>4433.63</x:v>
      </x:c>
      <x:c r="S881" s="12" t="n">
        <x:v>1594.72</x:v>
      </x:c>
      <x:c r="T881" s="12" t="str">
        <x:v>Paid</x:v>
      </x:c>
      <x:c r="U881" s="12" t="str">
        <x:v>Completed</x:v>
      </x:c>
    </x:row>
    <x:row r="882">
      <x:c r="A882" s="12" t="str">
        <x:v>ORD-2024-10881</x:v>
      </x:c>
      <x:c r="B882" s="12" t="str">
        <x:v>08-03-2024</x:v>
      </x:c>
      <x:c r="C882" s="12" t="str">
        <x:v>03/15/2024</x:v>
      </x:c>
      <x:c r="D882" s="12" t="str">
        <x:v>CUST-5287</x:v>
      </x:c>
      <x:c r="E882" s="12" t="str">
        <x:v>Aarav Sharma</x:v>
      </x:c>
      <x:c r="F882" s="12" t="str">
        <x:v>Small Business</x:v>
      </x:c>
      <x:c r="G882" s="12"/>
      <x:c r="H882" s="12" t="str">
        <x:v>Punjab</x:v>
      </x:c>
      <x:c r="I882" s="12" t="str">
        <x:v>Ludhiana</x:v>
      </x:c>
      <x:c r="J882" s="12" t="str">
        <x:v>Furniture</x:v>
      </x:c>
      <x:c r="K882" s="12" t="str">
        <x:v>Chairs</x:v>
      </x:c>
      <x:c r="L882" s="12" t="str">
        <x:v>Basic Chairs 327</x:v>
      </x:c>
      <x:c r="M882" s="12" t="str">
        <x:v>First Class</x:v>
      </x:c>
      <x:c r="N882" s="12" t="n">
        <x:v>5</x:v>
      </x:c>
      <x:c r="O882" s="12" t="n">
        <x:v>3234.77</x:v>
      </x:c>
      <x:c r="P882" s="12" t="n">
        <x:v>0</x:v>
      </x:c>
      <x:c r="Q882" s="12" t="n">
        <x:v>16173.85</x:v>
      </x:c>
      <x:c r="R882" s="12" t="n">
        <x:v>13636.34</x:v>
      </x:c>
      <x:c r="S882" s="12" t="n">
        <x:v>2537.51</x:v>
      </x:c>
      <x:c r="T882" s="12" t="str">
        <x:v>Paid</x:v>
      </x:c>
      <x:c r="U882" s="12" t="str">
        <x:v>Completed</x:v>
      </x:c>
    </x:row>
    <x:row r="883">
      <x:c r="A883" s="12" t="str">
        <x:v>ORD-2024-10882</x:v>
      </x:c>
      <x:c r="B883" s="12" t="str">
        <x:v>01 Dec 2024</x:v>
      </x:c>
      <x:c r="C883" s="12" t="str">
        <x:v>05-12-2024</x:v>
      </x:c>
      <x:c r="D883" s="12" t="str">
        <x:v>CUST-3445</x:v>
      </x:c>
      <x:c r="E883" s="12" t="str">
        <x:v>Ananya Rao</x:v>
      </x:c>
      <x:c r="F883" s="12" t="str">
        <x:v>Small Business</x:v>
      </x:c>
      <x:c r="G883" s="12" t="str">
        <x:v>South</x:v>
      </x:c>
      <x:c r="H883" s="12" t="str">
        <x:v>Andhra Pradesh</x:v>
      </x:c>
      <x:c r="I883" s="12" t="str">
        <x:v>Vijayawada</x:v>
      </x:c>
      <x:c r="J883" s="12" t="str">
        <x:v>Technology</x:v>
      </x:c>
      <x:c r="K883" s="12" t="str">
        <x:v>Copiers</x:v>
      </x:c>
      <x:c r="L883" s="12" t="str">
        <x:v>Eco Copiers 987</x:v>
      </x:c>
      <x:c r="M883" s="12" t="str">
        <x:v>Second Class</x:v>
      </x:c>
      <x:c r="N883" s="12" t="n">
        <x:v>9</x:v>
      </x:c>
      <x:c r="O883" s="12" t="n">
        <x:v>3726.75</x:v>
      </x:c>
      <x:c r="P883" s="12" t="n">
        <x:v>0.25</x:v>
      </x:c>
      <x:c r="Q883" s="12" t="n">
        <x:v>25155.56</x:v>
      </x:c>
      <x:c r="R883" s="12" t="n">
        <x:v>17592.69</x:v>
      </x:c>
      <x:c r="S883" s="12" t="n">
        <x:v>7562.87</x:v>
      </x:c>
      <x:c r="T883" s="12" t="str">
        <x:v>Paid</x:v>
      </x:c>
      <x:c r="U883" s="12" t="str">
        <x:v>Completed</x:v>
      </x:c>
    </x:row>
    <x:row r="884">
      <x:c r="A884" s="12" t="str">
        <x:v>ORD-2025-10883</x:v>
      </x:c>
      <x:c r="B884" s="12" t="str">
        <x:v>02 Feb 2025</x:v>
      </x:c>
      <x:c r="C884" s="12" t="str">
        <x:v>02/10/2025</x:v>
      </x:c>
      <x:c r="D884" s="12" t="str">
        <x:v>CUST-4983</x:v>
      </x:c>
      <x:c r="E884" s="12" t="str">
        <x:v>Sneha Kapoor</x:v>
      </x:c>
      <x:c r="F884" s="12" t="str">
        <x:v>Corporate</x:v>
      </x:c>
      <x:c r="G884" s="12" t="str">
        <x:v>East</x:v>
      </x:c>
      <x:c r="H884" s="12" t="str">
        <x:v>Bihar</x:v>
      </x:c>
      <x:c r="I884" s="12" t="str">
        <x:v>Patna</x:v>
      </x:c>
      <x:c r="J884" s="12" t="str">
        <x:v>Technology</x:v>
      </x:c>
      <x:c r="K884" s="12" t="str">
        <x:v>Accessories</x:v>
      </x:c>
      <x:c r="L884" s="12" t="str">
        <x:v>Basic Accessories 607</x:v>
      </x:c>
      <x:c r="M884" s="12" t="str">
        <x:v>Standard Class</x:v>
      </x:c>
      <x:c r="N884" s="12" t="n">
        <x:v>4</x:v>
      </x:c>
      <x:c r="O884" s="12" t="n">
        <x:v>1912.45</x:v>
      </x:c>
      <x:c r="P884" s="12" t="n">
        <x:v>0</x:v>
      </x:c>
      <x:c r="Q884" s="12" t="n">
        <x:v>7649.8</x:v>
      </x:c>
      <x:c r="R884" s="12" t="n">
        <x:v>4894.53</x:v>
      </x:c>
      <x:c r="S884" s="12" t="n">
        <x:v>2755.27</x:v>
      </x:c>
      <x:c r="T884" s="12" t="str">
        <x:v>Pending</x:v>
      </x:c>
      <x:c r="U884" s="12" t="str">
        <x:v>Returned</x:v>
      </x:c>
    </x:row>
    <x:row r="885">
      <x:c r="A885" s="12" t="str">
        <x:v>ORD-2025-10884</x:v>
      </x:c>
      <x:c r="B885" s="12" t="str">
        <x:v>28 Apr 2025</x:v>
      </x:c>
      <x:c r="C885" s="12" t="str">
        <x:v>05/01/2025</x:v>
      </x:c>
      <x:c r="D885" s="12" t="str">
        <x:v>CUST-2597</x:v>
      </x:c>
      <x:c r="E885" s="12" t="str">
        <x:v>Aarav Sharma</x:v>
      </x:c>
      <x:c r="F885" s="12" t="str">
        <x:v>Small Business</x:v>
      </x:c>
      <x:c r="G885" s="12" t="str">
        <x:v>West</x:v>
      </x:c>
      <x:c r="H885" s="12" t="str">
        <x:v>Goa</x:v>
      </x:c>
      <x:c r="I885" s="12" t="str">
        <x:v>Panaji</x:v>
      </x:c>
      <x:c r="J885" s="12" t="str">
        <x:v>Office Supplies</x:v>
      </x:c>
      <x:c r="K885" s="12" t="str">
        <x:v>Storage</x:v>
      </x:c>
      <x:c r="L885" s="12" t="str">
        <x:v>Classic Storage 211</x:v>
      </x:c>
      <x:c r="M885" s="12" t="str">
        <x:v>Same Day</x:v>
      </x:c>
      <x:c r="N885" s="12" t="n">
        <x:v>1</x:v>
      </x:c>
      <x:c r="O885" s="12" t="n">
        <x:v>1620.87</x:v>
      </x:c>
      <x:c r="P885" s="12" t="n">
        <x:v>0</x:v>
      </x:c>
      <x:c r="Q885" s="12" t="n">
        <x:v>1620.87</x:v>
      </x:c>
      <x:c r="R885" s="12" t="n">
        <x:v>1103.61</x:v>
      </x:c>
      <x:c r="S885" s="12" t="n">
        <x:v>517.26</x:v>
      </x:c>
      <x:c r="T885" s="12" t="str">
        <x:v>Paid</x:v>
      </x:c>
      <x:c r="U885" s="12" t="str">
        <x:v>Completed</x:v>
      </x:c>
    </x:row>
    <x:row r="886">
      <x:c r="A886" s="12" t="str">
        <x:v>ORD-2025-10885</x:v>
      </x:c>
      <x:c r="B886" s="12" t="str">
        <x:v>18-01-2025</x:v>
      </x:c>
      <x:c r="C886" s="12" t="str">
        <x:v>2025-01-25</x:v>
      </x:c>
      <x:c r="D886" s="12" t="str">
        <x:v>CUST-7505</x:v>
      </x:c>
      <x:c r="E886" s="12" t="str">
        <x:v>Neha Gupta</x:v>
      </x:c>
      <x:c r="F886" s="12" t="str">
        <x:v>Home Office</x:v>
      </x:c>
      <x:c r="G886" s="12" t="str">
        <x:v>South</x:v>
      </x:c>
      <x:c r="H886" s="12" t="str">
        <x:v>Karnataka</x:v>
      </x:c>
      <x:c r="I886" s="12" t="str">
        <x:v>Bengaluru</x:v>
      </x:c>
      <x:c r="J886" s="12" t="str">
        <x:v>Office Supplies</x:v>
      </x:c>
      <x:c r="K886" s="12" t="str">
        <x:v>Storage</x:v>
      </x:c>
      <x:c r="L886" s="12" t="str">
        <x:v>Eco Storage 783</x:v>
      </x:c>
      <x:c r="M886" s="12" t="str">
        <x:v>Same Day</x:v>
      </x:c>
      <x:c r="N886" s="12" t="n">
        <x:v>2</x:v>
      </x:c>
      <x:c r="O886" s="12" t="n">
        <x:v>2098.54</x:v>
      </x:c>
      <x:c r="P886" s="12" t="n">
        <x:v>0.15</x:v>
      </x:c>
      <x:c r="Q886" s="12" t="n">
        <x:v>3567.52</x:v>
      </x:c>
      <x:c r="R886" s="12" t="n">
        <x:v>2411.8</x:v>
      </x:c>
      <x:c r="S886" s="12" t="n">
        <x:v>1155.72</x:v>
      </x:c>
      <x:c r="T886" s="12" t="str">
        <x:v>Paid</x:v>
      </x:c>
      <x:c r="U886" s="12" t="str">
        <x:v>Completed</x:v>
      </x:c>
    </x:row>
    <x:row r="887">
      <x:c r="A887" s="12" t="str">
        <x:v>ORD-2024-10886</x:v>
      </x:c>
      <x:c r="B887" s="12" t="str">
        <x:v>2024-01-05</x:v>
      </x:c>
      <x:c r="C887" s="12" t="str">
        <x:v>2024-01-05</x:v>
      </x:c>
      <x:c r="D887" s="12" t="str">
        <x:v>CUST-3446</x:v>
      </x:c>
      <x:c r="E887" s="12" t="str">
        <x:v>Diya Patel</x:v>
      </x:c>
      <x:c r="F887" s="12" t="str">
        <x:v>Consumer</x:v>
      </x:c>
      <x:c r="G887" s="12" t="str">
        <x:v>North</x:v>
      </x:c>
      <x:c r="H887" s="12" t="str">
        <x:v>Rajasthan</x:v>
      </x:c>
      <x:c r="I887" s="12" t="str">
        <x:v>Jaipur</x:v>
      </x:c>
      <x:c r="J887" s="12" t="str">
        <x:v>Furniture</x:v>
      </x:c>
      <x:c r="K887" s="12" t="str">
        <x:v>Tables</x:v>
      </x:c>
      <x:c r="L887" s="12" t="str">
        <x:v>Pro Tables 866</x:v>
      </x:c>
      <x:c r="M887" s="12" t="str">
        <x:v>Standard Class</x:v>
      </x:c>
      <x:c r="N887" s="12" t="n">
        <x:v>1</x:v>
      </x:c>
      <x:c r="O887" s="12" t="n">
        <x:v>2167.08</x:v>
      </x:c>
      <x:c r="P887" s="12" t="n">
        <x:v>0.25</x:v>
      </x:c>
      <x:c r="Q887" s="12" t="n">
        <x:v>1625.31</x:v>
      </x:c>
      <x:c r="R887" s="12" t="n">
        <x:v>1157.89</x:v>
      </x:c>
      <x:c r="S887" s="12" t="n">
        <x:v>467.42</x:v>
      </x:c>
      <x:c r="T887" s="12" t="str">
        <x:v>Paid</x:v>
      </x:c>
      <x:c r="U887" s="12" t="str">
        <x:v>Completed</x:v>
      </x:c>
    </x:row>
    <x:row r="888">
      <x:c r="A888" s="12" t="str">
        <x:v>ORD-2025-10887</x:v>
      </x:c>
      <x:c r="B888" s="12" t="str">
        <x:v>26-04-2025</x:v>
      </x:c>
      <x:c r="C888" s="12" t="str">
        <x:v>03-05-2025</x:v>
      </x:c>
      <x:c r="D888" s="12" t="str">
        <x:v>CUST-3549</x:v>
      </x:c>
      <x:c r="E888" s="12" t="str">
        <x:v>Arjun Bose</x:v>
      </x:c>
      <x:c r="F888" s="12" t="str">
        <x:v>Home Office</x:v>
      </x:c>
      <x:c r="G888" s="12" t="str">
        <x:v>South</x:v>
      </x:c>
      <x:c r="H888" s="12" t="str">
        <x:v>Tamil Nadu</x:v>
      </x:c>
      <x:c r="I888" s="12" t="str">
        <x:v>Chennai</x:v>
      </x:c>
      <x:c r="J888" s="12" t="str">
        <x:v>Technology</x:v>
      </x:c>
      <x:c r="K888" s="12" t="str">
        <x:v>Accessories</x:v>
      </x:c>
      <x:c r="L888" s="12" t="str">
        <x:v>Max Accessories 541</x:v>
      </x:c>
      <x:c r="M888" s="12" t="str">
        <x:v>First Class</x:v>
      </x:c>
      <x:c r="N888" s="12" t="n">
        <x:v>7</x:v>
      </x:c>
      <x:c r="O888" s="12" t="n">
        <x:v>3989.9</x:v>
      </x:c>
      <x:c r="P888" s="12" t="n">
        <x:v>0.15</x:v>
      </x:c>
      <x:c r="Q888" s="12" t="n">
        <x:v>23739.9</x:v>
      </x:c>
      <x:c r="R888" s="12" t="n">
        <x:v>17716.52</x:v>
      </x:c>
      <x:c r="S888" s="12" t="n">
        <x:v>6023.38</x:v>
      </x:c>
      <x:c r="T888" s="12" t="str">
        <x:v>Paid</x:v>
      </x:c>
      <x:c r="U888" s="12" t="str">
        <x:v>Cancelled</x:v>
      </x:c>
    </x:row>
    <x:row r="889">
      <x:c r="A889" s="12" t="str">
        <x:v>ORD-2024-10888</x:v>
      </x:c>
      <x:c r="B889" s="12" t="str">
        <x:v>2024-06-12</x:v>
      </x:c>
      <x:c r="C889" s="12" t="str">
        <x:v>2024-06-18</x:v>
      </x:c>
      <x:c r="D889" s="12" t="str">
        <x:v>CUST-2795</x:v>
      </x:c>
      <x:c r="E889" s="12" t="str">
        <x:v>Aarav Sharma</x:v>
      </x:c>
      <x:c r="F889" s="12" t="str">
        <x:v>Small Business</x:v>
      </x:c>
      <x:c r="G889" s="12" t="str">
        <x:v>South</x:v>
      </x:c>
      <x:c r="H889" s="12" t="str">
        <x:v>Andhra Pradesh</x:v>
      </x:c>
      <x:c r="I889" s="12" t="str">
        <x:v>Vijayawada</x:v>
      </x:c>
      <x:c r="J889" s="12" t="str">
        <x:v>Office Supplies</x:v>
      </x:c>
      <x:c r="K889" s="12" t="str">
        <x:v>Art</x:v>
      </x:c>
      <x:c r="L889" s="12" t="str">
        <x:v>Prime Art 596</x:v>
      </x:c>
      <x:c r="M889" s="12" t="str">
        <x:v>Standard Class</x:v>
      </x:c>
      <x:c r="N889" s="12" t="n">
        <x:v>4</x:v>
      </x:c>
      <x:c r="O889" s="12" t="n">
        <x:v>4176.13</x:v>
      </x:c>
      <x:c r="P889" s="12" t="n">
        <x:v>0</x:v>
      </x:c>
      <x:c r="Q889" s="12" t="n">
        <x:v>16704.52</x:v>
      </x:c>
      <x:c r="R889" s="12" t="n">
        <x:v>10158.28</x:v>
      </x:c>
      <x:c r="S889" s="12" t="n">
        <x:v>6546.24</x:v>
      </x:c>
      <x:c r="T889" s="12" t="str">
        <x:v>Paid</x:v>
      </x:c>
      <x:c r="U889" s="12" t="str">
        <x:v>Completed</x:v>
      </x:c>
    </x:row>
    <x:row r="890">
      <x:c r="A890" s="12" t="str">
        <x:v>ORD-2025-10889</x:v>
      </x:c>
      <x:c r="B890" s="12" t="str">
        <x:v>06-08-2025</x:v>
      </x:c>
      <x:c r="C890" s="12" t="str">
        <x:v>07-08-2025</x:v>
      </x:c>
      <x:c r="D890" s="12" t="str">
        <x:v>CUST-1081</x:v>
      </x:c>
      <x:c r="E890" s="12" t="str">
        <x:v>Rahul Verma</x:v>
      </x:c>
      <x:c r="F890" s="12" t="str">
        <x:v>Small Business</x:v>
      </x:c>
      <x:c r="G890" s="12" t="str">
        <x:v>West</x:v>
      </x:c>
      <x:c r="H890" s="12" t="str">
        <x:v>Maharashtra</x:v>
      </x:c>
      <x:c r="I890" s="12" t="str">
        <x:v>Mumbai</x:v>
      </x:c>
      <x:c r="J890" s="12" t="str">
        <x:v>Office Supplies</x:v>
      </x:c>
      <x:c r="K890" s="12" t="str">
        <x:v>Art</x:v>
      </x:c>
      <x:c r="L890" s="12" t="str">
        <x:v>Pro Art 620</x:v>
      </x:c>
      <x:c r="M890" s="12" t="str">
        <x:v>Standard Class</x:v>
      </x:c>
      <x:c r="N890" s="12" t="n">
        <x:v>4</x:v>
      </x:c>
      <x:c r="O890" s="12" t="n">
        <x:v>3523.64</x:v>
      </x:c>
      <x:c r="P890" s="12" t="n">
        <x:v>0.1</x:v>
      </x:c>
      <x:c r="Q890" s="12" t="n">
        <x:v>12685.1</x:v>
      </x:c>
      <x:c r="R890" s="12" t="n">
        <x:v>10779.56</x:v>
      </x:c>
      <x:c r="S890" s="12" t="n">
        <x:v>1905.54</x:v>
      </x:c>
      <x:c r="T890" s="12" t="str">
        <x:v>Refunded</x:v>
      </x:c>
      <x:c r="U890" s="12" t="str">
        <x:v>Cancelled</x:v>
      </x:c>
    </x:row>
    <x:row r="891">
      <x:c r="A891" s="12" t="str">
        <x:v>ORD-2025-10890</x:v>
      </x:c>
      <x:c r="B891" s="12" t="str">
        <x:v>10 Mar 2025</x:v>
      </x:c>
      <x:c r="C891" s="12" t="str">
        <x:v>03/11/2025</x:v>
      </x:c>
      <x:c r="D891" s="12" t="str">
        <x:v>CUST-8467</x:v>
      </x:c>
      <x:c r="E891" s="12" t="str">
        <x:v>Aditi Sen</x:v>
      </x:c>
      <x:c r="F891" s="12" t="str">
        <x:v>Home Office</x:v>
      </x:c>
      <x:c r="G891" s="12" t="str">
        <x:v>West</x:v>
      </x:c>
      <x:c r="H891" s="12" t="str">
        <x:v>Madhya Pradesh</x:v>
      </x:c>
      <x:c r="I891" s="12" t="str">
        <x:v>Indore</x:v>
      </x:c>
      <x:c r="J891" s="12" t="str">
        <x:v>Office Supplies</x:v>
      </x:c>
      <x:c r="K891" s="12" t="str">
        <x:v>Storage</x:v>
      </x:c>
      <x:c r="L891" s="12" t="str">
        <x:v>Prime Storage 806</x:v>
      </x:c>
      <x:c r="M891" s="12" t="str">
        <x:v>First Class</x:v>
      </x:c>
      <x:c r="N891" s="12" t="n">
        <x:v>2</x:v>
      </x:c>
      <x:c r="O891" s="12" t="n">
        <x:v>3922.08</x:v>
      </x:c>
      <x:c r="P891" s="12" t="n">
        <x:v>0.25</x:v>
      </x:c>
      <x:c r="Q891" s="12" t="n">
        <x:v>5883.12</x:v>
      </x:c>
      <x:c r="R891" s="12" t="n">
        <x:v>4647.91</x:v>
      </x:c>
      <x:c r="S891" s="12" t="n">
        <x:v>1235.21</x:v>
      </x:c>
      <x:c r="T891" s="12" t="str">
        <x:v>Paid</x:v>
      </x:c>
      <x:c r="U891" s="12" t="str">
        <x:v>Returned</x:v>
      </x:c>
    </x:row>
    <x:row r="892">
      <x:c r="A892" s="12" t="str">
        <x:v>ORD-2024-10891</x:v>
      </x:c>
      <x:c r="B892" s="12" t="str">
        <x:v>15-05-2024</x:v>
      </x:c>
      <x:c r="C892" s="12" t="str">
        <x:v>21-05-2024</x:v>
      </x:c>
      <x:c r="D892" s="12" t="str">
        <x:v>CUST-3992</x:v>
      </x:c>
      <x:c r="E892" s="12" t="str">
        <x:v>Karan Malhotra</x:v>
      </x:c>
      <x:c r="F892" s="12" t="str">
        <x:v>Consumer</x:v>
      </x:c>
      <x:c r="G892" s="12" t="str">
        <x:v>West</x:v>
      </x:c>
      <x:c r="H892" s="12" t="str">
        <x:v>Goa</x:v>
      </x:c>
      <x:c r="I892" s="12" t="str">
        <x:v>Panaji</x:v>
      </x:c>
      <x:c r="J892" s="12" t="str">
        <x:v>Office Supplies</x:v>
      </x:c>
      <x:c r="K892" s="12" t="str">
        <x:v>Storage</x:v>
      </x:c>
      <x:c r="L892" s="12" t="str">
        <x:v>Smart Storage 288</x:v>
      </x:c>
      <x:c r="M892" s="12" t="str">
        <x:v>Standard Class</x:v>
      </x:c>
      <x:c r="N892" s="12" t="n">
        <x:v>6</x:v>
      </x:c>
      <x:c r="O892" s="12" t="n">
        <x:v>2909.56</x:v>
      </x:c>
      <x:c r="P892" s="12" t="n">
        <x:v>0.2</x:v>
      </x:c>
      <x:c r="Q892" s="12" t="n">
        <x:v>13965.89</x:v>
      </x:c>
      <x:c r="R892" s="12" t="n">
        <x:v>11646.12</x:v>
      </x:c>
      <x:c r="S892" s="12" t="n">
        <x:v>2319.77</x:v>
      </x:c>
      <x:c r="T892" s="12" t="str">
        <x:v>Paid</x:v>
      </x:c>
      <x:c r="U892" s="12" t="str">
        <x:v>Completed</x:v>
      </x:c>
    </x:row>
    <x:row r="893">
      <x:c r="A893" s="12" t="str">
        <x:v>ORD-2024-10892</x:v>
      </x:c>
      <x:c r="B893" s="12" t="str">
        <x:v>08 Oct 2024</x:v>
      </x:c>
      <x:c r="C893" s="12" t="str">
        <x:v>09-10-2024</x:v>
      </x:c>
      <x:c r="D893" s="12" t="str">
        <x:v>CUST-6647</x:v>
      </x:c>
      <x:c r="E893" s="12" t="str">
        <x:v>Kabir Singh</x:v>
      </x:c>
      <x:c r="F893" s="12" t="str">
        <x:v>Corporate</x:v>
      </x:c>
      <x:c r="G893" s="12" t="str">
        <x:v>South</x:v>
      </x:c>
      <x:c r="H893" s="12" t="str">
        <x:v>Tamil Nadu</x:v>
      </x:c>
      <x:c r="I893" s="12" t="str">
        <x:v>Chennai</x:v>
      </x:c>
      <x:c r="J893" s="12" t="str">
        <x:v>Technology</x:v>
      </x:c>
      <x:c r="K893" s="12" t="str">
        <x:v>Machines</x:v>
      </x:c>
      <x:c r="L893" s="12" t="str">
        <x:v>Elite Machines 281</x:v>
      </x:c>
      <x:c r="M893" s="12" t="str">
        <x:v>Same Day</x:v>
      </x:c>
      <x:c r="N893" s="12" t="n">
        <x:v>5</x:v>
      </x:c>
      <x:c r="O893" s="12" t="n">
        <x:v>2407.97</x:v>
      </x:c>
      <x:c r="P893" s="12" t="n">
        <x:v>0.1</x:v>
      </x:c>
      <x:c r="Q893" s="12" t="n">
        <x:v>10835.86</x:v>
      </x:c>
      <x:c r="R893" s="12" t="n">
        <x:v>6419.92</x:v>
      </x:c>
      <x:c r="S893" s="12" t="n">
        <x:v>4415.94</x:v>
      </x:c>
      <x:c r="T893" s="12" t="str">
        <x:v>Failed</x:v>
      </x:c>
      <x:c r="U893" s="12" t="str">
        <x:v>Cancelled</x:v>
      </x:c>
    </x:row>
    <x:row r="894">
      <x:c r="A894" s="12" t="str">
        <x:v>ORD-2025-10893</x:v>
      </x:c>
      <x:c r="B894" s="12" t="str">
        <x:v>04/12/2025</x:v>
      </x:c>
      <x:c r="C894" s="12" t="str">
        <x:v>04/18/2025</x:v>
      </x:c>
      <x:c r="D894" s="12" t="str">
        <x:v>CUST-5087</x:v>
      </x:c>
      <x:c r="E894" s="12" t="str">
        <x:v>Isha Nair</x:v>
      </x:c>
      <x:c r="F894" s="12" t="str">
        <x:v>Small Business</x:v>
      </x:c>
      <x:c r="G894" s="12" t="str">
        <x:v>East</x:v>
      </x:c>
      <x:c r="H894" s="12" t="str">
        <x:v>Jharkhand</x:v>
      </x:c>
      <x:c r="I894" s="12" t="str">
        <x:v>Ranchi</x:v>
      </x:c>
      <x:c r="J894" s="12" t="str">
        <x:v>Technology</x:v>
      </x:c>
      <x:c r="K894" s="12" t="str">
        <x:v>Copiers</x:v>
      </x:c>
      <x:c r="L894" s="12" t="str">
        <x:v>Elite Copiers 221</x:v>
      </x:c>
      <x:c r="M894" s="12" t="str">
        <x:v>Same Day</x:v>
      </x:c>
      <x:c r="N894" s="12" t="n">
        <x:v>1</x:v>
      </x:c>
      <x:c r="O894" s="12" t="n">
        <x:v>726.89</x:v>
      </x:c>
      <x:c r="P894" s="12" t="n">
        <x:v>0.2</x:v>
      </x:c>
      <x:c r="Q894" s="12" t="n">
        <x:v>581.51</x:v>
      </x:c>
      <x:c r="R894" s="12" t="n">
        <x:v>423.86</x:v>
      </x:c>
      <x:c r="S894" s="12" t="n">
        <x:v>157.65</x:v>
      </x:c>
      <x:c r="T894" s="12" t="str">
        <x:v>Paid</x:v>
      </x:c>
      <x:c r="U894" s="12" t="str">
        <x:v>Completed</x:v>
      </x:c>
    </x:row>
    <x:row r="895">
      <x:c r="A895" s="12" t="str">
        <x:v>ORD-2024-10894</x:v>
      </x:c>
      <x:c r="B895" s="12" t="str">
        <x:v>06 Jun 2024</x:v>
      </x:c>
      <x:c r="C895" s="12" t="str">
        <x:v>08 Jun 2024</x:v>
      </x:c>
      <x:c r="D895" s="12" t="str">
        <x:v>CUST-9297</x:v>
      </x:c>
      <x:c r="E895" s="12" t="str">
        <x:v>Aarav Sharma</x:v>
      </x:c>
      <x:c r="F895" s="12" t="str">
        <x:v>Corporate</x:v>
      </x:c>
      <x:c r="G895" s="12" t="str">
        <x:v>South</x:v>
      </x:c>
      <x:c r="H895" s="12" t="str">
        <x:v>Karnataka</x:v>
      </x:c>
      <x:c r="I895" s="12" t="str">
        <x:v>Bengaluru</x:v>
      </x:c>
      <x:c r="J895" s="12" t="str">
        <x:v>Furniture</x:v>
      </x:c>
      <x:c r="K895" s="12" t="str">
        <x:v>Tables</x:v>
      </x:c>
      <x:c r="L895" s="12" t="str">
        <x:v>Max Tables 291</x:v>
      </x:c>
      <x:c r="M895" s="12" t="str">
        <x:v>Second Class</x:v>
      </x:c>
      <x:c r="N895" s="12" t="n">
        <x:v>3</x:v>
      </x:c>
      <x:c r="O895" s="12" t="n">
        <x:v>395.49</x:v>
      </x:c>
      <x:c r="P895" s="12" t="n">
        <x:v>0.05</x:v>
      </x:c>
      <x:c r="Q895" s="12" t="n">
        <x:v>1127.15</x:v>
      </x:c>
      <x:c r="R895" s="12" t="n">
        <x:v>845.62</x:v>
      </x:c>
      <x:c r="S895" s="12" t="n">
        <x:v>281.53</x:v>
      </x:c>
      <x:c r="T895" s="12" t="str">
        <x:v>Paid</x:v>
      </x:c>
      <x:c r="U895" s="12" t="str">
        <x:v>Returned</x:v>
      </x:c>
    </x:row>
    <x:row r="896">
      <x:c r="A896" s="12" t="str">
        <x:v>ORD-2024-10895</x:v>
      </x:c>
      <x:c r="B896" s="12" t="str">
        <x:v>22 Feb 2024</x:v>
      </x:c>
      <x:c r="C896" s="12" t="str">
        <x:v>02/29/2024</x:v>
      </x:c>
      <x:c r="D896" s="12" t="str">
        <x:v>CUST-7996</x:v>
      </x:c>
      <x:c r="E896" s="12" t="str">
        <x:v>Isha Nair</x:v>
      </x:c>
      <x:c r="F896" s="12" t="str">
        <x:v>Home Office</x:v>
      </x:c>
      <x:c r="G896" s="12" t="str">
        <x:v>South</x:v>
      </x:c>
      <x:c r="H896" s="12" t="str">
        <x:v>Telangana</x:v>
      </x:c>
      <x:c r="I896" s="12" t="str">
        <x:v>Hyderabad</x:v>
      </x:c>
      <x:c r="J896" s="12" t="str">
        <x:v>Furniture</x:v>
      </x:c>
      <x:c r="K896" s="12" t="str">
        <x:v>Tables</x:v>
      </x:c>
      <x:c r="L896" s="12" t="str">
        <x:v>Classic Tables 638</x:v>
      </x:c>
      <x:c r="M896" s="12" t="str">
        <x:v>First Class</x:v>
      </x:c>
      <x:c r="N896" s="12" t="n">
        <x:v>6</x:v>
      </x:c>
      <x:c r="O896" s="12" t="n">
        <x:v>4254.05</x:v>
      </x:c>
      <x:c r="P896" s="12" t="n">
        <x:v>0</x:v>
      </x:c>
      <x:c r="Q896" s="12" t="n">
        <x:v>25524.3</x:v>
      </x:c>
      <x:c r="R896" s="12" t="n">
        <x:v>16711.93</x:v>
      </x:c>
      <x:c r="S896" s="12" t="n">
        <x:v>8812.37</x:v>
      </x:c>
      <x:c r="T896" s="12" t="str">
        <x:v>Paid</x:v>
      </x:c>
      <x:c r="U896" s="12" t="str">
        <x:v>Completed</x:v>
      </x:c>
    </x:row>
    <x:row r="897">
      <x:c r="A897" s="12" t="str">
        <x:v>ORD-2024-10896</x:v>
      </x:c>
      <x:c r="B897" s="12" t="str">
        <x:v>05 Nov 2024</x:v>
      </x:c>
      <x:c r="C897" s="12" t="str">
        <x:v>11/10/2024</x:v>
      </x:c>
      <x:c r="D897" s="12" t="str">
        <x:v>CUST-4117</x:v>
      </x:c>
      <x:c r="E897" s="12" t="str">
        <x:v>Arjun Bose</x:v>
      </x:c>
      <x:c r="F897" s="12" t="str">
        <x:v>Consumer</x:v>
      </x:c>
      <x:c r="G897" s="12" t="str">
        <x:v>South</x:v>
      </x:c>
      <x:c r="H897" s="12" t="str">
        <x:v>Kerala</x:v>
      </x:c>
      <x:c r="I897" s="12" t="str">
        <x:v>Kochi</x:v>
      </x:c>
      <x:c r="J897" s="12" t="str">
        <x:v>Furniture</x:v>
      </x:c>
      <x:c r="K897" s="12" t="str">
        <x:v>Chairs</x:v>
      </x:c>
      <x:c r="L897" s="12" t="str">
        <x:v>Basic Chairs 212</x:v>
      </x:c>
      <x:c r="M897" s="12" t="str">
        <x:v>Same Day</x:v>
      </x:c>
      <x:c r="N897" s="12" t="n">
        <x:v>4</x:v>
      </x:c>
      <x:c r="O897" s="12" t="n">
        <x:v>711.18</x:v>
      </x:c>
      <x:c r="P897" s="12" t="n">
        <x:v>0.15</x:v>
      </x:c>
      <x:c r="Q897" s="12" t="n">
        <x:v>2418.01</x:v>
      </x:c>
      <x:c r="R897" s="12" t="n">
        <x:v>1441.89</x:v>
      </x:c>
      <x:c r="S897" s="12" t="n">
        <x:v>976.12</x:v>
      </x:c>
      <x:c r="T897" s="12" t="str">
        <x:v>Pending</x:v>
      </x:c>
      <x:c r="U897" s="12" t="str">
        <x:v>Returned</x:v>
      </x:c>
    </x:row>
    <x:row r="898">
      <x:c r="A898" s="12" t="str">
        <x:v>ORD-2024-10897</x:v>
      </x:c>
      <x:c r="B898" s="12" t="str">
        <x:v>12/24/2024</x:v>
      </x:c>
      <x:c r="C898" s="12" t="str">
        <x:v>25-12-2024</x:v>
      </x:c>
      <x:c r="D898" s="12" t="str">
        <x:v>CUST-4848</x:v>
      </x:c>
      <x:c r="E898" s="12" t="str">
        <x:v>Ananya Rao</x:v>
      </x:c>
      <x:c r="F898" s="12" t="str">
        <x:v>Small Business</x:v>
      </x:c>
      <x:c r="G898" s="12" t="str">
        <x:v>South</x:v>
      </x:c>
      <x:c r="H898" s="12" t="str">
        <x:v>Tamil Nadu</x:v>
      </x:c>
      <x:c r="I898" s="12" t="str">
        <x:v>Chennai</x:v>
      </x:c>
      <x:c r="J898" s="12" t="str">
        <x:v>Technology</x:v>
      </x:c>
      <x:c r="K898" s="12" t="str">
        <x:v>Copiers</x:v>
      </x:c>
      <x:c r="L898" s="12" t="str">
        <x:v>Max Copiers 121</x:v>
      </x:c>
      <x:c r="M898" s="12" t="str">
        <x:v>Second Class</x:v>
      </x:c>
      <x:c r="N898" s="12" t="n">
        <x:v>1</x:v>
      </x:c>
      <x:c r="O898" s="12" t="n">
        <x:v>3693.03</x:v>
      </x:c>
      <x:c r="P898" s="12" t="n">
        <x:v>0.05</x:v>
      </x:c>
      <x:c r="Q898" s="12" t="n">
        <x:v>3508.38</x:v>
      </x:c>
      <x:c r="R898" s="12" t="n">
        <x:v>2828.06</x:v>
      </x:c>
      <x:c r="S898" s="12" t="n">
        <x:v>680.32</x:v>
      </x:c>
      <x:c r="T898" s="12" t="str">
        <x:v>Failed</x:v>
      </x:c>
      <x:c r="U898" s="12" t="str">
        <x:v>Returned</x:v>
      </x:c>
    </x:row>
    <x:row r="899">
      <x:c r="A899" s="12" t="str">
        <x:v>ORD-2025-10898</x:v>
      </x:c>
      <x:c r="B899" s="12" t="str">
        <x:v>04/29/2025</x:v>
      </x:c>
      <x:c r="C899" s="12" t="str">
        <x:v>03 May 2025</x:v>
      </x:c>
      <x:c r="D899" s="12" t="str">
        <x:v>CUST-2897</x:v>
      </x:c>
      <x:c r="E899" s="12" t="str">
        <x:v>Rohan Mehta</x:v>
      </x:c>
      <x:c r="F899" s="12" t="str">
        <x:v>Corporate</x:v>
      </x:c>
      <x:c r="G899" s="12" t="str">
        <x:v>North</x:v>
      </x:c>
      <x:c r="H899" s="12" t="str">
        <x:v>Haryana</x:v>
      </x:c>
      <x:c r="I899" s="12" t="str">
        <x:v>Gurugram</x:v>
      </x:c>
      <x:c r="J899" s="12" t="str">
        <x:v>Office Supplies</x:v>
      </x:c>
      <x:c r="K899" s="12" t="str">
        <x:v>Paper</x:v>
      </x:c>
      <x:c r="L899" s="12" t="str">
        <x:v>Eco Paper 747</x:v>
      </x:c>
      <x:c r="M899" s="12" t="str">
        <x:v>First Class</x:v>
      </x:c>
      <x:c r="N899" s="12" t="n">
        <x:v>4</x:v>
      </x:c>
      <x:c r="O899" s="12" t="n">
        <x:v>1786.65</x:v>
      </x:c>
      <x:c r="P899" s="12" t="n">
        <x:v>0.05</x:v>
      </x:c>
      <x:c r="Q899" s="12" t="n">
        <x:v>6789.27</x:v>
      </x:c>
      <x:c r="R899" s="12" t="n">
        <x:v>5626.43</x:v>
      </x:c>
      <x:c r="S899" s="12" t="n">
        <x:v>1162.84</x:v>
      </x:c>
      <x:c r="T899" s="12" t="str">
        <x:v>Paid</x:v>
      </x:c>
      <x:c r="U899" s="12" t="str">
        <x:v>Completed</x:v>
      </x:c>
    </x:row>
    <x:row r="900">
      <x:c r="A900" s="12" t="str">
        <x:v>ORD-2024-10899</x:v>
      </x:c>
      <x:c r="B900" s="12" t="str">
        <x:v>2024-06-02</x:v>
      </x:c>
      <x:c r="C900" s="12" t="str">
        <x:v>06/08/2024</x:v>
      </x:c>
      <x:c r="D900" s="12" t="str">
        <x:v>CUST-6046</x:v>
      </x:c>
      <x:c r="E900" s="12" t="str">
        <x:v>Vikram Iyer</x:v>
      </x:c>
      <x:c r="F900" s="12" t="str">
        <x:v>Consumer</x:v>
      </x:c>
      <x:c r="G900" s="12" t="str">
        <x:v>North</x:v>
      </x:c>
      <x:c r="H900" s="12" t="str">
        <x:v>Delhi</x:v>
      </x:c>
      <x:c r="I900" s="12" t="str">
        <x:v>New Delhi</x:v>
      </x:c>
      <x:c r="J900" s="12" t="str">
        <x:v>Furniture</x:v>
      </x:c>
      <x:c r="K900" s="12" t="str">
        <x:v>Tables</x:v>
      </x:c>
      <x:c r="L900" s="12" t="str">
        <x:v>Classic Tables 535</x:v>
      </x:c>
      <x:c r="M900" s="12" t="str">
        <x:v>First Class</x:v>
      </x:c>
      <x:c r="N900" s="12" t="n">
        <x:v>4</x:v>
      </x:c>
      <x:c r="O900" s="12" t="n">
        <x:v>1536.7</x:v>
      </x:c>
      <x:c r="P900" s="12" t="n">
        <x:v>0.2</x:v>
      </x:c>
      <x:c r="Q900" s="12" t="n">
        <x:v>4917.44</x:v>
      </x:c>
      <x:c r="R900" s="12" t="n">
        <x:v>3846.77</x:v>
      </x:c>
      <x:c r="S900" s="12" t="n">
        <x:v>1070.67</x:v>
      </x:c>
      <x:c r="T900" s="12" t="str">
        <x:v>Paid</x:v>
      </x:c>
      <x:c r="U900" s="12" t="str">
        <x:v>Completed</x:v>
      </x:c>
    </x:row>
    <x:row r="901">
      <x:c r="A901" s="12" t="str">
        <x:v>ORD-2025-10900</x:v>
      </x:c>
      <x:c r="B901" s="12" t="str">
        <x:v>27 May 2025</x:v>
      </x:c>
      <x:c r="C901" s="12" t="str">
        <x:v>06/03/2025</x:v>
      </x:c>
      <x:c r="D901" s="12" t="str">
        <x:v>CUST-3789</x:v>
      </x:c>
      <x:c r="E901" s="12" t="str">
        <x:v>Karan Malhotra</x:v>
      </x:c>
      <x:c r="F901" s="12" t="str">
        <x:v>Consumer</x:v>
      </x:c>
      <x:c r="G901" s="12" t="str">
        <x:v>North</x:v>
      </x:c>
      <x:c r="H901" s="12" t="str">
        <x:v>Punjab</x:v>
      </x:c>
      <x:c r="I901" s="12" t="str">
        <x:v>Ludhiana</x:v>
      </x:c>
      <x:c r="J901" s="12" t="str">
        <x:v>Furniture</x:v>
      </x:c>
      <x:c r="K901" s="12" t="str">
        <x:v>Chairs</x:v>
      </x:c>
      <x:c r="L901" s="12" t="str">
        <x:v>Elite Chairs 971</x:v>
      </x:c>
      <x:c r="M901" s="12" t="str">
        <x:v>First Class</x:v>
      </x:c>
      <x:c r="N901" s="12" t="n">
        <x:v>5</x:v>
      </x:c>
      <x:c r="O901" s="12" t="n">
        <x:v>881.08</x:v>
      </x:c>
      <x:c r="P901" s="12" t="n">
        <x:v>0.25</x:v>
      </x:c>
      <x:c r="Q901" s="12" t="n">
        <x:v>3304.05</x:v>
      </x:c>
      <x:c r="R901" s="12" t="n">
        <x:v>2279.41</x:v>
      </x:c>
      <x:c r="S901" s="12" t="n">
        <x:v>1024.64</x:v>
      </x:c>
      <x:c r="T901" s="12" t="str">
        <x:v>Failed</x:v>
      </x:c>
      <x:c r="U901" s="12" t="str">
        <x:v>Cancelled</x:v>
      </x:c>
    </x:row>
    <x:row r="902">
      <x:c r="A902" s="12" t="str">
        <x:v>ORD-2024-10503</x:v>
      </x:c>
      <x:c r="B902" s="12" t="str">
        <x:v>04/01/2024</x:v>
      </x:c>
      <x:c r="C902" s="12" t="str">
        <x:v>2024-04-09</x:v>
      </x:c>
      <x:c r="D902" s="12" t="str">
        <x:v>CUST-1534</x:v>
      </x:c>
      <x:c r="E902" s="12" t="str">
        <x:v>Priya Menon</x:v>
      </x:c>
      <x:c r="F902" s="12" t="str">
        <x:v>Small Business</x:v>
      </x:c>
      <x:c r="G902" s="12" t="str">
        <x:v>  East </x:v>
      </x:c>
      <x:c r="H902" s="12" t="str">
        <x:v>Odisha</x:v>
      </x:c>
      <x:c r="I902" s="12" t="str">
        <x:v>Bhubaneswar</x:v>
      </x:c>
      <x:c r="J902" s="12" t="str">
        <x:v>Technology</x:v>
      </x:c>
      <x:c r="K902" s="12" t="str">
        <x:v>Copiers</x:v>
      </x:c>
      <x:c r="L902" s="12" t="str">
        <x:v>Prime Copiers 557</x:v>
      </x:c>
      <x:c r="M902" s="12" t="str">
        <x:v>Second Class</x:v>
      </x:c>
      <x:c r="N902" s="12" t="n">
        <x:v>6</x:v>
      </x:c>
      <x:c r="O902" s="12" t="n">
        <x:v>826.93</x:v>
      </x:c>
      <x:c r="P902" s="12" t="n">
        <x:v>0.1</x:v>
      </x:c>
      <x:c r="Q902" s="12" t="n">
        <x:v>4465.42</x:v>
      </x:c>
      <x:c r="R902" s="12" t="n">
        <x:v>3377.1</x:v>
      </x:c>
      <x:c r="S902" s="12" t="n">
        <x:v>1088.32</x:v>
      </x:c>
      <x:c r="T902" s="12" t="str">
        <x:v>Paid</x:v>
      </x:c>
      <x:c r="U902" s="12" t="str">
        <x:v>Completed</x:v>
      </x:c>
    </x:row>
    <x:row r="903">
      <x:c r="A903" s="12" t="str">
        <x:v>ORD-2024-10599</x:v>
      </x:c>
      <x:c r="B903" s="12" t="str">
        <x:v>08/17/2024</x:v>
      </x:c>
      <x:c r="C903" s="12" t="str">
        <x:v>08/24/2024</x:v>
      </x:c>
      <x:c r="D903" s="12" t="str">
        <x:v>CUST-8498</x:v>
      </x:c>
      <x:c r="E903" s="12" t="str">
        <x:v>Ananya Rao</x:v>
      </x:c>
      <x:c r="F903" s="12" t="str">
        <x:v>Corporate</x:v>
      </x:c>
      <x:c r="G903" s="12" t="str">
        <x:v>East</x:v>
      </x:c>
      <x:c r="H903" s="12" t="str">
        <x:v>West Bengal</x:v>
      </x:c>
      <x:c r="I903" s="12" t="str">
        <x:v>Kolkata</x:v>
      </x:c>
      <x:c r="J903" s="12" t="str">
        <x:v>Technology</x:v>
      </x:c>
      <x:c r="K903" s="12" t="str">
        <x:v>Copiers</x:v>
      </x:c>
      <x:c r="L903" s="12" t="str">
        <x:v>Eco Copiers 268</x:v>
      </x:c>
      <x:c r="M903" s="12" t="str">
        <x:v>Same Day</x:v>
      </x:c>
      <x:c r="N903" s="12" t="n">
        <x:v>3</x:v>
      </x:c>
      <x:c r="O903" s="12" t="n">
        <x:v>1490.69</x:v>
      </x:c>
      <x:c r="P903" s="12" t="n">
        <x:v>0.25</x:v>
      </x:c>
      <x:c r="Q903" s="12" t="n">
        <x:v>3354.05</x:v>
      </x:c>
      <x:c r="R903" s="12" t="n">
        <x:v>2672.67</x:v>
      </x:c>
      <x:c r="S903" s="12" t="n">
        <x:v>681.38</x:v>
      </x:c>
      <x:c r="T903" s="12" t="str">
        <x:v>Paid</x:v>
      </x:c>
      <x:c r="U903" s="12" t="str">
        <x:v>Completed</x:v>
      </x:c>
    </x:row>
    <x:row r="904">
      <x:c r="A904" s="12" t="str">
        <x:v>ORD-2025-10695</x:v>
      </x:c>
      <x:c r="B904" s="12" t="str">
        <x:v>01-08-2025</x:v>
      </x:c>
      <x:c r="C904" s="12" t="str">
        <x:v>09-08-2025</x:v>
      </x:c>
      <x:c r="D904" s="12" t="str">
        <x:v>CUST-8025</x:v>
      </x:c>
      <x:c r="E904" s="12" t="str">
        <x:v>Isha Nair</x:v>
      </x:c>
      <x:c r="F904" s="12" t="str">
        <x:v>Consumer</x:v>
      </x:c>
      <x:c r="G904" s="12" t="str">
        <x:v>South</x:v>
      </x:c>
      <x:c r="H904" s="12" t="str">
        <x:v>Andhra Pradesh</x:v>
      </x:c>
      <x:c r="I904" s="12" t="str">
        <x:v>Vijayawada</x:v>
      </x:c>
      <x:c r="J904" s="12" t="str">
        <x:v>Office Supplies</x:v>
      </x:c>
      <x:c r="K904" s="12" t="str">
        <x:v>Storage</x:v>
      </x:c>
      <x:c r="L904" s="12" t="str">
        <x:v>Classic Storage 291</x:v>
      </x:c>
      <x:c r="M904" s="12" t="str">
        <x:v>First Class</x:v>
      </x:c>
      <x:c r="N904" s="12" t="n">
        <x:v>5</x:v>
      </x:c>
      <x:c r="O904" s="12" t="n">
        <x:v>2736.24</x:v>
      </x:c>
      <x:c r="P904" s="12" t="n">
        <x:v>0.15</x:v>
      </x:c>
      <x:c r="Q904" s="12" t="n">
        <x:v>11629.02</x:v>
      </x:c>
      <x:c r="R904" s="12" t="n">
        <x:v>9627.21</x:v>
      </x:c>
      <x:c r="S904" s="12" t="n">
        <x:v>2001.81</x:v>
      </x:c>
      <x:c r="T904" s="12" t="str">
        <x:v>Paid</x:v>
      </x:c>
      <x:c r="U904" s="12" t="str">
        <x:v>Completed</x:v>
      </x:c>
    </x:row>
    <x:row r="905">
      <x:c r="A905" s="12" t="str">
        <x:v>ORD-2024-10705</x:v>
      </x:c>
      <x:c r="B905" s="12" t="str">
        <x:v>2024-03-13</x:v>
      </x:c>
      <x:c r="C905" s="12" t="str">
        <x:v>03/20/2024</x:v>
      </x:c>
      <x:c r="D905" s="12" t="str">
        <x:v>CUST-4916</x:v>
      </x:c>
      <x:c r="E905" s="12" t="str">
        <x:v>Priya Menon</x:v>
      </x:c>
      <x:c r="F905" s="12" t="str">
        <x:v>Home Office</x:v>
      </x:c>
      <x:c r="G905" s="12" t="str">
        <x:v>South</x:v>
      </x:c>
      <x:c r="H905" s="12" t="str">
        <x:v>Tamil Nadu</x:v>
      </x:c>
      <x:c r="I905" s="12" t="str">
        <x:v>Chennai</x:v>
      </x:c>
      <x:c r="J905" s="12" t="str">
        <x:v>Furniture</x:v>
      </x:c>
      <x:c r="K905" s="12" t="str">
        <x:v>Bookcases</x:v>
      </x:c>
      <x:c r="L905" s="12" t="str">
        <x:v>Max Bookcases 738</x:v>
      </x:c>
      <x:c r="M905" s="12"/>
      <x:c r="N905" s="12" t="n">
        <x:v>1</x:v>
      </x:c>
      <x:c r="O905" s="12" t="n">
        <x:v>2825.63</x:v>
      </x:c>
      <x:c r="P905" s="12" t="n">
        <x:v>0.15</x:v>
      </x:c>
      <x:c r="Q905" s="12" t="n">
        <x:v>2401.79</x:v>
      </x:c>
      <x:c r="R905" s="12" t="n">
        <x:v>1820.34</x:v>
      </x:c>
      <x:c r="S905" s="12" t="n">
        <x:v>581.45</x:v>
      </x:c>
      <x:c r="T905" s="12" t="str">
        <x:v>Paid</x:v>
      </x:c>
      <x:c r="U905" s="12" t="str">
        <x:v>Completed</x:v>
      </x:c>
    </x:row>
    <x:row r="906">
      <x:c r="A906" s="12" t="str">
        <x:v>ORD-2024-10277</x:v>
      </x:c>
      <x:c r="B906" s="12" t="str">
        <x:v>22-01-2024</x:v>
      </x:c>
      <x:c r="C906" s="12" t="str">
        <x:v>23-01-2024</x:v>
      </x:c>
      <x:c r="D906" s="12" t="str">
        <x:v>CUST-7039</x:v>
      </x:c>
      <x:c r="E906" s="12" t="str">
        <x:v>Aarav Sharma</x:v>
      </x:c>
      <x:c r="F906" s="12" t="str">
        <x:v>Small Business</x:v>
      </x:c>
      <x:c r="G906" s="12"/>
      <x:c r="H906" s="12" t="str">
        <x:v>Assam</x:v>
      </x:c>
      <x:c r="I906" s="12" t="str">
        <x:v>Guwahati</x:v>
      </x:c>
      <x:c r="J906" s="12" t="str">
        <x:v>Furniture</x:v>
      </x:c>
      <x:c r="K906" s="12" t="str">
        <x:v>Chairs</x:v>
      </x:c>
      <x:c r="L906" s="12" t="str">
        <x:v>Basic Chairs 141</x:v>
      </x:c>
      <x:c r="M906" s="12" t="str">
        <x:v>Second Class</x:v>
      </x:c>
      <x:c r="N906" s="12" t="n">
        <x:v>6</x:v>
      </x:c>
      <x:c r="O906" s="12" t="n">
        <x:v>3391.53</x:v>
      </x:c>
      <x:c r="P906" s="12" t="n">
        <x:v>-0.14</x:v>
      </x:c>
      <x:c r="Q906" s="12" t="n">
        <x:v>15261.89</x:v>
      </x:c>
      <x:c r="R906" s="12" t="n">
        <x:v>8413.53</x:v>
      </x:c>
      <x:c r="S906" s="12" t="n">
        <x:v>6848.36</x:v>
      </x:c>
      <x:c r="T906" s="12" t="str">
        <x:v>Paid</x:v>
      </x:c>
      <x:c r="U906" s="12" t="str">
        <x:v>Completed</x:v>
      </x:c>
    </x:row>
    <x:row r="907">
      <x:c r="A907" s="12" t="str">
        <x:v>ORD-2025-10633</x:v>
      </x:c>
      <x:c r="B907" s="12" t="str">
        <x:v>15-04-2025</x:v>
      </x:c>
      <x:c r="C907" s="12" t="str">
        <x:v>16-04-2025</x:v>
      </x:c>
      <x:c r="D907" s="12" t="str">
        <x:v>CUST-4593</x:v>
      </x:c>
      <x:c r="E907" s="12" t="str">
        <x:v>Sneha Kapoor</x:v>
      </x:c>
      <x:c r="F907" s="12" t="str">
        <x:v>Small Business</x:v>
      </x:c>
      <x:c r="G907" s="12" t="str">
        <x:v>South</x:v>
      </x:c>
      <x:c r="H907" s="12" t="str">
        <x:v>Karnataka</x:v>
      </x:c>
      <x:c r="I907" s="12" t="str">
        <x:v>Bengaluru</x:v>
      </x:c>
      <x:c r="J907" s="12" t="str">
        <x:v>Furniture</x:v>
      </x:c>
      <x:c r="K907" s="12" t="str">
        <x:v>Furnishings</x:v>
      </x:c>
      <x:c r="L907" s="12" t="str">
        <x:v>Smart Furnishings 721</x:v>
      </x:c>
      <x:c r="M907" s="12" t="str">
        <x:v>First Class</x:v>
      </x:c>
      <x:c r="N907" s="12" t="n">
        <x:v>5</x:v>
      </x:c>
      <x:c r="O907" s="12" t="n">
        <x:v>2850.53</x:v>
      </x:c>
      <x:c r="P907" s="12" t="n">
        <x:v>0</x:v>
      </x:c>
      <x:c r="Q907" s="12" t="n">
        <x:v>14252.65</x:v>
      </x:c>
      <x:c r="R907" s="12" t="n">
        <x:v>11558.31</x:v>
      </x:c>
      <x:c r="S907" s="12" t="n">
        <x:v>2694.34</x:v>
      </x:c>
      <x:c r="T907" s="12" t="str">
        <x:v>Paid</x:v>
      </x:c>
      <x:c r="U907" s="12" t="str">
        <x:v>Completed</x:v>
      </x:c>
    </x:row>
    <x:row r="908">
      <x:c r="A908" s="12" t="str">
        <x:v>ORD-2025-10730</x:v>
      </x:c>
      <x:c r="B908" s="12" t="str">
        <x:v>17-05-2025</x:v>
      </x:c>
      <x:c r="C908" s="12" t="str">
        <x:v>25 May 2025</x:v>
      </x:c>
      <x:c r="D908" s="12" t="str">
        <x:v>CUST-8713</x:v>
      </x:c>
      <x:c r="E908" s="12" t="str">
        <x:v>Ananya Rao</x:v>
      </x:c>
      <x:c r="F908" s="12" t="str">
        <x:v>Corporate</x:v>
      </x:c>
      <x:c r="G908" s="12" t="str">
        <x:v>South</x:v>
      </x:c>
      <x:c r="H908" s="12" t="str">
        <x:v>Tamil Nadu</x:v>
      </x:c>
      <x:c r="I908" s="12" t="str">
        <x:v>Chennai</x:v>
      </x:c>
      <x:c r="J908" s="12" t="str">
        <x:v>Technology</x:v>
      </x:c>
      <x:c r="K908" s="12" t="str">
        <x:v>Machines</x:v>
      </x:c>
      <x:c r="L908" s="12" t="str">
        <x:v>Pro Machines 563</x:v>
      </x:c>
      <x:c r="M908" s="12" t="str">
        <x:v>Same Day</x:v>
      </x:c>
      <x:c r="N908" s="12" t="n">
        <x:v>6</x:v>
      </x:c>
      <x:c r="O908" s="12" t="n">
        <x:v>1810.63</x:v>
      </x:c>
      <x:c r="P908" s="12" t="n">
        <x:v>0.15</x:v>
      </x:c>
      <x:c r="Q908" s="12" t="n">
        <x:v>9234.21</x:v>
      </x:c>
      <x:c r="R908" s="12" t="n">
        <x:v>5516.52</x:v>
      </x:c>
      <x:c r="S908" s="12" t="n">
        <x:v>3717.69</x:v>
      </x:c>
      <x:c r="T908" s="12" t="str">
        <x:v>Paid</x:v>
      </x:c>
      <x:c r="U908" s="12" t="str">
        <x:v>Completed</x:v>
      </x:c>
    </x:row>
    <x:row r="909">
      <x:c r="A909" s="12" t="str">
        <x:v>ORD-2024-10134</x:v>
      </x:c>
      <x:c r="B909" s="12" t="str">
        <x:v>2024-12-13</x:v>
      </x:c>
      <x:c r="C909" s="12" t="str">
        <x:v>12/18/2024</x:v>
      </x:c>
      <x:c r="D909" s="12" t="str">
        <x:v>CUST-9441</x:v>
      </x:c>
      <x:c r="E909" s="12" t="str">
        <x:v>Karan Malhotra</x:v>
      </x:c>
      <x:c r="F909" s="12" t="str">
        <x:v>Consumer</x:v>
      </x:c>
      <x:c r="G909" s="12" t="str">
        <x:v>West</x:v>
      </x:c>
      <x:c r="H909" s="12" t="str">
        <x:v>Goa</x:v>
      </x:c>
      <x:c r="I909" s="12" t="str">
        <x:v>Panaji</x:v>
      </x:c>
      <x:c r="J909" s="12" t="str">
        <x:v>Technology</x:v>
      </x:c>
      <x:c r="K909" s="12" t="str">
        <x:v>Phones</x:v>
      </x:c>
      <x:c r="L909" s="12" t="str">
        <x:v>Prime Phones 419</x:v>
      </x:c>
      <x:c r="M909" s="12" t="str">
        <x:v>Second Class</x:v>
      </x:c>
      <x:c r="N909" s="12" t="n">
        <x:v>8</x:v>
      </x:c>
      <x:c r="O909" s="12" t="n">
        <x:v>3372.15</x:v>
      </x:c>
      <x:c r="P909" s="12" t="n">
        <x:v>0.15</x:v>
      </x:c>
      <x:c r="Q909" s="12" t="n">
        <x:v>22930.62</x:v>
      </x:c>
      <x:c r="R909" s="12" t="n">
        <x:v>16875.55</x:v>
      </x:c>
      <x:c r="S909" s="12" t="n">
        <x:v>6055.07</x:v>
      </x:c>
      <x:c r="T909" s="12" t="str">
        <x:v>Paid</x:v>
      </x:c>
      <x:c r="U909" s="12" t="str">
        <x:v>Completed</x:v>
      </x:c>
    </x:row>
    <x:row r="910">
      <x:c r="A910" s="12" t="str">
        <x:v>ORD-2025-10720</x:v>
      </x:c>
      <x:c r="B910" s="12" t="str">
        <x:v>08 Sep 2025</x:v>
      </x:c>
      <x:c r="C910" s="12" t="str">
        <x:v>2025-09-09</x:v>
      </x:c>
      <x:c r="D910" s="12" t="str">
        <x:v>CUST-3190</x:v>
      </x:c>
      <x:c r="E910" s="12" t="str">
        <x:v>Kabir Singh</x:v>
      </x:c>
      <x:c r="F910" s="12" t="str">
        <x:v>Corporate</x:v>
      </x:c>
      <x:c r="G910" s="12" t="str">
        <x:v>West</x:v>
      </x:c>
      <x:c r="H910" s="12" t="str">
        <x:v>Gujarat</x:v>
      </x:c>
      <x:c r="I910" s="12" t="str">
        <x:v>Ahmedabad</x:v>
      </x:c>
      <x:c r="J910" s="12" t="str">
        <x:v>Office Supplies</x:v>
      </x:c>
      <x:c r="K910" s="12" t="str">
        <x:v>Art</x:v>
      </x:c>
      <x:c r="L910" s="12" t="str">
        <x:v>Pro Art 447</x:v>
      </x:c>
      <x:c r="M910" s="12" t="str">
        <x:v>Same Day</x:v>
      </x:c>
      <x:c r="N910" s="12" t="n">
        <x:v>2</x:v>
      </x:c>
      <x:c r="O910" s="12" t="n">
        <x:v>2372.41</x:v>
      </x:c>
      <x:c r="P910" s="12" t="n">
        <x:v>0.2</x:v>
      </x:c>
      <x:c r="Q910" s="12" t="n">
        <x:v>3795.86</x:v>
      </x:c>
      <x:c r="R910" s="12" t="n">
        <x:v>2264.92</x:v>
      </x:c>
      <x:c r="S910" s="12" t="n">
        <x:v>1530.94</x:v>
      </x:c>
      <x:c r="T910" s="12" t="str">
        <x:v>Paid</x:v>
      </x:c>
      <x:c r="U910" s="12" t="str">
        <x:v>Completed</x:v>
      </x:c>
    </x:row>
    <x:row r="911">
      <x:c r="A911" s="12" t="str">
        <x:v>ORD-2025-10400</x:v>
      </x:c>
      <x:c r="B911" s="12" t="str">
        <x:v>04/24/2025</x:v>
      </x:c>
      <x:c r="C911" s="12" t="str">
        <x:v>2025-04-29</x:v>
      </x:c>
      <x:c r="D911" s="12" t="str">
        <x:v>CUST-5647</x:v>
      </x:c>
      <x:c r="E911" s="12" t="str">
        <x:v>Diya Patel</x:v>
      </x:c>
      <x:c r="F911" s="12" t="str">
        <x:v>Small Business</x:v>
      </x:c>
      <x:c r="G911" s="12" t="str">
        <x:v>South</x:v>
      </x:c>
      <x:c r="H911" s="12" t="str">
        <x:v>Andhra Pradesh</x:v>
      </x:c>
      <x:c r="I911" s="12" t="str">
        <x:v>Vijayawada</x:v>
      </x:c>
      <x:c r="J911" s="12" t="str">
        <x:v>Office Supplies</x:v>
      </x:c>
      <x:c r="K911" s="12" t="str">
        <x:v>Paper</x:v>
      </x:c>
      <x:c r="L911" s="12" t="str">
        <x:v>Elite Paper 308</x:v>
      </x:c>
      <x:c r="M911" s="12" t="str">
        <x:v>Same Day</x:v>
      </x:c>
      <x:c r="N911" s="12" t="n">
        <x:v>1</x:v>
      </x:c>
      <x:c r="O911" s="12" t="n">
        <x:v>4358.5</x:v>
      </x:c>
      <x:c r="P911" s="12" t="n">
        <x:v>0.25</x:v>
      </x:c>
      <x:c r="Q911" s="12" t="n">
        <x:v>3268.88</x:v>
      </x:c>
      <x:c r="R911" s="12" t="n">
        <x:v>1993.74</x:v>
      </x:c>
      <x:c r="S911" s="12" t="n">
        <x:v>1275.14</x:v>
      </x:c>
      <x:c r="T911" s="12" t="str">
        <x:v>Paid</x:v>
      </x:c>
      <x:c r="U911" s="12" t="str">
        <x:v>Completed</x:v>
      </x:c>
    </x:row>
    <x:row r="912">
      <x:c r="A912" s="12" t="str">
        <x:v>ORD-2024-10124</x:v>
      </x:c>
      <x:c r="B912" s="12" t="str">
        <x:v>05/24/2024</x:v>
      </x:c>
      <x:c r="C912" s="12" t="str">
        <x:v>25 May 2024</x:v>
      </x:c>
      <x:c r="D912" s="12" t="str">
        <x:v>CUST-1007</x:v>
      </x:c>
      <x:c r="E912" s="12" t="str">
        <x:v>Sneha Kapoor</x:v>
      </x:c>
      <x:c r="F912" s="12" t="str">
        <x:v>Small Business</x:v>
      </x:c>
      <x:c r="G912" s="12" t="str">
        <x:v>NORTH</x:v>
      </x:c>
      <x:c r="H912" s="12" t="str">
        <x:v>Punjab</x:v>
      </x:c>
      <x:c r="I912" s="12" t="str">
        <x:v>Ludhiana</x:v>
      </x:c>
      <x:c r="J912" s="12" t="str">
        <x:v>Technology</x:v>
      </x:c>
      <x:c r="K912" s="12" t="str">
        <x:v>Copiers</x:v>
      </x:c>
      <x:c r="L912" s="12" t="str">
        <x:v>Max Copiers 970</x:v>
      </x:c>
      <x:c r="M912" s="12" t="str">
        <x:v>Same Day</x:v>
      </x:c>
      <x:c r="N912" s="12" t="n">
        <x:v>1</x:v>
      </x:c>
      <x:c r="O912" s="12" t="n">
        <x:v>634.13</x:v>
      </x:c>
      <x:c r="P912" s="12" t="n">
        <x:v>0</x:v>
      </x:c>
      <x:c r="Q912" s="12" t="n">
        <x:v>634.13</x:v>
      </x:c>
      <x:c r="R912" s="12" t="n">
        <x:v>453.35</x:v>
      </x:c>
      <x:c r="S912" s="12" t="n">
        <x:v>180.78</x:v>
      </x:c>
      <x:c r="T912" s="12" t="str">
        <x:v>Refunded</x:v>
      </x:c>
      <x:c r="U912" s="12" t="str">
        <x:v>Cancelled</x:v>
      </x:c>
    </x:row>
    <x:row r="913">
      <x:c r="A913" s="12" t="str">
        <x:v>ORD-2024-10251</x:v>
      </x:c>
      <x:c r="B913" s="12" t="str">
        <x:v>02/21/2024</x:v>
      </x:c>
      <x:c r="C913" s="12" t="str">
        <x:v>02/27/2024</x:v>
      </x:c>
      <x:c r="D913" s="12" t="str">
        <x:v>CUST-5351</x:v>
      </x:c>
      <x:c r="E913" s="12" t="str">
        <x:v>Arjun Bose</x:v>
      </x:c>
      <x:c r="F913" s="12" t="str">
        <x:v>Small Business</x:v>
      </x:c>
      <x:c r="G913" s="12" t="str">
        <x:v>East</x:v>
      </x:c>
      <x:c r="H913" s="12" t="str">
        <x:v>West Bengal</x:v>
      </x:c>
      <x:c r="I913" s="12" t="str">
        <x:v>Kolkata</x:v>
      </x:c>
      <x:c r="J913" s="12" t="str">
        <x:v>Furniture</x:v>
      </x:c>
      <x:c r="K913" s="12" t="str">
        <x:v>Furnishings</x:v>
      </x:c>
      <x:c r="L913" s="12" t="str">
        <x:v>Prime Furnishings 781</x:v>
      </x:c>
      <x:c r="M913" s="12" t="str">
        <x:v>Standard Class</x:v>
      </x:c>
      <x:c r="N913" s="12" t="n">
        <x:v>5</x:v>
      </x:c>
      <x:c r="O913" s="12" t="n">
        <x:v>3373.86</x:v>
      </x:c>
      <x:c r="P913" s="12" t="n">
        <x:v>0.15</x:v>
      </x:c>
      <x:c r="Q913" s="12" t="n">
        <x:v>14338.9</x:v>
      </x:c>
      <x:c r="R913" s="12" t="n">
        <x:v>11897.65</x:v>
      </x:c>
      <x:c r="S913" s="12" t="n">
        <x:v>2441.25</x:v>
      </x:c>
      <x:c r="T913" s="12" t="str">
        <x:v>Pending</x:v>
      </x:c>
      <x:c r="U913" s="12" t="str">
        <x:v>Returned</x:v>
      </x:c>
    </x:row>
    <x:row r="914">
      <x:c r="A914" s="12" t="str">
        <x:v>ORD-2025-10378</x:v>
      </x:c>
      <x:c r="B914" s="12" t="str">
        <x:v>24 May 2025</x:v>
      </x:c>
      <x:c r="C914" s="12" t="str">
        <x:v>30-05-2025</x:v>
      </x:c>
      <x:c r="D914" s="12" t="str">
        <x:v>CUST-4875</x:v>
      </x:c>
      <x:c r="E914" s="12" t="str">
        <x:v>Kabir Singh</x:v>
      </x:c>
      <x:c r="F914" s="12" t="str">
        <x:v>Small Business</x:v>
      </x:c>
      <x:c r="G914" s="12" t="str">
        <x:v>East</x:v>
      </x:c>
      <x:c r="H914" s="12" t="str">
        <x:v>Odisha</x:v>
      </x:c>
      <x:c r="I914" s="12" t="str">
        <x:v>Bhubaneswar</x:v>
      </x:c>
      <x:c r="J914" s="12" t="str">
        <x:v>Office Supplies</x:v>
      </x:c>
      <x:c r="K914" s="12" t="str">
        <x:v>storage</x:v>
      </x:c>
      <x:c r="L914" s="12" t="str">
        <x:v>Basic Storage 360</x:v>
      </x:c>
      <x:c r="M914" s="12" t="str">
        <x:v>Same Day</x:v>
      </x:c>
      <x:c r="N914" s="12" t="n">
        <x:v>1</x:v>
      </x:c>
      <x:c r="O914" s="12" t="n">
        <x:v>2564.74</x:v>
      </x:c>
      <x:c r="P914" s="12" t="n">
        <x:v>0</x:v>
      </x:c>
      <x:c r="Q914" s="12" t="n">
        <x:v>2564.74</x:v>
      </x:c>
      <x:c r="R914" s="12" t="n">
        <x:v>1754.58</x:v>
      </x:c>
      <x:c r="S914" s="12" t="n">
        <x:v>810.16</x:v>
      </x:c>
      <x:c r="T914" s="12" t="str">
        <x:v>Paid</x:v>
      </x:c>
      <x:c r="U914" s="12" t="str">
        <x:v>Completed</x:v>
      </x:c>
    </x:row>
    <x:row r="915">
      <x:c r="A915" s="12" t="str">
        <x:v>ORD-2024-10281</x:v>
      </x:c>
      <x:c r="B915" s="12" t="str">
        <x:v>12/23/2024</x:v>
      </x:c>
      <x:c r="C915" s="12" t="str">
        <x:v>26-12-2024</x:v>
      </x:c>
      <x:c r="D915" s="12" t="str">
        <x:v>CUST-4098</x:v>
      </x:c>
      <x:c r="E915" s="12" t="str">
        <x:v>Aditi Sen</x:v>
      </x:c>
      <x:c r="F915" s="12" t="str">
        <x:v>Consumer</x:v>
      </x:c>
      <x:c r="G915" s="12" t="str">
        <x:v>South</x:v>
      </x:c>
      <x:c r="H915" s="12" t="str">
        <x:v>Karnataka</x:v>
      </x:c>
      <x:c r="I915" s="12" t="str">
        <x:v>Bengaluru</x:v>
      </x:c>
      <x:c r="J915" s="12" t="str">
        <x:v>Technology</x:v>
      </x:c>
      <x:c r="K915" s="12" t="str">
        <x:v>Copiers</x:v>
      </x:c>
      <x:c r="L915" s="12" t="str">
        <x:v>Prime Copiers 961</x:v>
      </x:c>
      <x:c r="M915" s="12" t="str">
        <x:v>Standard Class</x:v>
      </x:c>
      <x:c r="N915" s="12" t="n">
        <x:v>9</x:v>
      </x:c>
      <x:c r="O915" s="12" t="n">
        <x:v>993.67</x:v>
      </x:c>
      <x:c r="P915" s="12" t="n">
        <x:v>0</x:v>
      </x:c>
      <x:c r="Q915" s="12" t="n">
        <x:v>8943.03</x:v>
      </x:c>
      <x:c r="R915" s="12" t="n">
        <x:v>5165.38</x:v>
      </x:c>
      <x:c r="S915" s="12" t="n">
        <x:v>3777.65</x:v>
      </x:c>
      <x:c r="T915" s="12" t="str">
        <x:v>Paid</x:v>
      </x:c>
      <x:c r="U915" s="12" t="str">
        <x:v>Completed</x:v>
      </x:c>
    </x:row>
    <x:row r="916">
      <x:c r="A916" s="12" t="str">
        <x:v>ORD-2024-10713</x:v>
      </x:c>
      <x:c r="B916" s="12" t="str">
        <x:v>10 Feb 2024</x:v>
      </x:c>
      <x:c r="C916" s="12" t="str">
        <x:v>18 Feb 2024</x:v>
      </x:c>
      <x:c r="D916" s="12" t="str">
        <x:v>CUST-5127</x:v>
      </x:c>
      <x:c r="E916" s="12" t="str">
        <x:v>Isha Nair</x:v>
      </x:c>
      <x:c r="F916" s="12" t="str">
        <x:v>Home Office</x:v>
      </x:c>
      <x:c r="G916" s="12" t="str">
        <x:v>West</x:v>
      </x:c>
      <x:c r="H916" s="12" t="str">
        <x:v>Madhya Pradesh</x:v>
      </x:c>
      <x:c r="I916" s="12" t="str">
        <x:v>Indore</x:v>
      </x:c>
      <x:c r="J916" s="12" t="str">
        <x:v>Furniture</x:v>
      </x:c>
      <x:c r="K916" s="12" t="str">
        <x:v>Chairs</x:v>
      </x:c>
      <x:c r="L916" s="12" t="str">
        <x:v>Smart Chairs 259</x:v>
      </x:c>
      <x:c r="M916" s="12" t="str">
        <x:v>First Class</x:v>
      </x:c>
      <x:c r="N916" s="12" t="n">
        <x:v>7</x:v>
      </x:c>
      <x:c r="O916" s="12" t="n">
        <x:v>1382.86</x:v>
      </x:c>
      <x:c r="P916" s="12" t="n">
        <x:v>0</x:v>
      </x:c>
      <x:c r="Q916" s="12" t="n">
        <x:v>9680.02</x:v>
      </x:c>
      <x:c r="R916" s="12" t="n">
        <x:v>6876.66</x:v>
      </x:c>
      <x:c r="S916" s="12" t="n">
        <x:v>2803.36</x:v>
      </x:c>
      <x:c r="T916" s="12" t="str">
        <x:v>Paid</x:v>
      </x:c>
      <x:c r="U916" s="12" t="str">
        <x:v>Completed</x:v>
      </x:c>
    </x:row>
    <x:row r="917">
      <x:c r="A917" s="12" t="str">
        <x:v>ORD-2025-10550</x:v>
      </x:c>
      <x:c r="B917" s="12" t="str">
        <x:v>10/11/2025</x:v>
      </x:c>
      <x:c r="C917" s="12" t="str">
        <x:v>13 Oct 2025</x:v>
      </x:c>
      <x:c r="D917" s="12" t="str">
        <x:v>CUST-6028</x:v>
      </x:c>
      <x:c r="E917" s="12" t="str">
        <x:v>Mira Das</x:v>
      </x:c>
      <x:c r="F917" s="12" t="str">
        <x:v>Corporate</x:v>
      </x:c>
      <x:c r="G917" s="12" t="str">
        <x:v>South</x:v>
      </x:c>
      <x:c r="H917" s="12" t="str">
        <x:v>Telangana</x:v>
      </x:c>
      <x:c r="I917" s="12" t="str">
        <x:v>Hyderabad</x:v>
      </x:c>
      <x:c r="J917" s="12" t="str">
        <x:v>Office Supplies</x:v>
      </x:c>
      <x:c r="K917" s="12" t="str">
        <x:v>Art</x:v>
      </x:c>
      <x:c r="L917" s="12" t="str">
        <x:v>Pro Art 287</x:v>
      </x:c>
      <x:c r="M917" s="12" t="str">
        <x:v>Second Class</x:v>
      </x:c>
      <x:c r="N917" s="12" t="n">
        <x:v>3</x:v>
      </x:c>
      <x:c r="O917" s="12" t="n">
        <x:v>3804.27</x:v>
      </x:c>
      <x:c r="P917" s="12" t="n">
        <x:v>0.1</x:v>
      </x:c>
      <x:c r="Q917" s="12" t="n">
        <x:v>10271.53</x:v>
      </x:c>
      <x:c r="R917" s="12" t="n">
        <x:v>8272.24</x:v>
      </x:c>
      <x:c r="S917" s="12" t="n">
        <x:v>1999.29</x:v>
      </x:c>
      <x:c r="T917" s="12" t="str">
        <x:v>Paid</x:v>
      </x:c>
      <x:c r="U917" s="12" t="str">
        <x:v>Completed</x:v>
      </x:c>
    </x:row>
    <x:row r="918">
      <x:c r="A918" s="12" t="str">
        <x:v>ORD-2024-10850</x:v>
      </x:c>
      <x:c r="B918" s="12" t="str">
        <x:v>2024-03-06</x:v>
      </x:c>
      <x:c r="C918" s="12" t="str">
        <x:v>12-03-2024</x:v>
      </x:c>
      <x:c r="D918" s="12" t="str">
        <x:v>CUST-3360</x:v>
      </x:c>
      <x:c r="E918" s="12" t="str">
        <x:v>Isha Nair</x:v>
      </x:c>
      <x:c r="F918" s="12" t="str">
        <x:v>Home Office</x:v>
      </x:c>
      <x:c r="G918" s="12" t="str">
        <x:v>West</x:v>
      </x:c>
      <x:c r="H918" s="12" t="str">
        <x:v>Gujarat</x:v>
      </x:c>
      <x:c r="I918" s="12" t="str">
        <x:v>Ahmedabad</x:v>
      </x:c>
      <x:c r="J918" s="12" t="str">
        <x:v>Furniture</x:v>
      </x:c>
      <x:c r="K918" s="12" t="str">
        <x:v>Bookcases</x:v>
      </x:c>
      <x:c r="L918" s="12" t="str">
        <x:v>Prime Bookcases 755</x:v>
      </x:c>
      <x:c r="M918" s="12" t="str">
        <x:v>Standard Class</x:v>
      </x:c>
      <x:c r="N918" s="12" t="n">
        <x:v>3</x:v>
      </x:c>
      <x:c r="O918" s="12" t="n">
        <x:v>679.63</x:v>
      </x:c>
      <x:c r="P918" s="12" t="n">
        <x:v>0.2</x:v>
      </x:c>
      <x:c r="Q918" s="12" t="n">
        <x:v>1631.11</x:v>
      </x:c>
      <x:c r="R918" s="12" t="n">
        <x:v>898.73</x:v>
      </x:c>
      <x:c r="S918" s="12" t="n">
        <x:v>396.58</x:v>
      </x:c>
      <x:c r="T918" s="12" t="str">
        <x:v>Paid</x:v>
      </x:c>
      <x:c r="U918" s="12" t="str">
        <x:v>Completed </x:v>
      </x:c>
    </x:row>
    <x:row r="919">
      <x:c r="A919" s="12" t="str">
        <x:v>ORD-2025-10128</x:v>
      </x:c>
      <x:c r="B919" s="12" t="str">
        <x:v>01/30/2025</x:v>
      </x:c>
      <x:c r="C919" s="12" t="str">
        <x:v>26-01-2025</x:v>
      </x:c>
      <x:c r="D919" s="12" t="str">
        <x:v>CUST-6802</x:v>
      </x:c>
      <x:c r="E919" s="12" t="str">
        <x:v>Priya Menon</x:v>
      </x:c>
      <x:c r="F919" s="12" t="str">
        <x:v>Corporate</x:v>
      </x:c>
      <x:c r="G919" s="12" t="str">
        <x:v>West</x:v>
      </x:c>
      <x:c r="H919" s="12" t="str">
        <x:v>Madhya Pradesh</x:v>
      </x:c>
      <x:c r="I919" s="12" t="str">
        <x:v>Indore</x:v>
      </x:c>
      <x:c r="J919" s="12" t="str">
        <x:v>Office Supplies</x:v>
      </x:c>
      <x:c r="K919" s="12" t="str">
        <x:v>Storage</x:v>
      </x:c>
      <x:c r="L919" s="12" t="str">
        <x:v>Basic Storage 321</x:v>
      </x:c>
      <x:c r="M919" s="12" t="str">
        <x:v>Second Class</x:v>
      </x:c>
      <x:c r="N919" s="12" t="n">
        <x:v>2</x:v>
      </x:c>
      <x:c r="O919" s="12" t="n">
        <x:v>3039.3</x:v>
      </x:c>
      <x:c r="P919" s="12" t="n">
        <x:v>0.05</x:v>
      </x:c>
      <x:c r="Q919" s="12" t="n">
        <x:v>5774.67</x:v>
      </x:c>
      <x:c r="R919" s="12" t="n">
        <x:v>3518.36</x:v>
      </x:c>
      <x:c r="S919" s="12" t="n">
        <x:v>2256.31</x:v>
      </x:c>
      <x:c r="T919" s="12" t="str">
        <x:v>Paid</x:v>
      </x:c>
      <x:c r="U919" s="12" t="str">
        <x:v>Completed</x:v>
      </x:c>
    </x:row>
    <x:row r="920">
      <x:c r="A920" s="12" t="str">
        <x:v>ORD-2025-10677</x:v>
      </x:c>
      <x:c r="B920" s="12" t="str">
        <x:v>09/11/2025</x:v>
      </x:c>
      <x:c r="C920" s="12" t="str">
        <x:v>09/18/2025</x:v>
      </x:c>
      <x:c r="D920" s="12" t="str">
        <x:v>CUST-9212</x:v>
      </x:c>
      <x:c r="E920" s="12" t="str">
        <x:v>Rahul Verma</x:v>
      </x:c>
      <x:c r="F920" s="12" t="str">
        <x:v>Small Business</x:v>
      </x:c>
      <x:c r="G920" s="12" t="str">
        <x:v>North</x:v>
      </x:c>
      <x:c r="H920" s="12" t="str">
        <x:v>Delhi</x:v>
      </x:c>
      <x:c r="I920" s="12" t="str">
        <x:v>New Delhi</x:v>
      </x:c>
      <x:c r="J920" s="12" t="str">
        <x:v>Technology</x:v>
      </x:c>
      <x:c r="K920" s="12" t="str">
        <x:v>Phones</x:v>
      </x:c>
      <x:c r="L920" s="12" t="str">
        <x:v>Smart Phones 967</x:v>
      </x:c>
      <x:c r="M920" s="12" t="str">
        <x:v>Same Day</x:v>
      </x:c>
      <x:c r="N920" s="12" t="n">
        <x:v>7</x:v>
      </x:c>
      <x:c r="O920" s="12" t="n">
        <x:v>3411.21</x:v>
      </x:c>
      <x:c r="P920" s="12" t="n">
        <x:v>0.15</x:v>
      </x:c>
      <x:c r="Q920" s="12" t="n">
        <x:v>20296.7</x:v>
      </x:c>
      <x:c r="R920" s="12" t="n">
        <x:v>14920.87</x:v>
      </x:c>
      <x:c r="S920" s="12" t="n">
        <x:v>5375.83</x:v>
      </x:c>
      <x:c r="T920" s="12" t="str">
        <x:v>Paid</x:v>
      </x:c>
      <x:c r="U920" s="12" t="str">
        <x:v>Completed</x:v>
      </x:c>
    </x:row>
    <x:row r="921">
      <x:c r="A921" s="12" t="str">
        <x:v>ORD-2025-10007</x:v>
      </x:c>
      <x:c r="B921" s="12" t="str">
        <x:v>04/10/2025</x:v>
      </x:c>
      <x:c r="C921" s="12" t="str">
        <x:v>04/16/2025</x:v>
      </x:c>
      <x:c r="D921" s="12" t="str">
        <x:v>CUST-3656</x:v>
      </x:c>
      <x:c r="E921" s="12" t="str">
        <x:v>Neha Gupta</x:v>
      </x:c>
      <x:c r="F921" s="12" t="str">
        <x:v>Consumer</x:v>
      </x:c>
      <x:c r="G921" s="12" t="str">
        <x:v>East</x:v>
      </x:c>
      <x:c r="H921" s="12" t="str">
        <x:v>Odisha</x:v>
      </x:c>
      <x:c r="I921" s="12" t="str">
        <x:v>Bhubaneswar</x:v>
      </x:c>
      <x:c r="J921" s="12" t="str">
        <x:v>Technology</x:v>
      </x:c>
      <x:c r="K921" s="12" t="str">
        <x:v>Copiers</x:v>
      </x:c>
      <x:c r="L921" s="12" t="str">
        <x:v>Eco Copiers 790</x:v>
      </x:c>
      <x:c r="M921" s="12" t="str">
        <x:v>Standard Class</x:v>
      </x:c>
      <x:c r="N921" s="12" t="n">
        <x:v>4</x:v>
      </x:c>
      <x:c r="O921" s="12" t="n">
        <x:v>1719.87</x:v>
      </x:c>
      <x:c r="P921" s="12" t="n">
        <x:v>0.15</x:v>
      </x:c>
      <x:c r="Q921" s="12" t="n">
        <x:v>5847.56</x:v>
      </x:c>
      <x:c r="R921" s="12" t="n">
        <x:v>4727.25</x:v>
      </x:c>
      <x:c r="S921" s="12" t="n">
        <x:v>1120.31</x:v>
      </x:c>
      <x:c r="T921" s="12" t="str">
        <x:v>Paid</x:v>
      </x:c>
      <x:c r="U921" s="12" t="str">
        <x:v>Completed</x:v>
      </x:c>
    </x:row>
    <x:row r="922">
      <x:c r="A922" s="12" t="str">
        <x:v>ORD-2024-10332</x:v>
      </x:c>
      <x:c r="B922" s="12" t="str">
        <x:v>04-12-2024</x:v>
      </x:c>
      <x:c r="C922" s="12" t="str">
        <x:v>2024-12-06</x:v>
      </x:c>
      <x:c r="D922" s="12" t="str">
        <x:v>CUST-9346</x:v>
      </x:c>
      <x:c r="E922" s="12" t="str">
        <x:v>Sneha Kapoor</x:v>
      </x:c>
      <x:c r="F922" s="12" t="str">
        <x:v>Home Office</x:v>
      </x:c>
      <x:c r="G922" s="12" t="str">
        <x:v>East</x:v>
      </x:c>
      <x:c r="H922" s="12" t="str">
        <x:v>Odisha</x:v>
      </x:c>
      <x:c r="I922" s="12" t="str">
        <x:v>Bhubaneswar</x:v>
      </x:c>
      <x:c r="J922" s="12" t="str">
        <x:v>Office Supplies</x:v>
      </x:c>
      <x:c r="K922" s="12" t="str">
        <x:v>Binders</x:v>
      </x:c>
      <x:c r="L922" s="12" t="str">
        <x:v>Smart Binders 939</x:v>
      </x:c>
      <x:c r="M922" s="12" t="str">
        <x:v>Second Class</x:v>
      </x:c>
      <x:c r="N922" s="12" t="n">
        <x:v>4</x:v>
      </x:c>
      <x:c r="O922" s="12" t="n">
        <x:v>2685.66</x:v>
      </x:c>
      <x:c r="P922" s="12" t="n">
        <x:v>0</x:v>
      </x:c>
      <x:c r="Q922" s="12" t="n">
        <x:v>10989.89</x:v>
      </x:c>
      <x:c r="R922" s="12" t="n">
        <x:v>6477.37</x:v>
      </x:c>
      <x:c r="S922" s="12" t="n">
        <x:v>4265.27</x:v>
      </x:c>
      <x:c r="T922" s="12" t="str">
        <x:v>Paid</x:v>
      </x:c>
      <x:c r="U922" s="12" t="str">
        <x:v>Completed</x:v>
      </x:c>
    </x:row>
    <x:row r="923">
      <x:c r="A923" s="12" t="str">
        <x:v>ORD-2025-10091</x:v>
      </x:c>
      <x:c r="B923" s="12" t="str">
        <x:v>08/24/2025</x:v>
      </x:c>
      <x:c r="C923" s="12" t="str">
        <x:v>29 Aug 2025</x:v>
      </x:c>
      <x:c r="D923" s="12" t="str">
        <x:v>CUST-5909</x:v>
      </x:c>
      <x:c r="E923" s="12" t="str">
        <x:v>Aarav Sharma</x:v>
      </x:c>
      <x:c r="F923" s="12" t="str">
        <x:v>Small Business</x:v>
      </x:c>
      <x:c r="G923" s="12" t="str">
        <x:v>East</x:v>
      </x:c>
      <x:c r="H923" s="12" t="str">
        <x:v>Bihar</x:v>
      </x:c>
      <x:c r="I923" s="12" t="str">
        <x:v>Patna</x:v>
      </x:c>
      <x:c r="J923" s="12" t="str">
        <x:v>Technology</x:v>
      </x:c>
      <x:c r="K923" s="12" t="str">
        <x:v>Copiers</x:v>
      </x:c>
      <x:c r="L923" s="12" t="str">
        <x:v>Smart Copiers 556</x:v>
      </x:c>
      <x:c r="M923" s="12" t="str">
        <x:v>First Class</x:v>
      </x:c>
      <x:c r="N923" s="12" t="n">
        <x:v>3</x:v>
      </x:c>
      <x:c r="O923" s="12" t="n">
        <x:v>3703.96</x:v>
      </x:c>
      <x:c r="P923" s="12" t="n">
        <x:v>0.15</x:v>
      </x:c>
      <x:c r="Q923" s="12" t="n">
        <x:v>9549.44</x:v>
      </x:c>
      <x:c r="R923" s="12" t="n">
        <x:v>5586.28</x:v>
      </x:c>
      <x:c r="S923" s="12" t="n">
        <x:v>3858.82</x:v>
      </x:c>
      <x:c r="T923" s="12" t="str">
        <x:v>Paid</x:v>
      </x:c>
      <x:c r="U923" s="12" t="str">
        <x:v>Returned</x:v>
      </x:c>
    </x:row>
    <x:row r="924">
      <x:c r="A924" s="12" t="str">
        <x:v>ORD-2025-10374</x:v>
      </x:c>
      <x:c r="B924" s="12" t="str">
        <x:v>2025-04-13</x:v>
      </x:c>
      <x:c r="C924" s="12" t="str">
        <x:v>2025-04-13</x:v>
      </x:c>
      <x:c r="D924" s="12" t="str">
        <x:v>CUST-8566</x:v>
      </x:c>
      <x:c r="E924" s="12" t="str">
        <x:v>Sneha Kapoor</x:v>
      </x:c>
      <x:c r="F924" s="12" t="str">
        <x:v>Small Business</x:v>
      </x:c>
      <x:c r="G924" s="12" t="str">
        <x:v>North</x:v>
      </x:c>
      <x:c r="H924" s="12" t="str">
        <x:v>Uttar Pradesh</x:v>
      </x:c>
      <x:c r="I924" s="12" t="str">
        <x:v>Noida</x:v>
      </x:c>
      <x:c r="J924" s="12" t="str">
        <x:v>Office Supplies</x:v>
      </x:c>
      <x:c r="K924" s="12" t="str">
        <x:v>Storage</x:v>
      </x:c>
      <x:c r="L924" s="12" t="str">
        <x:v>Prime Storage 951</x:v>
      </x:c>
      <x:c r="M924" s="12" t="str">
        <x:v>Second Class</x:v>
      </x:c>
      <x:c r="N924" s="12" t="n">
        <x:v>9</x:v>
      </x:c>
      <x:c r="O924" s="12" t="n">
        <x:v>1118.68</x:v>
      </x:c>
      <x:c r="P924" s="12" t="n">
        <x:v>0</x:v>
      </x:c>
      <x:c r="Q924" s="12" t="n">
        <x:v>10348.43</x:v>
      </x:c>
      <x:c r="R924" s="12" t="n">
        <x:v>8595.37</x:v>
      </x:c>
      <x:c r="S924" s="12" t="n">
        <x:v>1472.75</x:v>
      </x:c>
      <x:c r="T924" s="12" t="str">
        <x:v>Paid</x:v>
      </x:c>
      <x:c r="U924" s="12" t="str">
        <x:v>Returned</x:v>
      </x:c>
    </x:row>
    <x:row r="925">
      <x:c r="A925" s="12" t="str">
        <x:v>ORD-2025-10225</x:v>
      </x:c>
      <x:c r="B925" s="12" t="str">
        <x:v>10/02/2025</x:v>
      </x:c>
      <x:c r="C925" s="12" t="str">
        <x:v>08 Oct 2025</x:v>
      </x:c>
      <x:c r="D925" s="12" t="str">
        <x:v>CUST-9871</x:v>
      </x:c>
      <x:c r="E925" s="12" t="str">
        <x:v>Isha Nair</x:v>
      </x:c>
      <x:c r="F925" s="12" t="str">
        <x:v>Small Business</x:v>
      </x:c>
      <x:c r="G925" s="12" t="str">
        <x:v>North</x:v>
      </x:c>
      <x:c r="H925" s="12" t="str">
        <x:v>Punjab</x:v>
      </x:c>
      <x:c r="I925" s="12" t="str">
        <x:v>Ludhiana</x:v>
      </x:c>
      <x:c r="J925" s="12" t="str">
        <x:v>Furniture</x:v>
      </x:c>
      <x:c r="K925" s="12" t="str">
        <x:v>Furnishings</x:v>
      </x:c>
      <x:c r="L925" s="12" t="str">
        <x:v>Classic Furnishings 109</x:v>
      </x:c>
      <x:c r="M925" s="12" t="str">
        <x:v>Standard Class</x:v>
      </x:c>
      <x:c r="N925" s="12" t="n">
        <x:v>4</x:v>
      </x:c>
      <x:c r="O925" s="12" t="n">
        <x:v>3944.64</x:v>
      </x:c>
      <x:c r="P925" s="12" t="n">
        <x:v>0.25</x:v>
      </x:c>
      <x:c r="Q925" s="12" t="n">
        <x:v>12116.89</x:v>
      </x:c>
      <x:c r="R925" s="12" t="n">
        <x:v>6682.92</x:v>
      </x:c>
      <x:c r="S925" s="12" t="n">
        <x:v>5151</x:v>
      </x:c>
      <x:c r="T925" s="12" t="str">
        <x:v>Paid</x:v>
      </x:c>
      <x:c r="U925" s="12" t="str">
        <x:v>Returned</x:v>
      </x:c>
    </x:row>
    <x:row r="926">
      <x:c r="A926" s="12" t="str">
        <x:v>ORD-2025-10315</x:v>
      </x:c>
      <x:c r="B926" s="12" t="str">
        <x:v>05/18/2025</x:v>
      </x:c>
      <x:c r="C926" s="12" t="str">
        <x:v>20 May 2025</x:v>
      </x:c>
      <x:c r="D926" s="12" t="str">
        <x:v>CUST-1945</x:v>
      </x:c>
      <x:c r="E926" s="12" t="str">
        <x:v>Isha Nair</x:v>
      </x:c>
      <x:c r="F926" s="12" t="str">
        <x:v>Corporate</x:v>
      </x:c>
      <x:c r="G926" s="12" t="str">
        <x:v>West</x:v>
      </x:c>
      <x:c r="H926" s="12" t="str">
        <x:v>Madhya Pradesh</x:v>
      </x:c>
      <x:c r="I926" s="12" t="str">
        <x:v>Indore</x:v>
      </x:c>
      <x:c r="J926" s="12" t="str">
        <x:v>Office Supplies</x:v>
      </x:c>
      <x:c r="K926" s="12" t="str">
        <x:v>Labels</x:v>
      </x:c>
      <x:c r="L926" s="12" t="str">
        <x:v>Elite Labels 544</x:v>
      </x:c>
      <x:c r="M926" s="12" t="str">
        <x:v>Standard Class</x:v>
      </x:c>
      <x:c r="N926" s="12" t="n">
        <x:v>9</x:v>
      </x:c>
      <x:c r="O926" s="12" t="n">
        <x:v>847.76</x:v>
      </x:c>
      <x:c r="P926" s="12" t="n">
        <x:v>0.15</x:v>
      </x:c>
      <x:c r="Q926" s="12" t="n">
        <x:v>6589.37</x:v>
      </x:c>
      <x:c r="R926" s="12" t="n">
        <x:v>5376.17</x:v>
      </x:c>
      <x:c r="S926" s="12" t="n">
        <x:v>1109.19</x:v>
      </x:c>
      <x:c r="T926" s="12" t="str">
        <x:v>Failed</x:v>
      </x:c>
      <x:c r="U926" s="12" t="str">
        <x:v>Completed</x:v>
      </x:c>
    </x:row>
    <x:row r="927">
      <x:c r="A927" s="12" t="str">
        <x:v>ORD-2025-10171</x:v>
      </x:c>
      <x:c r="B927" s="12" t="str">
        <x:v>07-09-2025</x:v>
      </x:c>
      <x:c r="C927" s="12" t="str">
        <x:v>09/15/2025</x:v>
      </x:c>
      <x:c r="D927" s="12" t="str">
        <x:v>CUST-3734</x:v>
      </x:c>
      <x:c r="E927" s="12" t="str">
        <x:v>Rohan Mehta</x:v>
      </x:c>
      <x:c r="F927" s="12" t="str">
        <x:v>Corporate</x:v>
      </x:c>
      <x:c r="G927" s="12" t="str">
        <x:v>East</x:v>
      </x:c>
      <x:c r="H927" s="12" t="str">
        <x:v>Bihar</x:v>
      </x:c>
      <x:c r="I927" s="12" t="str">
        <x:v>Patna</x:v>
      </x:c>
      <x:c r="J927" s="12" t="str">
        <x:v>Technology</x:v>
      </x:c>
      <x:c r="K927" s="12" t="str">
        <x:v>Copiers</x:v>
      </x:c>
      <x:c r="L927" s="12" t="str">
        <x:v>Eco Copiers 102</x:v>
      </x:c>
      <x:c r="M927" s="12" t="str">
        <x:v>Standard Class</x:v>
      </x:c>
      <x:c r="N927" s="12" t="n">
        <x:v>3</x:v>
      </x:c>
      <x:c r="O927" s="12" t="n">
        <x:v>1711.32</x:v>
      </x:c>
      <x:c r="P927" s="12" t="n">
        <x:v>0</x:v>
      </x:c>
      <x:c r="Q927" s="12" t="n">
        <x:v>5206.53</x:v>
      </x:c>
      <x:c r="R927" s="12" t="n">
        <x:v>3930</x:v>
      </x:c>
      <x:c r="S927" s="12" t="n">
        <x:v>1203.96</x:v>
      </x:c>
      <x:c r="T927" s="12" t="str">
        <x:v>Paid</x:v>
      </x:c>
      <x:c r="U927" s="12" t="str">
        <x:v>Returned</x:v>
      </x:c>
    </x:row>
    <x:row r="928">
      <x:c r="A928" s="12" t="str">
        <x:v>ORD-2024-10424</x:v>
      </x:c>
      <x:c r="B928" s="12" t="str">
        <x:v>2024-02-20</x:v>
      </x:c>
      <x:c r="C928" s="12" t="str">
        <x:v>27-02-2024</x:v>
      </x:c>
      <x:c r="D928" s="12" t="str">
        <x:v>CUST-6169</x:v>
      </x:c>
      <x:c r="E928" s="12" t="str">
        <x:v>Diya Patel</x:v>
      </x:c>
      <x:c r="F928" s="12" t="str">
        <x:v>Consumer</x:v>
      </x:c>
      <x:c r="G928" s="12" t="str">
        <x:v>South</x:v>
      </x:c>
      <x:c r="H928" s="12" t="str">
        <x:v>Kerala</x:v>
      </x:c>
      <x:c r="I928" s="12" t="str">
        <x:v>Kochi</x:v>
      </x:c>
      <x:c r="J928" s="12" t="str">
        <x:v>Technology</x:v>
      </x:c>
      <x:c r="K928" s="12" t="str">
        <x:v>Accessories</x:v>
      </x:c>
      <x:c r="L928" s="12" t="str">
        <x:v>Prime Accessories 236</x:v>
      </x:c>
      <x:c r="M928" s="12" t="str">
        <x:v>FIRST CLASS</x:v>
      </x:c>
      <x:c r="N928" s="12" t="n">
        <x:v>9</x:v>
      </x:c>
      <x:c r="O928" s="12" t="n">
        <x:v>3779.31</x:v>
      </x:c>
      <x:c r="P928" s="12" t="n">
        <x:v>0.2</x:v>
      </x:c>
      <x:c r="Q928" s="12" t="n">
        <x:v>27322.9</x:v>
      </x:c>
      <x:c r="R928" s="12" t="n">
        <x:v>17940.43</x:v>
      </x:c>
      <x:c r="S928" s="12" t="n">
        <x:v>9270.6</x:v>
      </x:c>
      <x:c r="T928" s="12" t="str">
        <x:v>Paid</x:v>
      </x:c>
      <x:c r="U928" s="12" t="str">
        <x:v>Returned</x:v>
      </x:c>
    </x:row>
    <x:row r="929">
      <x:c r="A929" s="12" t="str">
        <x:v>ORD-2025-10572</x:v>
      </x:c>
      <x:c r="B929" s="12" t="str">
        <x:v>10 Feb 2025</x:v>
      </x:c>
      <x:c r="C929" s="12" t="str">
        <x:v>2025-02-14</x:v>
      </x:c>
      <x:c r="D929" s="12" t="str">
        <x:v>CUST-3425</x:v>
      </x:c>
      <x:c r="E929" s="12" t="str">
        <x:v>Priya Menon</x:v>
      </x:c>
      <x:c r="F929" s="12" t="str">
        <x:v>Small Business</x:v>
      </x:c>
      <x:c r="G929" s="12" t="str">
        <x:v>North</x:v>
      </x:c>
      <x:c r="H929" s="12" t="str">
        <x:v>Uttar Pradesh</x:v>
      </x:c>
      <x:c r="I929" s="12" t="str">
        <x:v>Noida</x:v>
      </x:c>
      <x:c r="J929" s="12" t="str">
        <x:v>Technology</x:v>
      </x:c>
      <x:c r="K929" s="12" t="str">
        <x:v>Phones</x:v>
      </x:c>
      <x:c r="L929" s="12" t="str">
        <x:v>Prime Phones 895</x:v>
      </x:c>
      <x:c r="M929" s="12"/>
      <x:c r="N929" s="12" t="n">
        <x:v>5</x:v>
      </x:c>
      <x:c r="O929" s="12" t="n">
        <x:v>4276.29</x:v>
      </x:c>
      <x:c r="P929" s="12" t="n">
        <x:v>0</x:v>
      </x:c>
      <x:c r="Q929" s="12" t="n">
        <x:v>21443.63</x:v>
      </x:c>
      <x:c r="R929" s="12" t="n">
        <x:v>13240.21</x:v>
      </x:c>
      <x:c r="S929" s="12" t="n">
        <x:v>8141.24</x:v>
      </x:c>
      <x:c r="T929" s="12" t="str">
        <x:v>Failed</x:v>
      </x:c>
      <x:c r="U929" s="12" t="str">
        <x:v>Completed</x:v>
      </x:c>
    </x:row>
    <x:row r="930">
      <x:c r="A930" s="12" t="str">
        <x:v>ORD-2024-10143</x:v>
      </x:c>
      <x:c r="B930" s="12" t="str">
        <x:v>30 Mar 2024</x:v>
      </x:c>
      <x:c r="C930" s="12" t="str">
        <x:v>26 Mar 2024</x:v>
      </x:c>
      <x:c r="D930" s="12" t="str">
        <x:v>CUST-8944</x:v>
      </x:c>
      <x:c r="E930" s="12" t="str">
        <x:v>Aditi Sen</x:v>
      </x:c>
      <x:c r="F930" s="12" t="str">
        <x:v>Home Office</x:v>
      </x:c>
      <x:c r="G930" s="12" t="str">
        <x:v>North</x:v>
      </x:c>
      <x:c r="H930" s="12" t="str">
        <x:v>Rajasthan</x:v>
      </x:c>
      <x:c r="I930" s="12" t="str">
        <x:v>Jaipur</x:v>
      </x:c>
      <x:c r="J930" s="12" t="str">
        <x:v>Technology</x:v>
      </x:c>
      <x:c r="K930" s="12" t="str">
        <x:v>Phones</x:v>
      </x:c>
      <x:c r="L930" s="12" t="str">
        <x:v>Classic Phones 142</x:v>
      </x:c>
      <x:c r="M930" s="12" t="str">
        <x:v>Second Class</x:v>
      </x:c>
      <x:c r="N930" s="12" t="n">
        <x:v>5</x:v>
      </x:c>
      <x:c r="O930" s="12" t="n">
        <x:v>907.54</x:v>
      </x:c>
      <x:c r="P930" s="12" t="n">
        <x:v>0.15</x:v>
      </x:c>
      <x:c r="Q930" s="12" t="n">
        <x:v>4099.69</x:v>
      </x:c>
      <x:c r="R930" s="12" t="n">
        <x:v>2769.26</x:v>
      </x:c>
      <x:c r="S930" s="12" t="n">
        <x:v>1087.78</x:v>
      </x:c>
      <x:c r="T930" s="12" t="str">
        <x:v>Paid</x:v>
      </x:c>
      <x:c r="U930" s="12" t="str">
        <x:v>Returned</x:v>
      </x:c>
    </x:row>
    <x:row r="931">
      <x:c r="A931" s="12" t="str">
        <x:v>ORD-2024-10273</x:v>
      </x:c>
      <x:c r="B931" s="12" t="str">
        <x:v>08/18/2024</x:v>
      </x:c>
      <x:c r="C931" s="12" t="str">
        <x:v>24 Aug 2024</x:v>
      </x:c>
      <x:c r="D931" s="12" t="str">
        <x:v>CUST-7389</x:v>
      </x:c>
      <x:c r="E931" s="12" t="str">
        <x:v>Arjun Bose</x:v>
      </x:c>
      <x:c r="F931" s="12" t="str">
        <x:v>Consumer</x:v>
      </x:c>
      <x:c r="G931" s="12" t="str">
        <x:v>South</x:v>
      </x:c>
      <x:c r="H931" s="12" t="str">
        <x:v>Andhra Pradesh</x:v>
      </x:c>
      <x:c r="I931" s="12" t="str">
        <x:v>Vijayawada</x:v>
      </x:c>
      <x:c r="J931" s="12" t="str">
        <x:v>Furniture</x:v>
      </x:c>
      <x:c r="K931" s="12" t="str">
        <x:v>Chairs</x:v>
      </x:c>
      <x:c r="L931" s="12" t="str">
        <x:v>Eco Chairs 314</x:v>
      </x:c>
      <x:c r="M931" s="12" t="str">
        <x:v>First Class</x:v>
      </x:c>
      <x:c r="N931" s="12" t="n">
        <x:v>7</x:v>
      </x:c>
      <x:c r="O931" s="12" t="n">
        <x:v>557.21</x:v>
      </x:c>
      <x:c r="P931" s="12" t="n">
        <x:v>0.1</x:v>
      </x:c>
      <x:c r="Q931" s="12" t="n">
        <x:v>3797.79</x:v>
      </x:c>
      <x:c r="R931" s="12" t="n">
        <x:v>2191.5</x:v>
      </x:c>
      <x:c r="S931" s="12" t="n">
        <x:v>1213.48</x:v>
      </x:c>
      <x:c r="T931" s="12" t="str">
        <x:v>Paid</x:v>
      </x:c>
      <x:c r="U931" s="12" t="str">
        <x:v>Returned</x:v>
      </x:c>
    </x:row>
    <x:row r="932">
      <x:c r="A932" s="12" t="str">
        <x:v>ORD-2024-10124</x:v>
      </x:c>
      <x:c r="B932" s="12" t="str">
        <x:v>05/24/2024</x:v>
      </x:c>
      <x:c r="C932" s="12" t="str">
        <x:v>25 May 2024</x:v>
      </x:c>
      <x:c r="D932" s="12" t="str">
        <x:v>CUST-1007</x:v>
      </x:c>
      <x:c r="E932" s="12" t="str">
        <x:v>Sneha Kapoor</x:v>
      </x:c>
      <x:c r="F932" s="12" t="str">
        <x:v>Small Business</x:v>
      </x:c>
      <x:c r="G932" s="12" t="str">
        <x:v>NORTH</x:v>
      </x:c>
      <x:c r="H932" s="12" t="str">
        <x:v>Punjab</x:v>
      </x:c>
      <x:c r="I932" s="12" t="str">
        <x:v>Ludhiana</x:v>
      </x:c>
      <x:c r="J932" s="12" t="str">
        <x:v>Technology</x:v>
      </x:c>
      <x:c r="K932" s="12" t="str">
        <x:v>Copiers</x:v>
      </x:c>
      <x:c r="L932" s="12" t="str">
        <x:v>Max Copiers 970</x:v>
      </x:c>
      <x:c r="M932" s="12" t="str">
        <x:v>Same Day</x:v>
      </x:c>
      <x:c r="N932" s="12" t="n">
        <x:v>1</x:v>
      </x:c>
      <x:c r="O932" s="12" t="n">
        <x:v>634.13</x:v>
      </x:c>
      <x:c r="P932" s="12" t="n">
        <x:v>0</x:v>
      </x:c>
      <x:c r="Q932" s="12" t="n">
        <x:v>808.67</x:v>
      </x:c>
      <x:c r="R932" s="12" t="n">
        <x:v>453.35</x:v>
      </x:c>
      <x:c r="S932" s="12" t="n">
        <x:v>180.78</x:v>
      </x:c>
      <x:c r="T932" s="12" t="str">
        <x:v>Refunded</x:v>
      </x:c>
      <x:c r="U932" s="12" t="str">
        <x:v>Returned</x:v>
      </x:c>
    </x:row>
    <x:row r="933">
      <x:c r="A933" s="12" t="str">
        <x:v>ORD-2025-10336</x:v>
      </x:c>
      <x:c r="B933" s="12" t="str">
        <x:v>06/16/2025</x:v>
      </x:c>
      <x:c r="C933" s="12" t="str">
        <x:v>18 Jun 2025</x:v>
      </x:c>
      <x:c r="D933" s="12" t="str">
        <x:v>CUST-3621</x:v>
      </x:c>
      <x:c r="E933" s="12" t="str">
        <x:v>Rahul Verma</x:v>
      </x:c>
      <x:c r="F933" s="12" t="str">
        <x:v>Home Office</x:v>
      </x:c>
      <x:c r="G933" s="12" t="str">
        <x:v>West</x:v>
      </x:c>
      <x:c r="H933" s="12" t="str">
        <x:v>Madhya Pradesh</x:v>
      </x:c>
      <x:c r="I933" s="12" t="str">
        <x:v>Indore</x:v>
      </x:c>
      <x:c r="J933" s="12" t="str">
        <x:v>Office Supplies</x:v>
      </x:c>
      <x:c r="K933" s="12" t="str">
        <x:v>Paper</x:v>
      </x:c>
      <x:c r="L933" s="12" t="str">
        <x:v>Prime Paper 559</x:v>
      </x:c>
      <x:c r="M933" s="12" t="str">
        <x:v>First Class</x:v>
      </x:c>
      <x:c r="N933" s="12" t="n">
        <x:v>3</x:v>
      </x:c>
      <x:c r="O933" s="12" t="n">
        <x:v>4289.37</x:v>
      </x:c>
      <x:c r="P933" s="12" t="n">
        <x:v>0.1</x:v>
      </x:c>
      <x:c r="Q933" s="12" t="n">
        <x:v>11778.71</x:v>
      </x:c>
      <x:c r="R933" s="12" t="n">
        <x:v>6829.43</x:v>
      </x:c>
      <x:c r="S933" s="12" t="n">
        <x:v>4751.87</x:v>
      </x:c>
      <x:c r="T933" s="12" t="str">
        <x:v>Paid</x:v>
      </x:c>
      <x:c r="U933" s="12" t="str">
        <x:v>Returned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28" customHeight="1">
      <x:c r="A1" s="6" t="str">
        <x:v>Rule Area</x:v>
      </x:c>
      <x:c r="B1" s="6" t="str">
        <x:v>Student-Facing Rule</x:v>
      </x:c>
    </x:row>
    <x:row r="2">
      <x:c r="A2" s="14" t="str">
        <x:v>Raw file</x:v>
      </x:c>
      <x:c r="B2" s="14" t="str">
        <x:v>Do not overwrite raw_orders.xlsx. Create cleaned_orders.xlsx separately.</x:v>
      </x:c>
    </x:row>
    <x:row r="3">
      <x:c r="A3" s="14" t="str">
        <x:v>Missing region</x:v>
      </x:c>
      <x:c r="B3" s="14" t="str">
        <x:v>Fill as Unknown and flag in quality report.</x:v>
      </x:c>
    </x:row>
    <x:row r="4">
      <x:c r="A4" s="14" t="str">
        <x:v>Missing ship_mode</x:v>
      </x:c>
      <x:c r="B4" s="14" t="str">
        <x:v>Fill as Unknown and flag in quality report.</x:v>
      </x:c>
    </x:row>
    <x:row r="5">
      <x:c r="A5" s="14" t="str">
        <x:v>Missing discount</x:v>
      </x:c>
      <x:c r="B5" s="14" t="str">
        <x:v>Treat as 0 only if all other sales fields are valid; otherwise flag.</x:v>
      </x:c>
    </x:row>
    <x:row r="6">
      <x:c r="A6" s="14" t="str">
        <x:v>Discount</x:v>
      </x:c>
      <x:c r="B6" s="14" t="str">
        <x:v>Flag negative discounts and unusually high discounts as invalid.</x:v>
      </x:c>
    </x:row>
    <x:row r="7">
      <x:c r="A7" s="14" t="str">
        <x:v>Cancelled/Failed/Refunded</x:v>
      </x:c>
      <x:c r="B7" s="14" t="str">
        <x:v>Do not include non-completed/failed/refunded records in completed-sales summaries.</x:v>
      </x:c>
    </x:row>
    <x:row r="8">
      <x:c r="A8" s="14" t="str">
        <x:v>Date sequence</x:v>
      </x:c>
      <x:c r="B8" s="14" t="str">
        <x:v>Flag ship_date earlier than order_date.</x:v>
      </x:c>
    </x:row>
    <x:row r="9">
      <x:c r="A9" s="14" t="str">
        <x:v>Duplicates</x:v>
      </x:c>
      <x:c r="B9" s="14" t="str">
        <x:v>Remove exact duplicate copies; flag conflicting duplicate order IDs.</x:v>
      </x:c>
    </x:row>
    <x:row r="10">
      <x:c r="A10" s="14" t="str">
        <x:v>Calculated fields</x:v>
      </x:c>
      <x:c r="B10" s="14" t="str">
        <x:v>Create calculated_sales, calculated_profit, profit_margin, shipping_delay_days, order_month, order_year, and data_quality_flag.</x:v>
      </x:c>
    </x:row>
    <x:row r="11">
      <x:c r="A11" s="14" t="str">
        <x:v>Documentation</x:v>
      </x:c>
      <x:c r="B11" s="14" t="str">
        <x:v>Document cleaning decisions and assumptions in cleaning_log.md.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7" hidden="0" customWidth="1"/>
    <x:col min="3" max="3" width="15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5" hidden="0" customWidth="1"/>
    <x:col min="10" max="10" width="16" hidden="0" customWidth="1"/>
    <x:col min="11" max="11" width="14" hidden="0" customWidth="1"/>
    <x:col min="13" max="13" width="18" hidden="0" customWidth="1"/>
    <x:col min="14" max="14" width="16" hidden="0" customWidth="1"/>
  </x:cols>
  <x:sheetData>
    <x:row r="1" ht="26" customHeight="1">
      <x:c r="A1" s="31" t="str">
        <x:v>Order Sales Data – Cleaned Business Review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>
      <x:c r="M2" s="94" t="str">
        <x:v>Category</x:v>
      </x:c>
      <x:c r="N2" s="94" t="str">
        <x:v>Validated Sales</x:v>
      </x:c>
    </x:row>
    <x:row r="3" ht="34" customHeight="1">
      <x:c r="A3" s="35" t="str">
        <x:v>Key performance indicators</x:v>
      </x:c>
      <x:c r="B3" s="35"/>
      <x:c r="F3" s="135" t="str">
        <x:v>Scope note: Completed sales include only Completed + Paid records with valid discounts and no unresolved Review-level issue. Cancelled and failed-payment records are excluded; Refunded payments are separately summarized.</x:v>
      </x:c>
      <x:c r="G3" s="135"/>
      <x:c r="H3" s="135"/>
      <x:c r="I3" s="135"/>
      <x:c r="J3" s="135"/>
      <x:c r="K3" s="135"/>
      <x:c r="M3" t="str">
        <x:v>Furniture</x:v>
      </x:c>
      <x:c r="N3" s="36" t="n">
        <x:f>C17</x:f>
        <x:v>1708804.170000001</x:v>
      </x:c>
    </x:row>
    <x:row r="4" ht="28" customHeight="1">
      <x:c r="A4" s="94" t="str">
        <x:v>Metric</x:v>
      </x:c>
      <x:c r="B4" s="94" t="str">
        <x:v>Value</x:v>
      </x:c>
      <x:c r="F4" s="42"/>
      <x:c r="G4" s="42"/>
      <x:c r="H4" s="42"/>
      <x:c r="I4" s="42"/>
      <x:c r="J4" s="42"/>
      <x:c r="K4" s="42"/>
      <x:c r="M4" t="str">
        <x:v>Office Supplies</x:v>
      </x:c>
      <x:c r="N4" s="36" t="n">
        <x:f>C18</x:f>
        <x:v>1681513.6500000013</x:v>
      </x:c>
    </x:row>
    <x:row r="5" ht="28" customHeight="1">
      <x:c r="A5" s="14" t="str">
        <x:v>Source records</x:v>
      </x:c>
      <x:c r="B5" s="14" t="n">
        <x:f>932</x:f>
        <x:v>932</x:v>
      </x:c>
      <x:c r="F5" s="42"/>
      <x:c r="G5" s="42"/>
      <x:c r="H5" s="42"/>
      <x:c r="I5" s="42"/>
      <x:c r="J5" s="42"/>
      <x:c r="K5" s="42"/>
      <x:c r="M5" t="str">
        <x:v>Technology</x:v>
      </x:c>
      <x:c r="N5" s="36" t="n">
        <x:f>C19</x:f>
        <x:v>1939136.11</x:v>
      </x:c>
    </x:row>
    <x:row r="6">
      <x:c r="A6" s="14" t="str">
        <x:v>Exact duplicate copies removed</x:v>
      </x:c>
      <x:c r="B6" s="14" t="n">
        <x:f>20</x:f>
        <x:v>20</x:v>
      </x:c>
    </x:row>
    <x:row r="7">
      <x:c r="A7" s="14" t="str">
        <x:v>Cleaned records</x:v>
      </x:c>
      <x:c r="B7" s="14" t="n">
        <x:f>COUNTA(Cleaned_Orders!$A$2:$A$913)</x:f>
        <x:v>912</x:v>
      </x:c>
    </x:row>
    <x:row r="8">
      <x:c r="A8" s="14" t="str">
        <x:v>Eligible completed sales orders</x:v>
      </x:c>
      <x:c r="B8" s="14" t="n">
        <x:f>COUNTIF(Cleaned_Orders!$AD$2:$AD$913,"Eligible")</x:f>
        <x:v>537</x:v>
      </x:c>
    </x:row>
    <x:row r="9">
      <x:c r="A9" s="14" t="str">
        <x:v>Validated completed sales</x:v>
      </x:c>
      <x:c r="B9" s="38" t="n">
        <x:f>SUMIFS(Cleaned_Orders!$W$2:$W$913,Cleaned_Orders!$AD$2:$AD$913,"Eligible")</x:f>
        <x:v>5329453.929999994</x:v>
      </x:c>
    </x:row>
    <x:row r="10">
      <x:c r="A10" s="14" t="str">
        <x:v>Validated completed profit</x:v>
      </x:c>
      <x:c r="B10" s="38" t="n">
        <x:f>SUMIFS(Cleaned_Orders!$X$2:$X$913,Cleaned_Orders!$AD$2:$AD$913,"Eligible")</x:f>
        <x:v>1549060.0399999993</x:v>
      </x:c>
    </x:row>
    <x:row r="11">
      <x:c r="A11" s="14" t="str">
        <x:v>Average order value</x:v>
      </x:c>
      <x:c r="B11" s="38" t="n">
        <x:f>IF(B8=0,0,B9/B8)</x:f>
        <x:v>9924.49521415269</x:v>
      </x:c>
    </x:row>
    <x:row r="12">
      <x:c r="A12" s="14" t="str">
        <x:v>Validated profit margin</x:v>
      </x:c>
      <x:c r="B12" s="39" t="n">
        <x:f>IF(B9=0,0,B10/B9)</x:f>
        <x:v>0.29066018026353424</x:v>
      </x:c>
    </x:row>
    <x:row r="13">
      <x:c r="A13" s="14" t="str">
        <x:v>Rows requiring review</x:v>
      </x:c>
      <x:c r="B13" s="14" t="n">
        <x:f>COUNTIF(Cleaned_Orders!$AF$2:$AF$913,"Review")</x:f>
        <x:v>112</x:v>
      </x:c>
    </x:row>
    <x:row r="14">
      <x:c r="A14" t="str">
        <x:v>Refunded orders (separate summary)</x:v>
      </x:c>
      <x:c r="B14" s="136" t="n">
        <x:f>COUNTIF(Cleaned_Orders!$AO$2:$AO$913,"Include in refunded summary")</x:f>
        <x:v>71</x:v>
      </x:c>
    </x:row>
    <x:row r="15">
      <x:c r="A15" s="35" t="str">
        <x:v>Validated completed sales by category</x:v>
      </x:c>
      <x:c r="B15" s="35"/>
      <x:c r="C15" s="35"/>
      <x:c r="D15" s="35"/>
      <x:c r="E15" s="35"/>
      <x:c r="G15" s="35" t="str">
        <x:v>Validated completed sales by region</x:v>
      </x:c>
      <x:c r="H15" s="35"/>
      <x:c r="I15" s="35"/>
      <x:c r="J15" s="35"/>
      <x:c r="K15" s="35"/>
    </x:row>
    <x:row r="16">
      <x:c r="A16" s="94" t="str">
        <x:v>Category</x:v>
      </x:c>
      <x:c r="B16" s="94" t="str">
        <x:v>Eligible Orders</x:v>
      </x:c>
      <x:c r="C16" s="94" t="str">
        <x:v>Validated Sales</x:v>
      </x:c>
      <x:c r="D16" s="94" t="str">
        <x:v>Validated Profit</x:v>
      </x:c>
      <x:c r="E16" s="94" t="str">
        <x:v>Profit Margin</x:v>
      </x:c>
      <x:c r="G16" s="94" t="str">
        <x:v>Region</x:v>
      </x:c>
      <x:c r="H16" s="94" t="str">
        <x:v>Eligible Orders</x:v>
      </x:c>
      <x:c r="I16" s="94" t="str">
        <x:v>Validated Sales</x:v>
      </x:c>
      <x:c r="J16" s="94" t="str">
        <x:v>Validated Profit</x:v>
      </x:c>
      <x:c r="K16" s="94" t="str">
        <x:v>Profit Margin</x:v>
      </x:c>
    </x:row>
    <x:row r="17">
      <x:c r="A17" t="str">
        <x:v>Furniture</x:v>
      </x:c>
      <x:c r="B17" t="n">
        <x:f>COUNTIFS(Cleaned_Orders!$K$2:$K$913,$A17,Cleaned_Orders!$AD$2:$AD$913,"Eligible")</x:f>
        <x:v>178</x:v>
      </x:c>
      <x:c r="C17" s="36" t="n">
        <x:f>SUMIFS(Cleaned_Orders!$W$2:$W$913,Cleaned_Orders!$K$2:$K$913,$A17,Cleaned_Orders!$AD$2:$AD$913,"Eligible")</x:f>
        <x:v>1708804.170000001</x:v>
      </x:c>
      <x:c r="D17" s="36" t="n">
        <x:f>SUMIFS(Cleaned_Orders!$X$2:$X$913,Cleaned_Orders!$K$2:$K$913,$A17,Cleaned_Orders!$AD$2:$AD$913,"Eligible")</x:f>
        <x:v>496014.8999999999</x:v>
      </x:c>
      <x:c r="E17" s="37" t="n">
        <x:f>IF(C17=0,0,D17/C17)</x:f>
        <x:v>0.2902701835049944</x:v>
      </x:c>
      <x:c r="G17" t="str">
        <x:v>North</x:v>
      </x:c>
      <x:c r="H17" t="n">
        <x:f>COUNTIFS(Cleaned_Orders!$H$2:$H$913,$G17,Cleaned_Orders!$AD$2:$AD$913,"Eligible")</x:f>
        <x:v>112</x:v>
      </x:c>
      <x:c r="I17" s="36" t="n">
        <x:f>SUMIFS(Cleaned_Orders!$W$2:$W$913,Cleaned_Orders!$H$2:$H$913,$G17,Cleaned_Orders!$AD$2:$AD$913,"Eligible")</x:f>
        <x:v>1126699.7200000002</x:v>
      </x:c>
      <x:c r="J17" s="36" t="n">
        <x:f>SUMIFS(Cleaned_Orders!$X$2:$X$913,Cleaned_Orders!$H$2:$H$913,$G17,Cleaned_Orders!$AD$2:$AD$913,"Eligible")</x:f>
        <x:v>331075.74999999994</x:v>
      </x:c>
      <x:c r="K17" s="37" t="n">
        <x:f>IF(I17=0,0,J17/I17)</x:f>
        <x:v>0.2938455953463802</x:v>
      </x:c>
    </x:row>
    <x:row r="18">
      <x:c r="A18" t="str">
        <x:v>Office Supplies</x:v>
      </x:c>
      <x:c r="B18" t="n">
        <x:f>COUNTIFS(Cleaned_Orders!$K$2:$K$913,$A18,Cleaned_Orders!$AD$2:$AD$913,"Eligible")</x:f>
        <x:v>171</x:v>
      </x:c>
      <x:c r="C18" s="36" t="n">
        <x:f>SUMIFS(Cleaned_Orders!$W$2:$W$913,Cleaned_Orders!$K$2:$K$913,$A18,Cleaned_Orders!$AD$2:$AD$913,"Eligible")</x:f>
        <x:v>1681513.6500000013</x:v>
      </x:c>
      <x:c r="D18" s="36" t="n">
        <x:f>SUMIFS(Cleaned_Orders!$X$2:$X$913,Cleaned_Orders!$K$2:$K$913,$A18,Cleaned_Orders!$AD$2:$AD$913,"Eligible")</x:f>
        <x:v>470875.8499999998</x:v>
      </x:c>
      <x:c r="E18" s="37" t="n">
        <x:f>IF(C18=0,0,D18/C18)</x:f>
        <x:v>0.2800309411701769</x:v>
      </x:c>
      <x:c r="G18" t="str">
        <x:v>South</x:v>
      </x:c>
      <x:c r="H18" t="n">
        <x:f>COUNTIFS(Cleaned_Orders!$H$2:$H$913,$G18,Cleaned_Orders!$AD$2:$AD$913,"Eligible")</x:f>
        <x:v>137</x:v>
      </x:c>
      <x:c r="I18" s="36" t="n">
        <x:f>SUMIFS(Cleaned_Orders!$W$2:$W$913,Cleaned_Orders!$H$2:$H$913,$G18,Cleaned_Orders!$AD$2:$AD$913,"Eligible")</x:f>
        <x:v>1427391.840000001</x:v>
      </x:c>
      <x:c r="J18" s="36" t="n">
        <x:f>SUMIFS(Cleaned_Orders!$X$2:$X$913,Cleaned_Orders!$H$2:$H$913,$G18,Cleaned_Orders!$AD$2:$AD$913,"Eligible")</x:f>
        <x:v>408387.92000000004</x:v>
      </x:c>
      <x:c r="K18" s="37" t="n">
        <x:f>IF(I18=0,0,J18/I18)</x:f>
        <x:v>0.2861077866327159</x:v>
      </x:c>
    </x:row>
    <x:row r="19">
      <x:c r="A19" t="str">
        <x:v>Technology</x:v>
      </x:c>
      <x:c r="B19" t="n">
        <x:f>COUNTIFS(Cleaned_Orders!$K$2:$K$913,$A19,Cleaned_Orders!$AD$2:$AD$913,"Eligible")</x:f>
        <x:v>188</x:v>
      </x:c>
      <x:c r="C19" s="36" t="n">
        <x:f>SUMIFS(Cleaned_Orders!$W$2:$W$913,Cleaned_Orders!$K$2:$K$913,$A19,Cleaned_Orders!$AD$2:$AD$913,"Eligible")</x:f>
        <x:v>1939136.11</x:v>
      </x:c>
      <x:c r="D19" s="36" t="n">
        <x:f>SUMIFS(Cleaned_Orders!$X$2:$X$913,Cleaned_Orders!$K$2:$K$913,$A19,Cleaned_Orders!$AD$2:$AD$913,"Eligible")</x:f>
        <x:v>582169.2899999998</x:v>
      </x:c>
      <x:c r="E19" s="37" t="n">
        <x:f>IF(C19=0,0,D19/C19)</x:f>
        <x:v>0.3002209525147772</x:v>
      </x:c>
      <x:c r="G19" t="str">
        <x:v>East</x:v>
      </x:c>
      <x:c r="H19" t="n">
        <x:f>COUNTIFS(Cleaned_Orders!$H$2:$H$913,$G19,Cleaned_Orders!$AD$2:$AD$913,"Eligible")</x:f>
        <x:v>130</x:v>
      </x:c>
      <x:c r="I19" s="36" t="n">
        <x:f>SUMIFS(Cleaned_Orders!$W$2:$W$913,Cleaned_Orders!$H$2:$H$913,$G19,Cleaned_Orders!$AD$2:$AD$913,"Eligible")</x:f>
        <x:v>1247672.6300000008</x:v>
      </x:c>
      <x:c r="J19" s="36" t="n">
        <x:f>SUMIFS(Cleaned_Orders!$X$2:$X$913,Cleaned_Orders!$H$2:$H$913,$G19,Cleaned_Orders!$AD$2:$AD$913,"Eligible")</x:f>
        <x:v>371870.70999999985</x:v>
      </x:c>
      <x:c r="K19" s="37" t="n">
        <x:f>IF(I19=0,0,J19/I19)</x:f>
        <x:v>0.29805150891223736</x:v>
      </x:c>
    </x:row>
    <x:row r="20">
      <x:c r="G20" t="str">
        <x:v>West</x:v>
      </x:c>
      <x:c r="H20" t="n">
        <x:f>COUNTIFS(Cleaned_Orders!$H$2:$H$913,$G20,Cleaned_Orders!$AD$2:$AD$913,"Eligible")</x:f>
        <x:v>140</x:v>
      </x:c>
      <x:c r="I20" s="36" t="n">
        <x:f>SUMIFS(Cleaned_Orders!$W$2:$W$913,Cleaned_Orders!$H$2:$H$913,$G20,Cleaned_Orders!$AD$2:$AD$913,"Eligible")</x:f>
        <x:v>1360140.47</x:v>
      </x:c>
      <x:c r="J20" s="36" t="n">
        <x:f>SUMIFS(Cleaned_Orders!$X$2:$X$913,Cleaned_Orders!$H$2:$H$913,$G20,Cleaned_Orders!$AD$2:$AD$913,"Eligible")</x:f>
        <x:v>385718.1300000001</x:v>
      </x:c>
      <x:c r="K20" s="37" t="n">
        <x:f>IF(I20=0,0,J20/I20)</x:f>
        <x:v>0.2835869812770148</x:v>
      </x:c>
    </x:row>
    <x:row r="21">
      <x:c r="G21" t="str">
        <x:v>Unknown</x:v>
      </x:c>
      <x:c r="H21" t="n">
        <x:f>COUNTIFS(Cleaned_Orders!$H$2:$H$913,$G21,Cleaned_Orders!$AD$2:$AD$913,"Eligible")</x:f>
        <x:v>18</x:v>
      </x:c>
      <x:c r="I21" s="36" t="n">
        <x:f>SUMIFS(Cleaned_Orders!$W$2:$W$913,Cleaned_Orders!$H$2:$H$913,$G21,Cleaned_Orders!$AD$2:$AD$913,"Eligible")</x:f>
        <x:v>167549.27</x:v>
      </x:c>
      <x:c r="J21" s="36" t="n">
        <x:f>SUMIFS(Cleaned_Orders!$X$2:$X$913,Cleaned_Orders!$H$2:$H$913,$G21,Cleaned_Orders!$AD$2:$AD$913,"Eligible")</x:f>
        <x:v>52007.53000000001</x:v>
      </x:c>
      <x:c r="K21" s="37" t="n">
        <x:f>IF(I21=0,0,J21/I21)</x:f>
        <x:v>0.31040141207419175</x:v>
      </x:c>
    </x:row>
    <x:row r="23">
      <x:c r="A23" s="35" t="str">
        <x:v>Data-quality issue snapshot</x:v>
      </x:c>
      <x:c r="B23" s="35"/>
      <x:c r="C23" s="35"/>
      <x:c r="D23" s="35"/>
      <x:c r="E23" s="35"/>
    </x:row>
    <x:row r="24">
      <x:c r="A24" s="20" t="str">
        <x:v>Issue Category</x:v>
      </x:c>
      <x:c r="B24" s="20" t="str">
        <x:v>Occurrences</x:v>
      </x:c>
      <x:c r="C24" s="20" t="str">
        <x:v>Affected Source Rows</x:v>
      </x:c>
      <x:c r="D24" s="20" t="str">
        <x:v>Retained Cleaned Rows</x:v>
      </x:c>
    </x:row>
    <x:row r="25">
      <x:c r="A25" s="14" t="str">
        <x:v>Text standardization</x:v>
      </x:c>
      <x:c r="B25" s="14" t="n">
        <x:v>106</x:v>
      </x:c>
      <x:c r="C25" s="14" t="n">
        <x:v>106</x:v>
      </x:c>
      <x:c r="D25" s="14" t="n">
        <x:v>102</x:v>
      </x:c>
    </x:row>
    <x:row r="26">
      <x:c r="A26" s="14" t="str">
        <x:v>Missing text value</x:v>
      </x:c>
      <x:c r="B26" s="14" t="n">
        <x:v>48</x:v>
      </x:c>
      <x:c r="C26" s="14" t="n">
        <x:v>47</x:v>
      </x:c>
      <x:c r="D26" s="14" t="n">
        <x:v>45</x:v>
      </x:c>
    </x:row>
    <x:row r="27">
      <x:c r="A27" s="14" t="str">
        <x:v>Missing discount</x:v>
      </x:c>
      <x:c r="B27" s="14" t="n">
        <x:v>18</x:v>
      </x:c>
      <x:c r="C27" s="14" t="n">
        <x:v>18</x:v>
      </x:c>
      <x:c r="D27" s="14" t="n">
        <x:v>18</x:v>
      </x:c>
    </x:row>
    <x:row r="28">
      <x:c r="A28" s="14" t="str">
        <x:v>Discount format</x:v>
      </x:c>
      <x:c r="B28" s="14" t="n">
        <x:v>8</x:v>
      </x:c>
      <x:c r="C28" s="14" t="n">
        <x:v>8</x:v>
      </x:c>
      <x:c r="D28" s="14" t="n">
        <x:v>8</x:v>
      </x:c>
    </x:row>
    <x:row r="29">
      <x:c r="A29" s="14" t="str">
        <x:v>Invalid discount</x:v>
      </x:c>
      <x:c r="B29" s="14" t="n">
        <x:v>31</x:v>
      </x:c>
      <x:c r="C29" s="14" t="n">
        <x:v>31</x:v>
      </x:c>
      <x:c r="D29" s="14" t="n">
        <x:v>30</x:v>
      </x:c>
    </x:row>
    <x:row r="30">
      <x:c r="A30" s="14" t="str">
        <x:v>Sales calculation mismatch</x:v>
      </x:c>
      <x:c r="B30" s="14" t="n">
        <x:v>34</x:v>
      </x:c>
      <x:c r="C30" s="14" t="n">
        <x:v>34</x:v>
      </x:c>
      <x:c r="D30" s="14" t="n">
        <x:v>34</x:v>
      </x:c>
    </x:row>
    <x:row r="31">
      <x:c r="A31" s="14" t="str">
        <x:v>Profit calculation mismatch</x:v>
      </x:c>
      <x:c r="B31" s="14" t="n">
        <x:v>41</x:v>
      </x:c>
      <x:c r="C31" s="14" t="n">
        <x:v>41</x:v>
      </x:c>
      <x:c r="D31" s="14" t="n">
        <x:v>40</x:v>
      </x:c>
    </x:row>
    <x:row r="32">
      <x:c r="A32" s="14" t="str">
        <x:v>Date sequence</x:v>
      </x:c>
      <x:c r="B32" s="14" t="n">
        <x:v>22</x:v>
      </x:c>
      <x:c r="C32" s="14" t="n">
        <x:v>22</x:v>
      </x:c>
      <x:c r="D32" s="14" t="n">
        <x:v>21</x:v>
      </x:c>
    </x:row>
    <x:row r="33">
      <x:c r="A33" s="14" t="str">
        <x:v>Status inconsistency</x:v>
      </x:c>
      <x:c r="B33" s="14" t="n">
        <x:v>2</x:v>
      </x:c>
      <x:c r="C33" s="14" t="n">
        <x:v>2</x:v>
      </x:c>
      <x:c r="D33" s="14" t="n">
        <x:v>2</x:v>
      </x:c>
    </x:row>
    <x:row r="34">
      <x:c r="A34" s="14" t="str">
        <x:v>Exact duplicate</x:v>
      </x:c>
      <x:c r="B34" s="14" t="n">
        <x:v>20</x:v>
      </x:c>
      <x:c r="C34" s="14" t="n">
        <x:v>20</x:v>
      </x:c>
      <x:c r="D34" s="14" t="n">
        <x:v>0</x:v>
      </x:c>
    </x:row>
    <x:row r="35">
      <x:c r="A35" s="14" t="str">
        <x:v>Conflicting duplicate ID</x:v>
      </x:c>
      <x:c r="B35" s="14" t="n">
        <x:v>24</x:v>
      </x:c>
      <x:c r="C35" s="14" t="n">
        <x:v>24</x:v>
      </x:c>
      <x:c r="D35" s="14" t="n">
        <x:v>24</x:v>
      </x:c>
    </x:row>
  </x:sheetData>
  <x:mergeCells>
    <x:mergeCell ref="A1:J1"/>
    <x:mergeCell ref="A3:B3"/>
    <x:mergeCell ref="A15:E15"/>
    <x:mergeCell ref="G15:K15"/>
    <x:mergeCell ref="A23:E23"/>
    <x:mergeCell ref="F3:K5"/>
    <x:mergeCell ref="F3:K3"/>
  </x:mergeCells>
  <x:pageMargins left="0.7" right="0.7" top="0.75" bottom="0.75" header="0.3" footer="0.3"/>
  <x:drawing xmlns:r="http://schemas.openxmlformats.org/officeDocument/2006/relationships" r:id="Rf614e70e06ca4b15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2" hidden="0" customWidth="1"/>
    <x:col min="5" max="5" width="14" hidden="0" customWidth="1"/>
    <x:col min="6" max="6" width="20" hidden="0" customWidth="1"/>
    <x:col min="7" max="7" width="16" hidden="0" customWidth="1"/>
    <x:col min="8" max="8" width="1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16" hidden="0" customWidth="1"/>
    <x:col min="15" max="15" width="10" hidden="0" customWidth="1"/>
    <x:col min="16" max="16" width="12" hidden="0" customWidth="1"/>
    <x:col min="17" max="17" width="12" hidden="0" customWidth="1"/>
    <x:col min="18" max="18" width="13" hidden="0" customWidth="1"/>
    <x:col min="19" max="19" width="13" hidden="0" customWidth="1"/>
    <x:col min="20" max="20" width="13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2" hidden="0" customWidth="1"/>
    <x:col min="26" max="26" width="12" hidden="0" customWidth="1"/>
    <x:col min="27" max="27" width="12" hidden="0" customWidth="1"/>
    <x:col min="28" max="28" width="10" hidden="0" customWidth="1"/>
    <x:col min="29" max="29" width="30" hidden="0" customWidth="1"/>
    <x:col min="30" max="30" width="18" hidden="0" customWidth="1"/>
    <x:col min="31" max="31" width="38" hidden="0" customWidth="1"/>
    <x:col min="32" max="32" width="14" hidden="0" customWidth="1"/>
    <x:col min="33" max="33" width="45" hidden="0" customWidth="1"/>
    <x:col min="34" max="34" width="16" hidden="0" customWidth="1"/>
    <x:col min="35" max="35" width="16" hidden="0" customWidth="1"/>
    <x:col min="36" max="36" width="18" hidden="0" customWidth="1"/>
    <x:col min="37" max="37" width="34" hidden="0" customWidth="1"/>
    <x:col min="38" max="38" width="45" hidden="0" customWidth="1"/>
    <x:col min="39" max="39" width="40" hidden="0" customWidth="1"/>
    <x:col min="40" max="40" width="30" hidden="0" customWidth="1"/>
    <x:col min="41" max="41" width="30" hidden="0" customWidth="1"/>
    <x:col min="42" max="42" width="16" hidden="0" customWidth="1"/>
    <x:col min="43" max="43" width="20" hidden="0" customWidth="1"/>
    <x:col min="44" max="44" width="20" hidden="0" customWidth="1"/>
    <x:col min="45" max="45" width="40" hidden="0" customWidth="1"/>
  </x:cols>
  <x:sheetData>
    <x:row r="1" ht="34" customHeight="1">
      <x:c r="A1" s="157" t="str">
        <x:v>source_row</x:v>
      </x:c>
      <x:c r="B1" s="157" t="str">
        <x:v>order_id</x:v>
      </x:c>
      <x:c r="C1" s="157" t="str">
        <x:v>order_date</x:v>
      </x:c>
      <x:c r="D1" s="157" t="str">
        <x:v>ship_date</x:v>
      </x:c>
      <x:c r="E1" s="157" t="str">
        <x:v>customer_id</x:v>
      </x:c>
      <x:c r="F1" s="157" t="str">
        <x:v>customer_name</x:v>
      </x:c>
      <x:c r="G1" s="157" t="str">
        <x:v>segment</x:v>
      </x:c>
      <x:c r="H1" s="157" t="str">
        <x:v>region</x:v>
      </x:c>
      <x:c r="I1" s="157" t="str">
        <x:v>state</x:v>
      </x:c>
      <x:c r="J1" s="157" t="str">
        <x:v>city</x:v>
      </x:c>
      <x:c r="K1" s="157" t="str">
        <x:v>category</x:v>
      </x:c>
      <x:c r="L1" s="157" t="str">
        <x:v>sub_category</x:v>
      </x:c>
      <x:c r="M1" s="157" t="str">
        <x:v>product_name</x:v>
      </x:c>
      <x:c r="N1" s="157" t="str">
        <x:v>ship_mode</x:v>
      </x:c>
      <x:c r="O1" s="157" t="str">
        <x:v>quantity</x:v>
      </x:c>
      <x:c r="P1" s="157" t="str">
        <x:v>unit_price</x:v>
      </x:c>
      <x:c r="Q1" s="157" t="str">
        <x:v>discount</x:v>
      </x:c>
      <x:c r="R1" s="157" t="str">
        <x:v>sales_raw</x:v>
      </x:c>
      <x:c r="S1" s="157" t="str">
        <x:v>cost_raw</x:v>
      </x:c>
      <x:c r="T1" s="157" t="str">
        <x:v>profit_raw</x:v>
      </x:c>
      <x:c r="U1" s="157" t="str">
        <x:v>payment_status</x:v>
      </x:c>
      <x:c r="V1" s="157" t="str">
        <x:v>order_status</x:v>
      </x:c>
      <x:c r="W1" s="157" t="str">
        <x:v>calculated_sales</x:v>
      </x:c>
      <x:c r="X1" s="157" t="str">
        <x:v>calculated_profit</x:v>
      </x:c>
      <x:c r="Y1" s="157" t="str">
        <x:v>profit_margin</x:v>
      </x:c>
      <x:c r="Z1" s="157" t="str">
        <x:v>shipping_delay_days</x:v>
      </x:c>
      <x:c r="AA1" s="157" t="str">
        <x:v>order_month</x:v>
      </x:c>
      <x:c r="AB1" s="157" t="str">
        <x:v>order_year</x:v>
      </x:c>
      <x:c r="AC1" s="157" t="str">
        <x:v>status_consistency</x:v>
      </x:c>
      <x:c r="AD1" s="157" t="str">
        <x:v>summary_eligibility</x:v>
      </x:c>
      <x:c r="AE1" s="157" t="str">
        <x:v>data_quality_flag</x:v>
      </x:c>
      <x:c r="AF1" s="157" t="str">
        <x:v>data_quality_status</x:v>
      </x:c>
      <x:c r="AG1" s="157" t="str">
        <x:v>cleaning_actions</x:v>
      </x:c>
      <x:c r="AH1" s="157" t="str">
        <x:v>order_date_validation</x:v>
      </x:c>
      <x:c r="AI1" s="157" t="str">
        <x:v>ship_date_validation</x:v>
      </x:c>
      <x:c r="AJ1" s="157" t="str">
        <x:v>date_sequence_validation</x:v>
      </x:c>
      <x:c r="AK1" s="157" t="str">
        <x:v>date_validation_notes</x:v>
      </x:c>
      <x:c r="AL1" s="157" t="str">
        <x:v>business_rule_flags</x:v>
      </x:c>
      <x:c r="AM1" s="157" t="str">
        <x:v>discount_rule_result</x:v>
      </x:c>
      <x:c r="AN1" s="157" t="str">
        <x:v>completed_sales_rule</x:v>
      </x:c>
      <x:c r="AO1" s="157" t="str">
        <x:v>refund_summary_status</x:v>
      </x:c>
      <x:c r="AP1" s="157" t="str">
        <x:v>cleaned_discount</x:v>
      </x:c>
      <x:c r="AQ1" s="157" t="str">
        <x:v>sales_calculation_variance</x:v>
      </x:c>
      <x:c r="AR1" s="157" t="str">
        <x:v>profit_calculation_variance</x:v>
      </x:c>
      <x:c r="AS1" s="157" t="str">
        <x:v>data_quality_details</x:v>
      </x:c>
      <x:c r="AZ1"/>
    </x:row>
    <x:row r="2">
      <x:c r="A2" s="80" t="n">
        <x:v>2</x:v>
      </x:c>
      <x:c r="B2" s="80" t="str">
        <x:v>ORD-2024-10001</x:v>
      </x:c>
      <x:c r="C2" s="81" t="n">
        <x:v>45494</x:v>
      </x:c>
      <x:c r="D2" s="81" t="n">
        <x:v>45500</x:v>
      </x:c>
      <x:c r="E2" s="80" t="str">
        <x:v>CUST-4655</x:v>
      </x:c>
      <x:c r="F2" s="80" t="str">
        <x:v>Karan Malhotra</x:v>
      </x:c>
      <x:c r="G2" s="80" t="str">
        <x:v>Consumer</x:v>
      </x:c>
      <x:c r="H2" s="80" t="str">
        <x:v>North</x:v>
      </x:c>
      <x:c r="I2" s="80" t="str">
        <x:v>Rajasthan</x:v>
      </x:c>
      <x:c r="J2" s="80" t="str">
        <x:v>Jaipur</x:v>
      </x:c>
      <x:c r="K2" s="80" t="str">
        <x:v>Office Supplies</x:v>
      </x:c>
      <x:c r="L2" s="80" t="str">
        <x:v>Paper</x:v>
      </x:c>
      <x:c r="M2" s="80" t="str">
        <x:v>Pro Paper 122</x:v>
      </x:c>
      <x:c r="N2" s="80" t="str">
        <x:v>Second Class</x:v>
      </x:c>
      <x:c r="O2" s="82" t="n">
        <x:v>8</x:v>
      </x:c>
      <x:c r="P2" s="83" t="n">
        <x:v>2976.45</x:v>
      </x:c>
      <x:c r="Q2" s="84" t="n">
        <x:v>0.2</x:v>
      </x:c>
      <x:c r="R2" s="83" t="n">
        <x:v>19049.28</x:v>
      </x:c>
      <x:c r="S2" s="83" t="n">
        <x:v>15841.89</x:v>
      </x:c>
      <x:c r="T2" s="83" t="n">
        <x:v>3207.39</x:v>
      </x:c>
      <x:c r="U2" s="83" t="str">
        <x:v>Paid</x:v>
      </x:c>
      <x:c r="V2" s="83" t="str">
        <x:v>Completed</x:v>
      </x:c>
      <x:c r="W2" s="151" t="n">
        <x:f>IF(OR(NOT(ISNUMBER($AP2)),COUNT($O2,$P2)&lt;2,$O2&lt;=0,$P2&lt;0),"",ROUND($O2*$P2*(1-$AP2),2))</x:f>
        <x:v>19049.28</x:v>
      </x:c>
      <x:c r="X2" s="151" t="n">
        <x:f>IF(OR(NOT(ISNUMBER($W2)),NOT(ISNUMBER($S2))),"",ROUND($W2-$S2,2))</x:f>
        <x:v>3207.39</x:v>
      </x:c>
      <x:c r="Y2" s="85" t="n">
        <x:f>IF(OR(NOT(ISNUMBER($W2)),NOT(ISNUMBER($X2)),$W2=0),"",ROUND($X2/$W2,4))</x:f>
        <x:v>0.1684</x:v>
      </x:c>
      <x:c r="Z2" s="82" t="n">
        <x:f>IF(OR($AH2&lt;&gt;"Valid",$AI2&lt;&gt;"Valid"),"",INT($D2-$C2))</x:f>
        <x:v>6</x:v>
      </x:c>
      <x:c r="AA2" s="86" t="str">
        <x:f>IF($AH2&lt;&gt;"Valid","",TEXT($C2,"mmmm"))</x:f>
        <x:v>July</x:v>
      </x:c>
      <x:c r="AB2" s="82" t="n">
        <x:f>IF($AH2&lt;&gt;"Valid","",YEAR($C2))</x:f>
        <x:v>2024</x:v>
      </x:c>
      <x:c r="AC2" s="80" t="str">
        <x:v>Consistent</x:v>
      </x:c>
      <x:c r="AD2" s="80" t="str">
        <x:v>Eligible</x:v>
      </x:c>
      <x:c r="AE2" s="80" t="str">
        <x:f>IF(OR($AH2&lt;&gt;"Valid",$AI2&lt;&gt;"Valid",$AJ2&lt;&gt;"Valid",LEFT($AM2,7)="Invalid",IFERROR(ABS($AQ2)&gt;0.01,FALSE),IFERROR(ABS($AR2)&gt;0.01,FALSE),COUNTIF($AS2,"*Conflicting duplicate*")&gt;0,COUNTIF($AS2,"*Completed order not paid*")&gt;0),"Invalid",IF(OR($H2="Unknown",$N2="Unknown",$AM2="Missing discount imputed as 0"),"Warning","Clean"))</x:f>
        <x:v>Clean</x:v>
      </x:c>
      <x:c r="AF2" s="80" t="str">
        <x:v>Cleaned</x:v>
      </x:c>
      <x:c r="AG2" s="80" t="str">
        <x:v>region: TRIM/SUBSTITUTE whitespace cleanup</x:v>
      </x:c>
      <x:c r="AH2" s="12" t="str">
        <x:f>IF(C2="","Missing date",IF(ISNUMBER(C2),"Valid","Unrecognized/invalid date"))</x:f>
        <x:v>Valid</x:v>
      </x:c>
      <x:c r="AI2" s="12" t="str">
        <x:f>IF(D2="","Missing date",IF(ISNUMBER(D2),"Valid","Unrecognized/invalid date"))</x:f>
        <x:v>Valid</x:v>
      </x:c>
      <x:c r="AJ2" s="12" t="str">
        <x:v>Valid</x:v>
      </x:c>
      <x:c r="AK2" s="12" t="str">
        <x:v>Pass</x:v>
      </x:c>
      <x:c r="AL2" s="12" t="str">
        <x:v>None</x:v>
      </x:c>
      <x:c r="AM2" s="12" t="str">
        <x:v>Valid</x:v>
      </x:c>
      <x:c r="AN2" s="12" t="str">
        <x:v>Include in completed sales</x:v>
      </x:c>
      <x:c r="AO2" s="12" t="str">
        <x:v>Not a refunded record</x:v>
      </x:c>
      <x:c r="AP2" s="37" t="n">
        <x:f>IF(LEFT($AM2,7)="Invalid","",IF($AM2="Missing discount imputed as 0",IF(AND(COUNT($O2,$P2,$R2,$S2)=4,$O2&gt;0,$P2&gt;=0,$R2&gt;=0,$S2&gt;=0),0,""),IF(AND(ISNUMBER($Q2),$Q2&gt;=0,$Q2&lt;=0.5),$Q2,"")))</x:f>
        <x:v>0.2</x:v>
      </x:c>
      <x:c r="AQ2" s="152" t="n">
        <x:f>IF(OR($W2="",NOT(ISNUMBER($R2))),"",ROUND($R2-$W2,2))</x:f>
        <x:v>0</x:v>
      </x:c>
      <x:c r="AR2" s="152" t="n">
        <x:f>IF(OR($X2="",NOT(ISNUMBER($T2))),"",ROUND($T2-$X2,2))</x:f>
        <x:v>0</x:v>
      </x:c>
      <x:c r="AS2" s="14" t="str">
        <x:v>OK</x:v>
      </x:c>
    </x:row>
    <x:row r="3">
      <x:c r="A3" s="80" t="n">
        <x:v>3</x:v>
      </x:c>
      <x:c r="B3" s="80" t="str">
        <x:v>ORD-2024-10002</x:v>
      </x:c>
      <x:c r="C3" s="81" t="n">
        <x:v>45535</x:v>
      </x:c>
      <x:c r="D3" s="81" t="n">
        <x:v>45540</x:v>
      </x:c>
      <x:c r="E3" s="80" t="str">
        <x:v>CUST-2054</x:v>
      </x:c>
      <x:c r="F3" s="80" t="str">
        <x:v>Mira Das</x:v>
      </x:c>
      <x:c r="G3" s="80" t="str">
        <x:v>Small Business</x:v>
      </x:c>
      <x:c r="H3" s="80" t="str">
        <x:v>East</x:v>
      </x:c>
      <x:c r="I3" s="80" t="str">
        <x:v>Odisha</x:v>
      </x:c>
      <x:c r="J3" s="80" t="str">
        <x:v>Bhubaneswar</x:v>
      </x:c>
      <x:c r="K3" s="80" t="str">
        <x:v>Furniture</x:v>
      </x:c>
      <x:c r="L3" s="80" t="str">
        <x:v>Tables</x:v>
      </x:c>
      <x:c r="M3" s="80" t="str">
        <x:v>Pro Tables 258</x:v>
      </x:c>
      <x:c r="N3" s="80" t="str">
        <x:v>Same Day</x:v>
      </x:c>
      <x:c r="O3" s="82" t="n">
        <x:v>3</x:v>
      </x:c>
      <x:c r="P3" s="83" t="n">
        <x:v>2437.5</x:v>
      </x:c>
      <x:c r="Q3" s="84" t="n">
        <x:v>0</x:v>
      </x:c>
      <x:c r="R3" s="83" t="n">
        <x:v>7312.5</x:v>
      </x:c>
      <x:c r="S3" s="83" t="n">
        <x:v>4904.73</x:v>
      </x:c>
      <x:c r="T3" s="83" t="n">
        <x:v>2407.77</x:v>
      </x:c>
      <x:c r="U3" s="83" t="str">
        <x:v>Paid</x:v>
      </x:c>
      <x:c r="V3" s="83" t="str">
        <x:v>Completed</x:v>
      </x:c>
      <x:c r="W3" s="151" t="n">
        <x:f>IF(OR(NOT(ISNUMBER($AP3)),COUNT($O3,$P3)&lt;2,$O3&lt;=0,$P3&lt;0),"",ROUND($O3*$P3*(1-$AP3),2))</x:f>
        <x:v>7312.5</x:v>
      </x:c>
      <x:c r="X3" s="151" t="n">
        <x:f>IF(OR(NOT(ISNUMBER($W3)),NOT(ISNUMBER($S3))),"",ROUND($W3-$S3,2))</x:f>
        <x:v>2407.77</x:v>
      </x:c>
      <x:c r="Y3" s="85" t="n">
        <x:f>IF(OR(NOT(ISNUMBER($W3)),NOT(ISNUMBER($X3)),$W3=0),"",ROUND($X3/$W3,4))</x:f>
        <x:v>0.3293</x:v>
      </x:c>
      <x:c r="Z3" s="82" t="n">
        <x:f>IF(OR($AH3&lt;&gt;"Valid",$AI3&lt;&gt;"Valid"),"",INT($D3-$C3))</x:f>
        <x:v>5</x:v>
      </x:c>
      <x:c r="AA3" s="86" t="str">
        <x:f>IF($AH3&lt;&gt;"Valid","",TEXT($C3,"mmmm"))</x:f>
        <x:v>August</x:v>
      </x:c>
      <x:c r="AB3" s="82" t="n">
        <x:f>IF($AH3&lt;&gt;"Valid","",YEAR($C3))</x:f>
        <x:v>2024</x:v>
      </x:c>
      <x:c r="AC3" s="80" t="str">
        <x:v>Consistent</x:v>
      </x:c>
      <x:c r="AD3" s="80" t="str">
        <x:v>Eligible</x:v>
      </x:c>
      <x:c r="AE3" s="80" t="str">
        <x:f>IF(OR($AH3&lt;&gt;"Valid",$AI3&lt;&gt;"Valid",$AJ3&lt;&gt;"Valid",LEFT($AM3,7)="Invalid",IFERROR(ABS($AQ3)&gt;0.01,FALSE),IFERROR(ABS($AR3)&gt;0.01,FALSE),COUNTIF($AS3,"*Conflicting duplicate*")&gt;0,COUNTIF($AS3,"*Completed order not paid*")&gt;0),"Invalid",IF(OR($H3="Unknown",$N3="Unknown",$AM3="Missing discount imputed as 0"),"Warning","Clean"))</x:f>
        <x:v>Clean</x:v>
      </x:c>
      <x:c r="AF3" s="80" t="str">
        <x:v>Pass</x:v>
      </x:c>
      <x:c r="AG3" s="80" t="str">
        <x:v>No text cleanup required</x:v>
      </x:c>
      <x:c r="AH3" s="12" t="str">
        <x:f>IF(C3="","Missing date",IF(ISNUMBER(C3),"Valid","Unrecognized/invalid date"))</x:f>
        <x:v>Valid</x:v>
      </x:c>
      <x:c r="AI3" s="12" t="str">
        <x:f>IF(D3="","Missing date",IF(ISNUMBER(D3),"Valid","Unrecognized/invalid date"))</x:f>
        <x:v>Valid</x:v>
      </x:c>
      <x:c r="AJ3" s="12" t="str">
        <x:v>Valid</x:v>
      </x:c>
      <x:c r="AK3" s="12" t="str">
        <x:v>Pass</x:v>
      </x:c>
      <x:c r="AL3" s="12" t="str">
        <x:v>None</x:v>
      </x:c>
      <x:c r="AM3" s="12" t="str">
        <x:v>Valid</x:v>
      </x:c>
      <x:c r="AN3" s="12" t="str">
        <x:v>Include in completed sales</x:v>
      </x:c>
      <x:c r="AO3" s="12" t="str">
        <x:v>Not a refunded record</x:v>
      </x:c>
      <x:c r="AP3" s="37" t="n">
        <x:f>IF(LEFT($AM3,7)="Invalid","",IF($AM3="Missing discount imputed as 0",IF(AND(COUNT($O3,$P3,$R3,$S3)=4,$O3&gt;0,$P3&gt;=0,$R3&gt;=0,$S3&gt;=0),0,""),IF(AND(ISNUMBER($Q3),$Q3&gt;=0,$Q3&lt;=0.5),$Q3,"")))</x:f>
        <x:v>0</x:v>
      </x:c>
      <x:c r="AQ3" s="152" t="n">
        <x:f>IF(OR($W3="",NOT(ISNUMBER($R3))),"",ROUND($R3-$W3,2))</x:f>
        <x:v>0</x:v>
      </x:c>
      <x:c r="AR3" s="152" t="n">
        <x:f>IF(OR($X3="",NOT(ISNUMBER($T3))),"",ROUND($T3-$X3,2))</x:f>
        <x:v>0</x:v>
      </x:c>
      <x:c r="AS3" s="14" t="str">
        <x:v>OK</x:v>
      </x:c>
    </x:row>
    <x:row r="4">
      <x:c r="A4" s="80" t="n">
        <x:v>4</x:v>
      </x:c>
      <x:c r="B4" s="80" t="str">
        <x:v>ORD-2024-10003</x:v>
      </x:c>
      <x:c r="C4" s="81" t="n">
        <x:v>45451</x:v>
      </x:c>
      <x:c r="D4" s="81" t="n">
        <x:v>45458</x:v>
      </x:c>
      <x:c r="E4" s="80" t="str">
        <x:v>CUST-6843</x:v>
      </x:c>
      <x:c r="F4" s="80" t="str">
        <x:v>Isha Nair</x:v>
      </x:c>
      <x:c r="G4" s="80" t="str">
        <x:v>Consumer</x:v>
      </x:c>
      <x:c r="H4" s="80" t="str">
        <x:v>East</x:v>
      </x:c>
      <x:c r="I4" s="80" t="str">
        <x:v>Odisha</x:v>
      </x:c>
      <x:c r="J4" s="80" t="str">
        <x:v>Bhubaneswar</x:v>
      </x:c>
      <x:c r="K4" s="80" t="str">
        <x:v>Office Supplies</x:v>
      </x:c>
      <x:c r="L4" s="80" t="str">
        <x:v>Art</x:v>
      </x:c>
      <x:c r="M4" s="80" t="str">
        <x:v>Elite Art 525</x:v>
      </x:c>
      <x:c r="N4" s="80" t="str">
        <x:v>First Class</x:v>
      </x:c>
      <x:c r="O4" s="82" t="n">
        <x:v>4</x:v>
      </x:c>
      <x:c r="P4" s="83" t="n">
        <x:v>1065.43</x:v>
      </x:c>
      <x:c r="Q4" s="84" t="n">
        <x:v>0.55</x:v>
      </x:c>
      <x:c r="R4" s="83" t="n">
        <x:v>4261.72</x:v>
      </x:c>
      <x:c r="S4" s="83" t="n">
        <x:v>2465.69</x:v>
      </x:c>
      <x:c r="T4" s="83" t="n">
        <x:v>1796.03</x:v>
      </x:c>
      <x:c r="U4" s="83" t="str">
        <x:v>Paid</x:v>
      </x:c>
      <x:c r="V4" s="83" t="str">
        <x:v>Completed</x:v>
      </x:c>
      <x:c r="W4" s="151" t="str">
        <x:f>IF(OR(NOT(ISNUMBER($AP4)),COUNT($O4,$P4)&lt;2,$O4&lt;=0,$P4&lt;0),"",ROUND($O4*$P4*(1-$AP4),2))</x:f>
      </x:c>
      <x:c r="X4" s="151" t="str">
        <x:f>IF(OR(NOT(ISNUMBER($W4)),NOT(ISNUMBER($S4))),"",ROUND($W4-$S4,2))</x:f>
      </x:c>
      <x:c r="Y4" s="85" t="str">
        <x:f>IF(OR(NOT(ISNUMBER($W4)),NOT(ISNUMBER($X4)),$W4=0),"",ROUND($X4/$W4,4))</x:f>
      </x:c>
      <x:c r="Z4" s="82" t="n">
        <x:f>IF(OR($AH4&lt;&gt;"Valid",$AI4&lt;&gt;"Valid"),"",INT($D4-$C4))</x:f>
        <x:v>7</x:v>
      </x:c>
      <x:c r="AA4" s="86" t="str">
        <x:f>IF($AH4&lt;&gt;"Valid","",TEXT($C4,"mmmm"))</x:f>
        <x:v>June</x:v>
      </x:c>
      <x:c r="AB4" s="82" t="n">
        <x:f>IF($AH4&lt;&gt;"Valid","",YEAR($C4))</x:f>
        <x:v>2024</x:v>
      </x:c>
      <x:c r="AC4" s="80" t="str">
        <x:v>Consistent</x:v>
      </x:c>
      <x:c r="AD4" s="80" t="str">
        <x:v>Excluded</x:v>
      </x:c>
      <x:c r="AE4" s="80" t="str">
        <x:f>IF(OR($AH4&lt;&gt;"Valid",$AI4&lt;&gt;"Valid",$AJ4&lt;&gt;"Valid",LEFT($AM4,7)="Invalid",IFERROR(ABS($AQ4)&gt;0.01,FALSE),IFERROR(ABS($AR4)&gt;0.01,FALSE),COUNTIF($AS4,"*Conflicting duplicate*")&gt;0,COUNTIF($AS4,"*Completed order not paid*")&gt;0),"Invalid",IF(OR($H4="Unknown",$N4="Unknown",$AM4="Missing discount imputed as 0"),"Warning","Clean"))</x:f>
        <x:v>Invalid</x:v>
      </x:c>
      <x:c r="AF4" s="80" t="str">
        <x:v>Review</x:v>
      </x:c>
      <x:c r="AG4" s="80" t="str">
        <x:v>No text cleanup required</x:v>
      </x:c>
      <x:c r="AH4" s="12" t="str">
        <x:f>IF(C4="","Missing date",IF(ISNUMBER(C4),"Valid","Unrecognized/invalid date"))</x:f>
        <x:v>Valid</x:v>
      </x:c>
      <x:c r="AI4" s="12" t="str">
        <x:f>IF(D4="","Missing date",IF(ISNUMBER(D4),"Valid","Unrecognized/invalid date"))</x:f>
        <x:v>Valid</x:v>
      </x:c>
      <x:c r="AJ4" s="12" t="str">
        <x:v>Valid</x:v>
      </x:c>
      <x:c r="AK4" s="12" t="str">
        <x:v>Pass</x:v>
      </x:c>
      <x:c r="AL4" s="12" t="str">
        <x:v>None</x:v>
      </x:c>
      <x:c r="AM4" s="12" t="str">
        <x:v>Invalid discount – above 50% allowed range</x:v>
      </x:c>
      <x:c r="AN4" s="12" t="str">
        <x:v>Exclude from completed sales</x:v>
      </x:c>
      <x:c r="AO4" s="12" t="str">
        <x:v>Not a refunded record</x:v>
      </x:c>
      <x:c r="AP4" s="37" t="str">
        <x:f>IF(LEFT($AM4,7)="Invalid","",IF($AM4="Missing discount imputed as 0",IF(AND(COUNT($O4,$P4,$R4,$S4)=4,$O4&gt;0,$P4&gt;=0,$R4&gt;=0,$S4&gt;=0),0,""),IF(AND(ISNUMBER($Q4),$Q4&gt;=0,$Q4&lt;=0.5),$Q4,"")))</x:f>
      </x:c>
      <x:c r="AQ4" s="152" t="str">
        <x:f>IF(OR($W4="",NOT(ISNUMBER($R4))),"",ROUND($R4-$W4,2))</x:f>
      </x:c>
      <x:c r="AR4" s="152" t="str">
        <x:f>IF(OR($X4="",NOT(ISNUMBER($T4))),"",ROUND($T4-$X4,2))</x:f>
      </x:c>
      <x:c r="AS4" s="14" t="str">
        <x:v>Discount above allowed range (&gt;50%)</x:v>
      </x:c>
    </x:row>
    <x:row r="5">
      <x:c r="A5" s="80" t="n">
        <x:v>5</x:v>
      </x:c>
      <x:c r="B5" s="80" t="str">
        <x:v>ORD-2024-10004</x:v>
      </x:c>
      <x:c r="C5" s="81" t="n">
        <x:v>45624</x:v>
      </x:c>
      <x:c r="D5" s="81" t="n">
        <x:v>45625</x:v>
      </x:c>
      <x:c r="E5" s="80" t="str">
        <x:v>CUST-3722</x:v>
      </x:c>
      <x:c r="F5" s="80" t="str">
        <x:v>Arjun Bose</x:v>
      </x:c>
      <x:c r="G5" s="80" t="str">
        <x:v>Small Business</x:v>
      </x:c>
      <x:c r="H5" s="80" t="str">
        <x:v>South</x:v>
      </x:c>
      <x:c r="I5" s="80" t="str">
        <x:v>Telangana</x:v>
      </x:c>
      <x:c r="J5" s="80" t="str">
        <x:v>Hyderabad</x:v>
      </x:c>
      <x:c r="K5" s="80" t="str">
        <x:v>Furniture</x:v>
      </x:c>
      <x:c r="L5" s="80" t="str">
        <x:v>Furnishings</x:v>
      </x:c>
      <x:c r="M5" s="80" t="str">
        <x:v>Smart Furnishings 294</x:v>
      </x:c>
      <x:c r="N5" s="80" t="str">
        <x:v>Standard Class</x:v>
      </x:c>
      <x:c r="O5" s="82" t="n">
        <x:v>6</x:v>
      </x:c>
      <x:c r="P5" s="83" t="n">
        <x:v>1848.43</x:v>
      </x:c>
      <x:c r="Q5" s="84" t="n">
        <x:v>0.25</x:v>
      </x:c>
      <x:c r="R5" s="83" t="n">
        <x:v>8317.93</x:v>
      </x:c>
      <x:c r="S5" s="83" t="n">
        <x:v>6796.77</x:v>
      </x:c>
      <x:c r="T5" s="83" t="n">
        <x:v>1521.16</x:v>
      </x:c>
      <x:c r="U5" s="83" t="str">
        <x:v>Paid</x:v>
      </x:c>
      <x:c r="V5" s="83" t="str">
        <x:v>Completed</x:v>
      </x:c>
      <x:c r="W5" s="151" t="n">
        <x:f>IF(OR(NOT(ISNUMBER($AP5)),COUNT($O5,$P5)&lt;2,$O5&lt;=0,$P5&lt;0),"",ROUND($O5*$P5*(1-$AP5),2))</x:f>
        <x:v>8317.94</x:v>
      </x:c>
      <x:c r="X5" s="151" t="n">
        <x:f>IF(OR(NOT(ISNUMBER($W5)),NOT(ISNUMBER($S5))),"",ROUND($W5-$S5,2))</x:f>
        <x:v>1521.17</x:v>
      </x:c>
      <x:c r="Y5" s="85" t="n">
        <x:f>IF(OR(NOT(ISNUMBER($W5)),NOT(ISNUMBER($X5)),$W5=0),"",ROUND($X5/$W5,4))</x:f>
        <x:v>0.1829</x:v>
      </x:c>
      <x:c r="Z5" s="82" t="n">
        <x:f>IF(OR($AH5&lt;&gt;"Valid",$AI5&lt;&gt;"Valid"),"",INT($D5-$C5))</x:f>
        <x:v>1</x:v>
      </x:c>
      <x:c r="AA5" s="86" t="str">
        <x:f>IF($AH5&lt;&gt;"Valid","",TEXT($C5,"mmmm"))</x:f>
        <x:v>November</x:v>
      </x:c>
      <x:c r="AB5" s="82" t="n">
        <x:f>IF($AH5&lt;&gt;"Valid","",YEAR($C5))</x:f>
        <x:v>2024</x:v>
      </x:c>
      <x:c r="AC5" s="80" t="str">
        <x:v>Consistent</x:v>
      </x:c>
      <x:c r="AD5" s="80" t="str">
        <x:v>Eligible</x:v>
      </x:c>
      <x:c r="AE5" s="80" t="str">
        <x:f>IF(OR($AH5&lt;&gt;"Valid",$AI5&lt;&gt;"Valid",$AJ5&lt;&gt;"Valid",LEFT($AM5,7)="Invalid",IFERROR(ABS($AQ5)&gt;0.01,FALSE),IFERROR(ABS($AR5)&gt;0.01,FALSE),COUNTIF($AS5,"*Conflicting duplicate*")&gt;0,COUNTIF($AS5,"*Completed order not paid*")&gt;0),"Invalid",IF(OR($H5="Unknown",$N5="Unknown",$AM5="Missing discount imputed as 0"),"Warning","Clean"))</x:f>
        <x:v>Clean</x:v>
      </x:c>
      <x:c r="AF5" s="80" t="str">
        <x:v>Pass</x:v>
      </x:c>
      <x:c r="AG5" s="80" t="str">
        <x:v>No text cleanup required</x:v>
      </x:c>
      <x:c r="AH5" s="12" t="str">
        <x:f>IF(C5="","Missing date",IF(ISNUMBER(C5),"Valid","Unrecognized/invalid date"))</x:f>
        <x:v>Valid</x:v>
      </x:c>
      <x:c r="AI5" s="12" t="str">
        <x:f>IF(D5="","Missing date",IF(ISNUMBER(D5),"Valid","Unrecognized/invalid date"))</x:f>
        <x:v>Valid</x:v>
      </x:c>
      <x:c r="AJ5" s="12" t="str">
        <x:v>Valid</x:v>
      </x:c>
      <x:c r="AK5" s="12" t="str">
        <x:v>Pass</x:v>
      </x:c>
      <x:c r="AL5" s="12" t="str">
        <x:v>None</x:v>
      </x:c>
      <x:c r="AM5" s="12" t="str">
        <x:v>Valid</x:v>
      </x:c>
      <x:c r="AN5" s="12" t="str">
        <x:v>Include in completed sales</x:v>
      </x:c>
      <x:c r="AO5" s="12" t="str">
        <x:v>Not a refunded record</x:v>
      </x:c>
      <x:c r="AP5" s="37" t="n">
        <x:f>IF(LEFT($AM5,7)="Invalid","",IF($AM5="Missing discount imputed as 0",IF(AND(COUNT($O5,$P5,$R5,$S5)=4,$O5&gt;0,$P5&gt;=0,$R5&gt;=0,$S5&gt;=0),0,""),IF(AND(ISNUMBER($Q5),$Q5&gt;=0,$Q5&lt;=0.5),$Q5,"")))</x:f>
        <x:v>0.25</x:v>
      </x:c>
      <x:c r="AQ5" s="152" t="n">
        <x:f>IF(OR($W5="",NOT(ISNUMBER($R5))),"",ROUND($R5-$W5,2))</x:f>
        <x:v>-0.01</x:v>
      </x:c>
      <x:c r="AR5" s="152" t="n">
        <x:f>IF(OR($X5="",NOT(ISNUMBER($T5))),"",ROUND($T5-$X5,2))</x:f>
        <x:v>-0.01</x:v>
      </x:c>
      <x:c r="AS5" s="14" t="str">
        <x:v>OK</x:v>
      </x:c>
    </x:row>
    <x:row r="6">
      <x:c r="A6" s="80" t="n">
        <x:v>6</x:v>
      </x:c>
      <x:c r="B6" s="80" t="str">
        <x:v>ORD-2025-10005</x:v>
      </x:c>
      <x:c r="C6" s="81" t="n">
        <x:v>45898</x:v>
      </x:c>
      <x:c r="D6" s="81" t="n">
        <x:v>45901</x:v>
      </x:c>
      <x:c r="E6" s="80" t="str">
        <x:v>CUST-8130</x:v>
      </x:c>
      <x:c r="F6" s="80" t="str">
        <x:v>Ananya Rao</x:v>
      </x:c>
      <x:c r="G6" s="80" t="str">
        <x:v>Small Business</x:v>
      </x:c>
      <x:c r="H6" s="80" t="str">
        <x:v>West</x:v>
      </x:c>
      <x:c r="I6" s="80" t="str">
        <x:v>Maharashtra</x:v>
      </x:c>
      <x:c r="J6" s="80" t="str">
        <x:v>Mumbai</x:v>
      </x:c>
      <x:c r="K6" s="80" t="str">
        <x:v>Furniture</x:v>
      </x:c>
      <x:c r="L6" s="80" t="str">
        <x:v>Chairs</x:v>
      </x:c>
      <x:c r="M6" s="80" t="str">
        <x:v>Elite Chairs 543</x:v>
      </x:c>
      <x:c r="N6" s="80" t="str">
        <x:v>First Class</x:v>
      </x:c>
      <x:c r="O6" s="82" t="n">
        <x:v>7</x:v>
      </x:c>
      <x:c r="P6" s="83" t="n">
        <x:v>2973.76</x:v>
      </x:c>
      <x:c r="Q6" s="84" t="n">
        <x:v>0</x:v>
      </x:c>
      <x:c r="R6" s="83" t="n">
        <x:v>20816.32</x:v>
      </x:c>
      <x:c r="S6" s="83" t="n">
        <x:v>17705.37</x:v>
      </x:c>
      <x:c r="T6" s="83" t="n">
        <x:v>3110.95</x:v>
      </x:c>
      <x:c r="U6" s="83" t="str">
        <x:v>Paid</x:v>
      </x:c>
      <x:c r="V6" s="83" t="str">
        <x:v>Cancelled</x:v>
      </x:c>
      <x:c r="W6" s="151" t="n">
        <x:f>IF(OR(NOT(ISNUMBER($AP6)),COUNT($O6,$P6)&lt;2,$O6&lt;=0,$P6&lt;0),"",ROUND($O6*$P6*(1-$AP6),2))</x:f>
        <x:v>20816.32</x:v>
      </x:c>
      <x:c r="X6" s="151" t="n">
        <x:f>IF(OR(NOT(ISNUMBER($W6)),NOT(ISNUMBER($S6))),"",ROUND($W6-$S6,2))</x:f>
        <x:v>3110.95</x:v>
      </x:c>
      <x:c r="Y6" s="85" t="n">
        <x:f>IF(OR(NOT(ISNUMBER($W6)),NOT(ISNUMBER($X6)),$W6=0),"",ROUND($X6/$W6,4))</x:f>
        <x:v>0.1494</x:v>
      </x:c>
      <x:c r="Z6" s="82" t="n">
        <x:f>IF(OR($AH6&lt;&gt;"Valid",$AI6&lt;&gt;"Valid"),"",INT($D6-$C6))</x:f>
        <x:v>3</x:v>
      </x:c>
      <x:c r="AA6" s="86" t="str">
        <x:f>IF($AH6&lt;&gt;"Valid","",TEXT($C6,"mmmm"))</x:f>
        <x:v>August</x:v>
      </x:c>
      <x:c r="AB6" s="82" t="n">
        <x:f>IF($AH6&lt;&gt;"Valid","",YEAR($C6))</x:f>
        <x:v>2025</x:v>
      </x:c>
      <x:c r="AC6" s="80" t="str">
        <x:v>Cancelled (excluded from completed-sales summary)</x:v>
      </x:c>
      <x:c r="AD6" s="80" t="str">
        <x:v>Excluded</x:v>
      </x:c>
      <x:c r="AE6" s="80" t="str">
        <x:f>IF(OR($AH6&lt;&gt;"Valid",$AI6&lt;&gt;"Valid",$AJ6&lt;&gt;"Valid",LEFT($AM6,7)="Invalid",IFERROR(ABS($AQ6)&gt;0.01,FALSE),IFERROR(ABS($AR6)&gt;0.01,FALSE),COUNTIF($AS6,"*Conflicting duplicate*")&gt;0,COUNTIF($AS6,"*Completed order not paid*")&gt;0),"Invalid",IF(OR($H6="Unknown",$N6="Unknown",$AM6="Missing discount imputed as 0"),"Warning","Clean"))</x:f>
        <x:v>Clean</x:v>
      </x:c>
      <x:c r="AF6" s="80" t="str">
        <x:v>Pass</x:v>
      </x:c>
      <x:c r="AG6" s="80" t="str">
        <x:v>No text cleanup required</x:v>
      </x:c>
      <x:c r="AH6" s="12" t="str">
        <x:f>IF(C6="","Missing date",IF(ISNUMBER(C6),"Valid","Unrecognized/invalid date"))</x:f>
        <x:v>Valid</x:v>
      </x:c>
      <x:c r="AI6" s="12" t="str">
        <x:f>IF(D6="","Missing date",IF(ISNUMBER(D6),"Valid","Unrecognized/invalid date"))</x:f>
        <x:v>Valid</x:v>
      </x:c>
      <x:c r="AJ6" s="12" t="str">
        <x:v>Valid</x:v>
      </x:c>
      <x:c r="AK6" s="12" t="str">
        <x:v>Pass</x:v>
      </x:c>
      <x:c r="AL6" s="12" t="str">
        <x:v>Cancelled order – excluded from completed sales</x:v>
      </x:c>
      <x:c r="AM6" s="12" t="str">
        <x:v>Valid</x:v>
      </x:c>
      <x:c r="AN6" s="12" t="str">
        <x:v>Exclude from completed sales</x:v>
      </x:c>
      <x:c r="AO6" s="12" t="str">
        <x:v>Not a refunded record</x:v>
      </x:c>
      <x:c r="AP6" s="37" t="n">
        <x:f>IF(LEFT($AM6,7)="Invalid","",IF($AM6="Missing discount imputed as 0",IF(AND(COUNT($O6,$P6,$R6,$S6)=4,$O6&gt;0,$P6&gt;=0,$R6&gt;=0,$S6&gt;=0),0,""),IF(AND(ISNUMBER($Q6),$Q6&gt;=0,$Q6&lt;=0.5),$Q6,"")))</x:f>
        <x:v>0</x:v>
      </x:c>
      <x:c r="AQ6" s="152" t="n">
        <x:f>IF(OR($W6="",NOT(ISNUMBER($R6))),"",ROUND($R6-$W6,2))</x:f>
        <x:v>0</x:v>
      </x:c>
      <x:c r="AR6" s="152" t="n">
        <x:f>IF(OR($X6="",NOT(ISNUMBER($T6))),"",ROUND($T6-$X6,2))</x:f>
        <x:v>0</x:v>
      </x:c>
      <x:c r="AS6" s="14" t="str">
        <x:v>OK</x:v>
      </x:c>
    </x:row>
    <x:row r="7">
      <x:c r="A7" s="80" t="n">
        <x:v>7</x:v>
      </x:c>
      <x:c r="B7" s="80" t="str">
        <x:v>ORD-2024-10006</x:v>
      </x:c>
      <x:c r="C7" s="81" t="n">
        <x:v>45436</x:v>
      </x:c>
      <x:c r="D7" s="81" t="n">
        <x:v>45440</x:v>
      </x:c>
      <x:c r="E7" s="80" t="str">
        <x:v>CUST-6056</x:v>
      </x:c>
      <x:c r="F7" s="80" t="str">
        <x:v>Vikram Iyer</x:v>
      </x:c>
      <x:c r="G7" s="80" t="str">
        <x:v>Small Business</x:v>
      </x:c>
      <x:c r="H7" s="80" t="str">
        <x:v>West</x:v>
      </x:c>
      <x:c r="I7" s="80" t="str">
        <x:v>Madhya Pradesh</x:v>
      </x:c>
      <x:c r="J7" s="80" t="str">
        <x:v>Indore</x:v>
      </x:c>
      <x:c r="K7" s="80" t="str">
        <x:v>Technology</x:v>
      </x:c>
      <x:c r="L7" s="80" t="str">
        <x:v>Accessories</x:v>
      </x:c>
      <x:c r="M7" s="80" t="str">
        <x:v>Pro Accessories 821</x:v>
      </x:c>
      <x:c r="N7" s="80" t="str">
        <x:v>Same Day</x:v>
      </x:c>
      <x:c r="O7" s="82" t="n">
        <x:v>3</x:v>
      </x:c>
      <x:c r="P7" s="83" t="n">
        <x:v>1053.11</x:v>
      </x:c>
      <x:c r="Q7" s="84" t="n">
        <x:v>0.2</x:v>
      </x:c>
      <x:c r="R7" s="83" t="n">
        <x:v>2527.46</x:v>
      </x:c>
      <x:c r="S7" s="83" t="n">
        <x:v>1533.58</x:v>
      </x:c>
      <x:c r="T7" s="83" t="n">
        <x:v>993.88</x:v>
      </x:c>
      <x:c r="U7" s="83" t="str">
        <x:v>Paid</x:v>
      </x:c>
      <x:c r="V7" s="83" t="str">
        <x:v>Completed</x:v>
      </x:c>
      <x:c r="W7" s="151" t="n">
        <x:f>IF(OR(NOT(ISNUMBER($AP7)),COUNT($O7,$P7)&lt;2,$O7&lt;=0,$P7&lt;0),"",ROUND($O7*$P7*(1-$AP7),2))</x:f>
        <x:v>2527.46</x:v>
      </x:c>
      <x:c r="X7" s="151" t="n">
        <x:f>IF(OR(NOT(ISNUMBER($W7)),NOT(ISNUMBER($S7))),"",ROUND($W7-$S7,2))</x:f>
        <x:v>993.88</x:v>
      </x:c>
      <x:c r="Y7" s="85" t="n">
        <x:f>IF(OR(NOT(ISNUMBER($W7)),NOT(ISNUMBER($X7)),$W7=0),"",ROUND($X7/$W7,4))</x:f>
        <x:v>0.3932</x:v>
      </x:c>
      <x:c r="Z7" s="82" t="n">
        <x:f>IF(OR($AH7&lt;&gt;"Valid",$AI7&lt;&gt;"Valid"),"",INT($D7-$C7))</x:f>
        <x:v>4</x:v>
      </x:c>
      <x:c r="AA7" s="86" t="str">
        <x:f>IF($AH7&lt;&gt;"Valid","",TEXT($C7,"mmmm"))</x:f>
        <x:v>May</x:v>
      </x:c>
      <x:c r="AB7" s="82" t="n">
        <x:f>IF($AH7&lt;&gt;"Valid","",YEAR($C7))</x:f>
        <x:v>2024</x:v>
      </x:c>
      <x:c r="AC7" s="80" t="str">
        <x:v>Consistent</x:v>
      </x:c>
      <x:c r="AD7" s="80" t="str">
        <x:v>Eligible</x:v>
      </x:c>
      <x:c r="AE7" s="80" t="str">
        <x:f>IF(OR($AH7&lt;&gt;"Valid",$AI7&lt;&gt;"Valid",$AJ7&lt;&gt;"Valid",LEFT($AM7,7)="Invalid",IFERROR(ABS($AQ7)&gt;0.01,FALSE),IFERROR(ABS($AR7)&gt;0.01,FALSE),COUNTIF($AS7,"*Conflicting duplicate*")&gt;0,COUNTIF($AS7,"*Completed order not paid*")&gt;0),"Invalid",IF(OR($H7="Unknown",$N7="Unknown",$AM7="Missing discount imputed as 0"),"Warning","Clean"))</x:f>
        <x:v>Clean</x:v>
      </x:c>
      <x:c r="AF7" s="80" t="str">
        <x:v>Pass</x:v>
      </x:c>
      <x:c r="AG7" s="80" t="str">
        <x:v>No text cleanup required</x:v>
      </x:c>
      <x:c r="AH7" s="12" t="str">
        <x:f>IF(C7="","Missing date",IF(ISNUMBER(C7),"Valid","Unrecognized/invalid date"))</x:f>
        <x:v>Valid</x:v>
      </x:c>
      <x:c r="AI7" s="12" t="str">
        <x:f>IF(D7="","Missing date",IF(ISNUMBER(D7),"Valid","Unrecognized/invalid date"))</x:f>
        <x:v>Valid</x:v>
      </x:c>
      <x:c r="AJ7" s="12" t="str">
        <x:v>Valid</x:v>
      </x:c>
      <x:c r="AK7" s="12" t="str">
        <x:v>Pass</x:v>
      </x:c>
      <x:c r="AL7" s="12" t="str">
        <x:v>None</x:v>
      </x:c>
      <x:c r="AM7" s="12" t="str">
        <x:v>Valid</x:v>
      </x:c>
      <x:c r="AN7" s="12" t="str">
        <x:v>Include in completed sales</x:v>
      </x:c>
      <x:c r="AO7" s="12" t="str">
        <x:v>Not a refunded record</x:v>
      </x:c>
      <x:c r="AP7" s="37" t="n">
        <x:f>IF(LEFT($AM7,7)="Invalid","",IF($AM7="Missing discount imputed as 0",IF(AND(COUNT($O7,$P7,$R7,$S7)=4,$O7&gt;0,$P7&gt;=0,$R7&gt;=0,$S7&gt;=0),0,""),IF(AND(ISNUMBER($Q7),$Q7&gt;=0,$Q7&lt;=0.5),$Q7,"")))</x:f>
        <x:v>0.2</x:v>
      </x:c>
      <x:c r="AQ7" s="152" t="n">
        <x:f>IF(OR($W7="",NOT(ISNUMBER($R7))),"",ROUND($R7-$W7,2))</x:f>
        <x:v>0</x:v>
      </x:c>
      <x:c r="AR7" s="152" t="n">
        <x:f>IF(OR($X7="",NOT(ISNUMBER($T7))),"",ROUND($T7-$X7,2))</x:f>
        <x:v>0</x:v>
      </x:c>
      <x:c r="AS7" s="14" t="str">
        <x:v>OK</x:v>
      </x:c>
    </x:row>
    <x:row r="8">
      <x:c r="A8" s="80" t="n">
        <x:v>8</x:v>
      </x:c>
      <x:c r="B8" s="80" t="str">
        <x:v>ORD-2025-10007</x:v>
      </x:c>
      <x:c r="C8" s="81" t="n">
        <x:v>45757</x:v>
      </x:c>
      <x:c r="D8" s="81" t="n">
        <x:v>45763</x:v>
      </x:c>
      <x:c r="E8" s="80" t="str">
        <x:v>CUST-3656</x:v>
      </x:c>
      <x:c r="F8" s="80" t="str">
        <x:v>Neha Gupta</x:v>
      </x:c>
      <x:c r="G8" s="80" t="str">
        <x:v>Consumer</x:v>
      </x:c>
      <x:c r="H8" s="80" t="str">
        <x:v>East</x:v>
      </x:c>
      <x:c r="I8" s="80" t="str">
        <x:v>Odisha</x:v>
      </x:c>
      <x:c r="J8" s="80" t="str">
        <x:v>Bhubaneswar</x:v>
      </x:c>
      <x:c r="K8" s="80" t="str">
        <x:v>Technology</x:v>
      </x:c>
      <x:c r="L8" s="80" t="str">
        <x:v>Copiers</x:v>
      </x:c>
      <x:c r="M8" s="80" t="str">
        <x:v>Eco Copiers 790</x:v>
      </x:c>
      <x:c r="N8" s="80" t="str">
        <x:v>Standard Class</x:v>
      </x:c>
      <x:c r="O8" s="82" t="n">
        <x:v>4</x:v>
      </x:c>
      <x:c r="P8" s="83" t="n">
        <x:v>1719.87</x:v>
      </x:c>
      <x:c r="Q8" s="84" t="n">
        <x:v>0.15</x:v>
      </x:c>
      <x:c r="R8" s="83" t="n">
        <x:v>5847.56</x:v>
      </x:c>
      <x:c r="S8" s="83" t="n">
        <x:v>4727.25</x:v>
      </x:c>
      <x:c r="T8" s="83" t="n">
        <x:v>1120.31</x:v>
      </x:c>
      <x:c r="U8" s="83" t="str">
        <x:v>Paid</x:v>
      </x:c>
      <x:c r="V8" s="83" t="str">
        <x:v>Completed</x:v>
      </x:c>
      <x:c r="W8" s="151" t="n">
        <x:f>IF(OR(NOT(ISNUMBER($AP8)),COUNT($O8,$P8)&lt;2,$O8&lt;=0,$P8&lt;0),"",ROUND($O8*$P8*(1-$AP8),2))</x:f>
        <x:v>5847.56</x:v>
      </x:c>
      <x:c r="X8" s="151" t="n">
        <x:f>IF(OR(NOT(ISNUMBER($W8)),NOT(ISNUMBER($S8))),"",ROUND($W8-$S8,2))</x:f>
        <x:v>1120.31</x:v>
      </x:c>
      <x:c r="Y8" s="85" t="n">
        <x:f>IF(OR(NOT(ISNUMBER($W8)),NOT(ISNUMBER($X8)),$W8=0),"",ROUND($X8/$W8,4))</x:f>
        <x:v>0.1916</x:v>
      </x:c>
      <x:c r="Z8" s="82" t="n">
        <x:f>IF(OR($AH8&lt;&gt;"Valid",$AI8&lt;&gt;"Valid"),"",INT($D8-$C8))</x:f>
        <x:v>6</x:v>
      </x:c>
      <x:c r="AA8" s="86" t="str">
        <x:f>IF($AH8&lt;&gt;"Valid","",TEXT($C8,"mmmm"))</x:f>
        <x:v>April</x:v>
      </x:c>
      <x:c r="AB8" s="82" t="n">
        <x:f>IF($AH8&lt;&gt;"Valid","",YEAR($C8))</x:f>
        <x:v>2025</x:v>
      </x:c>
      <x:c r="AC8" s="80" t="str">
        <x:v>Consistent</x:v>
      </x:c>
      <x:c r="AD8" s="80" t="str">
        <x:v>Eligible</x:v>
      </x:c>
      <x:c r="AE8" s="80" t="str">
        <x:f>IF(OR($AH8&lt;&gt;"Valid",$AI8&lt;&gt;"Valid",$AJ8&lt;&gt;"Valid",LEFT($AM8,7)="Invalid",IFERROR(ABS($AQ8)&gt;0.01,FALSE),IFERROR(ABS($AR8)&gt;0.01,FALSE),COUNTIF($AS8,"*Conflicting duplicate*")&gt;0,COUNTIF($AS8,"*Completed order not paid*")&gt;0),"Invalid",IF(OR($H8="Unknown",$N8="Unknown",$AM8="Missing discount imputed as 0"),"Warning","Clean"))</x:f>
        <x:v>Clean</x:v>
      </x:c>
      <x:c r="AF8" s="80" t="str">
        <x:v>Pass</x:v>
      </x:c>
      <x:c r="AG8" s="80" t="str">
        <x:v>No text cleanup required</x:v>
      </x:c>
      <x:c r="AH8" s="12" t="str">
        <x:f>IF(C8="","Missing date",IF(ISNUMBER(C8),"Valid","Unrecognized/invalid date"))</x:f>
        <x:v>Valid</x:v>
      </x:c>
      <x:c r="AI8" s="12" t="str">
        <x:f>IF(D8="","Missing date",IF(ISNUMBER(D8),"Valid","Unrecognized/invalid date"))</x:f>
        <x:v>Valid</x:v>
      </x:c>
      <x:c r="AJ8" s="12" t="str">
        <x:v>Valid</x:v>
      </x:c>
      <x:c r="AK8" s="12" t="str">
        <x:v>Pass</x:v>
      </x:c>
      <x:c r="AL8" s="12" t="str">
        <x:v>None</x:v>
      </x:c>
      <x:c r="AM8" s="12" t="str">
        <x:v>Valid</x:v>
      </x:c>
      <x:c r="AN8" s="12" t="str">
        <x:v>Include in completed sales</x:v>
      </x:c>
      <x:c r="AO8" s="12" t="str">
        <x:v>Not a refunded record</x:v>
      </x:c>
      <x:c r="AP8" s="37" t="n">
        <x:f>IF(LEFT($AM8,7)="Invalid","",IF($AM8="Missing discount imputed as 0",IF(AND(COUNT($O8,$P8,$R8,$S8)=4,$O8&gt;0,$P8&gt;=0,$R8&gt;=0,$S8&gt;=0),0,""),IF(AND(ISNUMBER($Q8),$Q8&gt;=0,$Q8&lt;=0.5),$Q8,"")))</x:f>
        <x:v>0.15</x:v>
      </x:c>
      <x:c r="AQ8" s="152" t="n">
        <x:f>IF(OR($W8="",NOT(ISNUMBER($R8))),"",ROUND($R8-$W8,2))</x:f>
        <x:v>0</x:v>
      </x:c>
      <x:c r="AR8" s="152" t="n">
        <x:f>IF(OR($X8="",NOT(ISNUMBER($T8))),"",ROUND($T8-$X8,2))</x:f>
        <x:v>0</x:v>
      </x:c>
      <x:c r="AS8" s="14" t="str">
        <x:v>OK</x:v>
      </x:c>
    </x:row>
    <x:row r="9">
      <x:c r="A9" s="80" t="n">
        <x:v>9</x:v>
      </x:c>
      <x:c r="B9" s="80" t="str">
        <x:v>ORD-2025-10008</x:v>
      </x:c>
      <x:c r="C9" s="81" t="n">
        <x:v>45711</x:v>
      </x:c>
      <x:c r="D9" s="81" t="n">
        <x:v>45714</x:v>
      </x:c>
      <x:c r="E9" s="80" t="str">
        <x:v>CUST-4683</x:v>
      </x:c>
      <x:c r="F9" s="80" t="str">
        <x:v>Isha Nair</x:v>
      </x:c>
      <x:c r="G9" s="80" t="str">
        <x:v>Small Business</x:v>
      </x:c>
      <x:c r="H9" s="80" t="str">
        <x:v>South</x:v>
      </x:c>
      <x:c r="I9" s="80" t="str">
        <x:v>Andhra Pradesh</x:v>
      </x:c>
      <x:c r="J9" s="80" t="str">
        <x:v>Vijayawada</x:v>
      </x:c>
      <x:c r="K9" s="80" t="str">
        <x:v>Office Supplies</x:v>
      </x:c>
      <x:c r="L9" s="80" t="str">
        <x:v>Art</x:v>
      </x:c>
      <x:c r="M9" s="80" t="str">
        <x:v>Eco Art 848</x:v>
      </x:c>
      <x:c r="N9" s="80" t="str">
        <x:v>First Class</x:v>
      </x:c>
      <x:c r="O9" s="82" t="n">
        <x:v>1</x:v>
      </x:c>
      <x:c r="P9" s="83" t="n">
        <x:v>2980.71</x:v>
      </x:c>
      <x:c r="Q9" s="84" t="n">
        <x:v>0</x:v>
      </x:c>
      <x:c r="R9" s="83" t="n">
        <x:v>2980.71</x:v>
      </x:c>
      <x:c r="S9" s="83" t="n">
        <x:v>2357.22</x:v>
      </x:c>
      <x:c r="T9" s="83" t="n">
        <x:v>623.49</x:v>
      </x:c>
      <x:c r="U9" s="83" t="str">
        <x:v>Paid</x:v>
      </x:c>
      <x:c r="V9" s="83" t="str">
        <x:v>Completed</x:v>
      </x:c>
      <x:c r="W9" s="151" t="n">
        <x:f>IF(OR(NOT(ISNUMBER($AP9)),COUNT($O9,$P9)&lt;2,$O9&lt;=0,$P9&lt;0),"",ROUND($O9*$P9*(1-$AP9),2))</x:f>
        <x:v>2980.71</x:v>
      </x:c>
      <x:c r="X9" s="151" t="n">
        <x:f>IF(OR(NOT(ISNUMBER($W9)),NOT(ISNUMBER($S9))),"",ROUND($W9-$S9,2))</x:f>
        <x:v>623.49</x:v>
      </x:c>
      <x:c r="Y9" s="85" t="n">
        <x:f>IF(OR(NOT(ISNUMBER($W9)),NOT(ISNUMBER($X9)),$W9=0),"",ROUND($X9/$W9,4))</x:f>
        <x:v>0.2092</x:v>
      </x:c>
      <x:c r="Z9" s="82" t="n">
        <x:f>IF(OR($AH9&lt;&gt;"Valid",$AI9&lt;&gt;"Valid"),"",INT($D9-$C9))</x:f>
        <x:v>3</x:v>
      </x:c>
      <x:c r="AA9" s="86" t="str">
        <x:f>IF($AH9&lt;&gt;"Valid","",TEXT($C9,"mmmm"))</x:f>
        <x:v>February</x:v>
      </x:c>
      <x:c r="AB9" s="82" t="n">
        <x:f>IF($AH9&lt;&gt;"Valid","",YEAR($C9))</x:f>
        <x:v>2025</x:v>
      </x:c>
      <x:c r="AC9" s="80" t="str">
        <x:v>Consistent</x:v>
      </x:c>
      <x:c r="AD9" s="80" t="str">
        <x:v>Eligible</x:v>
      </x:c>
      <x:c r="AE9" s="80" t="str">
        <x:f>IF(OR($AH9&lt;&gt;"Valid",$AI9&lt;&gt;"Valid",$AJ9&lt;&gt;"Valid",LEFT($AM9,7)="Invalid",IFERROR(ABS($AQ9)&gt;0.01,FALSE),IFERROR(ABS($AR9)&gt;0.01,FALSE),COUNTIF($AS9,"*Conflicting duplicate*")&gt;0,COUNTIF($AS9,"*Completed order not paid*")&gt;0),"Invalid",IF(OR($H9="Unknown",$N9="Unknown",$AM9="Missing discount imputed as 0"),"Warning","Clean"))</x:f>
        <x:v>Clean</x:v>
      </x:c>
      <x:c r="AF9" s="80" t="str">
        <x:v>Pass</x:v>
      </x:c>
      <x:c r="AG9" s="80" t="str">
        <x:v>No text cleanup required</x:v>
      </x:c>
      <x:c r="AH9" s="12" t="str">
        <x:f>IF(C9="","Missing date",IF(ISNUMBER(C9),"Valid","Unrecognized/invalid date"))</x:f>
        <x:v>Valid</x:v>
      </x:c>
      <x:c r="AI9" s="12" t="str">
        <x:f>IF(D9="","Missing date",IF(ISNUMBER(D9),"Valid","Unrecognized/invalid date"))</x:f>
        <x:v>Valid</x:v>
      </x:c>
      <x:c r="AJ9" s="12" t="str">
        <x:v>Valid</x:v>
      </x:c>
      <x:c r="AK9" s="12" t="str">
        <x:v>Pass</x:v>
      </x:c>
      <x:c r="AL9" s="12" t="str">
        <x:v>None</x:v>
      </x:c>
      <x:c r="AM9" s="12" t="str">
        <x:v>Valid</x:v>
      </x:c>
      <x:c r="AN9" s="12" t="str">
        <x:v>Include in completed sales</x:v>
      </x:c>
      <x:c r="AO9" s="12" t="str">
        <x:v>Not a refunded record</x:v>
      </x:c>
      <x:c r="AP9" s="37" t="n">
        <x:f>IF(LEFT($AM9,7)="Invalid","",IF($AM9="Missing discount imputed as 0",IF(AND(COUNT($O9,$P9,$R9,$S9)=4,$O9&gt;0,$P9&gt;=0,$R9&gt;=0,$S9&gt;=0),0,""),IF(AND(ISNUMBER($Q9),$Q9&gt;=0,$Q9&lt;=0.5),$Q9,"")))</x:f>
        <x:v>0</x:v>
      </x:c>
      <x:c r="AQ9" s="152" t="n">
        <x:f>IF(OR($W9="",NOT(ISNUMBER($R9))),"",ROUND($R9-$W9,2))</x:f>
        <x:v>0</x:v>
      </x:c>
      <x:c r="AR9" s="152" t="n">
        <x:f>IF(OR($X9="",NOT(ISNUMBER($T9))),"",ROUND($T9-$X9,2))</x:f>
        <x:v>0</x:v>
      </x:c>
      <x:c r="AS9" s="14" t="str">
        <x:v>OK</x:v>
      </x:c>
    </x:row>
    <x:row r="10">
      <x:c r="A10" s="80" t="n">
        <x:v>10</x:v>
      </x:c>
      <x:c r="B10" s="80" t="str">
        <x:v>ORD-2024-10009</x:v>
      </x:c>
      <x:c r="C10" s="81" t="n">
        <x:v>45601</x:v>
      </x:c>
      <x:c r="D10" s="81" t="n">
        <x:v>45606</x:v>
      </x:c>
      <x:c r="E10" s="80" t="str">
        <x:v>CUST-2598</x:v>
      </x:c>
      <x:c r="F10" s="80" t="str">
        <x:v>Aditi Sen</x:v>
      </x:c>
      <x:c r="G10" s="80" t="str">
        <x:v>Corporate</x:v>
      </x:c>
      <x:c r="H10" s="80" t="str">
        <x:v>South</x:v>
      </x:c>
      <x:c r="I10" s="80" t="str">
        <x:v>Telangana</x:v>
      </x:c>
      <x:c r="J10" s="80" t="str">
        <x:v>Hyderabad</x:v>
      </x:c>
      <x:c r="K10" s="80" t="str">
        <x:v>Office Supplies</x:v>
      </x:c>
      <x:c r="L10" s="80" t="str">
        <x:v>Labels</x:v>
      </x:c>
      <x:c r="M10" s="80" t="str">
        <x:v>Classic Labels 815</x:v>
      </x:c>
      <x:c r="N10" s="80" t="str">
        <x:v>First Class</x:v>
      </x:c>
      <x:c r="O10" s="82" t="n">
        <x:v>8</x:v>
      </x:c>
      <x:c r="P10" s="83" t="n">
        <x:v>3134.2</x:v>
      </x:c>
      <x:c r="Q10" s="84" t="n">
        <x:v>0</x:v>
      </x:c>
      <x:c r="R10" s="83" t="n">
        <x:v>25073.6</x:v>
      </x:c>
      <x:c r="S10" s="83" t="n">
        <x:v>17347.23</x:v>
      </x:c>
      <x:c r="T10" s="83" t="n">
        <x:v>7726.37</x:v>
      </x:c>
      <x:c r="U10" s="83" t="str">
        <x:v>Paid</x:v>
      </x:c>
      <x:c r="V10" s="83" t="str">
        <x:v>Completed</x:v>
      </x:c>
      <x:c r="W10" s="151" t="n">
        <x:f>IF(OR(NOT(ISNUMBER($AP10)),COUNT($O10,$P10)&lt;2,$O10&lt;=0,$P10&lt;0),"",ROUND($O10*$P10*(1-$AP10),2))</x:f>
        <x:v>25073.6</x:v>
      </x:c>
      <x:c r="X10" s="151" t="n">
        <x:f>IF(OR(NOT(ISNUMBER($W10)),NOT(ISNUMBER($S10))),"",ROUND($W10-$S10,2))</x:f>
        <x:v>7726.37</x:v>
      </x:c>
      <x:c r="Y10" s="85" t="n">
        <x:f>IF(OR(NOT(ISNUMBER($W10)),NOT(ISNUMBER($X10)),$W10=0),"",ROUND($X10/$W10,4))</x:f>
        <x:v>0.3081</x:v>
      </x:c>
      <x:c r="Z10" s="82" t="n">
        <x:f>IF(OR($AH10&lt;&gt;"Valid",$AI10&lt;&gt;"Valid"),"",INT($D10-$C10))</x:f>
        <x:v>5</x:v>
      </x:c>
      <x:c r="AA10" s="86" t="str">
        <x:f>IF($AH10&lt;&gt;"Valid","",TEXT($C10,"mmmm"))</x:f>
        <x:v>November</x:v>
      </x:c>
      <x:c r="AB10" s="82" t="n">
        <x:f>IF($AH10&lt;&gt;"Valid","",YEAR($C10))</x:f>
        <x:v>2024</x:v>
      </x:c>
      <x:c r="AC10" s="80" t="str">
        <x:v>Consistent</x:v>
      </x:c>
      <x:c r="AD10" s="80" t="str">
        <x:v>Eligible</x:v>
      </x:c>
      <x:c r="AE10" s="80" t="str">
        <x:f>IF(OR($AH10&lt;&gt;"Valid",$AI10&lt;&gt;"Valid",$AJ10&lt;&gt;"Valid",LEFT($AM10,7)="Invalid",IFERROR(ABS($AQ10)&gt;0.01,FALSE),IFERROR(ABS($AR10)&gt;0.01,FALSE),COUNTIF($AS10,"*Conflicting duplicate*")&gt;0,COUNTIF($AS10,"*Completed order not paid*")&gt;0),"Invalid",IF(OR($H10="Unknown",$N10="Unknown",$AM10="Missing discount imputed as 0"),"Warning","Clean"))</x:f>
        <x:v>Clean</x:v>
      </x:c>
      <x:c r="AF10" s="80" t="str">
        <x:v>Pass</x:v>
      </x:c>
      <x:c r="AG10" s="80" t="str">
        <x:v>No text cleanup required</x:v>
      </x:c>
      <x:c r="AH10" s="12" t="str">
        <x:f>IF(C10="","Missing date",IF(ISNUMBER(C10),"Valid","Unrecognized/invalid date"))</x:f>
        <x:v>Valid</x:v>
      </x:c>
      <x:c r="AI10" s="12" t="str">
        <x:f>IF(D10="","Missing date",IF(ISNUMBER(D10),"Valid","Unrecognized/invalid date"))</x:f>
        <x:v>Valid</x:v>
      </x:c>
      <x:c r="AJ10" s="12" t="str">
        <x:v>Valid</x:v>
      </x:c>
      <x:c r="AK10" s="12" t="str">
        <x:v>Pass</x:v>
      </x:c>
      <x:c r="AL10" s="12" t="str">
        <x:v>None</x:v>
      </x:c>
      <x:c r="AM10" s="12" t="str">
        <x:v>Valid</x:v>
      </x:c>
      <x:c r="AN10" s="12" t="str">
        <x:v>Include in completed sales</x:v>
      </x:c>
      <x:c r="AO10" s="12" t="str">
        <x:v>Not a refunded record</x:v>
      </x:c>
      <x:c r="AP10" s="37" t="n">
        <x:f>IF(LEFT($AM10,7)="Invalid","",IF($AM10="Missing discount imputed as 0",IF(AND(COUNT($O10,$P10,$R10,$S10)=4,$O10&gt;0,$P10&gt;=0,$R10&gt;=0,$S10&gt;=0),0,""),IF(AND(ISNUMBER($Q10),$Q10&gt;=0,$Q10&lt;=0.5),$Q10,"")))</x:f>
        <x:v>0</x:v>
      </x:c>
      <x:c r="AQ10" s="152" t="n">
        <x:f>IF(OR($W10="",NOT(ISNUMBER($R10))),"",ROUND($R10-$W10,2))</x:f>
        <x:v>0</x:v>
      </x:c>
      <x:c r="AR10" s="152" t="n">
        <x:f>IF(OR($X10="",NOT(ISNUMBER($T10))),"",ROUND($T10-$X10,2))</x:f>
        <x:v>0</x:v>
      </x:c>
      <x:c r="AS10" s="14" t="str">
        <x:v>OK</x:v>
      </x:c>
    </x:row>
    <x:row r="11">
      <x:c r="A11" s="80" t="n">
        <x:v>11</x:v>
      </x:c>
      <x:c r="B11" s="80" t="str">
        <x:v>ORD-2025-10010</x:v>
      </x:c>
      <x:c r="C11" s="81" t="n">
        <x:v>45907</x:v>
      </x:c>
      <x:c r="D11" s="81" t="n">
        <x:v>45912</x:v>
      </x:c>
      <x:c r="E11" s="80" t="str">
        <x:v>CUST-2483</x:v>
      </x:c>
      <x:c r="F11" s="80" t="str">
        <x:v>Mira Das</x:v>
      </x:c>
      <x:c r="G11" s="80" t="str">
        <x:v>Home Office</x:v>
      </x:c>
      <x:c r="H11" s="80" t="str">
        <x:v>South</x:v>
      </x:c>
      <x:c r="I11" s="80" t="str">
        <x:v>Telangana</x:v>
      </x:c>
      <x:c r="J11" s="80" t="str">
        <x:v>Hyderabad</x:v>
      </x:c>
      <x:c r="K11" s="80" t="str">
        <x:v>Office Supplies</x:v>
      </x:c>
      <x:c r="L11" s="80" t="str">
        <x:v>Paper</x:v>
      </x:c>
      <x:c r="M11" s="80" t="str">
        <x:v>Pro Paper 622</x:v>
      </x:c>
      <x:c r="N11" s="80" t="str">
        <x:v>Second Class</x:v>
      </x:c>
      <x:c r="O11" s="82" t="n">
        <x:v>9</x:v>
      </x:c>
      <x:c r="P11" s="83" t="n">
        <x:v>852.04</x:v>
      </x:c>
      <x:c r="Q11" s="84" t="n">
        <x:v>0.2</x:v>
      </x:c>
      <x:c r="R11" s="83" t="n">
        <x:v>6134.69</x:v>
      </x:c>
      <x:c r="S11" s="83" t="n">
        <x:v>3800.19</x:v>
      </x:c>
      <x:c r="T11" s="83" t="n">
        <x:v>2334.5</x:v>
      </x:c>
      <x:c r="U11" s="83" t="str">
        <x:v>Paid</x:v>
      </x:c>
      <x:c r="V11" s="83" t="str">
        <x:v>Completed</x:v>
      </x:c>
      <x:c r="W11" s="151" t="n">
        <x:f>IF(OR(NOT(ISNUMBER($AP11)),COUNT($O11,$P11)&lt;2,$O11&lt;=0,$P11&lt;0),"",ROUND($O11*$P11*(1-$AP11),2))</x:f>
        <x:v>6134.69</x:v>
      </x:c>
      <x:c r="X11" s="151" t="n">
        <x:f>IF(OR(NOT(ISNUMBER($W11)),NOT(ISNUMBER($S11))),"",ROUND($W11-$S11,2))</x:f>
        <x:v>2334.5</x:v>
      </x:c>
      <x:c r="Y11" s="85" t="n">
        <x:f>IF(OR(NOT(ISNUMBER($W11)),NOT(ISNUMBER($X11)),$W11=0),"",ROUND($X11/$W11,4))</x:f>
        <x:v>0.3805</x:v>
      </x:c>
      <x:c r="Z11" s="82" t="n">
        <x:f>IF(OR($AH11&lt;&gt;"Valid",$AI11&lt;&gt;"Valid"),"",INT($D11-$C11))</x:f>
        <x:v>5</x:v>
      </x:c>
      <x:c r="AA11" s="86" t="str">
        <x:f>IF($AH11&lt;&gt;"Valid","",TEXT($C11,"mmmm"))</x:f>
        <x:v>September</x:v>
      </x:c>
      <x:c r="AB11" s="82" t="n">
        <x:f>IF($AH11&lt;&gt;"Valid","",YEAR($C11))</x:f>
        <x:v>2025</x:v>
      </x:c>
      <x:c r="AC11" s="80" t="str">
        <x:v>Consistent</x:v>
      </x:c>
      <x:c r="AD11" s="80" t="str">
        <x:v>Eligible</x:v>
      </x:c>
      <x:c r="AE11" s="80" t="str">
        <x:f>IF(OR($AH11&lt;&gt;"Valid",$AI11&lt;&gt;"Valid",$AJ11&lt;&gt;"Valid",LEFT($AM11,7)="Invalid",IFERROR(ABS($AQ11)&gt;0.01,FALSE),IFERROR(ABS($AR11)&gt;0.01,FALSE),COUNTIF($AS11,"*Conflicting duplicate*")&gt;0,COUNTIF($AS11,"*Completed order not paid*")&gt;0),"Invalid",IF(OR($H11="Unknown",$N11="Unknown",$AM11="Missing discount imputed as 0"),"Warning","Clean"))</x:f>
        <x:v>Clean</x:v>
      </x:c>
      <x:c r="AF11" s="80" t="str">
        <x:v>Pass</x:v>
      </x:c>
      <x:c r="AG11" s="80" t="str">
        <x:v>No text cleanup required</x:v>
      </x:c>
      <x:c r="AH11" s="12" t="str">
        <x:f>IF(C11="","Missing date",IF(ISNUMBER(C11),"Valid","Unrecognized/invalid date"))</x:f>
        <x:v>Valid</x:v>
      </x:c>
      <x:c r="AI11" s="12" t="str">
        <x:f>IF(D11="","Missing date",IF(ISNUMBER(D11),"Valid","Unrecognized/invalid date"))</x:f>
        <x:v>Valid</x:v>
      </x:c>
      <x:c r="AJ11" s="12" t="str">
        <x:v>Valid</x:v>
      </x:c>
      <x:c r="AK11" s="12" t="str">
        <x:v>Pass</x:v>
      </x:c>
      <x:c r="AL11" s="12" t="str">
        <x:v>None</x:v>
      </x:c>
      <x:c r="AM11" s="12" t="str">
        <x:v>Valid</x:v>
      </x:c>
      <x:c r="AN11" s="12" t="str">
        <x:v>Include in completed sales</x:v>
      </x:c>
      <x:c r="AO11" s="12" t="str">
        <x:v>Not a refunded record</x:v>
      </x:c>
      <x:c r="AP11" s="37" t="n">
        <x:f>IF(LEFT($AM11,7)="Invalid","",IF($AM11="Missing discount imputed as 0",IF(AND(COUNT($O11,$P11,$R11,$S11)=4,$O11&gt;0,$P11&gt;=0,$R11&gt;=0,$S11&gt;=0),0,""),IF(AND(ISNUMBER($Q11),$Q11&gt;=0,$Q11&lt;=0.5),$Q11,"")))</x:f>
        <x:v>0.2</x:v>
      </x:c>
      <x:c r="AQ11" s="152" t="n">
        <x:f>IF(OR($W11="",NOT(ISNUMBER($R11))),"",ROUND($R11-$W11,2))</x:f>
        <x:v>0</x:v>
      </x:c>
      <x:c r="AR11" s="152" t="n">
        <x:f>IF(OR($X11="",NOT(ISNUMBER($T11))),"",ROUND($T11-$X11,2))</x:f>
        <x:v>0</x:v>
      </x:c>
      <x:c r="AS11" s="14" t="str">
        <x:v>OK</x:v>
      </x:c>
    </x:row>
    <x:row r="12">
      <x:c r="A12" s="80" t="n">
        <x:v>12</x:v>
      </x:c>
      <x:c r="B12" s="80" t="str">
        <x:v>ORD-2025-10011</x:v>
      </x:c>
      <x:c r="C12" s="81" t="n">
        <x:v>45797</x:v>
      </x:c>
      <x:c r="D12" s="81" t="n">
        <x:v>45797</x:v>
      </x:c>
      <x:c r="E12" s="80" t="str">
        <x:v>CUST-8092</x:v>
      </x:c>
      <x:c r="F12" s="80" t="str">
        <x:v>Ananya Rao</x:v>
      </x:c>
      <x:c r="G12" s="80" t="str">
        <x:v>Corporate</x:v>
      </x:c>
      <x:c r="H12" s="80" t="str">
        <x:v>East</x:v>
      </x:c>
      <x:c r="I12" s="80" t="str">
        <x:v>West Bengal</x:v>
      </x:c>
      <x:c r="J12" s="80" t="str">
        <x:v>Kolkata</x:v>
      </x:c>
      <x:c r="K12" s="80" t="str">
        <x:v>Office Supplies</x:v>
      </x:c>
      <x:c r="L12" s="80" t="str">
        <x:v>Labels</x:v>
      </x:c>
      <x:c r="M12" s="80" t="str">
        <x:v>Prime Labels 644</x:v>
      </x:c>
      <x:c r="N12" s="80" t="str">
        <x:v>Second Class</x:v>
      </x:c>
      <x:c r="O12" s="82" t="n">
        <x:v>3</x:v>
      </x:c>
      <x:c r="P12" s="83" t="n">
        <x:v>3534.83</x:v>
      </x:c>
      <x:c r="Q12" s="84" t="n">
        <x:v>0.05</x:v>
      </x:c>
      <x:c r="R12" s="83" t="n">
        <x:v>10074.27</x:v>
      </x:c>
      <x:c r="S12" s="83" t="n">
        <x:v>6048.27</x:v>
      </x:c>
      <x:c r="T12" s="83" t="n">
        <x:v>4026</x:v>
      </x:c>
      <x:c r="U12" s="83" t="str">
        <x:v>Refunded</x:v>
      </x:c>
      <x:c r="V12" s="83" t="str">
        <x:v>Returned</x:v>
      </x:c>
      <x:c r="W12" s="151" t="n">
        <x:f>IF(OR(NOT(ISNUMBER($AP12)),COUNT($O12,$P12)&lt;2,$O12&lt;=0,$P12&lt;0),"",ROUND($O12*$P12*(1-$AP12),2))</x:f>
        <x:v>10074.27</x:v>
      </x:c>
      <x:c r="X12" s="151" t="n">
        <x:f>IF(OR(NOT(ISNUMBER($W12)),NOT(ISNUMBER($S12))),"",ROUND($W12-$S12,2))</x:f>
        <x:v>4026</x:v>
      </x:c>
      <x:c r="Y12" s="85" t="n">
        <x:f>IF(OR(NOT(ISNUMBER($W12)),NOT(ISNUMBER($X12)),$W12=0),"",ROUND($X12/$W12,4))</x:f>
        <x:v>0.3996</x:v>
      </x:c>
      <x:c r="Z12" s="82" t="n">
        <x:f>IF(OR($AH12&lt;&gt;"Valid",$AI12&lt;&gt;"Valid"),"",INT($D12-$C12))</x:f>
        <x:v>0</x:v>
      </x:c>
      <x:c r="AA12" s="86" t="str">
        <x:f>IF($AH12&lt;&gt;"Valid","",TEXT($C12,"mmmm"))</x:f>
        <x:v>May</x:v>
      </x:c>
      <x:c r="AB12" s="82" t="n">
        <x:f>IF($AH12&lt;&gt;"Valid","",YEAR($C12))</x:f>
        <x:v>2025</x:v>
      </x:c>
      <x:c r="AC12" s="80" t="str">
        <x:v>Refunded (separately summarized)</x:v>
      </x:c>
      <x:c r="AD12" s="80" t="str">
        <x:v>Excluded</x:v>
      </x:c>
      <x:c r="AE12" s="80" t="str">
        <x:f>IF(OR($AH12&lt;&gt;"Valid",$AI12&lt;&gt;"Valid",$AJ12&lt;&gt;"Valid",LEFT($AM12,7)="Invalid",IFERROR(ABS($AQ12)&gt;0.01,FALSE),IFERROR(ABS($AR12)&gt;0.01,FALSE),COUNTIF($AS12,"*Conflicting duplicate*")&gt;0,COUNTIF($AS12,"*Completed order not paid*")&gt;0),"Invalid",IF(OR($H12="Unknown",$N12="Unknown",$AM12="Missing discount imputed as 0"),"Warning","Clean"))</x:f>
        <x:v>Clean</x:v>
      </x:c>
      <x:c r="AF12" s="80" t="str">
        <x:v>Pass</x:v>
      </x:c>
      <x:c r="AG12" s="80" t="str">
        <x:v>No text cleanup required</x:v>
      </x:c>
      <x:c r="AH12" s="12" t="str">
        <x:f>IF(C12="","Missing date",IF(ISNUMBER(C12),"Valid","Unrecognized/invalid date"))</x:f>
        <x:v>Valid</x:v>
      </x:c>
      <x:c r="AI12" s="12" t="str">
        <x:f>IF(D12="","Missing date",IF(ISNUMBER(D12),"Valid","Unrecognized/invalid date"))</x:f>
        <x:v>Valid</x:v>
      </x:c>
      <x:c r="AJ12" s="12" t="str">
        <x:v>Valid</x:v>
      </x:c>
      <x:c r="AK12" s="12" t="str">
        <x:v>Pass</x:v>
      </x:c>
      <x:c r="AL12" s="12" t="str">
        <x:v>Refunded payment – separately summarized</x:v>
      </x:c>
      <x:c r="AM12" s="12" t="str">
        <x:v>Valid</x:v>
      </x:c>
      <x:c r="AN12" s="12" t="str">
        <x:v>Exclude from completed sales</x:v>
      </x:c>
      <x:c r="AO12" s="12" t="str">
        <x:v>Include in refunded summary</x:v>
      </x:c>
      <x:c r="AP12" s="37" t="n">
        <x:f>IF(LEFT($AM12,7)="Invalid","",IF($AM12="Missing discount imputed as 0",IF(AND(COUNT($O12,$P12,$R12,$S12)=4,$O12&gt;0,$P12&gt;=0,$R12&gt;=0,$S12&gt;=0),0,""),IF(AND(ISNUMBER($Q12),$Q12&gt;=0,$Q12&lt;=0.5),$Q12,"")))</x:f>
        <x:v>0.05</x:v>
      </x:c>
      <x:c r="AQ12" s="152" t="n">
        <x:f>IF(OR($W12="",NOT(ISNUMBER($R12))),"",ROUND($R12-$W12,2))</x:f>
        <x:v>0</x:v>
      </x:c>
      <x:c r="AR12" s="152" t="n">
        <x:f>IF(OR($X12="",NOT(ISNUMBER($T12))),"",ROUND($T12-$X12,2))</x:f>
        <x:v>0</x:v>
      </x:c>
      <x:c r="AS12" s="14" t="str">
        <x:v>OK</x:v>
      </x:c>
    </x:row>
    <x:row r="13">
      <x:c r="A13" s="80" t="n">
        <x:v>13</x:v>
      </x:c>
      <x:c r="B13" s="80" t="str">
        <x:v>ORD-2024-10012</x:v>
      </x:c>
      <x:c r="C13" s="81" t="n">
        <x:v>45495</x:v>
      </x:c>
      <x:c r="D13" s="81" t="n">
        <x:v>45496</x:v>
      </x:c>
      <x:c r="E13" s="80" t="str">
        <x:v>CUST-6528</x:v>
      </x:c>
      <x:c r="F13" s="80" t="str">
        <x:v>Vikram Iyer</x:v>
      </x:c>
      <x:c r="G13" s="80" t="str">
        <x:v>Small Business</x:v>
      </x:c>
      <x:c r="H13" s="80" t="str">
        <x:v>East</x:v>
      </x:c>
      <x:c r="I13" s="80" t="str">
        <x:v>Odisha</x:v>
      </x:c>
      <x:c r="J13" s="80" t="str">
        <x:v>Bhubaneswar</x:v>
      </x:c>
      <x:c r="K13" s="80" t="str">
        <x:v>Technology</x:v>
      </x:c>
      <x:c r="L13" s="80" t="str">
        <x:v>Accessories</x:v>
      </x:c>
      <x:c r="M13" s="80" t="str">
        <x:v>Smart Accessories 603</x:v>
      </x:c>
      <x:c r="N13" s="80" t="str">
        <x:v>Same Day</x:v>
      </x:c>
      <x:c r="O13" s="82" t="n">
        <x:v>6</x:v>
      </x:c>
      <x:c r="P13" s="83" t="n">
        <x:v>2005.95</x:v>
      </x:c>
      <x:c r="Q13" s="84" t="n">
        <x:v>0.2</x:v>
      </x:c>
      <x:c r="R13" s="83" t="n">
        <x:v>9628.56</x:v>
      </x:c>
      <x:c r="S13" s="83" t="n">
        <x:v>8038.59</x:v>
      </x:c>
      <x:c r="T13" s="83" t="n">
        <x:v>1589.97</x:v>
      </x:c>
      <x:c r="U13" s="83" t="str">
        <x:v>Paid</x:v>
      </x:c>
      <x:c r="V13" s="83" t="str">
        <x:v>Completed</x:v>
      </x:c>
      <x:c r="W13" s="151" t="n">
        <x:f>IF(OR(NOT(ISNUMBER($AP13)),COUNT($O13,$P13)&lt;2,$O13&lt;=0,$P13&lt;0),"",ROUND($O13*$P13*(1-$AP13),2))</x:f>
        <x:v>9628.56</x:v>
      </x:c>
      <x:c r="X13" s="151" t="n">
        <x:f>IF(OR(NOT(ISNUMBER($W13)),NOT(ISNUMBER($S13))),"",ROUND($W13-$S13,2))</x:f>
        <x:v>1589.97</x:v>
      </x:c>
      <x:c r="Y13" s="85" t="n">
        <x:f>IF(OR(NOT(ISNUMBER($W13)),NOT(ISNUMBER($X13)),$W13=0),"",ROUND($X13/$W13,4))</x:f>
        <x:v>0.1651</x:v>
      </x:c>
      <x:c r="Z13" s="82" t="n">
        <x:f>IF(OR($AH13&lt;&gt;"Valid",$AI13&lt;&gt;"Valid"),"",INT($D13-$C13))</x:f>
        <x:v>1</x:v>
      </x:c>
      <x:c r="AA13" s="86" t="str">
        <x:f>IF($AH13&lt;&gt;"Valid","",TEXT($C13,"mmmm"))</x:f>
        <x:v>July</x:v>
      </x:c>
      <x:c r="AB13" s="82" t="n">
        <x:f>IF($AH13&lt;&gt;"Valid","",YEAR($C13))</x:f>
        <x:v>2024</x:v>
      </x:c>
      <x:c r="AC13" s="80" t="str">
        <x:v>Consistent</x:v>
      </x:c>
      <x:c r="AD13" s="80" t="str">
        <x:v>Eligible</x:v>
      </x:c>
      <x:c r="AE13" s="80" t="str">
        <x:f>IF(OR($AH13&lt;&gt;"Valid",$AI13&lt;&gt;"Valid",$AJ13&lt;&gt;"Valid",LEFT($AM13,7)="Invalid",IFERROR(ABS($AQ13)&gt;0.01,FALSE),IFERROR(ABS($AR13)&gt;0.01,FALSE),COUNTIF($AS13,"*Conflicting duplicate*")&gt;0,COUNTIF($AS13,"*Completed order not paid*")&gt;0),"Invalid",IF(OR($H13="Unknown",$N13="Unknown",$AM13="Missing discount imputed as 0"),"Warning","Clean"))</x:f>
        <x:v>Clean</x:v>
      </x:c>
      <x:c r="AF13" s="80" t="str">
        <x:v>Pass</x:v>
      </x:c>
      <x:c r="AG13" s="80" t="str">
        <x:v>No text cleanup required</x:v>
      </x:c>
      <x:c r="AH13" s="12" t="str">
        <x:f>IF(C13="","Missing date",IF(ISNUMBER(C13),"Valid","Unrecognized/invalid date"))</x:f>
        <x:v>Valid</x:v>
      </x:c>
      <x:c r="AI13" s="12" t="str">
        <x:f>IF(D13="","Missing date",IF(ISNUMBER(D13),"Valid","Unrecognized/invalid date"))</x:f>
        <x:v>Valid</x:v>
      </x:c>
      <x:c r="AJ13" s="12" t="str">
        <x:v>Valid</x:v>
      </x:c>
      <x:c r="AK13" s="12" t="str">
        <x:v>Pass</x:v>
      </x:c>
      <x:c r="AL13" s="12" t="str">
        <x:v>None</x:v>
      </x:c>
      <x:c r="AM13" s="12" t="str">
        <x:v>Valid</x:v>
      </x:c>
      <x:c r="AN13" s="12" t="str">
        <x:v>Include in completed sales</x:v>
      </x:c>
      <x:c r="AO13" s="12" t="str">
        <x:v>Not a refunded record</x:v>
      </x:c>
      <x:c r="AP13" s="37" t="n">
        <x:f>IF(LEFT($AM13,7)="Invalid","",IF($AM13="Missing discount imputed as 0",IF(AND(COUNT($O13,$P13,$R13,$S13)=4,$O13&gt;0,$P13&gt;=0,$R13&gt;=0,$S13&gt;=0),0,""),IF(AND(ISNUMBER($Q13),$Q13&gt;=0,$Q13&lt;=0.5),$Q13,"")))</x:f>
        <x:v>0.2</x:v>
      </x:c>
      <x:c r="AQ13" s="152" t="n">
        <x:f>IF(OR($W13="",NOT(ISNUMBER($R13))),"",ROUND($R13-$W13,2))</x:f>
        <x:v>0</x:v>
      </x:c>
      <x:c r="AR13" s="152" t="n">
        <x:f>IF(OR($X13="",NOT(ISNUMBER($T13))),"",ROUND($T13-$X13,2))</x:f>
        <x:v>0</x:v>
      </x:c>
      <x:c r="AS13" s="14" t="str">
        <x:v>OK</x:v>
      </x:c>
    </x:row>
    <x:row r="14">
      <x:c r="A14" s="80" t="n">
        <x:v>14</x:v>
      </x:c>
      <x:c r="B14" s="80" t="str">
        <x:v>ORD-2024-10013</x:v>
      </x:c>
      <x:c r="C14" s="81" t="n">
        <x:v>45646</x:v>
      </x:c>
      <x:c r="D14" s="81" t="n">
        <x:v>45647</x:v>
      </x:c>
      <x:c r="E14" s="80" t="str">
        <x:v>CUST-2648</x:v>
      </x:c>
      <x:c r="F14" s="80" t="str">
        <x:v>Ananya Rao</x:v>
      </x:c>
      <x:c r="G14" s="80" t="str">
        <x:v>Corporate</x:v>
      </x:c>
      <x:c r="H14" s="80" t="str">
        <x:v>West</x:v>
      </x:c>
      <x:c r="I14" s="80" t="str">
        <x:v>Rajasthan</x:v>
      </x:c>
      <x:c r="J14" s="80" t="str">
        <x:v>Udaipur</x:v>
      </x:c>
      <x:c r="K14" s="80" t="str">
        <x:v>Office Supplies</x:v>
      </x:c>
      <x:c r="L14" s="80" t="str">
        <x:v>Paper</x:v>
      </x:c>
      <x:c r="M14" s="80" t="str">
        <x:v>Pro Paper 481</x:v>
      </x:c>
      <x:c r="N14" s="80" t="str">
        <x:v>First Class</x:v>
      </x:c>
      <x:c r="O14" s="82" t="n">
        <x:v>1</x:v>
      </x:c>
      <x:c r="P14" s="83" t="n">
        <x:v>702.14</x:v>
      </x:c>
      <x:c r="Q14" s="84" t="n">
        <x:v>0.15</x:v>
      </x:c>
      <x:c r="R14" s="83" t="n">
        <x:v>596.82</x:v>
      </x:c>
      <x:c r="S14" s="83" t="n">
        <x:v>380.25</x:v>
      </x:c>
      <x:c r="T14" s="83" t="n">
        <x:v>216.57</x:v>
      </x:c>
      <x:c r="U14" s="83" t="str">
        <x:v>Pending</x:v>
      </x:c>
      <x:c r="V14" s="83" t="str">
        <x:v>Returned</x:v>
      </x:c>
      <x:c r="W14" s="151" t="n">
        <x:f>IF(OR(NOT(ISNUMBER($AP14)),COUNT($O14,$P14)&lt;2,$O14&lt;=0,$P14&lt;0),"",ROUND($O14*$P14*(1-$AP14),2))</x:f>
        <x:v>596.82</x:v>
      </x:c>
      <x:c r="X14" s="151" t="n">
        <x:f>IF(OR(NOT(ISNUMBER($W14)),NOT(ISNUMBER($S14))),"",ROUND($W14-$S14,2))</x:f>
        <x:v>216.57</x:v>
      </x:c>
      <x:c r="Y14" s="85" t="n">
        <x:f>IF(OR(NOT(ISNUMBER($W14)),NOT(ISNUMBER($X14)),$W14=0),"",ROUND($X14/$W14,4))</x:f>
        <x:v>0.3629</x:v>
      </x:c>
      <x:c r="Z14" s="82" t="n">
        <x:f>IF(OR($AH14&lt;&gt;"Valid",$AI14&lt;&gt;"Valid"),"",INT($D14-$C14))</x:f>
        <x:v>1</x:v>
      </x:c>
      <x:c r="AA14" s="86" t="str">
        <x:f>IF($AH14&lt;&gt;"Valid","",TEXT($C14,"mmmm"))</x:f>
        <x:v>December</x:v>
      </x:c>
      <x:c r="AB14" s="82" t="n">
        <x:f>IF($AH14&lt;&gt;"Valid","",YEAR($C14))</x:f>
        <x:v>2024</x:v>
      </x:c>
      <x:c r="AC14" s="80" t="str">
        <x:v>Consistent</x:v>
      </x:c>
      <x:c r="AD14" s="80" t="str">
        <x:v>Excluded</x:v>
      </x:c>
      <x:c r="AE14" s="80" t="str">
        <x:f>IF(OR($AH14&lt;&gt;"Valid",$AI14&lt;&gt;"Valid",$AJ14&lt;&gt;"Valid",LEFT($AM14,7)="Invalid",IFERROR(ABS($AQ14)&gt;0.01,FALSE),IFERROR(ABS($AR14)&gt;0.01,FALSE),COUNTIF($AS14,"*Conflicting duplicate*")&gt;0,COUNTIF($AS14,"*Completed order not paid*")&gt;0),"Invalid",IF(OR($H14="Unknown",$N14="Unknown",$AM14="Missing discount imputed as 0"),"Warning","Clean"))</x:f>
        <x:v>Clean</x:v>
      </x:c>
      <x:c r="AF14" s="80" t="str">
        <x:v>Cleaned</x:v>
      </x:c>
      <x:c r="AG14" s="80" t="str">
        <x:v>segment: TRIM/SUBSTITUTE whitespace cleanup</x:v>
      </x:c>
      <x:c r="AH14" s="12" t="str">
        <x:f>IF(C14="","Missing date",IF(ISNUMBER(C14),"Valid","Unrecognized/invalid date"))</x:f>
        <x:v>Valid</x:v>
      </x:c>
      <x:c r="AI14" s="12" t="str">
        <x:f>IF(D14="","Missing date",IF(ISNUMBER(D14),"Valid","Unrecognized/invalid date"))</x:f>
        <x:v>Valid</x:v>
      </x:c>
      <x:c r="AJ14" s="12" t="str">
        <x:v>Valid</x:v>
      </x:c>
      <x:c r="AK14" s="12" t="str">
        <x:v>Pass</x:v>
      </x:c>
      <x:c r="AL14" s="12" t="str">
        <x:v>None</x:v>
      </x:c>
      <x:c r="AM14" s="12" t="str">
        <x:v>Valid</x:v>
      </x:c>
      <x:c r="AN14" s="12" t="str">
        <x:v>Exclude from completed sales</x:v>
      </x:c>
      <x:c r="AO14" s="12" t="str">
        <x:v>Not a refunded record</x:v>
      </x:c>
      <x:c r="AP14" s="37" t="n">
        <x:f>IF(LEFT($AM14,7)="Invalid","",IF($AM14="Missing discount imputed as 0",IF(AND(COUNT($O14,$P14,$R14,$S14)=4,$O14&gt;0,$P14&gt;=0,$R14&gt;=0,$S14&gt;=0),0,""),IF(AND(ISNUMBER($Q14),$Q14&gt;=0,$Q14&lt;=0.5),$Q14,"")))</x:f>
        <x:v>0.15</x:v>
      </x:c>
      <x:c r="AQ14" s="152" t="n">
        <x:f>IF(OR($W14="",NOT(ISNUMBER($R14))),"",ROUND($R14-$W14,2))</x:f>
        <x:v>0</x:v>
      </x:c>
      <x:c r="AR14" s="152" t="n">
        <x:f>IF(OR($X14="",NOT(ISNUMBER($T14))),"",ROUND($T14-$X14,2))</x:f>
        <x:v>0</x:v>
      </x:c>
      <x:c r="AS14" s="14" t="str">
        <x:v>OK</x:v>
      </x:c>
    </x:row>
    <x:row r="15">
      <x:c r="A15" s="80" t="n">
        <x:v>15</x:v>
      </x:c>
      <x:c r="B15" s="80" t="str">
        <x:v>ORD-2025-10014</x:v>
      </x:c>
      <x:c r="C15" s="81" t="n">
        <x:v>45942</x:v>
      </x:c>
      <x:c r="D15" s="81" t="n">
        <x:v>45946</x:v>
      </x:c>
      <x:c r="E15" s="80" t="str">
        <x:v>CUST-7482</x:v>
      </x:c>
      <x:c r="F15" s="80" t="str">
        <x:v>Priya Menon</x:v>
      </x:c>
      <x:c r="G15" s="80" t="str">
        <x:v>Small Business</x:v>
      </x:c>
      <x:c r="H15" s="80" t="str">
        <x:v>West</x:v>
      </x:c>
      <x:c r="I15" s="80" t="str">
        <x:v>Maharashtra</x:v>
      </x:c>
      <x:c r="J15" s="80" t="str">
        <x:v>Mumbai</x:v>
      </x:c>
      <x:c r="K15" s="80" t="str">
        <x:v>Office Supplies</x:v>
      </x:c>
      <x:c r="L15" s="80" t="str">
        <x:v>Art</x:v>
      </x:c>
      <x:c r="M15" s="80" t="str">
        <x:v>Smart Art 795</x:v>
      </x:c>
      <x:c r="N15" s="80" t="str">
        <x:v>Second Class</x:v>
      </x:c>
      <x:c r="O15" s="82" t="n">
        <x:v>7</x:v>
      </x:c>
      <x:c r="P15" s="83" t="n">
        <x:v>3964.72</x:v>
      </x:c>
      <x:c r="Q15" s="84" t="n">
        <x:v>0.05</x:v>
      </x:c>
      <x:c r="R15" s="83" t="n">
        <x:v>26365.39</x:v>
      </x:c>
      <x:c r="S15" s="83" t="n">
        <x:v>22306.24</x:v>
      </x:c>
      <x:c r="T15" s="83" t="n">
        <x:v>4059.15</x:v>
      </x:c>
      <x:c r="U15" s="83" t="str">
        <x:v>Paid</x:v>
      </x:c>
      <x:c r="V15" s="83" t="str">
        <x:v>Completed</x:v>
      </x:c>
      <x:c r="W15" s="151" t="n">
        <x:f>IF(OR(NOT(ISNUMBER($AP15)),COUNT($O15,$P15)&lt;2,$O15&lt;=0,$P15&lt;0),"",ROUND($O15*$P15*(1-$AP15),2))</x:f>
        <x:v>26365.39</x:v>
      </x:c>
      <x:c r="X15" s="151" t="n">
        <x:f>IF(OR(NOT(ISNUMBER($W15)),NOT(ISNUMBER($S15))),"",ROUND($W15-$S15,2))</x:f>
        <x:v>4059.15</x:v>
      </x:c>
      <x:c r="Y15" s="85" t="n">
        <x:f>IF(OR(NOT(ISNUMBER($W15)),NOT(ISNUMBER($X15)),$W15=0),"",ROUND($X15/$W15,4))</x:f>
        <x:v>0.154</x:v>
      </x:c>
      <x:c r="Z15" s="82" t="n">
        <x:f>IF(OR($AH15&lt;&gt;"Valid",$AI15&lt;&gt;"Valid"),"",INT($D15-$C15))</x:f>
        <x:v>4</x:v>
      </x:c>
      <x:c r="AA15" s="86" t="str">
        <x:f>IF($AH15&lt;&gt;"Valid","",TEXT($C15,"mmmm"))</x:f>
        <x:v>October</x:v>
      </x:c>
      <x:c r="AB15" s="82" t="n">
        <x:f>IF($AH15&lt;&gt;"Valid","",YEAR($C15))</x:f>
        <x:v>2025</x:v>
      </x:c>
      <x:c r="AC15" s="80" t="str">
        <x:v>Consistent</x:v>
      </x:c>
      <x:c r="AD15" s="80" t="str">
        <x:v>Eligible</x:v>
      </x:c>
      <x:c r="AE15" s="80" t="str">
        <x:f>IF(OR($AH15&lt;&gt;"Valid",$AI15&lt;&gt;"Valid",$AJ15&lt;&gt;"Valid",LEFT($AM15,7)="Invalid",IFERROR(ABS($AQ15)&gt;0.01,FALSE),IFERROR(ABS($AR15)&gt;0.01,FALSE),COUNTIF($AS15,"*Conflicting duplicate*")&gt;0,COUNTIF($AS15,"*Completed order not paid*")&gt;0),"Invalid",IF(OR($H15="Unknown",$N15="Unknown",$AM15="Missing discount imputed as 0"),"Warning","Clean"))</x:f>
        <x:v>Clean</x:v>
      </x:c>
      <x:c r="AF15" s="80" t="str">
        <x:v>Pass</x:v>
      </x:c>
      <x:c r="AG15" s="80" t="str">
        <x:v>No text cleanup required</x:v>
      </x:c>
      <x:c r="AH15" s="12" t="str">
        <x:f>IF(C15="","Missing date",IF(ISNUMBER(C15),"Valid","Unrecognized/invalid date"))</x:f>
        <x:v>Valid</x:v>
      </x:c>
      <x:c r="AI15" s="12" t="str">
        <x:f>IF(D15="","Missing date",IF(ISNUMBER(D15),"Valid","Unrecognized/invalid date"))</x:f>
        <x:v>Valid</x:v>
      </x:c>
      <x:c r="AJ15" s="12" t="str">
        <x:v>Valid</x:v>
      </x:c>
      <x:c r="AK15" s="12" t="str">
        <x:v>Pass</x:v>
      </x:c>
      <x:c r="AL15" s="12" t="str">
        <x:v>None</x:v>
      </x:c>
      <x:c r="AM15" s="12" t="str">
        <x:v>Valid</x:v>
      </x:c>
      <x:c r="AN15" s="12" t="str">
        <x:v>Include in completed sales</x:v>
      </x:c>
      <x:c r="AO15" s="12" t="str">
        <x:v>Not a refunded record</x:v>
      </x:c>
      <x:c r="AP15" s="37" t="n">
        <x:f>IF(LEFT($AM15,7)="Invalid","",IF($AM15="Missing discount imputed as 0",IF(AND(COUNT($O15,$P15,$R15,$S15)=4,$O15&gt;0,$P15&gt;=0,$R15&gt;=0,$S15&gt;=0),0,""),IF(AND(ISNUMBER($Q15),$Q15&gt;=0,$Q15&lt;=0.5),$Q15,"")))</x:f>
        <x:v>0.05</x:v>
      </x:c>
      <x:c r="AQ15" s="152" t="n">
        <x:f>IF(OR($W15="",NOT(ISNUMBER($R15))),"",ROUND($R15-$W15,2))</x:f>
        <x:v>0</x:v>
      </x:c>
      <x:c r="AR15" s="152" t="n">
        <x:f>IF(OR($X15="",NOT(ISNUMBER($T15))),"",ROUND($T15-$X15,2))</x:f>
        <x:v>0</x:v>
      </x:c>
      <x:c r="AS15" s="14" t="str">
        <x:v>OK</x:v>
      </x:c>
    </x:row>
    <x:row r="16">
      <x:c r="A16" s="80" t="n">
        <x:v>16</x:v>
      </x:c>
      <x:c r="B16" s="80" t="str">
        <x:v>ORD-2024-10015</x:v>
      </x:c>
      <x:c r="C16" s="81" t="n">
        <x:v>45653</x:v>
      </x:c>
      <x:c r="D16" s="81" t="n">
        <x:v>45654</x:v>
      </x:c>
      <x:c r="E16" s="80" t="str">
        <x:v>CUST-4912</x:v>
      </x:c>
      <x:c r="F16" s="80" t="str">
        <x:v>Rahul Verma</x:v>
      </x:c>
      <x:c r="G16" s="80" t="str">
        <x:v>Consumer</x:v>
      </x:c>
      <x:c r="H16" s="80" t="str">
        <x:v>West</x:v>
      </x:c>
      <x:c r="I16" s="80" t="str">
        <x:v>Rajasthan</x:v>
      </x:c>
      <x:c r="J16" s="80" t="str">
        <x:v>Udaipur</x:v>
      </x:c>
      <x:c r="K16" s="80" t="str">
        <x:v>Technology</x:v>
      </x:c>
      <x:c r="L16" s="80" t="str">
        <x:v>Copiers</x:v>
      </x:c>
      <x:c r="M16" s="80" t="str">
        <x:v>Max Copiers 983</x:v>
      </x:c>
      <x:c r="N16" s="80" t="str">
        <x:v>Standard Class</x:v>
      </x:c>
      <x:c r="O16" s="82" t="n">
        <x:v>2</x:v>
      </x:c>
      <x:c r="P16" s="83" t="n">
        <x:v>2737.83</x:v>
      </x:c>
      <x:c r="Q16" s="84" t="n">
        <x:v>0.25</x:v>
      </x:c>
      <x:c r="R16" s="83" t="n">
        <x:v>4106.74</x:v>
      </x:c>
      <x:c r="S16" s="83" t="n">
        <x:v>2666.3</x:v>
      </x:c>
      <x:c r="T16" s="83" t="n">
        <x:v>1440.44</x:v>
      </x:c>
      <x:c r="U16" s="83" t="str">
        <x:v>Paid</x:v>
      </x:c>
      <x:c r="V16" s="83" t="str">
        <x:v>Completed</x:v>
      </x:c>
      <x:c r="W16" s="151" t="n">
        <x:f>IF(OR(NOT(ISNUMBER($AP16)),COUNT($O16,$P16)&lt;2,$O16&lt;=0,$P16&lt;0),"",ROUND($O16*$P16*(1-$AP16),2))</x:f>
        <x:v>4106.75</x:v>
      </x:c>
      <x:c r="X16" s="151" t="n">
        <x:f>IF(OR(NOT(ISNUMBER($W16)),NOT(ISNUMBER($S16))),"",ROUND($W16-$S16,2))</x:f>
        <x:v>1440.45</x:v>
      </x:c>
      <x:c r="Y16" s="85" t="n">
        <x:f>IF(OR(NOT(ISNUMBER($W16)),NOT(ISNUMBER($X16)),$W16=0),"",ROUND($X16/$W16,4))</x:f>
        <x:v>0.3508</x:v>
      </x:c>
      <x:c r="Z16" s="82" t="n">
        <x:f>IF(OR($AH16&lt;&gt;"Valid",$AI16&lt;&gt;"Valid"),"",INT($D16-$C16))</x:f>
        <x:v>1</x:v>
      </x:c>
      <x:c r="AA16" s="86" t="str">
        <x:f>IF($AH16&lt;&gt;"Valid","",TEXT($C16,"mmmm"))</x:f>
        <x:v>December</x:v>
      </x:c>
      <x:c r="AB16" s="82" t="n">
        <x:f>IF($AH16&lt;&gt;"Valid","",YEAR($C16))</x:f>
        <x:v>2024</x:v>
      </x:c>
      <x:c r="AC16" s="80" t="str">
        <x:v>Consistent</x:v>
      </x:c>
      <x:c r="AD16" s="80" t="str">
        <x:v>Eligible</x:v>
      </x:c>
      <x:c r="AE16" s="80" t="str">
        <x:f>IF(OR($AH16&lt;&gt;"Valid",$AI16&lt;&gt;"Valid",$AJ16&lt;&gt;"Valid",LEFT($AM16,7)="Invalid",IFERROR(ABS($AQ16)&gt;0.01,FALSE),IFERROR(ABS($AR16)&gt;0.01,FALSE),COUNTIF($AS16,"*Conflicting duplicate*")&gt;0,COUNTIF($AS16,"*Completed order not paid*")&gt;0),"Invalid",IF(OR($H16="Unknown",$N16="Unknown",$AM16="Missing discount imputed as 0"),"Warning","Clean"))</x:f>
        <x:v>Clean</x:v>
      </x:c>
      <x:c r="AF16" s="80" t="str">
        <x:v>Pass</x:v>
      </x:c>
      <x:c r="AG16" s="80" t="str">
        <x:v>No text cleanup required</x:v>
      </x:c>
      <x:c r="AH16" s="12" t="str">
        <x:f>IF(C16="","Missing date",IF(ISNUMBER(C16),"Valid","Unrecognized/invalid date"))</x:f>
        <x:v>Valid</x:v>
      </x:c>
      <x:c r="AI16" s="12" t="str">
        <x:f>IF(D16="","Missing date",IF(ISNUMBER(D16),"Valid","Unrecognized/invalid date"))</x:f>
        <x:v>Valid</x:v>
      </x:c>
      <x:c r="AJ16" s="12" t="str">
        <x:v>Valid</x:v>
      </x:c>
      <x:c r="AK16" s="12" t="str">
        <x:v>Pass</x:v>
      </x:c>
      <x:c r="AL16" s="12" t="str">
        <x:v>None</x:v>
      </x:c>
      <x:c r="AM16" s="12" t="str">
        <x:v>Valid</x:v>
      </x:c>
      <x:c r="AN16" s="12" t="str">
        <x:v>Include in completed sales</x:v>
      </x:c>
      <x:c r="AO16" s="12" t="str">
        <x:v>Not a refunded record</x:v>
      </x:c>
      <x:c r="AP16" s="37" t="n">
        <x:f>IF(LEFT($AM16,7)="Invalid","",IF($AM16="Missing discount imputed as 0",IF(AND(COUNT($O16,$P16,$R16,$S16)=4,$O16&gt;0,$P16&gt;=0,$R16&gt;=0,$S16&gt;=0),0,""),IF(AND(ISNUMBER($Q16),$Q16&gt;=0,$Q16&lt;=0.5),$Q16,"")))</x:f>
        <x:v>0.25</x:v>
      </x:c>
      <x:c r="AQ16" s="152" t="n">
        <x:f>IF(OR($W16="",NOT(ISNUMBER($R16))),"",ROUND($R16-$W16,2))</x:f>
        <x:v>-0.01</x:v>
      </x:c>
      <x:c r="AR16" s="152" t="n">
        <x:f>IF(OR($X16="",NOT(ISNUMBER($T16))),"",ROUND($T16-$X16,2))</x:f>
        <x:v>-0.01</x:v>
      </x:c>
      <x:c r="AS16" s="14" t="str">
        <x:v>OK</x:v>
      </x:c>
    </x:row>
    <x:row r="17">
      <x:c r="A17" s="80" t="n">
        <x:v>17</x:v>
      </x:c>
      <x:c r="B17" s="80" t="str">
        <x:v>ORD-2024-10016</x:v>
      </x:c>
      <x:c r="C17" s="81" t="n">
        <x:v>45482</x:v>
      </x:c>
      <x:c r="D17" s="81" t="n">
        <x:v>45482</x:v>
      </x:c>
      <x:c r="E17" s="80" t="str">
        <x:v>CUST-7656</x:v>
      </x:c>
      <x:c r="F17" s="80" t="str">
        <x:v>Karan Malhotra</x:v>
      </x:c>
      <x:c r="G17" s="80" t="str">
        <x:v>Small Business</x:v>
      </x:c>
      <x:c r="H17" s="80" t="str">
        <x:v>North</x:v>
      </x:c>
      <x:c r="I17" s="80" t="str">
        <x:v>Punjab</x:v>
      </x:c>
      <x:c r="J17" s="80" t="str">
        <x:v>Ludhiana</x:v>
      </x:c>
      <x:c r="K17" s="80" t="str">
        <x:v>Office Supplies</x:v>
      </x:c>
      <x:c r="L17" s="80" t="str">
        <x:v>Storage</x:v>
      </x:c>
      <x:c r="M17" s="80" t="str">
        <x:v>Classic Storage 198</x:v>
      </x:c>
      <x:c r="N17" s="80" t="str">
        <x:v>Second Class</x:v>
      </x:c>
      <x:c r="O17" s="82" t="n">
        <x:v>6</x:v>
      </x:c>
      <x:c r="P17" s="83" t="n">
        <x:v>3965.76</x:v>
      </x:c>
      <x:c r="Q17" s="84" t="n">
        <x:v>0</x:v>
      </x:c>
      <x:c r="R17" s="83" t="n">
        <x:v>23794.56</x:v>
      </x:c>
      <x:c r="S17" s="83" t="n">
        <x:v>15698.47</x:v>
      </x:c>
      <x:c r="T17" s="83" t="n">
        <x:v>8096.09</x:v>
      </x:c>
      <x:c r="U17" s="83" t="str">
        <x:v>Paid</x:v>
      </x:c>
      <x:c r="V17" s="83" t="str">
        <x:v>Completed</x:v>
      </x:c>
      <x:c r="W17" s="151" t="n">
        <x:f>IF(OR(NOT(ISNUMBER($AP17)),COUNT($O17,$P17)&lt;2,$O17&lt;=0,$P17&lt;0),"",ROUND($O17*$P17*(1-$AP17),2))</x:f>
        <x:v>23794.56</x:v>
      </x:c>
      <x:c r="X17" s="151" t="n">
        <x:f>IF(OR(NOT(ISNUMBER($W17)),NOT(ISNUMBER($S17))),"",ROUND($W17-$S17,2))</x:f>
        <x:v>8096.09</x:v>
      </x:c>
      <x:c r="Y17" s="85" t="n">
        <x:f>IF(OR(NOT(ISNUMBER($W17)),NOT(ISNUMBER($X17)),$W17=0),"",ROUND($X17/$W17,4))</x:f>
        <x:v>0.3402</x:v>
      </x:c>
      <x:c r="Z17" s="82" t="n">
        <x:f>IF(OR($AH17&lt;&gt;"Valid",$AI17&lt;&gt;"Valid"),"",INT($D17-$C17))</x:f>
        <x:v>0</x:v>
      </x:c>
      <x:c r="AA17" s="86" t="str">
        <x:f>IF($AH17&lt;&gt;"Valid","",TEXT($C17,"mmmm"))</x:f>
        <x:v>July</x:v>
      </x:c>
      <x:c r="AB17" s="82" t="n">
        <x:f>IF($AH17&lt;&gt;"Valid","",YEAR($C17))</x:f>
        <x:v>2024</x:v>
      </x:c>
      <x:c r="AC17" s="80" t="str">
        <x:v>Consistent</x:v>
      </x:c>
      <x:c r="AD17" s="80" t="str">
        <x:v>Eligible</x:v>
      </x:c>
      <x:c r="AE17" s="80" t="str">
        <x:f>IF(OR($AH17&lt;&gt;"Valid",$AI17&lt;&gt;"Valid",$AJ17&lt;&gt;"Valid",LEFT($AM17,7)="Invalid",IFERROR(ABS($AQ17)&gt;0.01,FALSE),IFERROR(ABS($AR17)&gt;0.01,FALSE),COUNTIF($AS17,"*Conflicting duplicate*")&gt;0,COUNTIF($AS17,"*Completed order not paid*")&gt;0),"Invalid",IF(OR($H17="Unknown",$N17="Unknown",$AM17="Missing discount imputed as 0"),"Warning","Clean"))</x:f>
        <x:v>Clean</x:v>
      </x:c>
      <x:c r="AF17" s="80" t="str">
        <x:v>Pass</x:v>
      </x:c>
      <x:c r="AG17" s="80" t="str">
        <x:v>No text cleanup required</x:v>
      </x:c>
      <x:c r="AH17" s="12" t="str">
        <x:f>IF(C17="","Missing date",IF(ISNUMBER(C17),"Valid","Unrecognized/invalid date"))</x:f>
        <x:v>Valid</x:v>
      </x:c>
      <x:c r="AI17" s="12" t="str">
        <x:f>IF(D17="","Missing date",IF(ISNUMBER(D17),"Valid","Unrecognized/invalid date"))</x:f>
        <x:v>Valid</x:v>
      </x:c>
      <x:c r="AJ17" s="12" t="str">
        <x:v>Valid</x:v>
      </x:c>
      <x:c r="AK17" s="12" t="str">
        <x:v>Pass</x:v>
      </x:c>
      <x:c r="AL17" s="12" t="str">
        <x:v>None</x:v>
      </x:c>
      <x:c r="AM17" s="12" t="str">
        <x:v>Valid</x:v>
      </x:c>
      <x:c r="AN17" s="12" t="str">
        <x:v>Include in completed sales</x:v>
      </x:c>
      <x:c r="AO17" s="12" t="str">
        <x:v>Not a refunded record</x:v>
      </x:c>
      <x:c r="AP17" s="37" t="n">
        <x:f>IF(LEFT($AM17,7)="Invalid","",IF($AM17="Missing discount imputed as 0",IF(AND(COUNT($O17,$P17,$R17,$S17)=4,$O17&gt;0,$P17&gt;=0,$R17&gt;=0,$S17&gt;=0),0,""),IF(AND(ISNUMBER($Q17),$Q17&gt;=0,$Q17&lt;=0.5),$Q17,"")))</x:f>
        <x:v>0</x:v>
      </x:c>
      <x:c r="AQ17" s="152" t="n">
        <x:f>IF(OR($W17="",NOT(ISNUMBER($R17))),"",ROUND($R17-$W17,2))</x:f>
        <x:v>0</x:v>
      </x:c>
      <x:c r="AR17" s="152" t="n">
        <x:f>IF(OR($X17="",NOT(ISNUMBER($T17))),"",ROUND($T17-$X17,2))</x:f>
        <x:v>0</x:v>
      </x:c>
      <x:c r="AS17" s="14" t="str">
        <x:v>OK</x:v>
      </x:c>
    </x:row>
    <x:row r="18">
      <x:c r="A18" s="80" t="n">
        <x:v>18</x:v>
      </x:c>
      <x:c r="B18" s="80" t="str">
        <x:v>ORD-2024-10017</x:v>
      </x:c>
      <x:c r="C18" s="81" t="n">
        <x:v>45420</x:v>
      </x:c>
      <x:c r="D18" s="81" t="n">
        <x:v>45427</x:v>
      </x:c>
      <x:c r="E18" s="80" t="str">
        <x:v>CUST-6214</x:v>
      </x:c>
      <x:c r="F18" s="80" t="str">
        <x:v>Aarav Sharma</x:v>
      </x:c>
      <x:c r="G18" s="80" t="str">
        <x:v>Consumer</x:v>
      </x:c>
      <x:c r="H18" s="80" t="str">
        <x:v>South</x:v>
      </x:c>
      <x:c r="I18" s="80" t="str">
        <x:v>Telangana</x:v>
      </x:c>
      <x:c r="J18" s="80" t="str">
        <x:v>Hyderabad</x:v>
      </x:c>
      <x:c r="K18" s="80" t="str">
        <x:v>Office Supplies</x:v>
      </x:c>
      <x:c r="L18" s="80" t="str">
        <x:v>Art</x:v>
      </x:c>
      <x:c r="M18" s="80" t="str">
        <x:v>Basic Art 204</x:v>
      </x:c>
      <x:c r="N18" s="80" t="str">
        <x:v>First Class</x:v>
      </x:c>
      <x:c r="O18" s="82" t="n">
        <x:v>4</x:v>
      </x:c>
      <x:c r="P18" s="83" t="n">
        <x:v>3323.51</x:v>
      </x:c>
      <x:c r="Q18" s="84" t="n">
        <x:v>0.25</x:v>
      </x:c>
      <x:c r="R18" s="83" t="n">
        <x:v>9970.53</x:v>
      </x:c>
      <x:c r="S18" s="83" t="n">
        <x:v>5668.17</x:v>
      </x:c>
      <x:c r="T18" s="83" t="n">
        <x:v>4302.36</x:v>
      </x:c>
      <x:c r="U18" s="83" t="str">
        <x:v>Paid</x:v>
      </x:c>
      <x:c r="V18" s="83" t="str">
        <x:v>Completed</x:v>
      </x:c>
      <x:c r="W18" s="151" t="n">
        <x:f>IF(OR(NOT(ISNUMBER($AP18)),COUNT($O18,$P18)&lt;2,$O18&lt;=0,$P18&lt;0),"",ROUND($O18*$P18*(1-$AP18),2))</x:f>
        <x:v>9970.53</x:v>
      </x:c>
      <x:c r="X18" s="151" t="n">
        <x:f>IF(OR(NOT(ISNUMBER($W18)),NOT(ISNUMBER($S18))),"",ROUND($W18-$S18,2))</x:f>
        <x:v>4302.36</x:v>
      </x:c>
      <x:c r="Y18" s="85" t="n">
        <x:f>IF(OR(NOT(ISNUMBER($W18)),NOT(ISNUMBER($X18)),$W18=0),"",ROUND($X18/$W18,4))</x:f>
        <x:v>0.4315</x:v>
      </x:c>
      <x:c r="Z18" s="82" t="n">
        <x:f>IF(OR($AH18&lt;&gt;"Valid",$AI18&lt;&gt;"Valid"),"",INT($D18-$C18))</x:f>
        <x:v>7</x:v>
      </x:c>
      <x:c r="AA18" s="86" t="str">
        <x:f>IF($AH18&lt;&gt;"Valid","",TEXT($C18,"mmmm"))</x:f>
        <x:v>May</x:v>
      </x:c>
      <x:c r="AB18" s="82" t="n">
        <x:f>IF($AH18&lt;&gt;"Valid","",YEAR($C18))</x:f>
        <x:v>2024</x:v>
      </x:c>
      <x:c r="AC18" s="80" t="str">
        <x:v>Consistent</x:v>
      </x:c>
      <x:c r="AD18" s="80" t="str">
        <x:v>Eligible</x:v>
      </x:c>
      <x:c r="AE18" s="80" t="str">
        <x:f>IF(OR($AH18&lt;&gt;"Valid",$AI18&lt;&gt;"Valid",$AJ18&lt;&gt;"Valid",LEFT($AM18,7)="Invalid",IFERROR(ABS($AQ18)&gt;0.01,FALSE),IFERROR(ABS($AR18)&gt;0.01,FALSE),COUNTIF($AS18,"*Conflicting duplicate*")&gt;0,COUNTIF($AS18,"*Completed order not paid*")&gt;0),"Invalid",IF(OR($H18="Unknown",$N18="Unknown",$AM18="Missing discount imputed as 0"),"Warning","Clean"))</x:f>
        <x:v>Clean</x:v>
      </x:c>
      <x:c r="AF18" s="80" t="str">
        <x:v>Pass</x:v>
      </x:c>
      <x:c r="AG18" s="80" t="str">
        <x:v>No text cleanup required</x:v>
      </x:c>
      <x:c r="AH18" s="12" t="str">
        <x:f>IF(C18="","Missing date",IF(ISNUMBER(C18),"Valid","Unrecognized/invalid date"))</x:f>
        <x:v>Valid</x:v>
      </x:c>
      <x:c r="AI18" s="12" t="str">
        <x:f>IF(D18="","Missing date",IF(ISNUMBER(D18),"Valid","Unrecognized/invalid date"))</x:f>
        <x:v>Valid</x:v>
      </x:c>
      <x:c r="AJ18" s="12" t="str">
        <x:v>Valid</x:v>
      </x:c>
      <x:c r="AK18" s="12" t="str">
        <x:v>Pass</x:v>
      </x:c>
      <x:c r="AL18" s="12" t="str">
        <x:v>None</x:v>
      </x:c>
      <x:c r="AM18" s="12" t="str">
        <x:v>Valid</x:v>
      </x:c>
      <x:c r="AN18" s="12" t="str">
        <x:v>Include in completed sales</x:v>
      </x:c>
      <x:c r="AO18" s="12" t="str">
        <x:v>Not a refunded record</x:v>
      </x:c>
      <x:c r="AP18" s="37" t="n">
        <x:f>IF(LEFT($AM18,7)="Invalid","",IF($AM18="Missing discount imputed as 0",IF(AND(COUNT($O18,$P18,$R18,$S18)=4,$O18&gt;0,$P18&gt;=0,$R18&gt;=0,$S18&gt;=0),0,""),IF(AND(ISNUMBER($Q18),$Q18&gt;=0,$Q18&lt;=0.5),$Q18,"")))</x:f>
        <x:v>0.25</x:v>
      </x:c>
      <x:c r="AQ18" s="152" t="n">
        <x:f>IF(OR($W18="",NOT(ISNUMBER($R18))),"",ROUND($R18-$W18,2))</x:f>
        <x:v>0</x:v>
      </x:c>
      <x:c r="AR18" s="152" t="n">
        <x:f>IF(OR($X18="",NOT(ISNUMBER($T18))),"",ROUND($T18-$X18,2))</x:f>
        <x:v>0</x:v>
      </x:c>
      <x:c r="AS18" s="14" t="str">
        <x:v>OK</x:v>
      </x:c>
    </x:row>
    <x:row r="19">
      <x:c r="A19" s="80" t="n">
        <x:v>19</x:v>
      </x:c>
      <x:c r="B19" s="80" t="str">
        <x:v>ORD-2024-10018</x:v>
      </x:c>
      <x:c r="C19" s="81" t="n">
        <x:v>45298</x:v>
      </x:c>
      <x:c r="D19" s="81" t="n">
        <x:v>45299</x:v>
      </x:c>
      <x:c r="E19" s="80" t="str">
        <x:v>CUST-1626</x:v>
      </x:c>
      <x:c r="F19" s="80" t="str">
        <x:v>Sneha Kapoor</x:v>
      </x:c>
      <x:c r="G19" s="80" t="str">
        <x:v>Small Business</x:v>
      </x:c>
      <x:c r="H19" s="80" t="str">
        <x:v>North</x:v>
      </x:c>
      <x:c r="I19" s="80" t="str">
        <x:v>Rajasthan</x:v>
      </x:c>
      <x:c r="J19" s="80" t="str">
        <x:v>Jaipur</x:v>
      </x:c>
      <x:c r="K19" s="80" t="str">
        <x:v>Furniture</x:v>
      </x:c>
      <x:c r="L19" s="80" t="str">
        <x:v>Furnishings</x:v>
      </x:c>
      <x:c r="M19" s="80" t="str">
        <x:v>Basic Furnishings 434</x:v>
      </x:c>
      <x:c r="N19" s="80" t="str">
        <x:v>Same Day</x:v>
      </x:c>
      <x:c r="O19" s="82" t="n">
        <x:v>5</x:v>
      </x:c>
      <x:c r="P19" s="83" t="n">
        <x:v>1526.78</x:v>
      </x:c>
      <x:c r="Q19" s="84" t="n">
        <x:v>0</x:v>
      </x:c>
      <x:c r="R19" s="83" t="n">
        <x:v>7633.9</x:v>
      </x:c>
      <x:c r="S19" s="83" t="n">
        <x:v>4706.91</x:v>
      </x:c>
      <x:c r="T19" s="83" t="n">
        <x:v>2926.99</x:v>
      </x:c>
      <x:c r="U19" s="83" t="str">
        <x:v>Paid</x:v>
      </x:c>
      <x:c r="V19" s="83" t="str">
        <x:v>Completed</x:v>
      </x:c>
      <x:c r="W19" s="151" t="n">
        <x:f>IF(OR(NOT(ISNUMBER($AP19)),COUNT($O19,$P19)&lt;2,$O19&lt;=0,$P19&lt;0),"",ROUND($O19*$P19*(1-$AP19),2))</x:f>
        <x:v>7633.9</x:v>
      </x:c>
      <x:c r="X19" s="151" t="n">
        <x:f>IF(OR(NOT(ISNUMBER($W19)),NOT(ISNUMBER($S19))),"",ROUND($W19-$S19,2))</x:f>
        <x:v>2926.99</x:v>
      </x:c>
      <x:c r="Y19" s="85" t="n">
        <x:f>IF(OR(NOT(ISNUMBER($W19)),NOT(ISNUMBER($X19)),$W19=0),"",ROUND($X19/$W19,4))</x:f>
        <x:v>0.3834</x:v>
      </x:c>
      <x:c r="Z19" s="82" t="n">
        <x:f>IF(OR($AH19&lt;&gt;"Valid",$AI19&lt;&gt;"Valid"),"",INT($D19-$C19))</x:f>
        <x:v>1</x:v>
      </x:c>
      <x:c r="AA19" s="86" t="str">
        <x:f>IF($AH19&lt;&gt;"Valid","",TEXT($C19,"mmmm"))</x:f>
        <x:v>January</x:v>
      </x:c>
      <x:c r="AB19" s="82" t="n">
        <x:f>IF($AH19&lt;&gt;"Valid","",YEAR($C19))</x:f>
        <x:v>2024</x:v>
      </x:c>
      <x:c r="AC19" s="80" t="str">
        <x:v>Consistent</x:v>
      </x:c>
      <x:c r="AD19" s="80" t="str">
        <x:v>Eligible</x:v>
      </x:c>
      <x:c r="AE19" s="80" t="str">
        <x:f>IF(OR($AH19&lt;&gt;"Valid",$AI19&lt;&gt;"Valid",$AJ19&lt;&gt;"Valid",LEFT($AM19,7)="Invalid",IFERROR(ABS($AQ19)&gt;0.01,FALSE),IFERROR(ABS($AR19)&gt;0.01,FALSE),COUNTIF($AS19,"*Conflicting duplicate*")&gt;0,COUNTIF($AS19,"*Completed order not paid*")&gt;0),"Invalid",IF(OR($H19="Unknown",$N19="Unknown",$AM19="Missing discount imputed as 0"),"Warning","Clean"))</x:f>
        <x:v>Clean</x:v>
      </x:c>
      <x:c r="AF19" s="80" t="str">
        <x:v>Pass</x:v>
      </x:c>
      <x:c r="AG19" s="80" t="str">
        <x:v>No text cleanup required</x:v>
      </x:c>
      <x:c r="AH19" s="12" t="str">
        <x:f>IF(C19="","Missing date",IF(ISNUMBER(C19),"Valid","Unrecognized/invalid date"))</x:f>
        <x:v>Valid</x:v>
      </x:c>
      <x:c r="AI19" s="12" t="str">
        <x:f>IF(D19="","Missing date",IF(ISNUMBER(D19),"Valid","Unrecognized/invalid date"))</x:f>
        <x:v>Valid</x:v>
      </x:c>
      <x:c r="AJ19" s="12" t="str">
        <x:v>Valid</x:v>
      </x:c>
      <x:c r="AK19" s="12" t="str">
        <x:v>Pass</x:v>
      </x:c>
      <x:c r="AL19" s="12" t="str">
        <x:v>None</x:v>
      </x:c>
      <x:c r="AM19" s="12" t="str">
        <x:v>Valid</x:v>
      </x:c>
      <x:c r="AN19" s="12" t="str">
        <x:v>Include in completed sales</x:v>
      </x:c>
      <x:c r="AO19" s="12" t="str">
        <x:v>Not a refunded record</x:v>
      </x:c>
      <x:c r="AP19" s="37" t="n">
        <x:f>IF(LEFT($AM19,7)="Invalid","",IF($AM19="Missing discount imputed as 0",IF(AND(COUNT($O19,$P19,$R19,$S19)=4,$O19&gt;0,$P19&gt;=0,$R19&gt;=0,$S19&gt;=0),0,""),IF(AND(ISNUMBER($Q19),$Q19&gt;=0,$Q19&lt;=0.5),$Q19,"")))</x:f>
        <x:v>0</x:v>
      </x:c>
      <x:c r="AQ19" s="152" t="n">
        <x:f>IF(OR($W19="",NOT(ISNUMBER($R19))),"",ROUND($R19-$W19,2))</x:f>
        <x:v>0</x:v>
      </x:c>
      <x:c r="AR19" s="152" t="n">
        <x:f>IF(OR($X19="",NOT(ISNUMBER($T19))),"",ROUND($T19-$X19,2))</x:f>
        <x:v>0</x:v>
      </x:c>
      <x:c r="AS19" s="14" t="str">
        <x:v>OK</x:v>
      </x:c>
    </x:row>
    <x:row r="20">
      <x:c r="A20" s="80" t="n">
        <x:v>20</x:v>
      </x:c>
      <x:c r="B20" s="80" t="str">
        <x:v>ORD-2025-10019</x:v>
      </x:c>
      <x:c r="C20" s="81" t="n">
        <x:v>45853</x:v>
      </x:c>
      <x:c r="D20" s="81" t="n">
        <x:v>45855</x:v>
      </x:c>
      <x:c r="E20" s="80" t="str">
        <x:v>CUST-2110</x:v>
      </x:c>
      <x:c r="F20" s="80" t="str">
        <x:v>Aarav Sharma</x:v>
      </x:c>
      <x:c r="G20" s="80" t="str">
        <x:v>Home Office</x:v>
      </x:c>
      <x:c r="H20" s="80" t="str">
        <x:v>North</x:v>
      </x:c>
      <x:c r="I20" s="80" t="str">
        <x:v>Uttar Pradesh</x:v>
      </x:c>
      <x:c r="J20" s="80" t="str">
        <x:v>Noida</x:v>
      </x:c>
      <x:c r="K20" s="80" t="str">
        <x:v>Technology</x:v>
      </x:c>
      <x:c r="L20" s="80" t="str">
        <x:v>Copiers</x:v>
      </x:c>
      <x:c r="M20" s="80" t="str">
        <x:v>Eco Copiers 755</x:v>
      </x:c>
      <x:c r="N20" s="80" t="str">
        <x:v>First Class</x:v>
      </x:c>
      <x:c r="O20" s="82" t="n">
        <x:v>2</x:v>
      </x:c>
      <x:c r="P20" s="83" t="n">
        <x:v>1997.99</x:v>
      </x:c>
      <x:c r="Q20" s="84" t="n">
        <x:v>0</x:v>
      </x:c>
      <x:c r="R20" s="83" t="n">
        <x:v>3995.98</x:v>
      </x:c>
      <x:c r="S20" s="83" t="n">
        <x:v>2633.2</x:v>
      </x:c>
      <x:c r="T20" s="83" t="n">
        <x:v>1362.78</x:v>
      </x:c>
      <x:c r="U20" s="83" t="str">
        <x:v>Refunded</x:v>
      </x:c>
      <x:c r="V20" s="83" t="str">
        <x:v>Cancelled</x:v>
      </x:c>
      <x:c r="W20" s="151" t="n">
        <x:f>IF(OR(NOT(ISNUMBER($AP20)),COUNT($O20,$P20)&lt;2,$O20&lt;=0,$P20&lt;0),"",ROUND($O20*$P20*(1-$AP20),2))</x:f>
        <x:v>3995.98</x:v>
      </x:c>
      <x:c r="X20" s="151" t="n">
        <x:f>IF(OR(NOT(ISNUMBER($W20)),NOT(ISNUMBER($S20))),"",ROUND($W20-$S20,2))</x:f>
        <x:v>1362.78</x:v>
      </x:c>
      <x:c r="Y20" s="85" t="n">
        <x:f>IF(OR(NOT(ISNUMBER($W20)),NOT(ISNUMBER($X20)),$W20=0),"",ROUND($X20/$W20,4))</x:f>
        <x:v>0.341</x:v>
      </x:c>
      <x:c r="Z20" s="82" t="n">
        <x:f>IF(OR($AH20&lt;&gt;"Valid",$AI20&lt;&gt;"Valid"),"",INT($D20-$C20))</x:f>
        <x:v>2</x:v>
      </x:c>
      <x:c r="AA20" s="86" t="str">
        <x:f>IF($AH20&lt;&gt;"Valid","",TEXT($C20,"mmmm"))</x:f>
        <x:v>July</x:v>
      </x:c>
      <x:c r="AB20" s="82" t="n">
        <x:f>IF($AH20&lt;&gt;"Valid","",YEAR($C20))</x:f>
        <x:v>2025</x:v>
      </x:c>
      <x:c r="AC20" s="80" t="str">
        <x:v>Cancelled (excluded from completed-sales summary)</x:v>
      </x:c>
      <x:c r="AD20" s="80" t="str">
        <x:v>Excluded</x:v>
      </x:c>
      <x:c r="AE20" s="80" t="str">
        <x:f>IF(OR($AH20&lt;&gt;"Valid",$AI20&lt;&gt;"Valid",$AJ20&lt;&gt;"Valid",LEFT($AM20,7)="Invalid",IFERROR(ABS($AQ20)&gt;0.01,FALSE),IFERROR(ABS($AR20)&gt;0.01,FALSE),COUNTIF($AS20,"*Conflicting duplicate*")&gt;0,COUNTIF($AS20,"*Completed order not paid*")&gt;0),"Invalid",IF(OR($H20="Unknown",$N20="Unknown",$AM20="Missing discount imputed as 0"),"Warning","Clean"))</x:f>
        <x:v>Clean</x:v>
      </x:c>
      <x:c r="AF20" s="80" t="str">
        <x:v>Pass</x:v>
      </x:c>
      <x:c r="AG20" s="80" t="str">
        <x:v>No text cleanup required</x:v>
      </x:c>
      <x:c r="AH20" s="12" t="str">
        <x:f>IF(C20="","Missing date",IF(ISNUMBER(C20),"Valid","Unrecognized/invalid date"))</x:f>
        <x:v>Valid</x:v>
      </x:c>
      <x:c r="AI20" s="12" t="str">
        <x:f>IF(D20="","Missing date",IF(ISNUMBER(D20),"Valid","Unrecognized/invalid date"))</x:f>
        <x:v>Valid</x:v>
      </x:c>
      <x:c r="AJ20" s="12" t="str">
        <x:v>Valid</x:v>
      </x:c>
      <x:c r="AK20" s="12" t="str">
        <x:v>Pass</x:v>
      </x:c>
      <x:c r="AL20" s="12" t="str">
        <x:v>Cancelled order – excluded from completed sales; Refunded payment – separately summarized</x:v>
      </x:c>
      <x:c r="AM20" s="12" t="str">
        <x:v>Valid</x:v>
      </x:c>
      <x:c r="AN20" s="12" t="str">
        <x:v>Exclude from completed sales</x:v>
      </x:c>
      <x:c r="AO20" s="12" t="str">
        <x:v>Include in refunded summary</x:v>
      </x:c>
      <x:c r="AP20" s="37" t="n">
        <x:f>IF(LEFT($AM20,7)="Invalid","",IF($AM20="Missing discount imputed as 0",IF(AND(COUNT($O20,$P20,$R20,$S20)=4,$O20&gt;0,$P20&gt;=0,$R20&gt;=0,$S20&gt;=0),0,""),IF(AND(ISNUMBER($Q20),$Q20&gt;=0,$Q20&lt;=0.5),$Q20,"")))</x:f>
        <x:v>0</x:v>
      </x:c>
      <x:c r="AQ20" s="152" t="n">
        <x:f>IF(OR($W20="",NOT(ISNUMBER($R20))),"",ROUND($R20-$W20,2))</x:f>
        <x:v>0</x:v>
      </x:c>
      <x:c r="AR20" s="152" t="n">
        <x:f>IF(OR($X20="",NOT(ISNUMBER($T20))),"",ROUND($T20-$X20,2))</x:f>
        <x:v>0</x:v>
      </x:c>
      <x:c r="AS20" s="14" t="str">
        <x:v>OK</x:v>
      </x:c>
    </x:row>
    <x:row r="21">
      <x:c r="A21" s="80" t="n">
        <x:v>21</x:v>
      </x:c>
      <x:c r="B21" s="80" t="str">
        <x:v>ORD-2024-10020</x:v>
      </x:c>
      <x:c r="C21" s="81" t="n">
        <x:v>45500</x:v>
      </x:c>
      <x:c r="D21" s="81" t="n">
        <x:v>45504</x:v>
      </x:c>
      <x:c r="E21" s="80" t="str">
        <x:v>CUST-3186</x:v>
      </x:c>
      <x:c r="F21" s="80" t="str">
        <x:v>Rohan Mehta</x:v>
      </x:c>
      <x:c r="G21" s="80" t="str">
        <x:v>Home Office</x:v>
      </x:c>
      <x:c r="H21" s="80" t="str">
        <x:v>West</x:v>
      </x:c>
      <x:c r="I21" s="80" t="str">
        <x:v>Madhya Pradesh</x:v>
      </x:c>
      <x:c r="J21" s="80" t="str">
        <x:v>Indore</x:v>
      </x:c>
      <x:c r="K21" s="80" t="str">
        <x:v>Office Supplies</x:v>
      </x:c>
      <x:c r="L21" s="80" t="str">
        <x:v>Storage</x:v>
      </x:c>
      <x:c r="M21" s="80" t="str">
        <x:v>Prime Storage 121</x:v>
      </x:c>
      <x:c r="N21" s="80" t="str">
        <x:v>Second Class</x:v>
      </x:c>
      <x:c r="O21" s="82" t="n">
        <x:v>3</x:v>
      </x:c>
      <x:c r="P21" s="83" t="n">
        <x:v>3887.94</x:v>
      </x:c>
      <x:c r="Q21" s="84" t="n">
        <x:v>-0.19</x:v>
      </x:c>
      <x:c r="R21" s="83" t="n">
        <x:v>9331.06</x:v>
      </x:c>
      <x:c r="S21" s="83" t="n">
        <x:v>7529.31</x:v>
      </x:c>
      <x:c r="T21" s="83" t="n">
        <x:v>1801.75</x:v>
      </x:c>
      <x:c r="U21" s="83" t="str">
        <x:v>Paid</x:v>
      </x:c>
      <x:c r="V21" s="83" t="str">
        <x:v>Completed</x:v>
      </x:c>
      <x:c r="W21" s="151" t="str">
        <x:f>IF(OR(NOT(ISNUMBER($AP21)),COUNT($O21,$P21)&lt;2,$O21&lt;=0,$P21&lt;0),"",ROUND($O21*$P21*(1-$AP21),2))</x:f>
      </x:c>
      <x:c r="X21" s="151" t="str">
        <x:f>IF(OR(NOT(ISNUMBER($W21)),NOT(ISNUMBER($S21))),"",ROUND($W21-$S21,2))</x:f>
      </x:c>
      <x:c r="Y21" s="85" t="str">
        <x:f>IF(OR(NOT(ISNUMBER($W21)),NOT(ISNUMBER($X21)),$W21=0),"",ROUND($X21/$W21,4))</x:f>
      </x:c>
      <x:c r="Z21" s="82" t="n">
        <x:f>IF(OR($AH21&lt;&gt;"Valid",$AI21&lt;&gt;"Valid"),"",INT($D21-$C21))</x:f>
        <x:v>4</x:v>
      </x:c>
      <x:c r="AA21" s="86" t="str">
        <x:f>IF($AH21&lt;&gt;"Valid","",TEXT($C21,"mmmm"))</x:f>
        <x:v>July</x:v>
      </x:c>
      <x:c r="AB21" s="82" t="n">
        <x:f>IF($AH21&lt;&gt;"Valid","",YEAR($C21))</x:f>
        <x:v>2024</x:v>
      </x:c>
      <x:c r="AC21" s="80" t="str">
        <x:v>Consistent</x:v>
      </x:c>
      <x:c r="AD21" s="80" t="str">
        <x:v>Excluded</x:v>
      </x:c>
      <x:c r="AE21" s="80" t="str">
        <x:f>IF(OR($AH21&lt;&gt;"Valid",$AI21&lt;&gt;"Valid",$AJ21&lt;&gt;"Valid",LEFT($AM21,7)="Invalid",IFERROR(ABS($AQ21)&gt;0.01,FALSE),IFERROR(ABS($AR21)&gt;0.01,FALSE),COUNTIF($AS21,"*Conflicting duplicate*")&gt;0,COUNTIF($AS21,"*Completed order not paid*")&gt;0),"Invalid",IF(OR($H21="Unknown",$N21="Unknown",$AM21="Missing discount imputed as 0"),"Warning","Clean"))</x:f>
        <x:v>Invalid</x:v>
      </x:c>
      <x:c r="AF21" s="80" t="str">
        <x:v>Review</x:v>
      </x:c>
      <x:c r="AG21" s="80" t="str">
        <x:v>No text cleanup required</x:v>
      </x:c>
      <x:c r="AH21" s="12" t="str">
        <x:f>IF(C21="","Missing date",IF(ISNUMBER(C21),"Valid","Unrecognized/invalid date"))</x:f>
        <x:v>Valid</x:v>
      </x:c>
      <x:c r="AI21" s="12" t="str">
        <x:f>IF(D21="","Missing date",IF(ISNUMBER(D21),"Valid","Unrecognized/invalid date"))</x:f>
        <x:v>Valid</x:v>
      </x:c>
      <x:c r="AJ21" s="12" t="str">
        <x:v>Valid</x:v>
      </x:c>
      <x:c r="AK21" s="12" t="str">
        <x:v>Pass</x:v>
      </x:c>
      <x:c r="AL21" s="12" t="str">
        <x:v>None</x:v>
      </x:c>
      <x:c r="AM21" s="12" t="str">
        <x:v>Invalid discount – negative</x:v>
      </x:c>
      <x:c r="AN21" s="12" t="str">
        <x:v>Exclude from completed sales</x:v>
      </x:c>
      <x:c r="AO21" s="12" t="str">
        <x:v>Not a refunded record</x:v>
      </x:c>
      <x:c r="AP21" s="37" t="str">
        <x:f>IF(LEFT($AM21,7)="Invalid","",IF($AM21="Missing discount imputed as 0",IF(AND(COUNT($O21,$P21,$R21,$S21)=4,$O21&gt;0,$P21&gt;=0,$R21&gt;=0,$S21&gt;=0),0,""),IF(AND(ISNUMBER($Q21),$Q21&gt;=0,$Q21&lt;=0.5),$Q21,"")))</x:f>
      </x:c>
      <x:c r="AQ21" s="152" t="str">
        <x:f>IF(OR($W21="",NOT(ISNUMBER($R21))),"",ROUND($R21-$W21,2))</x:f>
      </x:c>
      <x:c r="AR21" s="152" t="str">
        <x:f>IF(OR($X21="",NOT(ISNUMBER($T21))),"",ROUND($T21-$X21,2))</x:f>
      </x:c>
      <x:c r="AS21" s="14" t="str">
        <x:v>Negative discount</x:v>
      </x:c>
    </x:row>
    <x:row r="22">
      <x:c r="A22" s="80" t="n">
        <x:v>22</x:v>
      </x:c>
      <x:c r="B22" s="80" t="str">
        <x:v>ORD-2025-10021</x:v>
      </x:c>
      <x:c r="C22" s="81" t="n">
        <x:v>45678</x:v>
      </x:c>
      <x:c r="D22" s="81" t="n">
        <x:v>45680</x:v>
      </x:c>
      <x:c r="E22" s="80" t="str">
        <x:v>CUST-3190</x:v>
      </x:c>
      <x:c r="F22" s="80" t="str">
        <x:v>Aditi Sen</x:v>
      </x:c>
      <x:c r="G22" s="80" t="str">
        <x:v>Home Office</x:v>
      </x:c>
      <x:c r="H22" s="80" t="str">
        <x:v>East</x:v>
      </x:c>
      <x:c r="I22" s="80" t="str">
        <x:v>Bihar</x:v>
      </x:c>
      <x:c r="J22" s="80" t="str">
        <x:v>Patna</x:v>
      </x:c>
      <x:c r="K22" s="80" t="str">
        <x:v>Technology</x:v>
      </x:c>
      <x:c r="L22" s="80" t="str">
        <x:v>Copiers</x:v>
      </x:c>
      <x:c r="M22" s="80" t="str">
        <x:v>Elite Copiers 233</x:v>
      </x:c>
      <x:c r="N22" s="80" t="str">
        <x:v>First Class</x:v>
      </x:c>
      <x:c r="O22" s="82" t="n">
        <x:v>5</x:v>
      </x:c>
      <x:c r="P22" s="83" t="n">
        <x:v>4373.06</x:v>
      </x:c>
      <x:c r="Q22" s="84" t="n">
        <x:v>0.25</x:v>
      </x:c>
      <x:c r="R22" s="83" t="n">
        <x:v>16398.98</x:v>
      </x:c>
      <x:c r="S22" s="83" t="n">
        <x:v>9556.52</x:v>
      </x:c>
      <x:c r="T22" s="83" t="n">
        <x:v>6842.46</x:v>
      </x:c>
      <x:c r="U22" s="83" t="str">
        <x:v>Paid</x:v>
      </x:c>
      <x:c r="V22" s="83" t="str">
        <x:v>Completed</x:v>
      </x:c>
      <x:c r="W22" s="151" t="n">
        <x:f>IF(OR(NOT(ISNUMBER($AP22)),COUNT($O22,$P22)&lt;2,$O22&lt;=0,$P22&lt;0),"",ROUND($O22*$P22*(1-$AP22),2))</x:f>
        <x:v>16398.98</x:v>
      </x:c>
      <x:c r="X22" s="151" t="n">
        <x:f>IF(OR(NOT(ISNUMBER($W22)),NOT(ISNUMBER($S22))),"",ROUND($W22-$S22,2))</x:f>
        <x:v>6842.46</x:v>
      </x:c>
      <x:c r="Y22" s="85" t="n">
        <x:f>IF(OR(NOT(ISNUMBER($W22)),NOT(ISNUMBER($X22)),$W22=0),"",ROUND($X22/$W22,4))</x:f>
        <x:v>0.4172</x:v>
      </x:c>
      <x:c r="Z22" s="82" t="n">
        <x:f>IF(OR($AH22&lt;&gt;"Valid",$AI22&lt;&gt;"Valid"),"",INT($D22-$C22))</x:f>
        <x:v>2</x:v>
      </x:c>
      <x:c r="AA22" s="86" t="str">
        <x:f>IF($AH22&lt;&gt;"Valid","",TEXT($C22,"mmmm"))</x:f>
        <x:v>January</x:v>
      </x:c>
      <x:c r="AB22" s="82" t="n">
        <x:f>IF($AH22&lt;&gt;"Valid","",YEAR($C22))</x:f>
        <x:v>2025</x:v>
      </x:c>
      <x:c r="AC22" s="80" t="str">
        <x:v>Consistent</x:v>
      </x:c>
      <x:c r="AD22" s="80" t="str">
        <x:v>Eligible</x:v>
      </x:c>
      <x:c r="AE22" s="80" t="str">
        <x:f>IF(OR($AH22&lt;&gt;"Valid",$AI22&lt;&gt;"Valid",$AJ22&lt;&gt;"Valid",LEFT($AM22,7)="Invalid",IFERROR(ABS($AQ22)&gt;0.01,FALSE),IFERROR(ABS($AR22)&gt;0.01,FALSE),COUNTIF($AS22,"*Conflicting duplicate*")&gt;0,COUNTIF($AS22,"*Completed order not paid*")&gt;0),"Invalid",IF(OR($H22="Unknown",$N22="Unknown",$AM22="Missing discount imputed as 0"),"Warning","Clean"))</x:f>
        <x:v>Clean</x:v>
      </x:c>
      <x:c r="AF22" s="80" t="str">
        <x:v>Pass</x:v>
      </x:c>
      <x:c r="AG22" s="80" t="str">
        <x:v>No text cleanup required</x:v>
      </x:c>
      <x:c r="AH22" s="12" t="str">
        <x:f>IF(C22="","Missing date",IF(ISNUMBER(C22),"Valid","Unrecognized/invalid date"))</x:f>
        <x:v>Valid</x:v>
      </x:c>
      <x:c r="AI22" s="12" t="str">
        <x:f>IF(D22="","Missing date",IF(ISNUMBER(D22),"Valid","Unrecognized/invalid date"))</x:f>
        <x:v>Valid</x:v>
      </x:c>
      <x:c r="AJ22" s="12" t="str">
        <x:v>Valid</x:v>
      </x:c>
      <x:c r="AK22" s="12" t="str">
        <x:v>Pass</x:v>
      </x:c>
      <x:c r="AL22" s="12" t="str">
        <x:v>None</x:v>
      </x:c>
      <x:c r="AM22" s="12" t="str">
        <x:v>Valid</x:v>
      </x:c>
      <x:c r="AN22" s="12" t="str">
        <x:v>Include in completed sales</x:v>
      </x:c>
      <x:c r="AO22" s="12" t="str">
        <x:v>Not a refunded record</x:v>
      </x:c>
      <x:c r="AP22" s="37" t="n">
        <x:f>IF(LEFT($AM22,7)="Invalid","",IF($AM22="Missing discount imputed as 0",IF(AND(COUNT($O22,$P22,$R22,$S22)=4,$O22&gt;0,$P22&gt;=0,$R22&gt;=0,$S22&gt;=0),0,""),IF(AND(ISNUMBER($Q22),$Q22&gt;=0,$Q22&lt;=0.5),$Q22,"")))</x:f>
        <x:v>0.25</x:v>
      </x:c>
      <x:c r="AQ22" s="152" t="n">
        <x:f>IF(OR($W22="",NOT(ISNUMBER($R22))),"",ROUND($R22-$W22,2))</x:f>
        <x:v>0</x:v>
      </x:c>
      <x:c r="AR22" s="152" t="n">
        <x:f>IF(OR($X22="",NOT(ISNUMBER($T22))),"",ROUND($T22-$X22,2))</x:f>
        <x:v>0</x:v>
      </x:c>
      <x:c r="AS22" s="14" t="str">
        <x:v>OK</x:v>
      </x:c>
    </x:row>
    <x:row r="23">
      <x:c r="A23" s="80" t="n">
        <x:v>23</x:v>
      </x:c>
      <x:c r="B23" s="80" t="str">
        <x:v>ORD-2025-10022</x:v>
      </x:c>
      <x:c r="C23" s="81" t="n">
        <x:v>45681</x:v>
      </x:c>
      <x:c r="D23" s="81" t="n">
        <x:v>45687</x:v>
      </x:c>
      <x:c r="E23" s="80" t="str">
        <x:v>CUST-3036</x:v>
      </x:c>
      <x:c r="F23" s="80" t="str">
        <x:v>Sneha Kapoor</x:v>
      </x:c>
      <x:c r="G23" s="80" t="str">
        <x:v>Consumer</x:v>
      </x:c>
      <x:c r="H23" s="80" t="str">
        <x:v>West</x:v>
      </x:c>
      <x:c r="I23" s="80" t="str">
        <x:v>Madhya Pradesh</x:v>
      </x:c>
      <x:c r="J23" s="80" t="str">
        <x:v>Indore</x:v>
      </x:c>
      <x:c r="K23" s="80" t="str">
        <x:v>Furniture</x:v>
      </x:c>
      <x:c r="L23" s="80" t="str">
        <x:v>Furnishings</x:v>
      </x:c>
      <x:c r="M23" s="80" t="str">
        <x:v>Eco Furnishings 897</x:v>
      </x:c>
      <x:c r="N23" s="80" t="str">
        <x:v>Second Class</x:v>
      </x:c>
      <x:c r="O23" s="82" t="n">
        <x:v>4</x:v>
      </x:c>
      <x:c r="P23" s="83" t="n">
        <x:v>697.69</x:v>
      </x:c>
      <x:c r="Q23" s="84" t="n">
        <x:v>-0.23</x:v>
      </x:c>
      <x:c r="R23" s="83" t="n">
        <x:v>2790.76</x:v>
      </x:c>
      <x:c r="S23" s="83" t="n">
        <x:v>2037.71</x:v>
      </x:c>
      <x:c r="T23" s="83" t="n">
        <x:v>753.05</x:v>
      </x:c>
      <x:c r="U23" s="83" t="str">
        <x:v>Paid</x:v>
      </x:c>
      <x:c r="V23" s="83" t="str">
        <x:v>Completed</x:v>
      </x:c>
      <x:c r="W23" s="151" t="str">
        <x:f>IF(OR(NOT(ISNUMBER($AP23)),COUNT($O23,$P23)&lt;2,$O23&lt;=0,$P23&lt;0),"",ROUND($O23*$P23*(1-$AP23),2))</x:f>
      </x:c>
      <x:c r="X23" s="151" t="str">
        <x:f>IF(OR(NOT(ISNUMBER($W23)),NOT(ISNUMBER($S23))),"",ROUND($W23-$S23,2))</x:f>
      </x:c>
      <x:c r="Y23" s="85" t="str">
        <x:f>IF(OR(NOT(ISNUMBER($W23)),NOT(ISNUMBER($X23)),$W23=0),"",ROUND($X23/$W23,4))</x:f>
      </x:c>
      <x:c r="Z23" s="82" t="n">
        <x:f>IF(OR($AH23&lt;&gt;"Valid",$AI23&lt;&gt;"Valid"),"",INT($D23-$C23))</x:f>
        <x:v>6</x:v>
      </x:c>
      <x:c r="AA23" s="86" t="str">
        <x:f>IF($AH23&lt;&gt;"Valid","",TEXT($C23,"mmmm"))</x:f>
        <x:v>January</x:v>
      </x:c>
      <x:c r="AB23" s="82" t="n">
        <x:f>IF($AH23&lt;&gt;"Valid","",YEAR($C23))</x:f>
        <x:v>2025</x:v>
      </x:c>
      <x:c r="AC23" s="80" t="str">
        <x:v>Consistent</x:v>
      </x:c>
      <x:c r="AD23" s="80" t="str">
        <x:v>Excluded</x:v>
      </x:c>
      <x:c r="AE23" s="80" t="str">
        <x:f>IF(OR($AH23&lt;&gt;"Valid",$AI23&lt;&gt;"Valid",$AJ23&lt;&gt;"Valid",LEFT($AM23,7)="Invalid",IFERROR(ABS($AQ23)&gt;0.01,FALSE),IFERROR(ABS($AR23)&gt;0.01,FALSE),COUNTIF($AS23,"*Conflicting duplicate*")&gt;0,COUNTIF($AS23,"*Completed order not paid*")&gt;0),"Invalid",IF(OR($H23="Unknown",$N23="Unknown",$AM23="Missing discount imputed as 0"),"Warning","Clean"))</x:f>
        <x:v>Invalid</x:v>
      </x:c>
      <x:c r="AF23" s="80" t="str">
        <x:v>Review</x:v>
      </x:c>
      <x:c r="AG23" s="80" t="str">
        <x:v>No text cleanup required</x:v>
      </x:c>
      <x:c r="AH23" s="12" t="str">
        <x:f>IF(C23="","Missing date",IF(ISNUMBER(C23),"Valid","Unrecognized/invalid date"))</x:f>
        <x:v>Valid</x:v>
      </x:c>
      <x:c r="AI23" s="12" t="str">
        <x:f>IF(D23="","Missing date",IF(ISNUMBER(D23),"Valid","Unrecognized/invalid date"))</x:f>
        <x:v>Valid</x:v>
      </x:c>
      <x:c r="AJ23" s="12" t="str">
        <x:v>Valid</x:v>
      </x:c>
      <x:c r="AK23" s="12" t="str">
        <x:v>Pass</x:v>
      </x:c>
      <x:c r="AL23" s="12" t="str">
        <x:v>None</x:v>
      </x:c>
      <x:c r="AM23" s="12" t="str">
        <x:v>Invalid discount – negative</x:v>
      </x:c>
      <x:c r="AN23" s="12" t="str">
        <x:v>Exclude from completed sales</x:v>
      </x:c>
      <x:c r="AO23" s="12" t="str">
        <x:v>Not a refunded record</x:v>
      </x:c>
      <x:c r="AP23" s="37" t="str">
        <x:f>IF(LEFT($AM23,7)="Invalid","",IF($AM23="Missing discount imputed as 0",IF(AND(COUNT($O23,$P23,$R23,$S23)=4,$O23&gt;0,$P23&gt;=0,$R23&gt;=0,$S23&gt;=0),0,""),IF(AND(ISNUMBER($Q23),$Q23&gt;=0,$Q23&lt;=0.5),$Q23,"")))</x:f>
      </x:c>
      <x:c r="AQ23" s="152" t="str">
        <x:f>IF(OR($W23="",NOT(ISNUMBER($R23))),"",ROUND($R23-$W23,2))</x:f>
      </x:c>
      <x:c r="AR23" s="152" t="str">
        <x:f>IF(OR($X23="",NOT(ISNUMBER($T23))),"",ROUND($T23-$X23,2))</x:f>
      </x:c>
      <x:c r="AS23" s="14" t="str">
        <x:v>Negative discount</x:v>
      </x:c>
    </x:row>
    <x:row r="24">
      <x:c r="A24" s="80" t="n">
        <x:v>24</x:v>
      </x:c>
      <x:c r="B24" s="80" t="str">
        <x:v>ORD-2025-10023</x:v>
      </x:c>
      <x:c r="C24" s="81" t="n">
        <x:v>45676</x:v>
      </x:c>
      <x:c r="D24" s="81" t="n">
        <x:v>45678</x:v>
      </x:c>
      <x:c r="E24" s="80" t="str">
        <x:v>CUST-3588</x:v>
      </x:c>
      <x:c r="F24" s="80" t="str">
        <x:v>Mira Das</x:v>
      </x:c>
      <x:c r="G24" s="80" t="str">
        <x:v>Consumer</x:v>
      </x:c>
      <x:c r="H24" s="80" t="str">
        <x:v>South</x:v>
      </x:c>
      <x:c r="I24" s="80" t="str">
        <x:v>Telangana</x:v>
      </x:c>
      <x:c r="J24" s="80" t="str">
        <x:v>Hyderabad</x:v>
      </x:c>
      <x:c r="K24" s="80" t="str">
        <x:v>Office Supplies</x:v>
      </x:c>
      <x:c r="L24" s="80" t="str">
        <x:v>Binders</x:v>
      </x:c>
      <x:c r="M24" s="80" t="str">
        <x:v>Max Binders 355</x:v>
      </x:c>
      <x:c r="N24" s="80" t="str">
        <x:v>Standard Class</x:v>
      </x:c>
      <x:c r="O24" s="82" t="n">
        <x:v>8</x:v>
      </x:c>
      <x:c r="P24" s="83" t="n">
        <x:v>1219.34</x:v>
      </x:c>
      <x:c r="Q24" s="84" t="n">
        <x:v>0.15</x:v>
      </x:c>
      <x:c r="R24" s="83" t="n">
        <x:v>8291.51</x:v>
      </x:c>
      <x:c r="S24" s="83" t="n">
        <x:v>6685.03</x:v>
      </x:c>
      <x:c r="T24" s="83" t="n">
        <x:v>1606.48</x:v>
      </x:c>
      <x:c r="U24" s="83" t="str">
        <x:v>Failed</x:v>
      </x:c>
      <x:c r="V24" s="83" t="str">
        <x:v>Returned</x:v>
      </x:c>
      <x:c r="W24" s="151" t="n">
        <x:f>IF(OR(NOT(ISNUMBER($AP24)),COUNT($O24,$P24)&lt;2,$O24&lt;=0,$P24&lt;0),"",ROUND($O24*$P24*(1-$AP24),2))</x:f>
        <x:v>8291.51</x:v>
      </x:c>
      <x:c r="X24" s="151" t="n">
        <x:f>IF(OR(NOT(ISNUMBER($W24)),NOT(ISNUMBER($S24))),"",ROUND($W24-$S24,2))</x:f>
        <x:v>1606.48</x:v>
      </x:c>
      <x:c r="Y24" s="85" t="n">
        <x:f>IF(OR(NOT(ISNUMBER($W24)),NOT(ISNUMBER($X24)),$W24=0),"",ROUND($X24/$W24,4))</x:f>
        <x:v>0.1937</x:v>
      </x:c>
      <x:c r="Z24" s="82" t="n">
        <x:f>IF(OR($AH24&lt;&gt;"Valid",$AI24&lt;&gt;"Valid"),"",INT($D24-$C24))</x:f>
        <x:v>2</x:v>
      </x:c>
      <x:c r="AA24" s="86" t="str">
        <x:f>IF($AH24&lt;&gt;"Valid","",TEXT($C24,"mmmm"))</x:f>
        <x:v>January</x:v>
      </x:c>
      <x:c r="AB24" s="82" t="n">
        <x:f>IF($AH24&lt;&gt;"Valid","",YEAR($C24))</x:f>
        <x:v>2025</x:v>
      </x:c>
      <x:c r="AC24" s="80" t="str">
        <x:v>Failed payment (excluded from completed-sales summary)</x:v>
      </x:c>
      <x:c r="AD24" s="80" t="str">
        <x:v>Excluded</x:v>
      </x:c>
      <x:c r="AE24" s="80" t="str">
        <x:f>IF(OR($AH24&lt;&gt;"Valid",$AI24&lt;&gt;"Valid",$AJ24&lt;&gt;"Valid",LEFT($AM24,7)="Invalid",IFERROR(ABS($AQ24)&gt;0.01,FALSE),IFERROR(ABS($AR24)&gt;0.01,FALSE),COUNTIF($AS24,"*Conflicting duplicate*")&gt;0,COUNTIF($AS24,"*Completed order not paid*")&gt;0),"Invalid",IF(OR($H24="Unknown",$N24="Unknown",$AM24="Missing discount imputed as 0"),"Warning","Clean"))</x:f>
        <x:v>Clean</x:v>
      </x:c>
      <x:c r="AF24" s="80" t="str">
        <x:v>Pass</x:v>
      </x:c>
      <x:c r="AG24" s="80" t="str">
        <x:v>No text cleanup required</x:v>
      </x:c>
      <x:c r="AH24" s="12" t="str">
        <x:f>IF(C24="","Missing date",IF(ISNUMBER(C24),"Valid","Unrecognized/invalid date"))</x:f>
        <x:v>Valid</x:v>
      </x:c>
      <x:c r="AI24" s="12" t="str">
        <x:f>IF(D24="","Missing date",IF(ISNUMBER(D24),"Valid","Unrecognized/invalid date"))</x:f>
        <x:v>Valid</x:v>
      </x:c>
      <x:c r="AJ24" s="12" t="str">
        <x:v>Valid</x:v>
      </x:c>
      <x:c r="AK24" s="12" t="str">
        <x:v>Pass</x:v>
      </x:c>
      <x:c r="AL24" s="12" t="str">
        <x:v>Failed payment – excluded from completed sales</x:v>
      </x:c>
      <x:c r="AM24" s="12" t="str">
        <x:v>Valid</x:v>
      </x:c>
      <x:c r="AN24" s="12" t="str">
        <x:v>Exclude from completed sales</x:v>
      </x:c>
      <x:c r="AO24" s="12" t="str">
        <x:v>Not a refunded record</x:v>
      </x:c>
      <x:c r="AP24" s="37" t="n">
        <x:f>IF(LEFT($AM24,7)="Invalid","",IF($AM24="Missing discount imputed as 0",IF(AND(COUNT($O24,$P24,$R24,$S24)=4,$O24&gt;0,$P24&gt;=0,$R24&gt;=0,$S24&gt;=0),0,""),IF(AND(ISNUMBER($Q24),$Q24&gt;=0,$Q24&lt;=0.5),$Q24,"")))</x:f>
        <x:v>0.15</x:v>
      </x:c>
      <x:c r="AQ24" s="152" t="n">
        <x:f>IF(OR($W24="",NOT(ISNUMBER($R24))),"",ROUND($R24-$W24,2))</x:f>
        <x:v>0</x:v>
      </x:c>
      <x:c r="AR24" s="152" t="n">
        <x:f>IF(OR($X24="",NOT(ISNUMBER($T24))),"",ROUND($T24-$X24,2))</x:f>
        <x:v>0</x:v>
      </x:c>
      <x:c r="AS24" s="14" t="str">
        <x:v>OK</x:v>
      </x:c>
    </x:row>
    <x:row r="25">
      <x:c r="A25" s="80" t="n">
        <x:v>25</x:v>
      </x:c>
      <x:c r="B25" s="80" t="str">
        <x:v>ORD-2025-10024</x:v>
      </x:c>
      <x:c r="C25" s="81" t="n">
        <x:v>45898</x:v>
      </x:c>
      <x:c r="D25" s="81" t="n">
        <x:v>45900</x:v>
      </x:c>
      <x:c r="E25" s="80" t="str">
        <x:v>CUST-7098</x:v>
      </x:c>
      <x:c r="F25" s="80" t="str">
        <x:v>Rahul Verma</x:v>
      </x:c>
      <x:c r="G25" s="80" t="str">
        <x:v>Home Office</x:v>
      </x:c>
      <x:c r="H25" s="80" t="str">
        <x:v>East</x:v>
      </x:c>
      <x:c r="I25" s="80" t="str">
        <x:v>Bihar</x:v>
      </x:c>
      <x:c r="J25" s="80" t="str">
        <x:v>Patna</x:v>
      </x:c>
      <x:c r="K25" s="80" t="str">
        <x:v>Furniture</x:v>
      </x:c>
      <x:c r="L25" s="80" t="str">
        <x:v>Bookcases</x:v>
      </x:c>
      <x:c r="M25" s="80" t="str">
        <x:v>Pro Bookcases 394</x:v>
      </x:c>
      <x:c r="N25" s="80" t="str">
        <x:v>First Class</x:v>
      </x:c>
      <x:c r="O25" s="82" t="n">
        <x:v>4</x:v>
      </x:c>
      <x:c r="P25" s="83" t="n">
        <x:v>1958.01</x:v>
      </x:c>
      <x:c r="Q25" s="84" t="n">
        <x:v>0.2</x:v>
      </x:c>
      <x:c r="R25" s="83" t="n">
        <x:v>6265.63</x:v>
      </x:c>
      <x:c r="S25" s="83" t="n">
        <x:v>4321.86</x:v>
      </x:c>
      <x:c r="T25" s="83" t="n">
        <x:v>1943.77</x:v>
      </x:c>
      <x:c r="U25" s="83" t="str">
        <x:v>Paid</x:v>
      </x:c>
      <x:c r="V25" s="83" t="str">
        <x:v>Completed</x:v>
      </x:c>
      <x:c r="W25" s="151" t="n">
        <x:f>IF(OR(NOT(ISNUMBER($AP25)),COUNT($O25,$P25)&lt;2,$O25&lt;=0,$P25&lt;0),"",ROUND($O25*$P25*(1-$AP25),2))</x:f>
        <x:v>6265.63</x:v>
      </x:c>
      <x:c r="X25" s="151" t="n">
        <x:f>IF(OR(NOT(ISNUMBER($W25)),NOT(ISNUMBER($S25))),"",ROUND($W25-$S25,2))</x:f>
        <x:v>1943.77</x:v>
      </x:c>
      <x:c r="Y25" s="85" t="n">
        <x:f>IF(OR(NOT(ISNUMBER($W25)),NOT(ISNUMBER($X25)),$W25=0),"",ROUND($X25/$W25,4))</x:f>
        <x:v>0.3102</x:v>
      </x:c>
      <x:c r="Z25" s="82" t="n">
        <x:f>IF(OR($AH25&lt;&gt;"Valid",$AI25&lt;&gt;"Valid"),"",INT($D25-$C25))</x:f>
        <x:v>2</x:v>
      </x:c>
      <x:c r="AA25" s="86" t="str">
        <x:f>IF($AH25&lt;&gt;"Valid","",TEXT($C25,"mmmm"))</x:f>
        <x:v>August</x:v>
      </x:c>
      <x:c r="AB25" s="82" t="n">
        <x:f>IF($AH25&lt;&gt;"Valid","",YEAR($C25))</x:f>
        <x:v>2025</x:v>
      </x:c>
      <x:c r="AC25" s="80" t="str">
        <x:v>Consistent</x:v>
      </x:c>
      <x:c r="AD25" s="80" t="str">
        <x:v>Eligible</x:v>
      </x:c>
      <x:c r="AE25" s="80" t="str">
        <x:f>IF(OR($AH25&lt;&gt;"Valid",$AI25&lt;&gt;"Valid",$AJ25&lt;&gt;"Valid",LEFT($AM25,7)="Invalid",IFERROR(ABS($AQ25)&gt;0.01,FALSE),IFERROR(ABS($AR25)&gt;0.01,FALSE),COUNTIF($AS25,"*Conflicting duplicate*")&gt;0,COUNTIF($AS25,"*Completed order not paid*")&gt;0),"Invalid",IF(OR($H25="Unknown",$N25="Unknown",$AM25="Missing discount imputed as 0"),"Warning","Clean"))</x:f>
        <x:v>Clean</x:v>
      </x:c>
      <x:c r="AF25" s="80" t="str">
        <x:v>Pass</x:v>
      </x:c>
      <x:c r="AG25" s="80" t="str">
        <x:v>No text cleanup required</x:v>
      </x:c>
      <x:c r="AH25" s="12" t="str">
        <x:f>IF(C25="","Missing date",IF(ISNUMBER(C25),"Valid","Unrecognized/invalid date"))</x:f>
        <x:v>Valid</x:v>
      </x:c>
      <x:c r="AI25" s="12" t="str">
        <x:f>IF(D25="","Missing date",IF(ISNUMBER(D25),"Valid","Unrecognized/invalid date"))</x:f>
        <x:v>Valid</x:v>
      </x:c>
      <x:c r="AJ25" s="12" t="str">
        <x:v>Valid</x:v>
      </x:c>
      <x:c r="AK25" s="12" t="str">
        <x:v>Pass</x:v>
      </x:c>
      <x:c r="AL25" s="12" t="str">
        <x:v>None</x:v>
      </x:c>
      <x:c r="AM25" s="12" t="str">
        <x:v>Valid</x:v>
      </x:c>
      <x:c r="AN25" s="12" t="str">
        <x:v>Include in completed sales</x:v>
      </x:c>
      <x:c r="AO25" s="12" t="str">
        <x:v>Not a refunded record</x:v>
      </x:c>
      <x:c r="AP25" s="37" t="n">
        <x:f>IF(LEFT($AM25,7)="Invalid","",IF($AM25="Missing discount imputed as 0",IF(AND(COUNT($O25,$P25,$R25,$S25)=4,$O25&gt;0,$P25&gt;=0,$R25&gt;=0,$S25&gt;=0),0,""),IF(AND(ISNUMBER($Q25),$Q25&gt;=0,$Q25&lt;=0.5),$Q25,"")))</x:f>
        <x:v>0.2</x:v>
      </x:c>
      <x:c r="AQ25" s="152" t="n">
        <x:f>IF(OR($W25="",NOT(ISNUMBER($R25))),"",ROUND($R25-$W25,2))</x:f>
        <x:v>0</x:v>
      </x:c>
      <x:c r="AR25" s="152" t="n">
        <x:f>IF(OR($X25="",NOT(ISNUMBER($T25))),"",ROUND($T25-$X25,2))</x:f>
        <x:v>0</x:v>
      </x:c>
      <x:c r="AS25" s="14" t="str">
        <x:v>OK</x:v>
      </x:c>
    </x:row>
    <x:row r="26">
      <x:c r="A26" s="80" t="n">
        <x:v>26</x:v>
      </x:c>
      <x:c r="B26" s="80" t="str">
        <x:v>ORD-2024-10025</x:v>
      </x:c>
      <x:c r="C26" s="81" t="n">
        <x:v>45355</x:v>
      </x:c>
      <x:c r="D26" s="81" t="n">
        <x:v>45352</x:v>
      </x:c>
      <x:c r="E26" s="80" t="str">
        <x:v>CUST-1747</x:v>
      </x:c>
      <x:c r="F26" s="80" t="str">
        <x:v>Diya Patel</x:v>
      </x:c>
      <x:c r="G26" s="80" t="str">
        <x:v>Consumer</x:v>
      </x:c>
      <x:c r="H26" s="80" t="str">
        <x:v>North</x:v>
      </x:c>
      <x:c r="I26" s="80" t="str">
        <x:v>Punjab</x:v>
      </x:c>
      <x:c r="J26" s="80" t="str">
        <x:v>Ludhiana</x:v>
      </x:c>
      <x:c r="K26" s="80" t="str">
        <x:v>Office Supplies</x:v>
      </x:c>
      <x:c r="L26" s="80" t="str">
        <x:v>Art</x:v>
      </x:c>
      <x:c r="M26" s="80" t="str">
        <x:v>Max Art 215</x:v>
      </x:c>
      <x:c r="N26" s="80" t="str">
        <x:v>Standard Class</x:v>
      </x:c>
      <x:c r="O26" s="82" t="n">
        <x:v>4</x:v>
      </x:c>
      <x:c r="P26" s="83" t="n">
        <x:v>4492.94</x:v>
      </x:c>
      <x:c r="Q26" s="84" t="n">
        <x:v>0.25</x:v>
      </x:c>
      <x:c r="R26" s="83" t="n">
        <x:v>13478.82</x:v>
      </x:c>
      <x:c r="S26" s="83" t="n">
        <x:v>10937.35</x:v>
      </x:c>
      <x:c r="T26" s="83" t="n">
        <x:v>2541.47</x:v>
      </x:c>
      <x:c r="U26" s="83" t="str">
        <x:v>Pending</x:v>
      </x:c>
      <x:c r="V26" s="83" t="str">
        <x:v>Cancelled</x:v>
      </x:c>
      <x:c r="W26" s="151" t="n">
        <x:f>IF(OR(NOT(ISNUMBER($AP26)),COUNT($O26,$P26)&lt;2,$O26&lt;=0,$P26&lt;0),"",ROUND($O26*$P26*(1-$AP26),2))</x:f>
        <x:v>13478.82</x:v>
      </x:c>
      <x:c r="X26" s="151" t="n">
        <x:f>IF(OR(NOT(ISNUMBER($W26)),NOT(ISNUMBER($S26))),"",ROUND($W26-$S26,2))</x:f>
        <x:v>2541.47</x:v>
      </x:c>
      <x:c r="Y26" s="85" t="n">
        <x:f>IF(OR(NOT(ISNUMBER($W26)),NOT(ISNUMBER($X26)),$W26=0),"",ROUND($X26/$W26,4))</x:f>
        <x:v>0.1886</x:v>
      </x:c>
      <x:c r="Z26" s="82" t="n">
        <x:f>IF(OR($AH26&lt;&gt;"Valid",$AI26&lt;&gt;"Valid"),"",INT($D26-$C26))</x:f>
        <x:v>-3</x:v>
      </x:c>
      <x:c r="AA26" s="86" t="str">
        <x:f>IF($AH26&lt;&gt;"Valid","",TEXT($C26,"mmmm"))</x:f>
        <x:v>March</x:v>
      </x:c>
      <x:c r="AB26" s="82" t="n">
        <x:f>IF($AH26&lt;&gt;"Valid","",YEAR($C26))</x:f>
        <x:v>2024</x:v>
      </x:c>
      <x:c r="AC26" s="80" t="str">
        <x:v>Cancelled (excluded from completed-sales summary)</x:v>
      </x:c>
      <x:c r="AD26" s="80" t="str">
        <x:v>Excluded</x:v>
      </x:c>
      <x:c r="AE26" s="80" t="str">
        <x:f>IF(OR($AH26&lt;&gt;"Valid",$AI26&lt;&gt;"Valid",$AJ26&lt;&gt;"Valid",LEFT($AM26,7)="Invalid",IFERROR(ABS($AQ26)&gt;0.01,FALSE),IFERROR(ABS($AR26)&gt;0.01,FALSE),COUNTIF($AS26,"*Conflicting duplicate*")&gt;0,COUNTIF($AS26,"*Completed order not paid*")&gt;0),"Invalid",IF(OR($H26="Unknown",$N26="Unknown",$AM26="Missing discount imputed as 0"),"Warning","Clean"))</x:f>
        <x:v>Invalid</x:v>
      </x:c>
      <x:c r="AF26" s="80" t="str">
        <x:v>Review</x:v>
      </x:c>
      <x:c r="AG26" s="80" t="str">
        <x:v>No text cleanup required</x:v>
      </x:c>
      <x:c r="AH26" s="12" t="str">
        <x:f>IF(C26="","Missing date",IF(ISNUMBER(C26),"Valid","Unrecognized/invalid date"))</x:f>
        <x:v>Valid</x:v>
      </x:c>
      <x:c r="AI26" s="12" t="str">
        <x:f>IF(D26="","Missing date",IF(ISNUMBER(D26),"Valid","Unrecognized/invalid date"))</x:f>
        <x:v>Valid</x:v>
      </x:c>
      <x:c r="AJ26" s="12" t="str">
        <x:v>Invalid</x:v>
      </x:c>
      <x:c r="AK26" s="12" t="str">
        <x:v>Ship date is earlier than order date</x:v>
      </x:c>
      <x:c r="AL26" s="12" t="str">
        <x:v>Cancelled order – excluded from completed sales</x:v>
      </x:c>
      <x:c r="AM26" s="12" t="str">
        <x:v>Valid</x:v>
      </x:c>
      <x:c r="AN26" s="12" t="str">
        <x:v>Exclude from completed sales</x:v>
      </x:c>
      <x:c r="AO26" s="12" t="str">
        <x:v>Not a refunded record</x:v>
      </x:c>
      <x:c r="AP26" s="37" t="n">
        <x:f>IF(LEFT($AM26,7)="Invalid","",IF($AM26="Missing discount imputed as 0",IF(AND(COUNT($O26,$P26,$R26,$S26)=4,$O26&gt;0,$P26&gt;=0,$R26&gt;=0,$S26&gt;=0),0,""),IF(AND(ISNUMBER($Q26),$Q26&gt;=0,$Q26&lt;=0.5),$Q26,"")))</x:f>
        <x:v>0.25</x:v>
      </x:c>
      <x:c r="AQ26" s="152" t="n">
        <x:f>IF(OR($W26="",NOT(ISNUMBER($R26))),"",ROUND($R26-$W26,2))</x:f>
        <x:v>0</x:v>
      </x:c>
      <x:c r="AR26" s="152" t="n">
        <x:f>IF(OR($X26="",NOT(ISNUMBER($T26))),"",ROUND($T26-$X26,2))</x:f>
        <x:v>0</x:v>
      </x:c>
      <x:c r="AS26" s="14" t="str">
        <x:v>Ship date earlier than order date</x:v>
      </x:c>
    </x:row>
    <x:row r="27">
      <x:c r="A27" s="80" t="n">
        <x:v>27</x:v>
      </x:c>
      <x:c r="B27" s="80" t="str">
        <x:v>ORD-2024-10026</x:v>
      </x:c>
      <x:c r="C27" s="81" t="n">
        <x:v>45576</x:v>
      </x:c>
      <x:c r="D27" s="81" t="n">
        <x:v>45584</x:v>
      </x:c>
      <x:c r="E27" s="80" t="str">
        <x:v>CUST-1731</x:v>
      </x:c>
      <x:c r="F27" s="80" t="str">
        <x:v>Arjun Bose</x:v>
      </x:c>
      <x:c r="G27" s="80" t="str">
        <x:v>Corporate</x:v>
      </x:c>
      <x:c r="H27" s="80" t="str">
        <x:v>East</x:v>
      </x:c>
      <x:c r="I27" s="80" t="str">
        <x:v>Assam</x:v>
      </x:c>
      <x:c r="J27" s="80" t="str">
        <x:v>Guwahati</x:v>
      </x:c>
      <x:c r="K27" s="80" t="str">
        <x:v>Technology</x:v>
      </x:c>
      <x:c r="L27" s="80" t="str">
        <x:v>Accessories</x:v>
      </x:c>
      <x:c r="M27" s="80" t="str">
        <x:v>Classic Accessories 478</x:v>
      </x:c>
      <x:c r="N27" s="80" t="str">
        <x:v>First Class</x:v>
      </x:c>
      <x:c r="O27" s="82" t="n">
        <x:v>2</x:v>
      </x:c>
      <x:c r="P27" s="83" t="n">
        <x:v>4315.2</x:v>
      </x:c>
      <x:c r="Q27" s="84" t="n">
        <x:v>0.15</x:v>
      </x:c>
      <x:c r="R27" s="83" t="n">
        <x:v>7335.84</x:v>
      </x:c>
      <x:c r="S27" s="83" t="n">
        <x:v>4968.41</x:v>
      </x:c>
      <x:c r="T27" s="83" t="n">
        <x:v>2367.43</x:v>
      </x:c>
      <x:c r="U27" s="83" t="str">
        <x:v>Paid</x:v>
      </x:c>
      <x:c r="V27" s="83" t="str">
        <x:v>Completed</x:v>
      </x:c>
      <x:c r="W27" s="151" t="n">
        <x:f>IF(OR(NOT(ISNUMBER($AP27)),COUNT($O27,$P27)&lt;2,$O27&lt;=0,$P27&lt;0),"",ROUND($O27*$P27*(1-$AP27),2))</x:f>
        <x:v>7335.84</x:v>
      </x:c>
      <x:c r="X27" s="151" t="n">
        <x:f>IF(OR(NOT(ISNUMBER($W27)),NOT(ISNUMBER($S27))),"",ROUND($W27-$S27,2))</x:f>
        <x:v>2367.43</x:v>
      </x:c>
      <x:c r="Y27" s="85" t="n">
        <x:f>IF(OR(NOT(ISNUMBER($W27)),NOT(ISNUMBER($X27)),$W27=0),"",ROUND($X27/$W27,4))</x:f>
        <x:v>0.3227</x:v>
      </x:c>
      <x:c r="Z27" s="82" t="n">
        <x:f>IF(OR($AH27&lt;&gt;"Valid",$AI27&lt;&gt;"Valid"),"",INT($D27-$C27))</x:f>
        <x:v>8</x:v>
      </x:c>
      <x:c r="AA27" s="86" t="str">
        <x:f>IF($AH27&lt;&gt;"Valid","",TEXT($C27,"mmmm"))</x:f>
        <x:v>October</x:v>
      </x:c>
      <x:c r="AB27" s="82" t="n">
        <x:f>IF($AH27&lt;&gt;"Valid","",YEAR($C27))</x:f>
        <x:v>2024</x:v>
      </x:c>
      <x:c r="AC27" s="80" t="str">
        <x:v>Consistent</x:v>
      </x:c>
      <x:c r="AD27" s="80" t="str">
        <x:v>Eligible</x:v>
      </x:c>
      <x:c r="AE27" s="80" t="str">
        <x:f>IF(OR($AH27&lt;&gt;"Valid",$AI27&lt;&gt;"Valid",$AJ27&lt;&gt;"Valid",LEFT($AM27,7)="Invalid",IFERROR(ABS($AQ27)&gt;0.01,FALSE),IFERROR(ABS($AR27)&gt;0.01,FALSE),COUNTIF($AS27,"*Conflicting duplicate*")&gt;0,COUNTIF($AS27,"*Completed order not paid*")&gt;0),"Invalid",IF(OR($H27="Unknown",$N27="Unknown",$AM27="Missing discount imputed as 0"),"Warning","Clean"))</x:f>
        <x:v>Clean</x:v>
      </x:c>
      <x:c r="AF27" s="80" t="str">
        <x:v>Pass</x:v>
      </x:c>
      <x:c r="AG27" s="80" t="str">
        <x:v>No text cleanup required</x:v>
      </x:c>
      <x:c r="AH27" s="12" t="str">
        <x:f>IF(C27="","Missing date",IF(ISNUMBER(C27),"Valid","Unrecognized/invalid date"))</x:f>
        <x:v>Valid</x:v>
      </x:c>
      <x:c r="AI27" s="12" t="str">
        <x:f>IF(D27="","Missing date",IF(ISNUMBER(D27),"Valid","Unrecognized/invalid date"))</x:f>
        <x:v>Valid</x:v>
      </x:c>
      <x:c r="AJ27" s="12" t="str">
        <x:v>Valid</x:v>
      </x:c>
      <x:c r="AK27" s="12" t="str">
        <x:v>Pass</x:v>
      </x:c>
      <x:c r="AL27" s="12" t="str">
        <x:v>None</x:v>
      </x:c>
      <x:c r="AM27" s="12" t="str">
        <x:v>Valid</x:v>
      </x:c>
      <x:c r="AN27" s="12" t="str">
        <x:v>Include in completed sales</x:v>
      </x:c>
      <x:c r="AO27" s="12" t="str">
        <x:v>Not a refunded record</x:v>
      </x:c>
      <x:c r="AP27" s="37" t="n">
        <x:f>IF(LEFT($AM27,7)="Invalid","",IF($AM27="Missing discount imputed as 0",IF(AND(COUNT($O27,$P27,$R27,$S27)=4,$O27&gt;0,$P27&gt;=0,$R27&gt;=0,$S27&gt;=0),0,""),IF(AND(ISNUMBER($Q27),$Q27&gt;=0,$Q27&lt;=0.5),$Q27,"")))</x:f>
        <x:v>0.15</x:v>
      </x:c>
      <x:c r="AQ27" s="152" t="n">
        <x:f>IF(OR($W27="",NOT(ISNUMBER($R27))),"",ROUND($R27-$W27,2))</x:f>
        <x:v>0</x:v>
      </x:c>
      <x:c r="AR27" s="152" t="n">
        <x:f>IF(OR($X27="",NOT(ISNUMBER($T27))),"",ROUND($T27-$X27,2))</x:f>
        <x:v>0</x:v>
      </x:c>
      <x:c r="AS27" s="14" t="str">
        <x:v>OK</x:v>
      </x:c>
    </x:row>
    <x:row r="28">
      <x:c r="A28" s="80" t="n">
        <x:v>28</x:v>
      </x:c>
      <x:c r="B28" s="80" t="str">
        <x:v>ORD-2024-10027</x:v>
      </x:c>
      <x:c r="C28" s="81" t="n">
        <x:v>45619</x:v>
      </x:c>
      <x:c r="D28" s="81" t="n">
        <x:v>45619</x:v>
      </x:c>
      <x:c r="E28" s="80" t="str">
        <x:v>CUST-4401</x:v>
      </x:c>
      <x:c r="F28" s="80" t="str">
        <x:v>Diya Patel</x:v>
      </x:c>
      <x:c r="G28" s="80" t="str">
        <x:v>Corporate</x:v>
      </x:c>
      <x:c r="H28" s="80" t="str">
        <x:v>North</x:v>
      </x:c>
      <x:c r="I28" s="80" t="str">
        <x:v>Uttar Pradesh</x:v>
      </x:c>
      <x:c r="J28" s="80" t="str">
        <x:v>Noida</x:v>
      </x:c>
      <x:c r="K28" s="80" t="str">
        <x:v>Technology</x:v>
      </x:c>
      <x:c r="L28" s="80" t="str">
        <x:v>Phones</x:v>
      </x:c>
      <x:c r="M28" s="80" t="str">
        <x:v>Pro Phones 243</x:v>
      </x:c>
      <x:c r="N28" s="80" t="str">
        <x:v>Standard Class</x:v>
      </x:c>
      <x:c r="O28" s="82" t="n">
        <x:v>4</x:v>
      </x:c>
      <x:c r="P28" s="83" t="n">
        <x:v>716.13</x:v>
      </x:c>
      <x:c r="Q28" s="84" t="n">
        <x:v>0.1</x:v>
      </x:c>
      <x:c r="R28" s="83" t="n">
        <x:v>2578.07</x:v>
      </x:c>
      <x:c r="S28" s="83" t="n">
        <x:v>1527.55</x:v>
      </x:c>
      <x:c r="T28" s="83" t="n">
        <x:v>1050.52</x:v>
      </x:c>
      <x:c r="U28" s="83" t="str">
        <x:v>Paid</x:v>
      </x:c>
      <x:c r="V28" s="83" t="str">
        <x:v>Returned</x:v>
      </x:c>
      <x:c r="W28" s="151" t="n">
        <x:f>IF(OR(NOT(ISNUMBER($AP28)),COUNT($O28,$P28)&lt;2,$O28&lt;=0,$P28&lt;0),"",ROUND($O28*$P28*(1-$AP28),2))</x:f>
        <x:v>2578.07</x:v>
      </x:c>
      <x:c r="X28" s="151" t="n">
        <x:f>IF(OR(NOT(ISNUMBER($W28)),NOT(ISNUMBER($S28))),"",ROUND($W28-$S28,2))</x:f>
        <x:v>1050.52</x:v>
      </x:c>
      <x:c r="Y28" s="85" t="n">
        <x:f>IF(OR(NOT(ISNUMBER($W28)),NOT(ISNUMBER($X28)),$W28=0),"",ROUND($X28/$W28,4))</x:f>
        <x:v>0.4075</x:v>
      </x:c>
      <x:c r="Z28" s="82" t="n">
        <x:f>IF(OR($AH28&lt;&gt;"Valid",$AI28&lt;&gt;"Valid"),"",INT($D28-$C28))</x:f>
        <x:v>0</x:v>
      </x:c>
      <x:c r="AA28" s="86" t="str">
        <x:f>IF($AH28&lt;&gt;"Valid","",TEXT($C28,"mmmm"))</x:f>
        <x:v>November</x:v>
      </x:c>
      <x:c r="AB28" s="82" t="n">
        <x:f>IF($AH28&lt;&gt;"Valid","",YEAR($C28))</x:f>
        <x:v>2024</x:v>
      </x:c>
      <x:c r="AC28" s="80" t="str">
        <x:v>Consistent</x:v>
      </x:c>
      <x:c r="AD28" s="80" t="str">
        <x:v>Excluded</x:v>
      </x:c>
      <x:c r="AE28" s="80" t="str">
        <x:f>IF(OR($AH28&lt;&gt;"Valid",$AI28&lt;&gt;"Valid",$AJ28&lt;&gt;"Valid",LEFT($AM28,7)="Invalid",IFERROR(ABS($AQ28)&gt;0.01,FALSE),IFERROR(ABS($AR28)&gt;0.01,FALSE),COUNTIF($AS28,"*Conflicting duplicate*")&gt;0,COUNTIF($AS28,"*Completed order not paid*")&gt;0),"Invalid",IF(OR($H28="Unknown",$N28="Unknown",$AM28="Missing discount imputed as 0"),"Warning","Clean"))</x:f>
        <x:v>Clean</x:v>
      </x:c>
      <x:c r="AF28" s="80" t="str">
        <x:v>Cleaned</x:v>
      </x:c>
      <x:c r="AG28" s="80" t="str">
        <x:v>payment_status: TRIM/SUBSTITUTE whitespace cleanup</x:v>
      </x:c>
      <x:c r="AH28" s="12" t="str">
        <x:f>IF(C28="","Missing date",IF(ISNUMBER(C28),"Valid","Unrecognized/invalid date"))</x:f>
        <x:v>Valid</x:v>
      </x:c>
      <x:c r="AI28" s="12" t="str">
        <x:f>IF(D28="","Missing date",IF(ISNUMBER(D28),"Valid","Unrecognized/invalid date"))</x:f>
        <x:v>Valid</x:v>
      </x:c>
      <x:c r="AJ28" s="12" t="str">
        <x:v>Valid</x:v>
      </x:c>
      <x:c r="AK28" s="12" t="str">
        <x:v>Pass</x:v>
      </x:c>
      <x:c r="AL28" s="12" t="str">
        <x:v>None</x:v>
      </x:c>
      <x:c r="AM28" s="12" t="str">
        <x:v>Valid</x:v>
      </x:c>
      <x:c r="AN28" s="12" t="str">
        <x:v>Exclude from completed sales</x:v>
      </x:c>
      <x:c r="AO28" s="12" t="str">
        <x:v>Not a refunded record</x:v>
      </x:c>
      <x:c r="AP28" s="37" t="n">
        <x:f>IF(LEFT($AM28,7)="Invalid","",IF($AM28="Missing discount imputed as 0",IF(AND(COUNT($O28,$P28,$R28,$S28)=4,$O28&gt;0,$P28&gt;=0,$R28&gt;=0,$S28&gt;=0),0,""),IF(AND(ISNUMBER($Q28),$Q28&gt;=0,$Q28&lt;=0.5),$Q28,"")))</x:f>
        <x:v>0.1</x:v>
      </x:c>
      <x:c r="AQ28" s="152" t="n">
        <x:f>IF(OR($W28="",NOT(ISNUMBER($R28))),"",ROUND($R28-$W28,2))</x:f>
        <x:v>0</x:v>
      </x:c>
      <x:c r="AR28" s="152" t="n">
        <x:f>IF(OR($X28="",NOT(ISNUMBER($T28))),"",ROUND($T28-$X28,2))</x:f>
        <x:v>0</x:v>
      </x:c>
      <x:c r="AS28" s="14" t="str">
        <x:v>OK</x:v>
      </x:c>
    </x:row>
    <x:row r="29">
      <x:c r="A29" s="80" t="n">
        <x:v>29</x:v>
      </x:c>
      <x:c r="B29" s="80" t="str">
        <x:v>ORD-2025-10028</x:v>
      </x:c>
      <x:c r="C29" s="81" t="n">
        <x:v>45929</x:v>
      </x:c>
      <x:c r="D29" s="81" t="n">
        <x:v>45935</x:v>
      </x:c>
      <x:c r="E29" s="80" t="str">
        <x:v>CUST-9875</x:v>
      </x:c>
      <x:c r="F29" s="80" t="str">
        <x:v>Arjun Bose</x:v>
      </x:c>
      <x:c r="G29" s="80" t="str">
        <x:v>Small Business</x:v>
      </x:c>
      <x:c r="H29" s="80" t="str">
        <x:v>South</x:v>
      </x:c>
      <x:c r="I29" s="80" t="str">
        <x:v>Karnataka</x:v>
      </x:c>
      <x:c r="J29" s="80" t="str">
        <x:v>Bengaluru</x:v>
      </x:c>
      <x:c r="K29" s="80" t="str">
        <x:v>Office Supplies</x:v>
      </x:c>
      <x:c r="L29" s="80" t="str">
        <x:v>Paper</x:v>
      </x:c>
      <x:c r="M29" s="80" t="str">
        <x:v>Basic Paper 613</x:v>
      </x:c>
      <x:c r="N29" s="80" t="str">
        <x:v>Second Class</x:v>
      </x:c>
      <x:c r="O29" s="82" t="n">
        <x:v>5</x:v>
      </x:c>
      <x:c r="P29" s="83" t="n">
        <x:v>1806.51</x:v>
      </x:c>
      <x:c r="Q29" s="84" t="n">
        <x:v>0.25</x:v>
      </x:c>
      <x:c r="R29" s="83" t="n">
        <x:v>6774.41</x:v>
      </x:c>
      <x:c r="S29" s="83" t="n">
        <x:v>4710.36</x:v>
      </x:c>
      <x:c r="T29" s="83" t="n">
        <x:v>2064.05</x:v>
      </x:c>
      <x:c r="U29" s="83" t="str">
        <x:v>Failed</x:v>
      </x:c>
      <x:c r="V29" s="83" t="str">
        <x:v>Returned</x:v>
      </x:c>
      <x:c r="W29" s="151" t="n">
        <x:f>IF(OR(NOT(ISNUMBER($AP29)),COUNT($O29,$P29)&lt;2,$O29&lt;=0,$P29&lt;0),"",ROUND($O29*$P29*(1-$AP29),2))</x:f>
        <x:v>6774.41</x:v>
      </x:c>
      <x:c r="X29" s="151" t="n">
        <x:f>IF(OR(NOT(ISNUMBER($W29)),NOT(ISNUMBER($S29))),"",ROUND($W29-$S29,2))</x:f>
        <x:v>2064.05</x:v>
      </x:c>
      <x:c r="Y29" s="85" t="n">
        <x:f>IF(OR(NOT(ISNUMBER($W29)),NOT(ISNUMBER($X29)),$W29=0),"",ROUND($X29/$W29,4))</x:f>
        <x:v>0.3047</x:v>
      </x:c>
      <x:c r="Z29" s="82" t="n">
        <x:f>IF(OR($AH29&lt;&gt;"Valid",$AI29&lt;&gt;"Valid"),"",INT($D29-$C29))</x:f>
        <x:v>6</x:v>
      </x:c>
      <x:c r="AA29" s="86" t="str">
        <x:f>IF($AH29&lt;&gt;"Valid","",TEXT($C29,"mmmm"))</x:f>
        <x:v>September</x:v>
      </x:c>
      <x:c r="AB29" s="82" t="n">
        <x:f>IF($AH29&lt;&gt;"Valid","",YEAR($C29))</x:f>
        <x:v>2025</x:v>
      </x:c>
      <x:c r="AC29" s="80" t="str">
        <x:v>Failed payment (excluded from completed-sales summary)</x:v>
      </x:c>
      <x:c r="AD29" s="80" t="str">
        <x:v>Excluded</x:v>
      </x:c>
      <x:c r="AE29" s="80" t="str">
        <x:f>IF(OR($AH29&lt;&gt;"Valid",$AI29&lt;&gt;"Valid",$AJ29&lt;&gt;"Valid",LEFT($AM29,7)="Invalid",IFERROR(ABS($AQ29)&gt;0.01,FALSE),IFERROR(ABS($AR29)&gt;0.01,FALSE),COUNTIF($AS29,"*Conflicting duplicate*")&gt;0,COUNTIF($AS29,"*Completed order not paid*")&gt;0),"Invalid",IF(OR($H29="Unknown",$N29="Unknown",$AM29="Missing discount imputed as 0"),"Warning","Clean"))</x:f>
        <x:v>Clean</x:v>
      </x:c>
      <x:c r="AF29" s="80" t="str">
        <x:v>Pass</x:v>
      </x:c>
      <x:c r="AG29" s="80" t="str">
        <x:v>No text cleanup required</x:v>
      </x:c>
      <x:c r="AH29" s="12" t="str">
        <x:f>IF(C29="","Missing date",IF(ISNUMBER(C29),"Valid","Unrecognized/invalid date"))</x:f>
        <x:v>Valid</x:v>
      </x:c>
      <x:c r="AI29" s="12" t="str">
        <x:f>IF(D29="","Missing date",IF(ISNUMBER(D29),"Valid","Unrecognized/invalid date"))</x:f>
        <x:v>Valid</x:v>
      </x:c>
      <x:c r="AJ29" s="12" t="str">
        <x:v>Valid</x:v>
      </x:c>
      <x:c r="AK29" s="12" t="str">
        <x:v>Pass</x:v>
      </x:c>
      <x:c r="AL29" s="12" t="str">
        <x:v>Failed payment – excluded from completed sales</x:v>
      </x:c>
      <x:c r="AM29" s="12" t="str">
        <x:v>Valid</x:v>
      </x:c>
      <x:c r="AN29" s="12" t="str">
        <x:v>Exclude from completed sales</x:v>
      </x:c>
      <x:c r="AO29" s="12" t="str">
        <x:v>Not a refunded record</x:v>
      </x:c>
      <x:c r="AP29" s="37" t="n">
        <x:f>IF(LEFT($AM29,7)="Invalid","",IF($AM29="Missing discount imputed as 0",IF(AND(COUNT($O29,$P29,$R29,$S29)=4,$O29&gt;0,$P29&gt;=0,$R29&gt;=0,$S29&gt;=0),0,""),IF(AND(ISNUMBER($Q29),$Q29&gt;=0,$Q29&lt;=0.5),$Q29,"")))</x:f>
        <x:v>0.25</x:v>
      </x:c>
      <x:c r="AQ29" s="152" t="n">
        <x:f>IF(OR($W29="",NOT(ISNUMBER($R29))),"",ROUND($R29-$W29,2))</x:f>
        <x:v>0</x:v>
      </x:c>
      <x:c r="AR29" s="152" t="n">
        <x:f>IF(OR($X29="",NOT(ISNUMBER($T29))),"",ROUND($T29-$X29,2))</x:f>
        <x:v>0</x:v>
      </x:c>
      <x:c r="AS29" s="14" t="str">
        <x:v>OK</x:v>
      </x:c>
    </x:row>
    <x:row r="30">
      <x:c r="A30" s="80" t="n">
        <x:v>30</x:v>
      </x:c>
      <x:c r="B30" s="80" t="str">
        <x:v>ORD-2024-10029</x:v>
      </x:c>
      <x:c r="C30" s="81" t="n">
        <x:v>45576</x:v>
      </x:c>
      <x:c r="D30" s="81" t="n">
        <x:v>45583</x:v>
      </x:c>
      <x:c r="E30" s="80" t="str">
        <x:v>CUST-1569</x:v>
      </x:c>
      <x:c r="F30" s="80" t="str">
        <x:v>Ananya Rao</x:v>
      </x:c>
      <x:c r="G30" s="80" t="str">
        <x:v>Home Office</x:v>
      </x:c>
      <x:c r="H30" s="80" t="str">
        <x:v>West</x:v>
      </x:c>
      <x:c r="I30" s="80" t="str">
        <x:v>Gujarat</x:v>
      </x:c>
      <x:c r="J30" s="80" t="str">
        <x:v>Ahmedabad</x:v>
      </x:c>
      <x:c r="K30" s="80" t="str">
        <x:v>Technology</x:v>
      </x:c>
      <x:c r="L30" s="80" t="str">
        <x:v>Phones</x:v>
      </x:c>
      <x:c r="M30" s="80" t="str">
        <x:v>Prime Phones 698</x:v>
      </x:c>
      <x:c r="N30" s="80" t="str">
        <x:v>Second Class</x:v>
      </x:c>
      <x:c r="O30" s="82" t="n">
        <x:v>2</x:v>
      </x:c>
      <x:c r="P30" s="83" t="n">
        <x:v>1942.22</x:v>
      </x:c>
      <x:c r="Q30" s="84" t="n">
        <x:v>0.25</x:v>
      </x:c>
      <x:c r="R30" s="83" t="n">
        <x:v>2913.33</x:v>
      </x:c>
      <x:c r="S30" s="83" t="n">
        <x:v>2122.33</x:v>
      </x:c>
      <x:c r="T30" s="83" t="n">
        <x:v>791</x:v>
      </x:c>
      <x:c r="U30" s="83" t="str">
        <x:v>Refunded</x:v>
      </x:c>
      <x:c r="V30" s="83" t="str">
        <x:v>Cancelled</x:v>
      </x:c>
      <x:c r="W30" s="151" t="n">
        <x:f>IF(OR(NOT(ISNUMBER($AP30)),COUNT($O30,$P30)&lt;2,$O30&lt;=0,$P30&lt;0),"",ROUND($O30*$P30*(1-$AP30),2))</x:f>
        <x:v>2913.33</x:v>
      </x:c>
      <x:c r="X30" s="151" t="n">
        <x:f>IF(OR(NOT(ISNUMBER($W30)),NOT(ISNUMBER($S30))),"",ROUND($W30-$S30,2))</x:f>
        <x:v>791</x:v>
      </x:c>
      <x:c r="Y30" s="85" t="n">
        <x:f>IF(OR(NOT(ISNUMBER($W30)),NOT(ISNUMBER($X30)),$W30=0),"",ROUND($X30/$W30,4))</x:f>
        <x:v>0.2715</x:v>
      </x:c>
      <x:c r="Z30" s="82" t="n">
        <x:f>IF(OR($AH30&lt;&gt;"Valid",$AI30&lt;&gt;"Valid"),"",INT($D30-$C30))</x:f>
        <x:v>7</x:v>
      </x:c>
      <x:c r="AA30" s="86" t="str">
        <x:f>IF($AH30&lt;&gt;"Valid","",TEXT($C30,"mmmm"))</x:f>
        <x:v>October</x:v>
      </x:c>
      <x:c r="AB30" s="82" t="n">
        <x:f>IF($AH30&lt;&gt;"Valid","",YEAR($C30))</x:f>
        <x:v>2024</x:v>
      </x:c>
      <x:c r="AC30" s="80" t="str">
        <x:v>Cancelled (excluded from completed-sales summary)</x:v>
      </x:c>
      <x:c r="AD30" s="80" t="str">
        <x:v>Excluded</x:v>
      </x:c>
      <x:c r="AE30" s="80" t="str">
        <x:f>IF(OR($AH30&lt;&gt;"Valid",$AI30&lt;&gt;"Valid",$AJ30&lt;&gt;"Valid",LEFT($AM30,7)="Invalid",IFERROR(ABS($AQ30)&gt;0.01,FALSE),IFERROR(ABS($AR30)&gt;0.01,FALSE),COUNTIF($AS30,"*Conflicting duplicate*")&gt;0,COUNTIF($AS30,"*Completed order not paid*")&gt;0),"Invalid",IF(OR($H30="Unknown",$N30="Unknown",$AM30="Missing discount imputed as 0"),"Warning","Clean"))</x:f>
        <x:v>Clean</x:v>
      </x:c>
      <x:c r="AF30" s="80" t="str">
        <x:v>Pass</x:v>
      </x:c>
      <x:c r="AG30" s="80" t="str">
        <x:v>No text cleanup required</x:v>
      </x:c>
      <x:c r="AH30" s="12" t="str">
        <x:f>IF(C30="","Missing date",IF(ISNUMBER(C30),"Valid","Unrecognized/invalid date"))</x:f>
        <x:v>Valid</x:v>
      </x:c>
      <x:c r="AI30" s="12" t="str">
        <x:f>IF(D30="","Missing date",IF(ISNUMBER(D30),"Valid","Unrecognized/invalid date"))</x:f>
        <x:v>Valid</x:v>
      </x:c>
      <x:c r="AJ30" s="12" t="str">
        <x:v>Valid</x:v>
      </x:c>
      <x:c r="AK30" s="12" t="str">
        <x:v>Pass</x:v>
      </x:c>
      <x:c r="AL30" s="12" t="str">
        <x:v>Cancelled order – excluded from completed sales; Refunded payment – separately summarized</x:v>
      </x:c>
      <x:c r="AM30" s="12" t="str">
        <x:v>Valid</x:v>
      </x:c>
      <x:c r="AN30" s="12" t="str">
        <x:v>Exclude from completed sales</x:v>
      </x:c>
      <x:c r="AO30" s="12" t="str">
        <x:v>Include in refunded summary</x:v>
      </x:c>
      <x:c r="AP30" s="37" t="n">
        <x:f>IF(LEFT($AM30,7)="Invalid","",IF($AM30="Missing discount imputed as 0",IF(AND(COUNT($O30,$P30,$R30,$S30)=4,$O30&gt;0,$P30&gt;=0,$R30&gt;=0,$S30&gt;=0),0,""),IF(AND(ISNUMBER($Q30),$Q30&gt;=0,$Q30&lt;=0.5),$Q30,"")))</x:f>
        <x:v>0.25</x:v>
      </x:c>
      <x:c r="AQ30" s="152" t="n">
        <x:f>IF(OR($W30="",NOT(ISNUMBER($R30))),"",ROUND($R30-$W30,2))</x:f>
        <x:v>0</x:v>
      </x:c>
      <x:c r="AR30" s="152" t="n">
        <x:f>IF(OR($X30="",NOT(ISNUMBER($T30))),"",ROUND($T30-$X30,2))</x:f>
        <x:v>0</x:v>
      </x:c>
      <x:c r="AS30" s="14" t="str">
        <x:v>OK</x:v>
      </x:c>
    </x:row>
    <x:row r="31">
      <x:c r="A31" s="80" t="n">
        <x:v>31</x:v>
      </x:c>
      <x:c r="B31" s="80" t="str">
        <x:v>ORD-2025-10030</x:v>
      </x:c>
      <x:c r="C31" s="81" t="n">
        <x:v>45882</x:v>
      </x:c>
      <x:c r="D31" s="81" t="n">
        <x:v>45882</x:v>
      </x:c>
      <x:c r="E31" s="80" t="str">
        <x:v>CUST-5936</x:v>
      </x:c>
      <x:c r="F31" s="80" t="str">
        <x:v>Rohan Mehta</x:v>
      </x:c>
      <x:c r="G31" s="80" t="str">
        <x:v>Home Office</x:v>
      </x:c>
      <x:c r="H31" s="80" t="str">
        <x:v>South</x:v>
      </x:c>
      <x:c r="I31" s="80" t="str">
        <x:v>Kerala</x:v>
      </x:c>
      <x:c r="J31" s="80" t="str">
        <x:v>Kochi</x:v>
      </x:c>
      <x:c r="K31" s="80" t="str">
        <x:v>Technology</x:v>
      </x:c>
      <x:c r="L31" s="80" t="str">
        <x:v>Phones</x:v>
      </x:c>
      <x:c r="M31" s="80" t="str">
        <x:v>Pro Phones 442</x:v>
      </x:c>
      <x:c r="N31" s="80" t="str">
        <x:v>Standard Class</x:v>
      </x:c>
      <x:c r="O31" s="82" t="n">
        <x:v>1</x:v>
      </x:c>
      <x:c r="P31" s="83" t="n">
        <x:v>256.01</x:v>
      </x:c>
      <x:c r="Q31" s="84" t="n">
        <x:v>0.15</x:v>
      </x:c>
      <x:c r="R31" s="83" t="n">
        <x:v>217.61</x:v>
      </x:c>
      <x:c r="S31" s="83" t="n">
        <x:v>119.77</x:v>
      </x:c>
      <x:c r="T31" s="83" t="n">
        <x:v>97.84</x:v>
      </x:c>
      <x:c r="U31" s="83" t="str">
        <x:v>Paid</x:v>
      </x:c>
      <x:c r="V31" s="83" t="str">
        <x:v>Completed</x:v>
      </x:c>
      <x:c r="W31" s="151" t="n">
        <x:f>IF(OR(NOT(ISNUMBER($AP31)),COUNT($O31,$P31)&lt;2,$O31&lt;=0,$P31&lt;0),"",ROUND($O31*$P31*(1-$AP31),2))</x:f>
        <x:v>217.61</x:v>
      </x:c>
      <x:c r="X31" s="151" t="n">
        <x:f>IF(OR(NOT(ISNUMBER($W31)),NOT(ISNUMBER($S31))),"",ROUND($W31-$S31,2))</x:f>
        <x:v>97.84</x:v>
      </x:c>
      <x:c r="Y31" s="85" t="n">
        <x:f>IF(OR(NOT(ISNUMBER($W31)),NOT(ISNUMBER($X31)),$W31=0),"",ROUND($X31/$W31,4))</x:f>
        <x:v>0.4496</x:v>
      </x:c>
      <x:c r="Z31" s="82" t="n">
        <x:f>IF(OR($AH31&lt;&gt;"Valid",$AI31&lt;&gt;"Valid"),"",INT($D31-$C31))</x:f>
        <x:v>0</x:v>
      </x:c>
      <x:c r="AA31" s="86" t="str">
        <x:f>IF($AH31&lt;&gt;"Valid","",TEXT($C31,"mmmm"))</x:f>
        <x:v>August</x:v>
      </x:c>
      <x:c r="AB31" s="82" t="n">
        <x:f>IF($AH31&lt;&gt;"Valid","",YEAR($C31))</x:f>
        <x:v>2025</x:v>
      </x:c>
      <x:c r="AC31" s="80" t="str">
        <x:v>Consistent</x:v>
      </x:c>
      <x:c r="AD31" s="80" t="str">
        <x:v>Eligible</x:v>
      </x:c>
      <x:c r="AE31" s="80" t="str">
        <x:f>IF(OR($AH31&lt;&gt;"Valid",$AI31&lt;&gt;"Valid",$AJ31&lt;&gt;"Valid",LEFT($AM31,7)="Invalid",IFERROR(ABS($AQ31)&gt;0.01,FALSE),IFERROR(ABS($AR31)&gt;0.01,FALSE),COUNTIF($AS31,"*Conflicting duplicate*")&gt;0,COUNTIF($AS31,"*Completed order not paid*")&gt;0),"Invalid",IF(OR($H31="Unknown",$N31="Unknown",$AM31="Missing discount imputed as 0"),"Warning","Clean"))</x:f>
        <x:v>Clean</x:v>
      </x:c>
      <x:c r="AF31" s="80" t="str">
        <x:v>Pass</x:v>
      </x:c>
      <x:c r="AG31" s="80" t="str">
        <x:v>No text cleanup required</x:v>
      </x:c>
      <x:c r="AH31" s="12" t="str">
        <x:f>IF(C31="","Missing date",IF(ISNUMBER(C31),"Valid","Unrecognized/invalid date"))</x:f>
        <x:v>Valid</x:v>
      </x:c>
      <x:c r="AI31" s="12" t="str">
        <x:f>IF(D31="","Missing date",IF(ISNUMBER(D31),"Valid","Unrecognized/invalid date"))</x:f>
        <x:v>Valid</x:v>
      </x:c>
      <x:c r="AJ31" s="12" t="str">
        <x:v>Valid</x:v>
      </x:c>
      <x:c r="AK31" s="12" t="str">
        <x:v>Pass</x:v>
      </x:c>
      <x:c r="AL31" s="12" t="str">
        <x:v>None</x:v>
      </x:c>
      <x:c r="AM31" s="12" t="str">
        <x:v>Valid</x:v>
      </x:c>
      <x:c r="AN31" s="12" t="str">
        <x:v>Include in completed sales</x:v>
      </x:c>
      <x:c r="AO31" s="12" t="str">
        <x:v>Not a refunded record</x:v>
      </x:c>
      <x:c r="AP31" s="37" t="n">
        <x:f>IF(LEFT($AM31,7)="Invalid","",IF($AM31="Missing discount imputed as 0",IF(AND(COUNT($O31,$P31,$R31,$S31)=4,$O31&gt;0,$P31&gt;=0,$R31&gt;=0,$S31&gt;=0),0,""),IF(AND(ISNUMBER($Q31),$Q31&gt;=0,$Q31&lt;=0.5),$Q31,"")))</x:f>
        <x:v>0.15</x:v>
      </x:c>
      <x:c r="AQ31" s="152" t="n">
        <x:f>IF(OR($W31="",NOT(ISNUMBER($R31))),"",ROUND($R31-$W31,2))</x:f>
        <x:v>0</x:v>
      </x:c>
      <x:c r="AR31" s="152" t="n">
        <x:f>IF(OR($X31="",NOT(ISNUMBER($T31))),"",ROUND($T31-$X31,2))</x:f>
        <x:v>0</x:v>
      </x:c>
      <x:c r="AS31" s="14" t="str">
        <x:v>OK</x:v>
      </x:c>
    </x:row>
    <x:row r="32">
      <x:c r="A32" s="80" t="n">
        <x:v>32</x:v>
      </x:c>
      <x:c r="B32" s="80" t="str">
        <x:v>ORD-2024-10031</x:v>
      </x:c>
      <x:c r="C32" s="81" t="n">
        <x:v>45331</x:v>
      </x:c>
      <x:c r="D32" s="81" t="n">
        <x:v>45334</x:v>
      </x:c>
      <x:c r="E32" s="80" t="str">
        <x:v>CUST-8759</x:v>
      </x:c>
      <x:c r="F32" s="80" t="str">
        <x:v>Ananya Rao</x:v>
      </x:c>
      <x:c r="G32" s="80" t="str">
        <x:v>Corporate</x:v>
      </x:c>
      <x:c r="H32" s="80" t="str">
        <x:v>West</x:v>
      </x:c>
      <x:c r="I32" s="80" t="str">
        <x:v>Goa</x:v>
      </x:c>
      <x:c r="J32" s="80" t="str">
        <x:v>Panaji</x:v>
      </x:c>
      <x:c r="K32" s="80" t="str">
        <x:v>Office Supplies</x:v>
      </x:c>
      <x:c r="L32" s="80" t="str">
        <x:v>Labels</x:v>
      </x:c>
      <x:c r="M32" s="80" t="str">
        <x:v>Pro Labels 355</x:v>
      </x:c>
      <x:c r="N32" s="80" t="str">
        <x:v>First Class</x:v>
      </x:c>
      <x:c r="O32" s="82" t="n">
        <x:v>1</x:v>
      </x:c>
      <x:c r="P32" s="83" t="n">
        <x:v>3421.77</x:v>
      </x:c>
      <x:c r="Q32" s="84" t="n">
        <x:v>0.1</x:v>
      </x:c>
      <x:c r="R32" s="83" t="n">
        <x:v>3079.59</x:v>
      </x:c>
      <x:c r="S32" s="83" t="n">
        <x:v>2001.89</x:v>
      </x:c>
      <x:c r="T32" s="83" t="n">
        <x:v>1077.7</x:v>
      </x:c>
      <x:c r="U32" s="83" t="str">
        <x:v>Paid</x:v>
      </x:c>
      <x:c r="V32" s="83" t="str">
        <x:v>Completed</x:v>
      </x:c>
      <x:c r="W32" s="151" t="n">
        <x:f>IF(OR(NOT(ISNUMBER($AP32)),COUNT($O32,$P32)&lt;2,$O32&lt;=0,$P32&lt;0),"",ROUND($O32*$P32*(1-$AP32),2))</x:f>
        <x:v>3079.59</x:v>
      </x:c>
      <x:c r="X32" s="151" t="n">
        <x:f>IF(OR(NOT(ISNUMBER($W32)),NOT(ISNUMBER($S32))),"",ROUND($W32-$S32,2))</x:f>
        <x:v>1077.7</x:v>
      </x:c>
      <x:c r="Y32" s="85" t="n">
        <x:f>IF(OR(NOT(ISNUMBER($W32)),NOT(ISNUMBER($X32)),$W32=0),"",ROUND($X32/$W32,4))</x:f>
        <x:v>0.3499</x:v>
      </x:c>
      <x:c r="Z32" s="82" t="n">
        <x:f>IF(OR($AH32&lt;&gt;"Valid",$AI32&lt;&gt;"Valid"),"",INT($D32-$C32))</x:f>
        <x:v>3</x:v>
      </x:c>
      <x:c r="AA32" s="86" t="str">
        <x:f>IF($AH32&lt;&gt;"Valid","",TEXT($C32,"mmmm"))</x:f>
        <x:v>February</x:v>
      </x:c>
      <x:c r="AB32" s="82" t="n">
        <x:f>IF($AH32&lt;&gt;"Valid","",YEAR($C32))</x:f>
        <x:v>2024</x:v>
      </x:c>
      <x:c r="AC32" s="80" t="str">
        <x:v>Consistent</x:v>
      </x:c>
      <x:c r="AD32" s="80" t="str">
        <x:v>Eligible</x:v>
      </x:c>
      <x:c r="AE32" s="80" t="str">
        <x:f>IF(OR($AH32&lt;&gt;"Valid",$AI32&lt;&gt;"Valid",$AJ32&lt;&gt;"Valid",LEFT($AM32,7)="Invalid",IFERROR(ABS($AQ32)&gt;0.01,FALSE),IFERROR(ABS($AR32)&gt;0.01,FALSE),COUNTIF($AS32,"*Conflicting duplicate*")&gt;0,COUNTIF($AS32,"*Completed order not paid*")&gt;0),"Invalid",IF(OR($H32="Unknown",$N32="Unknown",$AM32="Missing discount imputed as 0"),"Warning","Clean"))</x:f>
        <x:v>Clean</x:v>
      </x:c>
      <x:c r="AF32" s="80" t="str">
        <x:v>Pass</x:v>
      </x:c>
      <x:c r="AG32" s="80" t="str">
        <x:v>No text cleanup required</x:v>
      </x:c>
      <x:c r="AH32" s="12" t="str">
        <x:f>IF(C32="","Missing date",IF(ISNUMBER(C32),"Valid","Unrecognized/invalid date"))</x:f>
        <x:v>Valid</x:v>
      </x:c>
      <x:c r="AI32" s="12" t="str">
        <x:f>IF(D32="","Missing date",IF(ISNUMBER(D32),"Valid","Unrecognized/invalid date"))</x:f>
        <x:v>Valid</x:v>
      </x:c>
      <x:c r="AJ32" s="12" t="str">
        <x:v>Valid</x:v>
      </x:c>
      <x:c r="AK32" s="12" t="str">
        <x:v>Pass</x:v>
      </x:c>
      <x:c r="AL32" s="12" t="str">
        <x:v>None</x:v>
      </x:c>
      <x:c r="AM32" s="12" t="str">
        <x:v>Valid</x:v>
      </x:c>
      <x:c r="AN32" s="12" t="str">
        <x:v>Include in completed sales</x:v>
      </x:c>
      <x:c r="AO32" s="12" t="str">
        <x:v>Not a refunded record</x:v>
      </x:c>
      <x:c r="AP32" s="37" t="n">
        <x:f>IF(LEFT($AM32,7)="Invalid","",IF($AM32="Missing discount imputed as 0",IF(AND(COUNT($O32,$P32,$R32,$S32)=4,$O32&gt;0,$P32&gt;=0,$R32&gt;=0,$S32&gt;=0),0,""),IF(AND(ISNUMBER($Q32),$Q32&gt;=0,$Q32&lt;=0.5),$Q32,"")))</x:f>
        <x:v>0.1</x:v>
      </x:c>
      <x:c r="AQ32" s="152" t="n">
        <x:f>IF(OR($W32="",NOT(ISNUMBER($R32))),"",ROUND($R32-$W32,2))</x:f>
        <x:v>0</x:v>
      </x:c>
      <x:c r="AR32" s="152" t="n">
        <x:f>IF(OR($X32="",NOT(ISNUMBER($T32))),"",ROUND($T32-$X32,2))</x:f>
        <x:v>0</x:v>
      </x:c>
      <x:c r="AS32" s="14" t="str">
        <x:v>OK</x:v>
      </x:c>
    </x:row>
    <x:row r="33">
      <x:c r="A33" s="80" t="n">
        <x:v>33</x:v>
      </x:c>
      <x:c r="B33" s="80" t="str">
        <x:v>ORD-2025-10032</x:v>
      </x:c>
      <x:c r="C33" s="81" t="n">
        <x:v>45823</x:v>
      </x:c>
      <x:c r="D33" s="81" t="n">
        <x:v>45827</x:v>
      </x:c>
      <x:c r="E33" s="80" t="str">
        <x:v>CUST-7867</x:v>
      </x:c>
      <x:c r="F33" s="80" t="str">
        <x:v>Karan Malhotra</x:v>
      </x:c>
      <x:c r="G33" s="80" t="str">
        <x:v>Small Business</x:v>
      </x:c>
      <x:c r="H33" s="80" t="str">
        <x:v>West</x:v>
      </x:c>
      <x:c r="I33" s="80" t="str">
        <x:v>Madhya Pradesh</x:v>
      </x:c>
      <x:c r="J33" s="80" t="str">
        <x:v>Indore</x:v>
      </x:c>
      <x:c r="K33" s="80" t="str">
        <x:v>Office Supplies</x:v>
      </x:c>
      <x:c r="L33" s="80" t="str">
        <x:v>Paper</x:v>
      </x:c>
      <x:c r="M33" s="80" t="str">
        <x:v>Pro Paper 959</x:v>
      </x:c>
      <x:c r="N33" s="80" t="str">
        <x:v>Second Class</x:v>
      </x:c>
      <x:c r="O33" s="82" t="n">
        <x:v>9</x:v>
      </x:c>
      <x:c r="P33" s="83" t="n">
        <x:v>3092.55</x:v>
      </x:c>
      <x:c r="Q33" s="84" t="n">
        <x:v>0</x:v>
      </x:c>
      <x:c r="R33" s="83" t="n">
        <x:v>27832.95</x:v>
      </x:c>
      <x:c r="S33" s="83" t="n">
        <x:v>17769.75</x:v>
      </x:c>
      <x:c r="T33" s="83" t="n">
        <x:v>10063.2</x:v>
      </x:c>
      <x:c r="U33" s="83" t="str">
        <x:v>Failed</x:v>
      </x:c>
      <x:c r="V33" s="83" t="str">
        <x:v>Returned</x:v>
      </x:c>
      <x:c r="W33" s="151" t="n">
        <x:f>IF(OR(NOT(ISNUMBER($AP33)),COUNT($O33,$P33)&lt;2,$O33&lt;=0,$P33&lt;0),"",ROUND($O33*$P33*(1-$AP33),2))</x:f>
        <x:v>27832.95</x:v>
      </x:c>
      <x:c r="X33" s="151" t="n">
        <x:f>IF(OR(NOT(ISNUMBER($W33)),NOT(ISNUMBER($S33))),"",ROUND($W33-$S33,2))</x:f>
        <x:v>10063.2</x:v>
      </x:c>
      <x:c r="Y33" s="85" t="n">
        <x:f>IF(OR(NOT(ISNUMBER($W33)),NOT(ISNUMBER($X33)),$W33=0),"",ROUND($X33/$W33,4))</x:f>
        <x:v>0.3616</x:v>
      </x:c>
      <x:c r="Z33" s="82" t="n">
        <x:f>IF(OR($AH33&lt;&gt;"Valid",$AI33&lt;&gt;"Valid"),"",INT($D33-$C33))</x:f>
        <x:v>4</x:v>
      </x:c>
      <x:c r="AA33" s="86" t="str">
        <x:f>IF($AH33&lt;&gt;"Valid","",TEXT($C33,"mmmm"))</x:f>
        <x:v>June</x:v>
      </x:c>
      <x:c r="AB33" s="82" t="n">
        <x:f>IF($AH33&lt;&gt;"Valid","",YEAR($C33))</x:f>
        <x:v>2025</x:v>
      </x:c>
      <x:c r="AC33" s="80" t="str">
        <x:v>Failed payment (excluded from completed-sales summary)</x:v>
      </x:c>
      <x:c r="AD33" s="80" t="str">
        <x:v>Excluded</x:v>
      </x:c>
      <x:c r="AE33" s="80" t="str">
        <x:f>IF(OR($AH33&lt;&gt;"Valid",$AI33&lt;&gt;"Valid",$AJ33&lt;&gt;"Valid",LEFT($AM33,7)="Invalid",IFERROR(ABS($AQ33)&gt;0.01,FALSE),IFERROR(ABS($AR33)&gt;0.01,FALSE),COUNTIF($AS33,"*Conflicting duplicate*")&gt;0,COUNTIF($AS33,"*Completed order not paid*")&gt;0),"Invalid",IF(OR($H33="Unknown",$N33="Unknown",$AM33="Missing discount imputed as 0"),"Warning","Clean"))</x:f>
        <x:v>Clean</x:v>
      </x:c>
      <x:c r="AF33" s="80" t="str">
        <x:v>Pass</x:v>
      </x:c>
      <x:c r="AG33" s="80" t="str">
        <x:v>No text cleanup required</x:v>
      </x:c>
      <x:c r="AH33" s="12" t="str">
        <x:f>IF(C33="","Missing date",IF(ISNUMBER(C33),"Valid","Unrecognized/invalid date"))</x:f>
        <x:v>Valid</x:v>
      </x:c>
      <x:c r="AI33" s="12" t="str">
        <x:f>IF(D33="","Missing date",IF(ISNUMBER(D33),"Valid","Unrecognized/invalid date"))</x:f>
        <x:v>Valid</x:v>
      </x:c>
      <x:c r="AJ33" s="12" t="str">
        <x:v>Valid</x:v>
      </x:c>
      <x:c r="AK33" s="12" t="str">
        <x:v>Pass</x:v>
      </x:c>
      <x:c r="AL33" s="12" t="str">
        <x:v>Failed payment – excluded from completed sales</x:v>
      </x:c>
      <x:c r="AM33" s="12" t="str">
        <x:v>Valid</x:v>
      </x:c>
      <x:c r="AN33" s="12" t="str">
        <x:v>Exclude from completed sales</x:v>
      </x:c>
      <x:c r="AO33" s="12" t="str">
        <x:v>Not a refunded record</x:v>
      </x:c>
      <x:c r="AP33" s="37" t="n">
        <x:f>IF(LEFT($AM33,7)="Invalid","",IF($AM33="Missing discount imputed as 0",IF(AND(COUNT($O33,$P33,$R33,$S33)=4,$O33&gt;0,$P33&gt;=0,$R33&gt;=0,$S33&gt;=0),0,""),IF(AND(ISNUMBER($Q33),$Q33&gt;=0,$Q33&lt;=0.5),$Q33,"")))</x:f>
        <x:v>0</x:v>
      </x:c>
      <x:c r="AQ33" s="152" t="n">
        <x:f>IF(OR($W33="",NOT(ISNUMBER($R33))),"",ROUND($R33-$W33,2))</x:f>
        <x:v>0</x:v>
      </x:c>
      <x:c r="AR33" s="152" t="n">
        <x:f>IF(OR($X33="",NOT(ISNUMBER($T33))),"",ROUND($T33-$X33,2))</x:f>
        <x:v>0</x:v>
      </x:c>
      <x:c r="AS33" s="14" t="str">
        <x:v>OK</x:v>
      </x:c>
    </x:row>
    <x:row r="34">
      <x:c r="A34" s="80" t="n">
        <x:v>34</x:v>
      </x:c>
      <x:c r="B34" s="80" t="str">
        <x:v>ORD-2024-10033</x:v>
      </x:c>
      <x:c r="C34" s="81" t="n">
        <x:v>45618</x:v>
      </x:c>
      <x:c r="D34" s="81" t="n">
        <x:v>45622</x:v>
      </x:c>
      <x:c r="E34" s="80" t="str">
        <x:v>CUST-6509</x:v>
      </x:c>
      <x:c r="F34" s="80" t="str">
        <x:v>Aarav Sharma</x:v>
      </x:c>
      <x:c r="G34" s="80" t="str">
        <x:v>Corporate</x:v>
      </x:c>
      <x:c r="H34" s="80" t="str">
        <x:v>South</x:v>
      </x:c>
      <x:c r="I34" s="80" t="str">
        <x:v>Andhra Pradesh</x:v>
      </x:c>
      <x:c r="J34" s="80" t="str">
        <x:v>Vijayawada</x:v>
      </x:c>
      <x:c r="K34" s="80" t="str">
        <x:v>Technology</x:v>
      </x:c>
      <x:c r="L34" s="80" t="str">
        <x:v>Phones</x:v>
      </x:c>
      <x:c r="M34" s="80" t="str">
        <x:v>Basic Phones 242</x:v>
      </x:c>
      <x:c r="N34" s="80" t="str">
        <x:v>Second Class</x:v>
      </x:c>
      <x:c r="O34" s="82" t="n">
        <x:v>3</x:v>
      </x:c>
      <x:c r="P34" s="83" t="n">
        <x:v>4001.25</x:v>
      </x:c>
      <x:c r="Q34" s="84" t="n">
        <x:v>0</x:v>
      </x:c>
      <x:c r="R34" s="83" t="n">
        <x:v>9002.81</x:v>
      </x:c>
      <x:c r="S34" s="83" t="n">
        <x:v>7529.92</x:v>
      </x:c>
      <x:c r="T34" s="83" t="n">
        <x:v>1472.89</x:v>
      </x:c>
      <x:c r="U34" s="83" t="str">
        <x:v>Paid</x:v>
      </x:c>
      <x:c r="V34" s="83" t="str">
        <x:v>Completed</x:v>
      </x:c>
      <x:c r="W34" s="151" t="n">
        <x:f>IF(OR(NOT(ISNUMBER($AP34)),COUNT($O34,$P34)&lt;2,$O34&lt;=0,$P34&lt;0),"",ROUND($O34*$P34*(1-$AP34),2))</x:f>
        <x:v>12003.75</x:v>
      </x:c>
      <x:c r="X34" s="151" t="n">
        <x:f>IF(OR(NOT(ISNUMBER($W34)),NOT(ISNUMBER($S34))),"",ROUND($W34-$S34,2))</x:f>
        <x:v>4473.83</x:v>
      </x:c>
      <x:c r="Y34" s="85" t="n">
        <x:f>IF(OR(NOT(ISNUMBER($W34)),NOT(ISNUMBER($X34)),$W34=0),"",ROUND($X34/$W34,4))</x:f>
        <x:v>0.3727</x:v>
      </x:c>
      <x:c r="Z34" s="82" t="n">
        <x:f>IF(OR($AH34&lt;&gt;"Valid",$AI34&lt;&gt;"Valid"),"",INT($D34-$C34))</x:f>
        <x:v>4</x:v>
      </x:c>
      <x:c r="AA34" s="86" t="str">
        <x:f>IF($AH34&lt;&gt;"Valid","",TEXT($C34,"mmmm"))</x:f>
        <x:v>November</x:v>
      </x:c>
      <x:c r="AB34" s="82" t="n">
        <x:f>IF($AH34&lt;&gt;"Valid","",YEAR($C34))</x:f>
        <x:v>2024</x:v>
      </x:c>
      <x:c r="AC34" s="80" t="str">
        <x:v>Consistent</x:v>
      </x:c>
      <x:c r="AD34" s="80" t="str">
        <x:v>Excluded</x:v>
      </x:c>
      <x:c r="AE34" s="80" t="str">
        <x:f>IF(OR($AH34&lt;&gt;"Valid",$AI34&lt;&gt;"Valid",$AJ34&lt;&gt;"Valid",LEFT($AM34,7)="Invalid",IFERROR(ABS($AQ34)&gt;0.01,FALSE),IFERROR(ABS($AR34)&gt;0.01,FALSE),COUNTIF($AS34,"*Conflicting duplicate*")&gt;0,COUNTIF($AS34,"*Completed order not paid*")&gt;0),"Invalid",IF(OR($H34="Unknown",$N34="Unknown",$AM34="Missing discount imputed as 0"),"Warning","Clean"))</x:f>
        <x:v>Invalid</x:v>
      </x:c>
      <x:c r="AF34" s="80" t="str">
        <x:v>Review</x:v>
      </x:c>
      <x:c r="AG34" s="80" t="str">
        <x:v>discount: Imputed 0; discount: Missing value set to 0 after sales-field validation</x:v>
      </x:c>
      <x:c r="AH34" s="12" t="str">
        <x:f>IF(C34="","Missing date",IF(ISNUMBER(C34),"Valid","Unrecognized/invalid date"))</x:f>
        <x:v>Valid</x:v>
      </x:c>
      <x:c r="AI34" s="12" t="str">
        <x:f>IF(D34="","Missing date",IF(ISNUMBER(D34),"Valid","Unrecognized/invalid date"))</x:f>
        <x:v>Valid</x:v>
      </x:c>
      <x:c r="AJ34" s="12" t="str">
        <x:v>Valid</x:v>
      </x:c>
      <x:c r="AK34" s="12" t="str">
        <x:v>Pass</x:v>
      </x:c>
      <x:c r="AL34" s="12" t="str">
        <x:v>Missing discount imputed as 0</x:v>
      </x:c>
      <x:c r="AM34" s="12" t="str">
        <x:v>Missing discount imputed as 0</x:v>
      </x:c>
      <x:c r="AN34" s="12" t="str">
        <x:v>Exclude from completed sales</x:v>
      </x:c>
      <x:c r="AO34" s="12" t="str">
        <x:v>Not a refunded record</x:v>
      </x:c>
      <x:c r="AP34" s="37" t="n">
        <x:f>IF(LEFT($AM34,7)="Invalid","",IF($AM34="Missing discount imputed as 0",IF(AND(COUNT($O34,$P34,$R34,$S34)=4,$O34&gt;0,$P34&gt;=0,$R34&gt;=0,$S34&gt;=0),0,""),IF(AND(ISNUMBER($Q34),$Q34&gt;=0,$Q34&lt;=0.5),$Q34,"")))</x:f>
        <x:v>0</x:v>
      </x:c>
      <x:c r="AQ34" s="152" t="n">
        <x:f>IF(OR($W34="",NOT(ISNUMBER($R34))),"",ROUND($R34-$W34,2))</x:f>
        <x:v>-3000.94</x:v>
      </x:c>
      <x:c r="AR34" s="152" t="n">
        <x:f>IF(OR($X34="",NOT(ISNUMBER($T34))),"",ROUND($T34-$X34,2))</x:f>
        <x:v>-3000.94</x:v>
      </x:c>
      <x:c r="AS34" s="14" t="str">
        <x:v>Sales calculation mismatch</x:v>
      </x:c>
    </x:row>
    <x:row r="35">
      <x:c r="A35" s="80" t="n">
        <x:v>35</x:v>
      </x:c>
      <x:c r="B35" s="80" t="str">
        <x:v>ORD-2024-10034</x:v>
      </x:c>
      <x:c r="C35" s="81" t="n">
        <x:v>45495</x:v>
      </x:c>
      <x:c r="D35" s="81" t="n">
        <x:v>45500</x:v>
      </x:c>
      <x:c r="E35" s="80" t="str">
        <x:v>CUST-6660</x:v>
      </x:c>
      <x:c r="F35" s="80" t="str">
        <x:v>Priya Menon</x:v>
      </x:c>
      <x:c r="G35" s="80" t="str">
        <x:v>Home Office</x:v>
      </x:c>
      <x:c r="H35" s="80" t="str">
        <x:v>West</x:v>
      </x:c>
      <x:c r="I35" s="80" t="str">
        <x:v>Goa</x:v>
      </x:c>
      <x:c r="J35" s="80" t="str">
        <x:v>Panaji</x:v>
      </x:c>
      <x:c r="K35" s="80" t="str">
        <x:v>Furniture</x:v>
      </x:c>
      <x:c r="L35" s="80" t="str">
        <x:v>Tables</x:v>
      </x:c>
      <x:c r="M35" s="80" t="str">
        <x:v>Max Tables 836</x:v>
      </x:c>
      <x:c r="N35" s="80" t="str">
        <x:v>Same Day</x:v>
      </x:c>
      <x:c r="O35" s="82" t="n">
        <x:v>7</x:v>
      </x:c>
      <x:c r="P35" s="83" t="n">
        <x:v>492.41</x:v>
      </x:c>
      <x:c r="Q35" s="84" t="n">
        <x:v>0.25</x:v>
      </x:c>
      <x:c r="R35" s="83" t="n">
        <x:v>2585.15</x:v>
      </x:c>
      <x:c r="S35" s="83" t="n">
        <x:v>2070.73</x:v>
      </x:c>
      <x:c r="T35" s="83" t="n">
        <x:v>514.42</x:v>
      </x:c>
      <x:c r="U35" s="83" t="str">
        <x:v>Paid</x:v>
      </x:c>
      <x:c r="V35" s="83" t="str">
        <x:v>Completed</x:v>
      </x:c>
      <x:c r="W35" s="151" t="n">
        <x:f>IF(OR(NOT(ISNUMBER($AP35)),COUNT($O35,$P35)&lt;2,$O35&lt;=0,$P35&lt;0),"",ROUND($O35*$P35*(1-$AP35),2))</x:f>
        <x:v>2585.15</x:v>
      </x:c>
      <x:c r="X35" s="151" t="n">
        <x:f>IF(OR(NOT(ISNUMBER($W35)),NOT(ISNUMBER($S35))),"",ROUND($W35-$S35,2))</x:f>
        <x:v>514.42</x:v>
      </x:c>
      <x:c r="Y35" s="85" t="n">
        <x:f>IF(OR(NOT(ISNUMBER($W35)),NOT(ISNUMBER($X35)),$W35=0),"",ROUND($X35/$W35,4))</x:f>
        <x:v>0.199</x:v>
      </x:c>
      <x:c r="Z35" s="82" t="n">
        <x:f>IF(OR($AH35&lt;&gt;"Valid",$AI35&lt;&gt;"Valid"),"",INT($D35-$C35))</x:f>
        <x:v>5</x:v>
      </x:c>
      <x:c r="AA35" s="86" t="str">
        <x:f>IF($AH35&lt;&gt;"Valid","",TEXT($C35,"mmmm"))</x:f>
        <x:v>July</x:v>
      </x:c>
      <x:c r="AB35" s="82" t="n">
        <x:f>IF($AH35&lt;&gt;"Valid","",YEAR($C35))</x:f>
        <x:v>2024</x:v>
      </x:c>
      <x:c r="AC35" s="80" t="str">
        <x:v>Consistent</x:v>
      </x:c>
      <x:c r="AD35" s="80" t="str">
        <x:v>Eligible</x:v>
      </x:c>
      <x:c r="AE35" s="80" t="str">
        <x:f>IF(OR($AH35&lt;&gt;"Valid",$AI35&lt;&gt;"Valid",$AJ35&lt;&gt;"Valid",LEFT($AM35,7)="Invalid",IFERROR(ABS($AQ35)&gt;0.01,FALSE),IFERROR(ABS($AR35)&gt;0.01,FALSE),COUNTIF($AS35,"*Conflicting duplicate*")&gt;0,COUNTIF($AS35,"*Completed order not paid*")&gt;0),"Invalid",IF(OR($H35="Unknown",$N35="Unknown",$AM35="Missing discount imputed as 0"),"Warning","Clean"))</x:f>
        <x:v>Clean</x:v>
      </x:c>
      <x:c r="AF35" s="80" t="str">
        <x:v>Pass</x:v>
      </x:c>
      <x:c r="AG35" s="80" t="str">
        <x:v>No text cleanup required</x:v>
      </x:c>
      <x:c r="AH35" s="12" t="str">
        <x:f>IF(C35="","Missing date",IF(ISNUMBER(C35),"Valid","Unrecognized/invalid date"))</x:f>
        <x:v>Valid</x:v>
      </x:c>
      <x:c r="AI35" s="12" t="str">
        <x:f>IF(D35="","Missing date",IF(ISNUMBER(D35),"Valid","Unrecognized/invalid date"))</x:f>
        <x:v>Valid</x:v>
      </x:c>
      <x:c r="AJ35" s="12" t="str">
        <x:v>Valid</x:v>
      </x:c>
      <x:c r="AK35" s="12" t="str">
        <x:v>Pass</x:v>
      </x:c>
      <x:c r="AL35" s="12" t="str">
        <x:v>None</x:v>
      </x:c>
      <x:c r="AM35" s="12" t="str">
        <x:v>Valid</x:v>
      </x:c>
      <x:c r="AN35" s="12" t="str">
        <x:v>Include in completed sales</x:v>
      </x:c>
      <x:c r="AO35" s="12" t="str">
        <x:v>Not a refunded record</x:v>
      </x:c>
      <x:c r="AP35" s="37" t="n">
        <x:f>IF(LEFT($AM35,7)="Invalid","",IF($AM35="Missing discount imputed as 0",IF(AND(COUNT($O35,$P35,$R35,$S35)=4,$O35&gt;0,$P35&gt;=0,$R35&gt;=0,$S35&gt;=0),0,""),IF(AND(ISNUMBER($Q35),$Q35&gt;=0,$Q35&lt;=0.5),$Q35,"")))</x:f>
        <x:v>0.25</x:v>
      </x:c>
      <x:c r="AQ35" s="152" t="n">
        <x:f>IF(OR($W35="",NOT(ISNUMBER($R35))),"",ROUND($R35-$W35,2))</x:f>
        <x:v>0</x:v>
      </x:c>
      <x:c r="AR35" s="152" t="n">
        <x:f>IF(OR($X35="",NOT(ISNUMBER($T35))),"",ROUND($T35-$X35,2))</x:f>
        <x:v>0</x:v>
      </x:c>
      <x:c r="AS35" s="14" t="str">
        <x:v>OK</x:v>
      </x:c>
    </x:row>
    <x:row r="36">
      <x:c r="A36" s="80" t="n">
        <x:v>36</x:v>
      </x:c>
      <x:c r="B36" s="80" t="str">
        <x:v>ORD-2025-10035</x:v>
      </x:c>
      <x:c r="C36" s="81" t="n">
        <x:v>45688</x:v>
      </x:c>
      <x:c r="D36" s="81" t="n">
        <x:v>45693</x:v>
      </x:c>
      <x:c r="E36" s="80" t="str">
        <x:v>CUST-2392</x:v>
      </x:c>
      <x:c r="F36" s="80" t="str">
        <x:v>Priya Menon</x:v>
      </x:c>
      <x:c r="G36" s="80" t="str">
        <x:v>Home Office</x:v>
      </x:c>
      <x:c r="H36" s="80" t="str">
        <x:v>East</x:v>
      </x:c>
      <x:c r="I36" s="80" t="str">
        <x:v>West Bengal</x:v>
      </x:c>
      <x:c r="J36" s="80" t="str">
        <x:v>Kolkata</x:v>
      </x:c>
      <x:c r="K36" s="80" t="str">
        <x:v>Furniture</x:v>
      </x:c>
      <x:c r="L36" s="80" t="str">
        <x:v>Chairs</x:v>
      </x:c>
      <x:c r="M36" s="80" t="str">
        <x:v>Elite Chairs 862</x:v>
      </x:c>
      <x:c r="N36" s="80" t="str">
        <x:v>Unknown</x:v>
      </x:c>
      <x:c r="O36" s="82" t="n">
        <x:v>2</x:v>
      </x:c>
      <x:c r="P36" s="83" t="n">
        <x:v>4159.69</x:v>
      </x:c>
      <x:c r="Q36" s="84" t="n">
        <x:v>0.2</x:v>
      </x:c>
      <x:c r="R36" s="83" t="n">
        <x:v>6655.5</x:v>
      </x:c>
      <x:c r="S36" s="83" t="n">
        <x:v>4340.21</x:v>
      </x:c>
      <x:c r="T36" s="83" t="n">
        <x:v>2607.32</x:v>
      </x:c>
      <x:c r="U36" s="83" t="str">
        <x:v>Paid</x:v>
      </x:c>
      <x:c r="V36" s="83" t="str">
        <x:v>Completed</x:v>
      </x:c>
      <x:c r="W36" s="151" t="n">
        <x:f>IF(OR(NOT(ISNUMBER($AP36)),COUNT($O36,$P36)&lt;2,$O36&lt;=0,$P36&lt;0),"",ROUND($O36*$P36*(1-$AP36),2))</x:f>
        <x:v>6655.5</x:v>
      </x:c>
      <x:c r="X36" s="151" t="n">
        <x:f>IF(OR(NOT(ISNUMBER($W36)),NOT(ISNUMBER($S36))),"",ROUND($W36-$S36,2))</x:f>
        <x:v>2315.29</x:v>
      </x:c>
      <x:c r="Y36" s="85" t="n">
        <x:f>IF(OR(NOT(ISNUMBER($W36)),NOT(ISNUMBER($X36)),$W36=0),"",ROUND($X36/$W36,4))</x:f>
        <x:v>0.3479</x:v>
      </x:c>
      <x:c r="Z36" s="82" t="n">
        <x:f>IF(OR($AH36&lt;&gt;"Valid",$AI36&lt;&gt;"Valid"),"",INT($D36-$C36))</x:f>
        <x:v>5</x:v>
      </x:c>
      <x:c r="AA36" s="86" t="str">
        <x:f>IF($AH36&lt;&gt;"Valid","",TEXT($C36,"mmmm"))</x:f>
        <x:v>January</x:v>
      </x:c>
      <x:c r="AB36" s="82" t="n">
        <x:f>IF($AH36&lt;&gt;"Valid","",YEAR($C36))</x:f>
        <x:v>2025</x:v>
      </x:c>
      <x:c r="AC36" s="80" t="str">
        <x:v>Consistent</x:v>
      </x:c>
      <x:c r="AD36" s="80" t="str">
        <x:v>Excluded</x:v>
      </x:c>
      <x:c r="AE36" s="80" t="str">
        <x:f>IF(OR($AH36&lt;&gt;"Valid",$AI36&lt;&gt;"Valid",$AJ36&lt;&gt;"Valid",LEFT($AM36,7)="Invalid",IFERROR(ABS($AQ36)&gt;0.01,FALSE),IFERROR(ABS($AR36)&gt;0.01,FALSE),COUNTIF($AS36,"*Conflicting duplicate*")&gt;0,COUNTIF($AS36,"*Completed order not paid*")&gt;0),"Invalid",IF(OR($H36="Unknown",$N36="Unknown",$AM36="Missing discount imputed as 0"),"Warning","Clean"))</x:f>
        <x:v>Invalid</x:v>
      </x:c>
      <x:c r="AF36" s="80" t="str">
        <x:v>Review</x:v>
      </x:c>
      <x:c r="AG36" s="80" t="str">
        <x:v>ship_mode: Missing value filled as Unknown</x:v>
      </x:c>
      <x:c r="AH36" s="12" t="str">
        <x:f>IF(C36="","Missing date",IF(ISNUMBER(C36),"Valid","Unrecognized/invalid date"))</x:f>
        <x:v>Valid</x:v>
      </x:c>
      <x:c r="AI36" s="12" t="str">
        <x:f>IF(D36="","Missing date",IF(ISNUMBER(D36),"Valid","Unrecognized/invalid date"))</x:f>
        <x:v>Valid</x:v>
      </x:c>
      <x:c r="AJ36" s="12" t="str">
        <x:v>Valid</x:v>
      </x:c>
      <x:c r="AK36" s="12" t="str">
        <x:v>Pass</x:v>
      </x:c>
      <x:c r="AL36" s="12" t="str">
        <x:v>Missing ship_mode filled as Unknown</x:v>
      </x:c>
      <x:c r="AM36" s="12" t="str">
        <x:v>Valid</x:v>
      </x:c>
      <x:c r="AN36" s="12" t="str">
        <x:v>Exclude from completed sales</x:v>
      </x:c>
      <x:c r="AO36" s="12" t="str">
        <x:v>Not a refunded record</x:v>
      </x:c>
      <x:c r="AP36" s="37" t="n">
        <x:f>IF(LEFT($AM36,7)="Invalid","",IF($AM36="Missing discount imputed as 0",IF(AND(COUNT($O36,$P36,$R36,$S36)=4,$O36&gt;0,$P36&gt;=0,$R36&gt;=0,$S36&gt;=0),0,""),IF(AND(ISNUMBER($Q36),$Q36&gt;=0,$Q36&lt;=0.5),$Q36,"")))</x:f>
        <x:v>0.2</x:v>
      </x:c>
      <x:c r="AQ36" s="152" t="n">
        <x:f>IF(OR($W36="",NOT(ISNUMBER($R36))),"",ROUND($R36-$W36,2))</x:f>
        <x:v>0</x:v>
      </x:c>
      <x:c r="AR36" s="152" t="n">
        <x:f>IF(OR($X36="",NOT(ISNUMBER($T36))),"",ROUND($T36-$X36,2))</x:f>
        <x:v>292.03</x:v>
      </x:c>
      <x:c r="AS36" s="14" t="str">
        <x:v>Profit calculation mismatch</x:v>
      </x:c>
    </x:row>
    <x:row r="37">
      <x:c r="A37" s="80" t="n">
        <x:v>37</x:v>
      </x:c>
      <x:c r="B37" s="80" t="str">
        <x:v>ORD-2024-10036</x:v>
      </x:c>
      <x:c r="C37" s="81" t="n">
        <x:v>45441</x:v>
      </x:c>
      <x:c r="D37" s="81" t="n">
        <x:v>45441</x:v>
      </x:c>
      <x:c r="E37" s="80" t="str">
        <x:v>CUST-1611</x:v>
      </x:c>
      <x:c r="F37" s="80" t="str">
        <x:v>Sneha Kapoor</x:v>
      </x:c>
      <x:c r="G37" s="80" t="str">
        <x:v>Small Business</x:v>
      </x:c>
      <x:c r="H37" s="80" t="str">
        <x:v>West</x:v>
      </x:c>
      <x:c r="I37" s="80" t="str">
        <x:v>Gujarat</x:v>
      </x:c>
      <x:c r="J37" s="80" t="str">
        <x:v>Ahmedabad</x:v>
      </x:c>
      <x:c r="K37" s="80" t="str">
        <x:v>Furniture</x:v>
      </x:c>
      <x:c r="L37" s="80" t="str">
        <x:v>Bookcases</x:v>
      </x:c>
      <x:c r="M37" s="80" t="str">
        <x:v>Prime Bookcases 414</x:v>
      </x:c>
      <x:c r="N37" s="80" t="str">
        <x:v>Second Class</x:v>
      </x:c>
      <x:c r="O37" s="82" t="n">
        <x:v>8</x:v>
      </x:c>
      <x:c r="P37" s="83" t="n">
        <x:v>2507.12</x:v>
      </x:c>
      <x:c r="Q37" s="84" t="n">
        <x:v>0.05</x:v>
      </x:c>
      <x:c r="R37" s="83" t="n">
        <x:v>19054.11</x:v>
      </x:c>
      <x:c r="S37" s="83" t="n">
        <x:v>15313.83</x:v>
      </x:c>
      <x:c r="T37" s="83" t="n">
        <x:v>3740.28</x:v>
      </x:c>
      <x:c r="U37" s="83" t="str">
        <x:v>Pending</x:v>
      </x:c>
      <x:c r="V37" s="83" t="str">
        <x:v>Returned</x:v>
      </x:c>
      <x:c r="W37" s="151" t="n">
        <x:f>IF(OR(NOT(ISNUMBER($AP37)),COUNT($O37,$P37)&lt;2,$O37&lt;=0,$P37&lt;0),"",ROUND($O37*$P37*(1-$AP37),2))</x:f>
        <x:v>19054.11</x:v>
      </x:c>
      <x:c r="X37" s="151" t="n">
        <x:f>IF(OR(NOT(ISNUMBER($W37)),NOT(ISNUMBER($S37))),"",ROUND($W37-$S37,2))</x:f>
        <x:v>3740.28</x:v>
      </x:c>
      <x:c r="Y37" s="85" t="n">
        <x:f>IF(OR(NOT(ISNUMBER($W37)),NOT(ISNUMBER($X37)),$W37=0),"",ROUND($X37/$W37,4))</x:f>
        <x:v>0.1963</x:v>
      </x:c>
      <x:c r="Z37" s="82" t="n">
        <x:f>IF(OR($AH37&lt;&gt;"Valid",$AI37&lt;&gt;"Valid"),"",INT($D37-$C37))</x:f>
        <x:v>0</x:v>
      </x:c>
      <x:c r="AA37" s="86" t="str">
        <x:f>IF($AH37&lt;&gt;"Valid","",TEXT($C37,"mmmm"))</x:f>
        <x:v>May</x:v>
      </x:c>
      <x:c r="AB37" s="82" t="n">
        <x:f>IF($AH37&lt;&gt;"Valid","",YEAR($C37))</x:f>
        <x:v>2024</x:v>
      </x:c>
      <x:c r="AC37" s="80" t="str">
        <x:v>Consistent</x:v>
      </x:c>
      <x:c r="AD37" s="80" t="str">
        <x:v>Excluded</x:v>
      </x:c>
      <x:c r="AE37" s="80" t="str">
        <x:f>IF(OR($AH37&lt;&gt;"Valid",$AI37&lt;&gt;"Valid",$AJ37&lt;&gt;"Valid",LEFT($AM37,7)="Invalid",IFERROR(ABS($AQ37)&gt;0.01,FALSE),IFERROR(ABS($AR37)&gt;0.01,FALSE),COUNTIF($AS37,"*Conflicting duplicate*")&gt;0,COUNTIF($AS37,"*Completed order not paid*")&gt;0),"Invalid",IF(OR($H37="Unknown",$N37="Unknown",$AM37="Missing discount imputed as 0"),"Warning","Clean"))</x:f>
        <x:v>Clean</x:v>
      </x:c>
      <x:c r="AF37" s="80" t="str">
        <x:v>Pass</x:v>
      </x:c>
      <x:c r="AG37" s="80" t="str">
        <x:v>No text cleanup required</x:v>
      </x:c>
      <x:c r="AH37" s="12" t="str">
        <x:f>IF(C37="","Missing date",IF(ISNUMBER(C37),"Valid","Unrecognized/invalid date"))</x:f>
        <x:v>Valid</x:v>
      </x:c>
      <x:c r="AI37" s="12" t="str">
        <x:f>IF(D37="","Missing date",IF(ISNUMBER(D37),"Valid","Unrecognized/invalid date"))</x:f>
        <x:v>Valid</x:v>
      </x:c>
      <x:c r="AJ37" s="12" t="str">
        <x:v>Valid</x:v>
      </x:c>
      <x:c r="AK37" s="12" t="str">
        <x:v>Pass</x:v>
      </x:c>
      <x:c r="AL37" s="12" t="str">
        <x:v>None</x:v>
      </x:c>
      <x:c r="AM37" s="12" t="str">
        <x:v>Valid</x:v>
      </x:c>
      <x:c r="AN37" s="12" t="str">
        <x:v>Exclude from completed sales</x:v>
      </x:c>
      <x:c r="AO37" s="12" t="str">
        <x:v>Not a refunded record</x:v>
      </x:c>
      <x:c r="AP37" s="37" t="n">
        <x:f>IF(LEFT($AM37,7)="Invalid","",IF($AM37="Missing discount imputed as 0",IF(AND(COUNT($O37,$P37,$R37,$S37)=4,$O37&gt;0,$P37&gt;=0,$R37&gt;=0,$S37&gt;=0),0,""),IF(AND(ISNUMBER($Q37),$Q37&gt;=0,$Q37&lt;=0.5),$Q37,"")))</x:f>
        <x:v>0.05</x:v>
      </x:c>
      <x:c r="AQ37" s="152" t="n">
        <x:f>IF(OR($W37="",NOT(ISNUMBER($R37))),"",ROUND($R37-$W37,2))</x:f>
        <x:v>0</x:v>
      </x:c>
      <x:c r="AR37" s="152" t="n">
        <x:f>IF(OR($X37="",NOT(ISNUMBER($T37))),"",ROUND($T37-$X37,2))</x:f>
        <x:v>0</x:v>
      </x:c>
      <x:c r="AS37" s="14" t="str">
        <x:v>OK</x:v>
      </x:c>
    </x:row>
    <x:row r="38">
      <x:c r="A38" s="80" t="n">
        <x:v>38</x:v>
      </x:c>
      <x:c r="B38" s="80" t="str">
        <x:v>ORD-2024-10037</x:v>
      </x:c>
      <x:c r="C38" s="81" t="n">
        <x:v>45590</x:v>
      </x:c>
      <x:c r="D38" s="81" t="n">
        <x:v>45593</x:v>
      </x:c>
      <x:c r="E38" s="80" t="str">
        <x:v>CUST-8296</x:v>
      </x:c>
      <x:c r="F38" s="80" t="str">
        <x:v>Rohan Mehta</x:v>
      </x:c>
      <x:c r="G38" s="80" t="str">
        <x:v>Corporate</x:v>
      </x:c>
      <x:c r="H38" s="80" t="str">
        <x:v>West</x:v>
      </x:c>
      <x:c r="I38" s="80" t="str">
        <x:v>Maharashtra</x:v>
      </x:c>
      <x:c r="J38" s="80" t="str">
        <x:v>Mumbai</x:v>
      </x:c>
      <x:c r="K38" s="80" t="str">
        <x:v>Furniture</x:v>
      </x:c>
      <x:c r="L38" s="80" t="str">
        <x:v>Bookcases</x:v>
      </x:c>
      <x:c r="M38" s="80" t="str">
        <x:v>Eco Bookcases 220</x:v>
      </x:c>
      <x:c r="N38" s="80" t="str">
        <x:v>Second Class</x:v>
      </x:c>
      <x:c r="O38" s="82" t="n">
        <x:v>3</x:v>
      </x:c>
      <x:c r="P38" s="83" t="n">
        <x:v>3126.47</x:v>
      </x:c>
      <x:c r="Q38" s="84" t="n">
        <x:v>0</x:v>
      </x:c>
      <x:c r="R38" s="83" t="n">
        <x:v>9379.41</x:v>
      </x:c>
      <x:c r="S38" s="83" t="n">
        <x:v>6670.85</x:v>
      </x:c>
      <x:c r="T38" s="83" t="n">
        <x:v>2708.56</x:v>
      </x:c>
      <x:c r="U38" s="83" t="str">
        <x:v>Paid</x:v>
      </x:c>
      <x:c r="V38" s="83" t="str">
        <x:v>Returned</x:v>
      </x:c>
      <x:c r="W38" s="151" t="n">
        <x:f>IF(OR(NOT(ISNUMBER($AP38)),COUNT($O38,$P38)&lt;2,$O38&lt;=0,$P38&lt;0),"",ROUND($O38*$P38*(1-$AP38),2))</x:f>
        <x:v>9379.41</x:v>
      </x:c>
      <x:c r="X38" s="151" t="n">
        <x:f>IF(OR(NOT(ISNUMBER($W38)),NOT(ISNUMBER($S38))),"",ROUND($W38-$S38,2))</x:f>
        <x:v>2708.56</x:v>
      </x:c>
      <x:c r="Y38" s="85" t="n">
        <x:f>IF(OR(NOT(ISNUMBER($W38)),NOT(ISNUMBER($X38)),$W38=0),"",ROUND($X38/$W38,4))</x:f>
        <x:v>0.2888</x:v>
      </x:c>
      <x:c r="Z38" s="82" t="n">
        <x:f>IF(OR($AH38&lt;&gt;"Valid",$AI38&lt;&gt;"Valid"),"",INT($D38-$C38))</x:f>
        <x:v>3</x:v>
      </x:c>
      <x:c r="AA38" s="86" t="str">
        <x:f>IF($AH38&lt;&gt;"Valid","",TEXT($C38,"mmmm"))</x:f>
        <x:v>October</x:v>
      </x:c>
      <x:c r="AB38" s="82" t="n">
        <x:f>IF($AH38&lt;&gt;"Valid","",YEAR($C38))</x:f>
        <x:v>2024</x:v>
      </x:c>
      <x:c r="AC38" s="80" t="str">
        <x:v>Consistent</x:v>
      </x:c>
      <x:c r="AD38" s="80" t="str">
        <x:v>Excluded</x:v>
      </x:c>
      <x:c r="AE38" s="80" t="str">
        <x:f>IF(OR($AH38&lt;&gt;"Valid",$AI38&lt;&gt;"Valid",$AJ38&lt;&gt;"Valid",LEFT($AM38,7)="Invalid",IFERROR(ABS($AQ38)&gt;0.01,FALSE),IFERROR(ABS($AR38)&gt;0.01,FALSE),COUNTIF($AS38,"*Conflicting duplicate*")&gt;0,COUNTIF($AS38,"*Completed order not paid*")&gt;0),"Invalid",IF(OR($H38="Unknown",$N38="Unknown",$AM38="Missing discount imputed as 0"),"Warning","Clean"))</x:f>
        <x:v>Clean</x:v>
      </x:c>
      <x:c r="AF38" s="80" t="str">
        <x:v>Pass</x:v>
      </x:c>
      <x:c r="AG38" s="80" t="str">
        <x:v>No text cleanup required</x:v>
      </x:c>
      <x:c r="AH38" s="12" t="str">
        <x:f>IF(C38="","Missing date",IF(ISNUMBER(C38),"Valid","Unrecognized/invalid date"))</x:f>
        <x:v>Valid</x:v>
      </x:c>
      <x:c r="AI38" s="12" t="str">
        <x:f>IF(D38="","Missing date",IF(ISNUMBER(D38),"Valid","Unrecognized/invalid date"))</x:f>
        <x:v>Valid</x:v>
      </x:c>
      <x:c r="AJ38" s="12" t="str">
        <x:v>Valid</x:v>
      </x:c>
      <x:c r="AK38" s="12" t="str">
        <x:v>Pass</x:v>
      </x:c>
      <x:c r="AL38" s="12" t="str">
        <x:v>None</x:v>
      </x:c>
      <x:c r="AM38" s="12" t="str">
        <x:v>Valid</x:v>
      </x:c>
      <x:c r="AN38" s="12" t="str">
        <x:v>Exclude from completed sales</x:v>
      </x:c>
      <x:c r="AO38" s="12" t="str">
        <x:v>Not a refunded record</x:v>
      </x:c>
      <x:c r="AP38" s="37" t="n">
        <x:f>IF(LEFT($AM38,7)="Invalid","",IF($AM38="Missing discount imputed as 0",IF(AND(COUNT($O38,$P38,$R38,$S38)=4,$O38&gt;0,$P38&gt;=0,$R38&gt;=0,$S38&gt;=0),0,""),IF(AND(ISNUMBER($Q38),$Q38&gt;=0,$Q38&lt;=0.5),$Q38,"")))</x:f>
        <x:v>0</x:v>
      </x:c>
      <x:c r="AQ38" s="152" t="n">
        <x:f>IF(OR($W38="",NOT(ISNUMBER($R38))),"",ROUND($R38-$W38,2))</x:f>
        <x:v>0</x:v>
      </x:c>
      <x:c r="AR38" s="152" t="n">
        <x:f>IF(OR($X38="",NOT(ISNUMBER($T38))),"",ROUND($T38-$X38,2))</x:f>
        <x:v>0</x:v>
      </x:c>
      <x:c r="AS38" s="14" t="str">
        <x:v>OK</x:v>
      </x:c>
    </x:row>
    <x:row r="39">
      <x:c r="A39" s="80" t="n">
        <x:v>39</x:v>
      </x:c>
      <x:c r="B39" s="80" t="str">
        <x:v>ORD-2025-10038</x:v>
      </x:c>
      <x:c r="C39" s="81" t="n">
        <x:v>45867</x:v>
      </x:c>
      <x:c r="D39" s="81" t="n">
        <x:v>45867</x:v>
      </x:c>
      <x:c r="E39" s="80" t="str">
        <x:v>CUST-4646</x:v>
      </x:c>
      <x:c r="F39" s="80" t="str">
        <x:v>Diya Patel</x:v>
      </x:c>
      <x:c r="G39" s="80" t="str">
        <x:v>Consumer</x:v>
      </x:c>
      <x:c r="H39" s="80" t="str">
        <x:v>West</x:v>
      </x:c>
      <x:c r="I39" s="80" t="str">
        <x:v>Maharashtra</x:v>
      </x:c>
      <x:c r="J39" s="80" t="str">
        <x:v>Mumbai</x:v>
      </x:c>
      <x:c r="K39" s="80" t="str">
        <x:v>Technology</x:v>
      </x:c>
      <x:c r="L39" s="80" t="str">
        <x:v>Copiers</x:v>
      </x:c>
      <x:c r="M39" s="80" t="str">
        <x:v>Pro Copiers 830</x:v>
      </x:c>
      <x:c r="N39" s="80" t="str">
        <x:v>Standard Class</x:v>
      </x:c>
      <x:c r="O39" s="82" t="n">
        <x:v>4</x:v>
      </x:c>
      <x:c r="P39" s="83" t="n">
        <x:v>1327.54</x:v>
      </x:c>
      <x:c r="Q39" s="84" t="n">
        <x:v>0.2</x:v>
      </x:c>
      <x:c r="R39" s="83" t="n">
        <x:v>4248.13</x:v>
      </x:c>
      <x:c r="S39" s="83" t="n">
        <x:v>3321.09</x:v>
      </x:c>
      <x:c r="T39" s="83" t="n">
        <x:v>927.04</x:v>
      </x:c>
      <x:c r="U39" s="83" t="str">
        <x:v>Paid</x:v>
      </x:c>
      <x:c r="V39" s="83" t="str">
        <x:v>Completed</x:v>
      </x:c>
      <x:c r="W39" s="151" t="n">
        <x:f>IF(OR(NOT(ISNUMBER($AP39)),COUNT($O39,$P39)&lt;2,$O39&lt;=0,$P39&lt;0),"",ROUND($O39*$P39*(1-$AP39),2))</x:f>
        <x:v>4248.13</x:v>
      </x:c>
      <x:c r="X39" s="151" t="n">
        <x:f>IF(OR(NOT(ISNUMBER($W39)),NOT(ISNUMBER($S39))),"",ROUND($W39-$S39,2))</x:f>
        <x:v>927.04</x:v>
      </x:c>
      <x:c r="Y39" s="85" t="n">
        <x:f>IF(OR(NOT(ISNUMBER($W39)),NOT(ISNUMBER($X39)),$W39=0),"",ROUND($X39/$W39,4))</x:f>
        <x:v>0.2182</x:v>
      </x:c>
      <x:c r="Z39" s="82" t="n">
        <x:f>IF(OR($AH39&lt;&gt;"Valid",$AI39&lt;&gt;"Valid"),"",INT($D39-$C39))</x:f>
        <x:v>0</x:v>
      </x:c>
      <x:c r="AA39" s="86" t="str">
        <x:f>IF($AH39&lt;&gt;"Valid","",TEXT($C39,"mmmm"))</x:f>
        <x:v>July</x:v>
      </x:c>
      <x:c r="AB39" s="82" t="n">
        <x:f>IF($AH39&lt;&gt;"Valid","",YEAR($C39))</x:f>
        <x:v>2025</x:v>
      </x:c>
      <x:c r="AC39" s="80" t="str">
        <x:v>Consistent</x:v>
      </x:c>
      <x:c r="AD39" s="80" t="str">
        <x:v>Eligible</x:v>
      </x:c>
      <x:c r="AE39" s="80" t="str">
        <x:f>IF(OR($AH39&lt;&gt;"Valid",$AI39&lt;&gt;"Valid",$AJ39&lt;&gt;"Valid",LEFT($AM39,7)="Invalid",IFERROR(ABS($AQ39)&gt;0.01,FALSE),IFERROR(ABS($AR39)&gt;0.01,FALSE),COUNTIF($AS39,"*Conflicting duplicate*")&gt;0,COUNTIF($AS39,"*Completed order not paid*")&gt;0),"Invalid",IF(OR($H39="Unknown",$N39="Unknown",$AM39="Missing discount imputed as 0"),"Warning","Clean"))</x:f>
        <x:v>Clean</x:v>
      </x:c>
      <x:c r="AF39" s="80" t="str">
        <x:v>Cleaned</x:v>
      </x:c>
      <x:c r="AG39" s="80" t="str">
        <x:v>ship_mode: Case standardization</x:v>
      </x:c>
      <x:c r="AH39" s="12" t="str">
        <x:f>IF(C39="","Missing date",IF(ISNUMBER(C39),"Valid","Unrecognized/invalid date"))</x:f>
        <x:v>Valid</x:v>
      </x:c>
      <x:c r="AI39" s="12" t="str">
        <x:f>IF(D39="","Missing date",IF(ISNUMBER(D39),"Valid","Unrecognized/invalid date"))</x:f>
        <x:v>Valid</x:v>
      </x:c>
      <x:c r="AJ39" s="12" t="str">
        <x:v>Valid</x:v>
      </x:c>
      <x:c r="AK39" s="12" t="str">
        <x:v>Pass</x:v>
      </x:c>
      <x:c r="AL39" s="12" t="str">
        <x:v>None</x:v>
      </x:c>
      <x:c r="AM39" s="12" t="str">
        <x:v>Valid</x:v>
      </x:c>
      <x:c r="AN39" s="12" t="str">
        <x:v>Include in completed sales</x:v>
      </x:c>
      <x:c r="AO39" s="12" t="str">
        <x:v>Not a refunded record</x:v>
      </x:c>
      <x:c r="AP39" s="37" t="n">
        <x:f>IF(LEFT($AM39,7)="Invalid","",IF($AM39="Missing discount imputed as 0",IF(AND(COUNT($O39,$P39,$R39,$S39)=4,$O39&gt;0,$P39&gt;=0,$R39&gt;=0,$S39&gt;=0),0,""),IF(AND(ISNUMBER($Q39),$Q39&gt;=0,$Q39&lt;=0.5),$Q39,"")))</x:f>
        <x:v>0.2</x:v>
      </x:c>
      <x:c r="AQ39" s="152" t="n">
        <x:f>IF(OR($W39="",NOT(ISNUMBER($R39))),"",ROUND($R39-$W39,2))</x:f>
        <x:v>0</x:v>
      </x:c>
      <x:c r="AR39" s="152" t="n">
        <x:f>IF(OR($X39="",NOT(ISNUMBER($T39))),"",ROUND($T39-$X39,2))</x:f>
        <x:v>0</x:v>
      </x:c>
      <x:c r="AS39" s="14" t="str">
        <x:v>OK</x:v>
      </x:c>
    </x:row>
    <x:row r="40">
      <x:c r="A40" s="80" t="n">
        <x:v>40</x:v>
      </x:c>
      <x:c r="B40" s="80" t="str">
        <x:v>ORD-2024-10039</x:v>
      </x:c>
      <x:c r="C40" s="81" t="n">
        <x:v>45460</x:v>
      </x:c>
      <x:c r="D40" s="81" t="n">
        <x:v>45465</x:v>
      </x:c>
      <x:c r="E40" s="80" t="str">
        <x:v>CUST-8235</x:v>
      </x:c>
      <x:c r="F40" s="80" t="str">
        <x:v>Aarav Sharma</x:v>
      </x:c>
      <x:c r="G40" s="80" t="str">
        <x:v>Corporate</x:v>
      </x:c>
      <x:c r="H40" s="80" t="str">
        <x:v>West</x:v>
      </x:c>
      <x:c r="I40" s="80" t="str">
        <x:v>Gujarat</x:v>
      </x:c>
      <x:c r="J40" s="80" t="str">
        <x:v>Ahmedabad</x:v>
      </x:c>
      <x:c r="K40" s="80" t="str">
        <x:v>Technology</x:v>
      </x:c>
      <x:c r="L40" s="80" t="str">
        <x:v>Phones</x:v>
      </x:c>
      <x:c r="M40" s="80" t="str">
        <x:v>Prime Phones 507</x:v>
      </x:c>
      <x:c r="N40" s="80" t="str">
        <x:v>First Class</x:v>
      </x:c>
      <x:c r="O40" s="82" t="n">
        <x:v>7</x:v>
      </x:c>
      <x:c r="P40" s="83" t="n">
        <x:v>2210.68</x:v>
      </x:c>
      <x:c r="Q40" s="84" t="n">
        <x:v>0.1</x:v>
      </x:c>
      <x:c r="R40" s="83" t="n">
        <x:v>13927.28</x:v>
      </x:c>
      <x:c r="S40" s="83" t="n">
        <x:v>10504.87</x:v>
      </x:c>
      <x:c r="T40" s="83" t="n">
        <x:v>3422.41</x:v>
      </x:c>
      <x:c r="U40" s="83" t="str">
        <x:v>Paid</x:v>
      </x:c>
      <x:c r="V40" s="83" t="str">
        <x:v>Completed</x:v>
      </x:c>
      <x:c r="W40" s="151" t="n">
        <x:f>IF(OR(NOT(ISNUMBER($AP40)),COUNT($O40,$P40)&lt;2,$O40&lt;=0,$P40&lt;0),"",ROUND($O40*$P40*(1-$AP40),2))</x:f>
        <x:v>13927.28</x:v>
      </x:c>
      <x:c r="X40" s="151" t="n">
        <x:f>IF(OR(NOT(ISNUMBER($W40)),NOT(ISNUMBER($S40))),"",ROUND($W40-$S40,2))</x:f>
        <x:v>3422.41</x:v>
      </x:c>
      <x:c r="Y40" s="85" t="n">
        <x:f>IF(OR(NOT(ISNUMBER($W40)),NOT(ISNUMBER($X40)),$W40=0),"",ROUND($X40/$W40,4))</x:f>
        <x:v>0.2457</x:v>
      </x:c>
      <x:c r="Z40" s="82" t="n">
        <x:f>IF(OR($AH40&lt;&gt;"Valid",$AI40&lt;&gt;"Valid"),"",INT($D40-$C40))</x:f>
        <x:v>5</x:v>
      </x:c>
      <x:c r="AA40" s="86" t="str">
        <x:f>IF($AH40&lt;&gt;"Valid","",TEXT($C40,"mmmm"))</x:f>
        <x:v>June</x:v>
      </x:c>
      <x:c r="AB40" s="82" t="n">
        <x:f>IF($AH40&lt;&gt;"Valid","",YEAR($C40))</x:f>
        <x:v>2024</x:v>
      </x:c>
      <x:c r="AC40" s="80" t="str">
        <x:v>Consistent</x:v>
      </x:c>
      <x:c r="AD40" s="80" t="str">
        <x:v>Eligible</x:v>
      </x:c>
      <x:c r="AE40" s="80" t="str">
        <x:f>IF(OR($AH40&lt;&gt;"Valid",$AI40&lt;&gt;"Valid",$AJ40&lt;&gt;"Valid",LEFT($AM40,7)="Invalid",IFERROR(ABS($AQ40)&gt;0.01,FALSE),IFERROR(ABS($AR40)&gt;0.01,FALSE),COUNTIF($AS40,"*Conflicting duplicate*")&gt;0,COUNTIF($AS40,"*Completed order not paid*")&gt;0),"Invalid",IF(OR($H40="Unknown",$N40="Unknown",$AM40="Missing discount imputed as 0"),"Warning","Clean"))</x:f>
        <x:v>Clean</x:v>
      </x:c>
      <x:c r="AF40" s="80" t="str">
        <x:v>Pass</x:v>
      </x:c>
      <x:c r="AG40" s="80" t="str">
        <x:v>No text cleanup required</x:v>
      </x:c>
      <x:c r="AH40" s="12" t="str">
        <x:f>IF(C40="","Missing date",IF(ISNUMBER(C40),"Valid","Unrecognized/invalid date"))</x:f>
        <x:v>Valid</x:v>
      </x:c>
      <x:c r="AI40" s="12" t="str">
        <x:f>IF(D40="","Missing date",IF(ISNUMBER(D40),"Valid","Unrecognized/invalid date"))</x:f>
        <x:v>Valid</x:v>
      </x:c>
      <x:c r="AJ40" s="12" t="str">
        <x:v>Valid</x:v>
      </x:c>
      <x:c r="AK40" s="12" t="str">
        <x:v>Pass</x:v>
      </x:c>
      <x:c r="AL40" s="12" t="str">
        <x:v>None</x:v>
      </x:c>
      <x:c r="AM40" s="12" t="str">
        <x:v>Valid</x:v>
      </x:c>
      <x:c r="AN40" s="12" t="str">
        <x:v>Include in completed sales</x:v>
      </x:c>
      <x:c r="AO40" s="12" t="str">
        <x:v>Not a refunded record</x:v>
      </x:c>
      <x:c r="AP40" s="37" t="n">
        <x:f>IF(LEFT($AM40,7)="Invalid","",IF($AM40="Missing discount imputed as 0",IF(AND(COUNT($O40,$P40,$R40,$S40)=4,$O40&gt;0,$P40&gt;=0,$R40&gt;=0,$S40&gt;=0),0,""),IF(AND(ISNUMBER($Q40),$Q40&gt;=0,$Q40&lt;=0.5),$Q40,"")))</x:f>
        <x:v>0.1</x:v>
      </x:c>
      <x:c r="AQ40" s="152" t="n">
        <x:f>IF(OR($W40="",NOT(ISNUMBER($R40))),"",ROUND($R40-$W40,2))</x:f>
        <x:v>0</x:v>
      </x:c>
      <x:c r="AR40" s="152" t="n">
        <x:f>IF(OR($X40="",NOT(ISNUMBER($T40))),"",ROUND($T40-$X40,2))</x:f>
        <x:v>0</x:v>
      </x:c>
      <x:c r="AS40" s="14" t="str">
        <x:v>OK</x:v>
      </x:c>
    </x:row>
    <x:row r="41">
      <x:c r="A41" s="80" t="n">
        <x:v>41</x:v>
      </x:c>
      <x:c r="B41" s="80" t="str">
        <x:v>ORD-2024-10040</x:v>
      </x:c>
      <x:c r="C41" s="81" t="n">
        <x:v>45637</x:v>
      </x:c>
      <x:c r="D41" s="81" t="n">
        <x:v>45637</x:v>
      </x:c>
      <x:c r="E41" s="80" t="str">
        <x:v>CUST-5830</x:v>
      </x:c>
      <x:c r="F41" s="80" t="str">
        <x:v>Mira Das</x:v>
      </x:c>
      <x:c r="G41" s="80" t="str">
        <x:v>Small Business</x:v>
      </x:c>
      <x:c r="H41" s="80" t="str">
        <x:v>West</x:v>
      </x:c>
      <x:c r="I41" s="80" t="str">
        <x:v>Madhya Pradesh</x:v>
      </x:c>
      <x:c r="J41" s="80" t="str">
        <x:v>Indore</x:v>
      </x:c>
      <x:c r="K41" s="80" t="str">
        <x:v>Technology</x:v>
      </x:c>
      <x:c r="L41" s="80" t="str">
        <x:v>Copiers</x:v>
      </x:c>
      <x:c r="M41" s="80" t="str">
        <x:v>Classic Copiers 590</x:v>
      </x:c>
      <x:c r="N41" s="80" t="str">
        <x:v>First Class</x:v>
      </x:c>
      <x:c r="O41" s="82" t="n">
        <x:v>4</x:v>
      </x:c>
      <x:c r="P41" s="83" t="n">
        <x:v>1370.92</x:v>
      </x:c>
      <x:c r="Q41" s="84" t="n">
        <x:v>0.1</x:v>
      </x:c>
      <x:c r="R41" s="83" t="n">
        <x:v>4935.31</x:v>
      </x:c>
      <x:c r="S41" s="83" t="n">
        <x:v>3374.77</x:v>
      </x:c>
      <x:c r="T41" s="83" t="n">
        <x:v>1560.54</x:v>
      </x:c>
      <x:c r="U41" s="83" t="str">
        <x:v>Pending</x:v>
      </x:c>
      <x:c r="V41" s="83" t="str">
        <x:v>Returned</x:v>
      </x:c>
      <x:c r="W41" s="151" t="n">
        <x:f>IF(OR(NOT(ISNUMBER($AP41)),COUNT($O41,$P41)&lt;2,$O41&lt;=0,$P41&lt;0),"",ROUND($O41*$P41*(1-$AP41),2))</x:f>
        <x:v>4935.31</x:v>
      </x:c>
      <x:c r="X41" s="151" t="n">
        <x:f>IF(OR(NOT(ISNUMBER($W41)),NOT(ISNUMBER($S41))),"",ROUND($W41-$S41,2))</x:f>
        <x:v>1560.54</x:v>
      </x:c>
      <x:c r="Y41" s="85" t="n">
        <x:f>IF(OR(NOT(ISNUMBER($W41)),NOT(ISNUMBER($X41)),$W41=0),"",ROUND($X41/$W41,4))</x:f>
        <x:v>0.3162</x:v>
      </x:c>
      <x:c r="Z41" s="82" t="n">
        <x:f>IF(OR($AH41&lt;&gt;"Valid",$AI41&lt;&gt;"Valid"),"",INT($D41-$C41))</x:f>
        <x:v>0</x:v>
      </x:c>
      <x:c r="AA41" s="86" t="str">
        <x:f>IF($AH41&lt;&gt;"Valid","",TEXT($C41,"mmmm"))</x:f>
        <x:v>December</x:v>
      </x:c>
      <x:c r="AB41" s="82" t="n">
        <x:f>IF($AH41&lt;&gt;"Valid","",YEAR($C41))</x:f>
        <x:v>2024</x:v>
      </x:c>
      <x:c r="AC41" s="80" t="str">
        <x:v>Consistent</x:v>
      </x:c>
      <x:c r="AD41" s="80" t="str">
        <x:v>Excluded</x:v>
      </x:c>
      <x:c r="AE41" s="80" t="str">
        <x:f>IF(OR($AH41&lt;&gt;"Valid",$AI41&lt;&gt;"Valid",$AJ41&lt;&gt;"Valid",LEFT($AM41,7)="Invalid",IFERROR(ABS($AQ41)&gt;0.01,FALSE),IFERROR(ABS($AR41)&gt;0.01,FALSE),COUNTIF($AS41,"*Conflicting duplicate*")&gt;0,COUNTIF($AS41,"*Completed order not paid*")&gt;0),"Invalid",IF(OR($H41="Unknown",$N41="Unknown",$AM41="Missing discount imputed as 0"),"Warning","Clean"))</x:f>
        <x:v>Clean</x:v>
      </x:c>
      <x:c r="AF41" s="80" t="str">
        <x:v>Pass</x:v>
      </x:c>
      <x:c r="AG41" s="80" t="str">
        <x:v>No text cleanup required</x:v>
      </x:c>
      <x:c r="AH41" s="12" t="str">
        <x:f>IF(C41="","Missing date",IF(ISNUMBER(C41),"Valid","Unrecognized/invalid date"))</x:f>
        <x:v>Valid</x:v>
      </x:c>
      <x:c r="AI41" s="12" t="str">
        <x:f>IF(D41="","Missing date",IF(ISNUMBER(D41),"Valid","Unrecognized/invalid date"))</x:f>
        <x:v>Valid</x:v>
      </x:c>
      <x:c r="AJ41" s="12" t="str">
        <x:v>Valid</x:v>
      </x:c>
      <x:c r="AK41" s="12" t="str">
        <x:v>Pass</x:v>
      </x:c>
      <x:c r="AL41" s="12" t="str">
        <x:v>None</x:v>
      </x:c>
      <x:c r="AM41" s="12" t="str">
        <x:v>Valid</x:v>
      </x:c>
      <x:c r="AN41" s="12" t="str">
        <x:v>Exclude from completed sales</x:v>
      </x:c>
      <x:c r="AO41" s="12" t="str">
        <x:v>Not a refunded record</x:v>
      </x:c>
      <x:c r="AP41" s="37" t="n">
        <x:f>IF(LEFT($AM41,7)="Invalid","",IF($AM41="Missing discount imputed as 0",IF(AND(COUNT($O41,$P41,$R41,$S41)=4,$O41&gt;0,$P41&gt;=0,$R41&gt;=0,$S41&gt;=0),0,""),IF(AND(ISNUMBER($Q41),$Q41&gt;=0,$Q41&lt;=0.5),$Q41,"")))</x:f>
        <x:v>0.1</x:v>
      </x:c>
      <x:c r="AQ41" s="152" t="n">
        <x:f>IF(OR($W41="",NOT(ISNUMBER($R41))),"",ROUND($R41-$W41,2))</x:f>
        <x:v>0</x:v>
      </x:c>
      <x:c r="AR41" s="152" t="n">
        <x:f>IF(OR($X41="",NOT(ISNUMBER($T41))),"",ROUND($T41-$X41,2))</x:f>
        <x:v>0</x:v>
      </x:c>
      <x:c r="AS41" s="14" t="str">
        <x:v>OK</x:v>
      </x:c>
    </x:row>
    <x:row r="42">
      <x:c r="A42" s="80" t="n">
        <x:v>42</x:v>
      </x:c>
      <x:c r="B42" s="80" t="str">
        <x:v>ORD-2024-10041</x:v>
      </x:c>
      <x:c r="C42" s="81" t="n">
        <x:v>45575</x:v>
      </x:c>
      <x:c r="D42" s="81" t="n">
        <x:v>45581</x:v>
      </x:c>
      <x:c r="E42" s="80" t="str">
        <x:v>CUST-7178</x:v>
      </x:c>
      <x:c r="F42" s="80" t="str">
        <x:v>Isha Nair</x:v>
      </x:c>
      <x:c r="G42" s="80" t="str">
        <x:v>Home Office</x:v>
      </x:c>
      <x:c r="H42" s="80" t="str">
        <x:v>West</x:v>
      </x:c>
      <x:c r="I42" s="80" t="str">
        <x:v>Rajasthan</x:v>
      </x:c>
      <x:c r="J42" s="80" t="str">
        <x:v>Udaipur</x:v>
      </x:c>
      <x:c r="K42" s="80" t="str">
        <x:v>Technology</x:v>
      </x:c>
      <x:c r="L42" s="80" t="str">
        <x:v>Copiers</x:v>
      </x:c>
      <x:c r="M42" s="80" t="str">
        <x:v>Eco Copiers 865</x:v>
      </x:c>
      <x:c r="N42" s="80" t="str">
        <x:v>Standard Class</x:v>
      </x:c>
      <x:c r="O42" s="82" t="n">
        <x:v>7</x:v>
      </x:c>
      <x:c r="P42" s="83" t="n">
        <x:v>2509.27</x:v>
      </x:c>
      <x:c r="Q42" s="84" t="n">
        <x:v>0.2</x:v>
      </x:c>
      <x:c r="R42" s="83" t="n">
        <x:v>14051.91</x:v>
      </x:c>
      <x:c r="S42" s="83" t="n">
        <x:v>11990.37</x:v>
      </x:c>
      <x:c r="T42" s="83" t="n">
        <x:v>2061.54</x:v>
      </x:c>
      <x:c r="U42" s="83" t="str">
        <x:v>Paid</x:v>
      </x:c>
      <x:c r="V42" s="83" t="str">
        <x:v>Completed</x:v>
      </x:c>
      <x:c r="W42" s="151" t="n">
        <x:f>IF(OR(NOT(ISNUMBER($AP42)),COUNT($O42,$P42)&lt;2,$O42&lt;=0,$P42&lt;0),"",ROUND($O42*$P42*(1-$AP42),2))</x:f>
        <x:v>14051.91</x:v>
      </x:c>
      <x:c r="X42" s="151" t="n">
        <x:f>IF(OR(NOT(ISNUMBER($W42)),NOT(ISNUMBER($S42))),"",ROUND($W42-$S42,2))</x:f>
        <x:v>2061.54</x:v>
      </x:c>
      <x:c r="Y42" s="85" t="n">
        <x:f>IF(OR(NOT(ISNUMBER($W42)),NOT(ISNUMBER($X42)),$W42=0),"",ROUND($X42/$W42,4))</x:f>
        <x:v>0.1467</x:v>
      </x:c>
      <x:c r="Z42" s="82" t="n">
        <x:f>IF(OR($AH42&lt;&gt;"Valid",$AI42&lt;&gt;"Valid"),"",INT($D42-$C42))</x:f>
        <x:v>6</x:v>
      </x:c>
      <x:c r="AA42" s="86" t="str">
        <x:f>IF($AH42&lt;&gt;"Valid","",TEXT($C42,"mmmm"))</x:f>
        <x:v>October</x:v>
      </x:c>
      <x:c r="AB42" s="82" t="n">
        <x:f>IF($AH42&lt;&gt;"Valid","",YEAR($C42))</x:f>
        <x:v>2024</x:v>
      </x:c>
      <x:c r="AC42" s="80" t="str">
        <x:v>Consistent</x:v>
      </x:c>
      <x:c r="AD42" s="80" t="str">
        <x:v>Eligible</x:v>
      </x:c>
      <x:c r="AE42" s="80" t="str">
        <x:f>IF(OR($AH42&lt;&gt;"Valid",$AI42&lt;&gt;"Valid",$AJ42&lt;&gt;"Valid",LEFT($AM42,7)="Invalid",IFERROR(ABS($AQ42)&gt;0.01,FALSE),IFERROR(ABS($AR42)&gt;0.01,FALSE),COUNTIF($AS42,"*Conflicting duplicate*")&gt;0,COUNTIF($AS42,"*Completed order not paid*")&gt;0),"Invalid",IF(OR($H42="Unknown",$N42="Unknown",$AM42="Missing discount imputed as 0"),"Warning","Clean"))</x:f>
        <x:v>Clean</x:v>
      </x:c>
      <x:c r="AF42" s="80" t="str">
        <x:v>Pass</x:v>
      </x:c>
      <x:c r="AG42" s="80" t="str">
        <x:v>No text cleanup required</x:v>
      </x:c>
      <x:c r="AH42" s="12" t="str">
        <x:f>IF(C42="","Missing date",IF(ISNUMBER(C42),"Valid","Unrecognized/invalid date"))</x:f>
        <x:v>Valid</x:v>
      </x:c>
      <x:c r="AI42" s="12" t="str">
        <x:f>IF(D42="","Missing date",IF(ISNUMBER(D42),"Valid","Unrecognized/invalid date"))</x:f>
        <x:v>Valid</x:v>
      </x:c>
      <x:c r="AJ42" s="12" t="str">
        <x:v>Valid</x:v>
      </x:c>
      <x:c r="AK42" s="12" t="str">
        <x:v>Pass</x:v>
      </x:c>
      <x:c r="AL42" s="12" t="str">
        <x:v>None</x:v>
      </x:c>
      <x:c r="AM42" s="12" t="str">
        <x:v>Valid</x:v>
      </x:c>
      <x:c r="AN42" s="12" t="str">
        <x:v>Include in completed sales</x:v>
      </x:c>
      <x:c r="AO42" s="12" t="str">
        <x:v>Not a refunded record</x:v>
      </x:c>
      <x:c r="AP42" s="37" t="n">
        <x:f>IF(LEFT($AM42,7)="Invalid","",IF($AM42="Missing discount imputed as 0",IF(AND(COUNT($O42,$P42,$R42,$S42)=4,$O42&gt;0,$P42&gt;=0,$R42&gt;=0,$S42&gt;=0),0,""),IF(AND(ISNUMBER($Q42),$Q42&gt;=0,$Q42&lt;=0.5),$Q42,"")))</x:f>
        <x:v>0.2</x:v>
      </x:c>
      <x:c r="AQ42" s="152" t="n">
        <x:f>IF(OR($W42="",NOT(ISNUMBER($R42))),"",ROUND($R42-$W42,2))</x:f>
        <x:v>0</x:v>
      </x:c>
      <x:c r="AR42" s="152" t="n">
        <x:f>IF(OR($X42="",NOT(ISNUMBER($T42))),"",ROUND($T42-$X42,2))</x:f>
        <x:v>0</x:v>
      </x:c>
      <x:c r="AS42" s="14" t="str">
        <x:v>OK</x:v>
      </x:c>
    </x:row>
    <x:row r="43">
      <x:c r="A43" s="80" t="n">
        <x:v>43</x:v>
      </x:c>
      <x:c r="B43" s="80" t="str">
        <x:v>ORD-2024-10042</x:v>
      </x:c>
      <x:c r="C43" s="81" t="n">
        <x:v>45363</x:v>
      </x:c>
      <x:c r="D43" s="81" t="n">
        <x:v>45368</x:v>
      </x:c>
      <x:c r="E43" s="80" t="str">
        <x:v>CUST-3829</x:v>
      </x:c>
      <x:c r="F43" s="80" t="str">
        <x:v>Aarav Sharma</x:v>
      </x:c>
      <x:c r="G43" s="80" t="str">
        <x:v>Small Business</x:v>
      </x:c>
      <x:c r="H43" s="80" t="str">
        <x:v>East</x:v>
      </x:c>
      <x:c r="I43" s="80" t="str">
        <x:v>Odisha</x:v>
      </x:c>
      <x:c r="J43" s="80" t="str">
        <x:v>Bhubaneswar</x:v>
      </x:c>
      <x:c r="K43" s="80" t="str">
        <x:v>Furniture</x:v>
      </x:c>
      <x:c r="L43" s="80" t="str">
        <x:v>Bookcases</x:v>
      </x:c>
      <x:c r="M43" s="80" t="str">
        <x:v>Classic Bookcases 835</x:v>
      </x:c>
      <x:c r="N43" s="80" t="str">
        <x:v>Same Day</x:v>
      </x:c>
      <x:c r="O43" s="82" t="n">
        <x:v>8</x:v>
      </x:c>
      <x:c r="P43" s="83" t="n">
        <x:v>855.81</x:v>
      </x:c>
      <x:c r="Q43" s="84" t="n">
        <x:v>0</x:v>
      </x:c>
      <x:c r="R43" s="83" t="n">
        <x:v>6846.48</x:v>
      </x:c>
      <x:c r="S43" s="83" t="n">
        <x:v>4239.89</x:v>
      </x:c>
      <x:c r="T43" s="83" t="n">
        <x:v>2606.59</x:v>
      </x:c>
      <x:c r="U43" s="83" t="str">
        <x:v>Pending</x:v>
      </x:c>
      <x:c r="V43" s="83" t="str">
        <x:v>Cancelled</x:v>
      </x:c>
      <x:c r="W43" s="151" t="n">
        <x:f>IF(OR(NOT(ISNUMBER($AP43)),COUNT($O43,$P43)&lt;2,$O43&lt;=0,$P43&lt;0),"",ROUND($O43*$P43*(1-$AP43),2))</x:f>
        <x:v>6846.48</x:v>
      </x:c>
      <x:c r="X43" s="151" t="n">
        <x:f>IF(OR(NOT(ISNUMBER($W43)),NOT(ISNUMBER($S43))),"",ROUND($W43-$S43,2))</x:f>
        <x:v>2606.59</x:v>
      </x:c>
      <x:c r="Y43" s="85" t="n">
        <x:f>IF(OR(NOT(ISNUMBER($W43)),NOT(ISNUMBER($X43)),$W43=0),"",ROUND($X43/$W43,4))</x:f>
        <x:v>0.3807</x:v>
      </x:c>
      <x:c r="Z43" s="82" t="n">
        <x:f>IF(OR($AH43&lt;&gt;"Valid",$AI43&lt;&gt;"Valid"),"",INT($D43-$C43))</x:f>
        <x:v>5</x:v>
      </x:c>
      <x:c r="AA43" s="86" t="str">
        <x:f>IF($AH43&lt;&gt;"Valid","",TEXT($C43,"mmmm"))</x:f>
        <x:v>March</x:v>
      </x:c>
      <x:c r="AB43" s="82" t="n">
        <x:f>IF($AH43&lt;&gt;"Valid","",YEAR($C43))</x:f>
        <x:v>2024</x:v>
      </x:c>
      <x:c r="AC43" s="80" t="str">
        <x:v>Cancelled (excluded from completed-sales summary)</x:v>
      </x:c>
      <x:c r="AD43" s="80" t="str">
        <x:v>Excluded</x:v>
      </x:c>
      <x:c r="AE43" s="80" t="str">
        <x:f>IF(OR($AH43&lt;&gt;"Valid",$AI43&lt;&gt;"Valid",$AJ43&lt;&gt;"Valid",LEFT($AM43,7)="Invalid",IFERROR(ABS($AQ43)&gt;0.01,FALSE),IFERROR(ABS($AR43)&gt;0.01,FALSE),COUNTIF($AS43,"*Conflicting duplicate*")&gt;0,COUNTIF($AS43,"*Completed order not paid*")&gt;0),"Invalid",IF(OR($H43="Unknown",$N43="Unknown",$AM43="Missing discount imputed as 0"),"Warning","Clean"))</x:f>
        <x:v>Clean</x:v>
      </x:c>
      <x:c r="AF43" s="80" t="str">
        <x:v>Pass</x:v>
      </x:c>
      <x:c r="AG43" s="80" t="str">
        <x:v>No text cleanup required</x:v>
      </x:c>
      <x:c r="AH43" s="12" t="str">
        <x:f>IF(C43="","Missing date",IF(ISNUMBER(C43),"Valid","Unrecognized/invalid date"))</x:f>
        <x:v>Valid</x:v>
      </x:c>
      <x:c r="AI43" s="12" t="str">
        <x:f>IF(D43="","Missing date",IF(ISNUMBER(D43),"Valid","Unrecognized/invalid date"))</x:f>
        <x:v>Valid</x:v>
      </x:c>
      <x:c r="AJ43" s="12" t="str">
        <x:v>Valid</x:v>
      </x:c>
      <x:c r="AK43" s="12" t="str">
        <x:v>Pass</x:v>
      </x:c>
      <x:c r="AL43" s="12" t="str">
        <x:v>Cancelled order – excluded from completed sales</x:v>
      </x:c>
      <x:c r="AM43" s="12" t="str">
        <x:v>Valid</x:v>
      </x:c>
      <x:c r="AN43" s="12" t="str">
        <x:v>Exclude from completed sales</x:v>
      </x:c>
      <x:c r="AO43" s="12" t="str">
        <x:v>Not a refunded record</x:v>
      </x:c>
      <x:c r="AP43" s="37" t="n">
        <x:f>IF(LEFT($AM43,7)="Invalid","",IF($AM43="Missing discount imputed as 0",IF(AND(COUNT($O43,$P43,$R43,$S43)=4,$O43&gt;0,$P43&gt;=0,$R43&gt;=0,$S43&gt;=0),0,""),IF(AND(ISNUMBER($Q43),$Q43&gt;=0,$Q43&lt;=0.5),$Q43,"")))</x:f>
        <x:v>0</x:v>
      </x:c>
      <x:c r="AQ43" s="152" t="n">
        <x:f>IF(OR($W43="",NOT(ISNUMBER($R43))),"",ROUND($R43-$W43,2))</x:f>
        <x:v>0</x:v>
      </x:c>
      <x:c r="AR43" s="152" t="n">
        <x:f>IF(OR($X43="",NOT(ISNUMBER($T43))),"",ROUND($T43-$X43,2))</x:f>
        <x:v>0</x:v>
      </x:c>
      <x:c r="AS43" s="14" t="str">
        <x:v>OK</x:v>
      </x:c>
    </x:row>
    <x:row r="44">
      <x:c r="A44" s="80" t="n">
        <x:v>44</x:v>
      </x:c>
      <x:c r="B44" s="80" t="str">
        <x:v>ORD-2025-10043</x:v>
      </x:c>
      <x:c r="C44" s="81" t="n">
        <x:v>45940</x:v>
      </x:c>
      <x:c r="D44" s="81" t="n">
        <x:v>45945</x:v>
      </x:c>
      <x:c r="E44" s="80" t="str">
        <x:v>CUST-6708</x:v>
      </x:c>
      <x:c r="F44" s="80" t="str">
        <x:v>Arjun Bose</x:v>
      </x:c>
      <x:c r="G44" s="80" t="str">
        <x:v>Corporate</x:v>
      </x:c>
      <x:c r="H44" s="80" t="str">
        <x:v>East</x:v>
      </x:c>
      <x:c r="I44" s="80" t="str">
        <x:v>Jharkhand</x:v>
      </x:c>
      <x:c r="J44" s="80" t="str">
        <x:v>Ranchi</x:v>
      </x:c>
      <x:c r="K44" s="80" t="str">
        <x:v>Technology</x:v>
      </x:c>
      <x:c r="L44" s="80" t="str">
        <x:v>Phones</x:v>
      </x:c>
      <x:c r="M44" s="80" t="str">
        <x:v>Eco Phones 702</x:v>
      </x:c>
      <x:c r="N44" s="80" t="str">
        <x:v>Standard Class</x:v>
      </x:c>
      <x:c r="O44" s="82" t="n">
        <x:v>8</x:v>
      </x:c>
      <x:c r="P44" s="83" t="n">
        <x:v>979.87</x:v>
      </x:c>
      <x:c r="Q44" s="84" t="n">
        <x:v>0.05</x:v>
      </x:c>
      <x:c r="R44" s="83" t="n">
        <x:v>7447.01</x:v>
      </x:c>
      <x:c r="S44" s="83" t="n">
        <x:v>4496.22</x:v>
      </x:c>
      <x:c r="T44" s="83" t="n">
        <x:v>2950.79</x:v>
      </x:c>
      <x:c r="U44" s="83" t="str">
        <x:v>Paid</x:v>
      </x:c>
      <x:c r="V44" s="83" t="str">
        <x:v>Completed</x:v>
      </x:c>
      <x:c r="W44" s="151" t="n">
        <x:f>IF(OR(NOT(ISNUMBER($AP44)),COUNT($O44,$P44)&lt;2,$O44&lt;=0,$P44&lt;0),"",ROUND($O44*$P44*(1-$AP44),2))</x:f>
        <x:v>7447.01</x:v>
      </x:c>
      <x:c r="X44" s="151" t="n">
        <x:f>IF(OR(NOT(ISNUMBER($W44)),NOT(ISNUMBER($S44))),"",ROUND($W44-$S44,2))</x:f>
        <x:v>2950.79</x:v>
      </x:c>
      <x:c r="Y44" s="85" t="n">
        <x:f>IF(OR(NOT(ISNUMBER($W44)),NOT(ISNUMBER($X44)),$W44=0),"",ROUND($X44/$W44,4))</x:f>
        <x:v>0.3962</x:v>
      </x:c>
      <x:c r="Z44" s="82" t="n">
        <x:f>IF(OR($AH44&lt;&gt;"Valid",$AI44&lt;&gt;"Valid"),"",INT($D44-$C44))</x:f>
        <x:v>5</x:v>
      </x:c>
      <x:c r="AA44" s="86" t="str">
        <x:f>IF($AH44&lt;&gt;"Valid","",TEXT($C44,"mmmm"))</x:f>
        <x:v>October</x:v>
      </x:c>
      <x:c r="AB44" s="82" t="n">
        <x:f>IF($AH44&lt;&gt;"Valid","",YEAR($C44))</x:f>
        <x:v>2025</x:v>
      </x:c>
      <x:c r="AC44" s="80" t="str">
        <x:v>Consistent</x:v>
      </x:c>
      <x:c r="AD44" s="80" t="str">
        <x:v>Eligible</x:v>
      </x:c>
      <x:c r="AE44" s="80" t="str">
        <x:f>IF(OR($AH44&lt;&gt;"Valid",$AI44&lt;&gt;"Valid",$AJ44&lt;&gt;"Valid",LEFT($AM44,7)="Invalid",IFERROR(ABS($AQ44)&gt;0.01,FALSE),IFERROR(ABS($AR44)&gt;0.01,FALSE),COUNTIF($AS44,"*Conflicting duplicate*")&gt;0,COUNTIF($AS44,"*Completed order not paid*")&gt;0),"Invalid",IF(OR($H44="Unknown",$N44="Unknown",$AM44="Missing discount imputed as 0"),"Warning","Clean"))</x:f>
        <x:v>Clean</x:v>
      </x:c>
      <x:c r="AF44" s="80" t="str">
        <x:v>Pass</x:v>
      </x:c>
      <x:c r="AG44" s="80" t="str">
        <x:v>No text cleanup required</x:v>
      </x:c>
      <x:c r="AH44" s="12" t="str">
        <x:f>IF(C44="","Missing date",IF(ISNUMBER(C44),"Valid","Unrecognized/invalid date"))</x:f>
        <x:v>Valid</x:v>
      </x:c>
      <x:c r="AI44" s="12" t="str">
        <x:f>IF(D44="","Missing date",IF(ISNUMBER(D44),"Valid","Unrecognized/invalid date"))</x:f>
        <x:v>Valid</x:v>
      </x:c>
      <x:c r="AJ44" s="12" t="str">
        <x:v>Valid</x:v>
      </x:c>
      <x:c r="AK44" s="12" t="str">
        <x:v>Pass</x:v>
      </x:c>
      <x:c r="AL44" s="12" t="str">
        <x:v>None</x:v>
      </x:c>
      <x:c r="AM44" s="12" t="str">
        <x:v>Valid</x:v>
      </x:c>
      <x:c r="AN44" s="12" t="str">
        <x:v>Include in completed sales</x:v>
      </x:c>
      <x:c r="AO44" s="12" t="str">
        <x:v>Not a refunded record</x:v>
      </x:c>
      <x:c r="AP44" s="37" t="n">
        <x:f>IF(LEFT($AM44,7)="Invalid","",IF($AM44="Missing discount imputed as 0",IF(AND(COUNT($O44,$P44,$R44,$S44)=4,$O44&gt;0,$P44&gt;=0,$R44&gt;=0,$S44&gt;=0),0,""),IF(AND(ISNUMBER($Q44),$Q44&gt;=0,$Q44&lt;=0.5),$Q44,"")))</x:f>
        <x:v>0.05</x:v>
      </x:c>
      <x:c r="AQ44" s="152" t="n">
        <x:f>IF(OR($W44="",NOT(ISNUMBER($R44))),"",ROUND($R44-$W44,2))</x:f>
        <x:v>0</x:v>
      </x:c>
      <x:c r="AR44" s="152" t="n">
        <x:f>IF(OR($X44="",NOT(ISNUMBER($T44))),"",ROUND($T44-$X44,2))</x:f>
        <x:v>0</x:v>
      </x:c>
      <x:c r="AS44" s="14" t="str">
        <x:v>OK</x:v>
      </x:c>
    </x:row>
    <x:row r="45">
      <x:c r="A45" s="80" t="n">
        <x:v>45</x:v>
      </x:c>
      <x:c r="B45" s="80" t="str">
        <x:v>ORD-2024-10044</x:v>
      </x:c>
      <x:c r="C45" s="81" t="n">
        <x:v>45481</x:v>
      </x:c>
      <x:c r="D45" s="81" t="n">
        <x:v>45487</x:v>
      </x:c>
      <x:c r="E45" s="80" t="str">
        <x:v>CUST-7119</x:v>
      </x:c>
      <x:c r="F45" s="80" t="str">
        <x:v>Priya Menon</x:v>
      </x:c>
      <x:c r="G45" s="80" t="str">
        <x:v>Small Business</x:v>
      </x:c>
      <x:c r="H45" s="80" t="str">
        <x:v>East</x:v>
      </x:c>
      <x:c r="I45" s="80" t="str">
        <x:v>Odisha</x:v>
      </x:c>
      <x:c r="J45" s="80" t="str">
        <x:v>Bhubaneswar</x:v>
      </x:c>
      <x:c r="K45" s="80" t="str">
        <x:v>Furniture</x:v>
      </x:c>
      <x:c r="L45" s="80" t="str">
        <x:v>Furnishings</x:v>
      </x:c>
      <x:c r="M45" s="80" t="str">
        <x:v>Smart Furnishings 956</x:v>
      </x:c>
      <x:c r="N45" s="80" t="str">
        <x:v>Same Day</x:v>
      </x:c>
      <x:c r="O45" s="82" t="n">
        <x:v>3</x:v>
      </x:c>
      <x:c r="P45" s="83" t="n">
        <x:v>1010.23</x:v>
      </x:c>
      <x:c r="Q45" s="84" t="n">
        <x:v>0</x:v>
      </x:c>
      <x:c r="R45" s="83" t="n">
        <x:v>3030.69</x:v>
      </x:c>
      <x:c r="S45" s="83" t="n">
        <x:v>1721.08</x:v>
      </x:c>
      <x:c r="T45" s="83" t="n">
        <x:v>1309.61</x:v>
      </x:c>
      <x:c r="U45" s="83" t="str">
        <x:v>Paid</x:v>
      </x:c>
      <x:c r="V45" s="83" t="str">
        <x:v>Completed</x:v>
      </x:c>
      <x:c r="W45" s="151" t="n">
        <x:f>IF(OR(NOT(ISNUMBER($AP45)),COUNT($O45,$P45)&lt;2,$O45&lt;=0,$P45&lt;0),"",ROUND($O45*$P45*(1-$AP45),2))</x:f>
        <x:v>3030.69</x:v>
      </x:c>
      <x:c r="X45" s="151" t="n">
        <x:f>IF(OR(NOT(ISNUMBER($W45)),NOT(ISNUMBER($S45))),"",ROUND($W45-$S45,2))</x:f>
        <x:v>1309.61</x:v>
      </x:c>
      <x:c r="Y45" s="85" t="n">
        <x:f>IF(OR(NOT(ISNUMBER($W45)),NOT(ISNUMBER($X45)),$W45=0),"",ROUND($X45/$W45,4))</x:f>
        <x:v>0.4321</x:v>
      </x:c>
      <x:c r="Z45" s="82" t="n">
        <x:f>IF(OR($AH45&lt;&gt;"Valid",$AI45&lt;&gt;"Valid"),"",INT($D45-$C45))</x:f>
        <x:v>6</x:v>
      </x:c>
      <x:c r="AA45" s="86" t="str">
        <x:f>IF($AH45&lt;&gt;"Valid","",TEXT($C45,"mmmm"))</x:f>
        <x:v>July</x:v>
      </x:c>
      <x:c r="AB45" s="82" t="n">
        <x:f>IF($AH45&lt;&gt;"Valid","",YEAR($C45))</x:f>
        <x:v>2024</x:v>
      </x:c>
      <x:c r="AC45" s="80" t="str">
        <x:v>Consistent</x:v>
      </x:c>
      <x:c r="AD45" s="80" t="str">
        <x:v>Eligible</x:v>
      </x:c>
      <x:c r="AE45" s="80" t="str">
        <x:f>IF(OR($AH45&lt;&gt;"Valid",$AI45&lt;&gt;"Valid",$AJ45&lt;&gt;"Valid",LEFT($AM45,7)="Invalid",IFERROR(ABS($AQ45)&gt;0.01,FALSE),IFERROR(ABS($AR45)&gt;0.01,FALSE),COUNTIF($AS45,"*Conflicting duplicate*")&gt;0,COUNTIF($AS45,"*Completed order not paid*")&gt;0),"Invalid",IF(OR($H45="Unknown",$N45="Unknown",$AM45="Missing discount imputed as 0"),"Warning","Clean"))</x:f>
        <x:v>Clean</x:v>
      </x:c>
      <x:c r="AF45" s="80" t="str">
        <x:v>Pass</x:v>
      </x:c>
      <x:c r="AG45" s="80" t="str">
        <x:v>No text cleanup required</x:v>
      </x:c>
      <x:c r="AH45" s="12" t="str">
        <x:f>IF(C45="","Missing date",IF(ISNUMBER(C45),"Valid","Unrecognized/invalid date"))</x:f>
        <x:v>Valid</x:v>
      </x:c>
      <x:c r="AI45" s="12" t="str">
        <x:f>IF(D45="","Missing date",IF(ISNUMBER(D45),"Valid","Unrecognized/invalid date"))</x:f>
        <x:v>Valid</x:v>
      </x:c>
      <x:c r="AJ45" s="12" t="str">
        <x:v>Valid</x:v>
      </x:c>
      <x:c r="AK45" s="12" t="str">
        <x:v>Pass</x:v>
      </x:c>
      <x:c r="AL45" s="12" t="str">
        <x:v>None</x:v>
      </x:c>
      <x:c r="AM45" s="12" t="str">
        <x:v>Valid</x:v>
      </x:c>
      <x:c r="AN45" s="12" t="str">
        <x:v>Include in completed sales</x:v>
      </x:c>
      <x:c r="AO45" s="12" t="str">
        <x:v>Not a refunded record</x:v>
      </x:c>
      <x:c r="AP45" s="37" t="n">
        <x:f>IF(LEFT($AM45,7)="Invalid","",IF($AM45="Missing discount imputed as 0",IF(AND(COUNT($O45,$P45,$R45,$S45)=4,$O45&gt;0,$P45&gt;=0,$R45&gt;=0,$S45&gt;=0),0,""),IF(AND(ISNUMBER($Q45),$Q45&gt;=0,$Q45&lt;=0.5),$Q45,"")))</x:f>
        <x:v>0</x:v>
      </x:c>
      <x:c r="AQ45" s="152" t="n">
        <x:f>IF(OR($W45="",NOT(ISNUMBER($R45))),"",ROUND($R45-$W45,2))</x:f>
        <x:v>0</x:v>
      </x:c>
      <x:c r="AR45" s="152" t="n">
        <x:f>IF(OR($X45="",NOT(ISNUMBER($T45))),"",ROUND($T45-$X45,2))</x:f>
        <x:v>0</x:v>
      </x:c>
      <x:c r="AS45" s="14" t="str">
        <x:v>OK</x:v>
      </x:c>
    </x:row>
    <x:row r="46">
      <x:c r="A46" s="80" t="n">
        <x:v>46</x:v>
      </x:c>
      <x:c r="B46" s="80" t="str">
        <x:v>ORD-2024-10045</x:v>
      </x:c>
      <x:c r="C46" s="81" t="n">
        <x:v>45465</x:v>
      </x:c>
      <x:c r="D46" s="81" t="n">
        <x:v>45468</x:v>
      </x:c>
      <x:c r="E46" s="80" t="str">
        <x:v>CUST-3373</x:v>
      </x:c>
      <x:c r="F46" s="80" t="str">
        <x:v>Rohan Mehta</x:v>
      </x:c>
      <x:c r="G46" s="80" t="str">
        <x:v>Small Business</x:v>
      </x:c>
      <x:c r="H46" s="80" t="str">
        <x:v>North</x:v>
      </x:c>
      <x:c r="I46" s="80" t="str">
        <x:v>Haryana</x:v>
      </x:c>
      <x:c r="J46" s="80" t="str">
        <x:v>Gurugram</x:v>
      </x:c>
      <x:c r="K46" s="80" t="str">
        <x:v>Furniture</x:v>
      </x:c>
      <x:c r="L46" s="80" t="str">
        <x:v>Chairs</x:v>
      </x:c>
      <x:c r="M46" s="80" t="str">
        <x:v>Max Chairs 393</x:v>
      </x:c>
      <x:c r="N46" s="80" t="str">
        <x:v>Standard Class</x:v>
      </x:c>
      <x:c r="O46" s="82" t="n">
        <x:v>9</x:v>
      </x:c>
      <x:c r="P46" s="83" t="n">
        <x:v>3329.77</x:v>
      </x:c>
      <x:c r="Q46" s="84" t="n">
        <x:v>0.1</x:v>
      </x:c>
      <x:c r="R46" s="83" t="n">
        <x:v>26971.14</x:v>
      </x:c>
      <x:c r="S46" s="83" t="n">
        <x:v>17376.2</x:v>
      </x:c>
      <x:c r="T46" s="83" t="n">
        <x:v>9594.94</x:v>
      </x:c>
      <x:c r="U46" s="83" t="str">
        <x:v>Paid</x:v>
      </x:c>
      <x:c r="V46" s="83" t="str">
        <x:v>Completed</x:v>
      </x:c>
      <x:c r="W46" s="151" t="n">
        <x:f>IF(OR(NOT(ISNUMBER($AP46)),COUNT($O46,$P46)&lt;2,$O46&lt;=0,$P46&lt;0),"",ROUND($O46*$P46*(1-$AP46),2))</x:f>
        <x:v>26971.14</x:v>
      </x:c>
      <x:c r="X46" s="151" t="n">
        <x:f>IF(OR(NOT(ISNUMBER($W46)),NOT(ISNUMBER($S46))),"",ROUND($W46-$S46,2))</x:f>
        <x:v>9594.94</x:v>
      </x:c>
      <x:c r="Y46" s="85" t="n">
        <x:f>IF(OR(NOT(ISNUMBER($W46)),NOT(ISNUMBER($X46)),$W46=0),"",ROUND($X46/$W46,4))</x:f>
        <x:v>0.3557</x:v>
      </x:c>
      <x:c r="Z46" s="82" t="n">
        <x:f>IF(OR($AH46&lt;&gt;"Valid",$AI46&lt;&gt;"Valid"),"",INT($D46-$C46))</x:f>
        <x:v>3</x:v>
      </x:c>
      <x:c r="AA46" s="86" t="str">
        <x:f>IF($AH46&lt;&gt;"Valid","",TEXT($C46,"mmmm"))</x:f>
        <x:v>June</x:v>
      </x:c>
      <x:c r="AB46" s="82" t="n">
        <x:f>IF($AH46&lt;&gt;"Valid","",YEAR($C46))</x:f>
        <x:v>2024</x:v>
      </x:c>
      <x:c r="AC46" s="80" t="str">
        <x:v>Consistent</x:v>
      </x:c>
      <x:c r="AD46" s="80" t="str">
        <x:v>Eligible</x:v>
      </x:c>
      <x:c r="AE46" s="80" t="str">
        <x:f>IF(OR($AH46&lt;&gt;"Valid",$AI46&lt;&gt;"Valid",$AJ46&lt;&gt;"Valid",LEFT($AM46,7)="Invalid",IFERROR(ABS($AQ46)&gt;0.01,FALSE),IFERROR(ABS($AR46)&gt;0.01,FALSE),COUNTIF($AS46,"*Conflicting duplicate*")&gt;0,COUNTIF($AS46,"*Completed order not paid*")&gt;0),"Invalid",IF(OR($H46="Unknown",$N46="Unknown",$AM46="Missing discount imputed as 0"),"Warning","Clean"))</x:f>
        <x:v>Clean</x:v>
      </x:c>
      <x:c r="AF46" s="80" t="str">
        <x:v>Pass</x:v>
      </x:c>
      <x:c r="AG46" s="80" t="str">
        <x:v>No text cleanup required</x:v>
      </x:c>
      <x:c r="AH46" s="12" t="str">
        <x:f>IF(C46="","Missing date",IF(ISNUMBER(C46),"Valid","Unrecognized/invalid date"))</x:f>
        <x:v>Valid</x:v>
      </x:c>
      <x:c r="AI46" s="12" t="str">
        <x:f>IF(D46="","Missing date",IF(ISNUMBER(D46),"Valid","Unrecognized/invalid date"))</x:f>
        <x:v>Valid</x:v>
      </x:c>
      <x:c r="AJ46" s="12" t="str">
        <x:v>Valid</x:v>
      </x:c>
      <x:c r="AK46" s="12" t="str">
        <x:v>Pass</x:v>
      </x:c>
      <x:c r="AL46" s="12" t="str">
        <x:v>None</x:v>
      </x:c>
      <x:c r="AM46" s="12" t="str">
        <x:v>Valid</x:v>
      </x:c>
      <x:c r="AN46" s="12" t="str">
        <x:v>Include in completed sales</x:v>
      </x:c>
      <x:c r="AO46" s="12" t="str">
        <x:v>Not a refunded record</x:v>
      </x:c>
      <x:c r="AP46" s="37" t="n">
        <x:f>IF(LEFT($AM46,7)="Invalid","",IF($AM46="Missing discount imputed as 0",IF(AND(COUNT($O46,$P46,$R46,$S46)=4,$O46&gt;0,$P46&gt;=0,$R46&gt;=0,$S46&gt;=0),0,""),IF(AND(ISNUMBER($Q46),$Q46&gt;=0,$Q46&lt;=0.5),$Q46,"")))</x:f>
        <x:v>0.1</x:v>
      </x:c>
      <x:c r="AQ46" s="152" t="n">
        <x:f>IF(OR($W46="",NOT(ISNUMBER($R46))),"",ROUND($R46-$W46,2))</x:f>
        <x:v>0</x:v>
      </x:c>
      <x:c r="AR46" s="152" t="n">
        <x:f>IF(OR($X46="",NOT(ISNUMBER($T46))),"",ROUND($T46-$X46,2))</x:f>
        <x:v>0</x:v>
      </x:c>
      <x:c r="AS46" s="14" t="str">
        <x:v>OK</x:v>
      </x:c>
    </x:row>
    <x:row r="47">
      <x:c r="A47" s="80" t="n">
        <x:v>47</x:v>
      </x:c>
      <x:c r="B47" s="80" t="str">
        <x:v>ORD-2024-10046</x:v>
      </x:c>
      <x:c r="C47" s="81" t="n">
        <x:v>45309</x:v>
      </x:c>
      <x:c r="D47" s="81" t="n">
        <x:v>45315</x:v>
      </x:c>
      <x:c r="E47" s="80" t="str">
        <x:v>CUST-8896</x:v>
      </x:c>
      <x:c r="F47" s="80" t="str">
        <x:v>Isha Nair</x:v>
      </x:c>
      <x:c r="G47" s="80" t="str">
        <x:v>Home Office</x:v>
      </x:c>
      <x:c r="H47" s="80" t="str">
        <x:v>East</x:v>
      </x:c>
      <x:c r="I47" s="80" t="str">
        <x:v>Bihar</x:v>
      </x:c>
      <x:c r="J47" s="80" t="str">
        <x:v>Patna</x:v>
      </x:c>
      <x:c r="K47" s="80" t="str">
        <x:v>Office Supplies</x:v>
      </x:c>
      <x:c r="L47" s="80" t="str">
        <x:v>Art</x:v>
      </x:c>
      <x:c r="M47" s="80" t="str">
        <x:v>Prime Art 221</x:v>
      </x:c>
      <x:c r="N47" s="80" t="str">
        <x:v>Second Class</x:v>
      </x:c>
      <x:c r="O47" s="82" t="n">
        <x:v>8</x:v>
      </x:c>
      <x:c r="P47" s="83" t="n">
        <x:v>3927.82</x:v>
      </x:c>
      <x:c r="Q47" s="84" t="n">
        <x:v>0.05</x:v>
      </x:c>
      <x:c r="R47" s="83" t="n">
        <x:v>29851.43</x:v>
      </x:c>
      <x:c r="S47" s="83" t="n">
        <x:v>17487.48</x:v>
      </x:c>
      <x:c r="T47" s="83" t="n">
        <x:v>12363.95</x:v>
      </x:c>
      <x:c r="U47" s="83" t="str">
        <x:v>Pending</x:v>
      </x:c>
      <x:c r="V47" s="83" t="str">
        <x:v>Returned</x:v>
      </x:c>
      <x:c r="W47" s="151" t="n">
        <x:f>IF(OR(NOT(ISNUMBER($AP47)),COUNT($O47,$P47)&lt;2,$O47&lt;=0,$P47&lt;0),"",ROUND($O47*$P47*(1-$AP47),2))</x:f>
        <x:v>29851.43</x:v>
      </x:c>
      <x:c r="X47" s="151" t="n">
        <x:f>IF(OR(NOT(ISNUMBER($W47)),NOT(ISNUMBER($S47))),"",ROUND($W47-$S47,2))</x:f>
        <x:v>12363.95</x:v>
      </x:c>
      <x:c r="Y47" s="85" t="n">
        <x:f>IF(OR(NOT(ISNUMBER($W47)),NOT(ISNUMBER($X47)),$W47=0),"",ROUND($X47/$W47,4))</x:f>
        <x:v>0.4142</x:v>
      </x:c>
      <x:c r="Z47" s="82" t="n">
        <x:f>IF(OR($AH47&lt;&gt;"Valid",$AI47&lt;&gt;"Valid"),"",INT($D47-$C47))</x:f>
        <x:v>6</x:v>
      </x:c>
      <x:c r="AA47" s="86" t="str">
        <x:f>IF($AH47&lt;&gt;"Valid","",TEXT($C47,"mmmm"))</x:f>
        <x:v>January</x:v>
      </x:c>
      <x:c r="AB47" s="82" t="n">
        <x:f>IF($AH47&lt;&gt;"Valid","",YEAR($C47))</x:f>
        <x:v>2024</x:v>
      </x:c>
      <x:c r="AC47" s="80" t="str">
        <x:v>Consistent</x:v>
      </x:c>
      <x:c r="AD47" s="80" t="str">
        <x:v>Excluded</x:v>
      </x:c>
      <x:c r="AE47" s="80" t="str">
        <x:f>IF(OR($AH47&lt;&gt;"Valid",$AI47&lt;&gt;"Valid",$AJ47&lt;&gt;"Valid",LEFT($AM47,7)="Invalid",IFERROR(ABS($AQ47)&gt;0.01,FALSE),IFERROR(ABS($AR47)&gt;0.01,FALSE),COUNTIF($AS47,"*Conflicting duplicate*")&gt;0,COUNTIF($AS47,"*Completed order not paid*")&gt;0),"Invalid",IF(OR($H47="Unknown",$N47="Unknown",$AM47="Missing discount imputed as 0"),"Warning","Clean"))</x:f>
        <x:v>Clean</x:v>
      </x:c>
      <x:c r="AF47" s="80" t="str">
        <x:v>Pass</x:v>
      </x:c>
      <x:c r="AG47" s="80" t="str">
        <x:v>No text cleanup required</x:v>
      </x:c>
      <x:c r="AH47" s="12" t="str">
        <x:f>IF(C47="","Missing date",IF(ISNUMBER(C47),"Valid","Unrecognized/invalid date"))</x:f>
        <x:v>Valid</x:v>
      </x:c>
      <x:c r="AI47" s="12" t="str">
        <x:f>IF(D47="","Missing date",IF(ISNUMBER(D47),"Valid","Unrecognized/invalid date"))</x:f>
        <x:v>Valid</x:v>
      </x:c>
      <x:c r="AJ47" s="12" t="str">
        <x:v>Valid</x:v>
      </x:c>
      <x:c r="AK47" s="12" t="str">
        <x:v>Pass</x:v>
      </x:c>
      <x:c r="AL47" s="12" t="str">
        <x:v>None</x:v>
      </x:c>
      <x:c r="AM47" s="12" t="str">
        <x:v>Valid</x:v>
      </x:c>
      <x:c r="AN47" s="12" t="str">
        <x:v>Exclude from completed sales</x:v>
      </x:c>
      <x:c r="AO47" s="12" t="str">
        <x:v>Not a refunded record</x:v>
      </x:c>
      <x:c r="AP47" s="37" t="n">
        <x:f>IF(LEFT($AM47,7)="Invalid","",IF($AM47="Missing discount imputed as 0",IF(AND(COUNT($O47,$P47,$R47,$S47)=4,$O47&gt;0,$P47&gt;=0,$R47&gt;=0,$S47&gt;=0),0,""),IF(AND(ISNUMBER($Q47),$Q47&gt;=0,$Q47&lt;=0.5),$Q47,"")))</x:f>
        <x:v>0.05</x:v>
      </x:c>
      <x:c r="AQ47" s="152" t="n">
        <x:f>IF(OR($W47="",NOT(ISNUMBER($R47))),"",ROUND($R47-$W47,2))</x:f>
        <x:v>0</x:v>
      </x:c>
      <x:c r="AR47" s="152" t="n">
        <x:f>IF(OR($X47="",NOT(ISNUMBER($T47))),"",ROUND($T47-$X47,2))</x:f>
        <x:v>0</x:v>
      </x:c>
      <x:c r="AS47" s="14" t="str">
        <x:v>OK</x:v>
      </x:c>
    </x:row>
    <x:row r="48">
      <x:c r="A48" s="80" t="n">
        <x:v>48</x:v>
      </x:c>
      <x:c r="B48" s="80" t="str">
        <x:v>ORD-2024-10047</x:v>
      </x:c>
      <x:c r="C48" s="81" t="n">
        <x:v>45492</x:v>
      </x:c>
      <x:c r="D48" s="81" t="n">
        <x:v>45492</x:v>
      </x:c>
      <x:c r="E48" s="80" t="str">
        <x:v>CUST-8517</x:v>
      </x:c>
      <x:c r="F48" s="80" t="str">
        <x:v>Ananya Rao</x:v>
      </x:c>
      <x:c r="G48" s="80" t="str">
        <x:v>Small Business</x:v>
      </x:c>
      <x:c r="H48" s="80" t="str">
        <x:v>South</x:v>
      </x:c>
      <x:c r="I48" s="80" t="str">
        <x:v>Kerala</x:v>
      </x:c>
      <x:c r="J48" s="80" t="str">
        <x:v>Kochi</x:v>
      </x:c>
      <x:c r="K48" s="80" t="str">
        <x:v>Furniture</x:v>
      </x:c>
      <x:c r="L48" s="80" t="str">
        <x:v>Bookcases</x:v>
      </x:c>
      <x:c r="M48" s="80" t="str">
        <x:v>Elite Bookcases 671</x:v>
      </x:c>
      <x:c r="N48" s="80" t="str">
        <x:v>Standard Class</x:v>
      </x:c>
      <x:c r="O48" s="82" t="n">
        <x:v>9</x:v>
      </x:c>
      <x:c r="P48" s="83" t="n">
        <x:v>2386.79</x:v>
      </x:c>
      <x:c r="Q48" s="84" t="n">
        <x:v>0.25</x:v>
      </x:c>
      <x:c r="R48" s="83" t="n">
        <x:v>16110.83</x:v>
      </x:c>
      <x:c r="S48" s="83" t="n">
        <x:v>10680.03</x:v>
      </x:c>
      <x:c r="T48" s="83" t="n">
        <x:v>5430.8</x:v>
      </x:c>
      <x:c r="U48" s="83" t="str">
        <x:v>Refunded</x:v>
      </x:c>
      <x:c r="V48" s="83" t="str">
        <x:v>Returned</x:v>
      </x:c>
      <x:c r="W48" s="151" t="n">
        <x:f>IF(OR(NOT(ISNUMBER($AP48)),COUNT($O48,$P48)&lt;2,$O48&lt;=0,$P48&lt;0),"",ROUND($O48*$P48*(1-$AP48),2))</x:f>
        <x:v>16110.83</x:v>
      </x:c>
      <x:c r="X48" s="151" t="n">
        <x:f>IF(OR(NOT(ISNUMBER($W48)),NOT(ISNUMBER($S48))),"",ROUND($W48-$S48,2))</x:f>
        <x:v>5430.8</x:v>
      </x:c>
      <x:c r="Y48" s="85" t="n">
        <x:f>IF(OR(NOT(ISNUMBER($W48)),NOT(ISNUMBER($X48)),$W48=0),"",ROUND($X48/$W48,4))</x:f>
        <x:v>0.3371</x:v>
      </x:c>
      <x:c r="Z48" s="82" t="n">
        <x:f>IF(OR($AH48&lt;&gt;"Valid",$AI48&lt;&gt;"Valid"),"",INT($D48-$C48))</x:f>
        <x:v>0</x:v>
      </x:c>
      <x:c r="AA48" s="86" t="str">
        <x:f>IF($AH48&lt;&gt;"Valid","",TEXT($C48,"mmmm"))</x:f>
        <x:v>July</x:v>
      </x:c>
      <x:c r="AB48" s="82" t="n">
        <x:f>IF($AH48&lt;&gt;"Valid","",YEAR($C48))</x:f>
        <x:v>2024</x:v>
      </x:c>
      <x:c r="AC48" s="80" t="str">
        <x:v>Refunded (separately summarized)</x:v>
      </x:c>
      <x:c r="AD48" s="80" t="str">
        <x:v>Excluded</x:v>
      </x:c>
      <x:c r="AE48" s="80" t="str">
        <x:f>IF(OR($AH48&lt;&gt;"Valid",$AI48&lt;&gt;"Valid",$AJ48&lt;&gt;"Valid",LEFT($AM48,7)="Invalid",IFERROR(ABS($AQ48)&gt;0.01,FALSE),IFERROR(ABS($AR48)&gt;0.01,FALSE),COUNTIF($AS48,"*Conflicting duplicate*")&gt;0,COUNTIF($AS48,"*Completed order not paid*")&gt;0),"Invalid",IF(OR($H48="Unknown",$N48="Unknown",$AM48="Missing discount imputed as 0"),"Warning","Clean"))</x:f>
        <x:v>Clean</x:v>
      </x:c>
      <x:c r="AF48" s="80" t="str">
        <x:v>Pass</x:v>
      </x:c>
      <x:c r="AG48" s="80" t="str">
        <x:v>No text cleanup required</x:v>
      </x:c>
      <x:c r="AH48" s="12" t="str">
        <x:f>IF(C48="","Missing date",IF(ISNUMBER(C48),"Valid","Unrecognized/invalid date"))</x:f>
        <x:v>Valid</x:v>
      </x:c>
      <x:c r="AI48" s="12" t="str">
        <x:f>IF(D48="","Missing date",IF(ISNUMBER(D48),"Valid","Unrecognized/invalid date"))</x:f>
        <x:v>Valid</x:v>
      </x:c>
      <x:c r="AJ48" s="12" t="str">
        <x:v>Valid</x:v>
      </x:c>
      <x:c r="AK48" s="12" t="str">
        <x:v>Pass</x:v>
      </x:c>
      <x:c r="AL48" s="12" t="str">
        <x:v>Refunded payment – separately summarized</x:v>
      </x:c>
      <x:c r="AM48" s="12" t="str">
        <x:v>Valid</x:v>
      </x:c>
      <x:c r="AN48" s="12" t="str">
        <x:v>Exclude from completed sales</x:v>
      </x:c>
      <x:c r="AO48" s="12" t="str">
        <x:v>Include in refunded summary</x:v>
      </x:c>
      <x:c r="AP48" s="37" t="n">
        <x:f>IF(LEFT($AM48,7)="Invalid","",IF($AM48="Missing discount imputed as 0",IF(AND(COUNT($O48,$P48,$R48,$S48)=4,$O48&gt;0,$P48&gt;=0,$R48&gt;=0,$S48&gt;=0),0,""),IF(AND(ISNUMBER($Q48),$Q48&gt;=0,$Q48&lt;=0.5),$Q48,"")))</x:f>
        <x:v>0.25</x:v>
      </x:c>
      <x:c r="AQ48" s="152" t="n">
        <x:f>IF(OR($W48="",NOT(ISNUMBER($R48))),"",ROUND($R48-$W48,2))</x:f>
        <x:v>0</x:v>
      </x:c>
      <x:c r="AR48" s="152" t="n">
        <x:f>IF(OR($X48="",NOT(ISNUMBER($T48))),"",ROUND($T48-$X48,2))</x:f>
        <x:v>0</x:v>
      </x:c>
      <x:c r="AS48" s="14" t="str">
        <x:v>OK</x:v>
      </x:c>
    </x:row>
    <x:row r="49">
      <x:c r="A49" s="80" t="n">
        <x:v>49</x:v>
      </x:c>
      <x:c r="B49" s="80" t="str">
        <x:v>ORD-2024-10048</x:v>
      </x:c>
      <x:c r="C49" s="81" t="n">
        <x:v>45516</x:v>
      </x:c>
      <x:c r="D49" s="81" t="n">
        <x:v>45516</x:v>
      </x:c>
      <x:c r="E49" s="80" t="str">
        <x:v>CUST-1987</x:v>
      </x:c>
      <x:c r="F49" s="80" t="str">
        <x:v>Rahul Verma</x:v>
      </x:c>
      <x:c r="G49" s="80" t="str">
        <x:v>Corporate</x:v>
      </x:c>
      <x:c r="H49" s="80" t="str">
        <x:v>South</x:v>
      </x:c>
      <x:c r="I49" s="80" t="str">
        <x:v>Tamil Nadu</x:v>
      </x:c>
      <x:c r="J49" s="80" t="str">
        <x:v>Chennai</x:v>
      </x:c>
      <x:c r="K49" s="80" t="str">
        <x:v>Office Supplies</x:v>
      </x:c>
      <x:c r="L49" s="80" t="str">
        <x:v>Storage</x:v>
      </x:c>
      <x:c r="M49" s="80" t="str">
        <x:v>Max Storage 432</x:v>
      </x:c>
      <x:c r="N49" s="80" t="str">
        <x:v>Standard Class</x:v>
      </x:c>
      <x:c r="O49" s="82" t="n">
        <x:v>8</x:v>
      </x:c>
      <x:c r="P49" s="83" t="n">
        <x:v>2445.31</x:v>
      </x:c>
      <x:c r="Q49" s="84" t="n">
        <x:v>0.1</x:v>
      </x:c>
      <x:c r="R49" s="83" t="n">
        <x:v>17606.23</x:v>
      </x:c>
      <x:c r="S49" s="83" t="n">
        <x:v>12438.96</x:v>
      </x:c>
      <x:c r="T49" s="83" t="n">
        <x:v>5167.27</x:v>
      </x:c>
      <x:c r="U49" s="83" t="str">
        <x:v>Paid</x:v>
      </x:c>
      <x:c r="V49" s="83" t="str">
        <x:v>Completed</x:v>
      </x:c>
      <x:c r="W49" s="151" t="n">
        <x:f>IF(OR(NOT(ISNUMBER($AP49)),COUNT($O49,$P49)&lt;2,$O49&lt;=0,$P49&lt;0),"",ROUND($O49*$P49*(1-$AP49),2))</x:f>
        <x:v>17606.23</x:v>
      </x:c>
      <x:c r="X49" s="151" t="n">
        <x:f>IF(OR(NOT(ISNUMBER($W49)),NOT(ISNUMBER($S49))),"",ROUND($W49-$S49,2))</x:f>
        <x:v>5167.27</x:v>
      </x:c>
      <x:c r="Y49" s="85" t="n">
        <x:f>IF(OR(NOT(ISNUMBER($W49)),NOT(ISNUMBER($X49)),$W49=0),"",ROUND($X49/$W49,4))</x:f>
        <x:v>0.2935</x:v>
      </x:c>
      <x:c r="Z49" s="82" t="n">
        <x:f>IF(OR($AH49&lt;&gt;"Valid",$AI49&lt;&gt;"Valid"),"",INT($D49-$C49))</x:f>
        <x:v>0</x:v>
      </x:c>
      <x:c r="AA49" s="86" t="str">
        <x:f>IF($AH49&lt;&gt;"Valid","",TEXT($C49,"mmmm"))</x:f>
        <x:v>August</x:v>
      </x:c>
      <x:c r="AB49" s="82" t="n">
        <x:f>IF($AH49&lt;&gt;"Valid","",YEAR($C49))</x:f>
        <x:v>2024</x:v>
      </x:c>
      <x:c r="AC49" s="80" t="str">
        <x:v>Consistent</x:v>
      </x:c>
      <x:c r="AD49" s="80" t="str">
        <x:v>Eligible</x:v>
      </x:c>
      <x:c r="AE49" s="80" t="str">
        <x:f>IF(OR($AH49&lt;&gt;"Valid",$AI49&lt;&gt;"Valid",$AJ49&lt;&gt;"Valid",LEFT($AM49,7)="Invalid",IFERROR(ABS($AQ49)&gt;0.01,FALSE),IFERROR(ABS($AR49)&gt;0.01,FALSE),COUNTIF($AS49,"*Conflicting duplicate*")&gt;0,COUNTIF($AS49,"*Completed order not paid*")&gt;0),"Invalid",IF(OR($H49="Unknown",$N49="Unknown",$AM49="Missing discount imputed as 0"),"Warning","Clean"))</x:f>
        <x:v>Clean</x:v>
      </x:c>
      <x:c r="AF49" s="80" t="str">
        <x:v>Pass</x:v>
      </x:c>
      <x:c r="AG49" s="80" t="str">
        <x:v>No text cleanup required</x:v>
      </x:c>
      <x:c r="AH49" s="12" t="str">
        <x:f>IF(C49="","Missing date",IF(ISNUMBER(C49),"Valid","Unrecognized/invalid date"))</x:f>
        <x:v>Valid</x:v>
      </x:c>
      <x:c r="AI49" s="12" t="str">
        <x:f>IF(D49="","Missing date",IF(ISNUMBER(D49),"Valid","Unrecognized/invalid date"))</x:f>
        <x:v>Valid</x:v>
      </x:c>
      <x:c r="AJ49" s="12" t="str">
        <x:v>Valid</x:v>
      </x:c>
      <x:c r="AK49" s="12" t="str">
        <x:v>Pass</x:v>
      </x:c>
      <x:c r="AL49" s="12" t="str">
        <x:v>None</x:v>
      </x:c>
      <x:c r="AM49" s="12" t="str">
        <x:v>Valid</x:v>
      </x:c>
      <x:c r="AN49" s="12" t="str">
        <x:v>Include in completed sales</x:v>
      </x:c>
      <x:c r="AO49" s="12" t="str">
        <x:v>Not a refunded record</x:v>
      </x:c>
      <x:c r="AP49" s="37" t="n">
        <x:f>IF(LEFT($AM49,7)="Invalid","",IF($AM49="Missing discount imputed as 0",IF(AND(COUNT($O49,$P49,$R49,$S49)=4,$O49&gt;0,$P49&gt;=0,$R49&gt;=0,$S49&gt;=0),0,""),IF(AND(ISNUMBER($Q49),$Q49&gt;=0,$Q49&lt;=0.5),$Q49,"")))</x:f>
        <x:v>0.1</x:v>
      </x:c>
      <x:c r="AQ49" s="152" t="n">
        <x:f>IF(OR($W49="",NOT(ISNUMBER($R49))),"",ROUND($R49-$W49,2))</x:f>
        <x:v>0</x:v>
      </x:c>
      <x:c r="AR49" s="152" t="n">
        <x:f>IF(OR($X49="",NOT(ISNUMBER($T49))),"",ROUND($T49-$X49,2))</x:f>
        <x:v>0</x:v>
      </x:c>
      <x:c r="AS49" s="14" t="str">
        <x:v>OK</x:v>
      </x:c>
    </x:row>
    <x:row r="50">
      <x:c r="A50" s="80" t="n">
        <x:v>50</x:v>
      </x:c>
      <x:c r="B50" s="80" t="str">
        <x:v>ORD-2025-10049</x:v>
      </x:c>
      <x:c r="C50" s="81" t="n">
        <x:v>45687</x:v>
      </x:c>
      <x:c r="D50" s="81" t="n">
        <x:v>45693</x:v>
      </x:c>
      <x:c r="E50" s="80" t="str">
        <x:v>CUST-8183</x:v>
      </x:c>
      <x:c r="F50" s="80" t="str">
        <x:v>Neha Gupta</x:v>
      </x:c>
      <x:c r="G50" s="80" t="str">
        <x:v>Corporate</x:v>
      </x:c>
      <x:c r="H50" s="80" t="str">
        <x:v>West</x:v>
      </x:c>
      <x:c r="I50" s="80" t="str">
        <x:v>Maharashtra</x:v>
      </x:c>
      <x:c r="J50" s="80" t="str">
        <x:v>Mumbai</x:v>
      </x:c>
      <x:c r="K50" s="80" t="str">
        <x:v>Furniture</x:v>
      </x:c>
      <x:c r="L50" s="80" t="str">
        <x:v>Chairs</x:v>
      </x:c>
      <x:c r="M50" s="80" t="str">
        <x:v>Basic Chairs 837</x:v>
      </x:c>
      <x:c r="N50" s="80" t="str">
        <x:v>Second Class</x:v>
      </x:c>
      <x:c r="O50" s="82" t="n">
        <x:v>7</x:v>
      </x:c>
      <x:c r="P50" s="83" t="n">
        <x:v>4063.66</x:v>
      </x:c>
      <x:c r="Q50" s="84" t="n">
        <x:v>0</x:v>
      </x:c>
      <x:c r="R50" s="83" t="n">
        <x:v>28445.62</x:v>
      </x:c>
      <x:c r="S50" s="83" t="n">
        <x:v>20938.59</x:v>
      </x:c>
      <x:c r="T50" s="83" t="n">
        <x:v>7507.03</x:v>
      </x:c>
      <x:c r="U50" s="83" t="str">
        <x:v>Paid</x:v>
      </x:c>
      <x:c r="V50" s="83" t="str">
        <x:v>Completed</x:v>
      </x:c>
      <x:c r="W50" s="151" t="n">
        <x:f>IF(OR(NOT(ISNUMBER($AP50)),COUNT($O50,$P50)&lt;2,$O50&lt;=0,$P50&lt;0),"",ROUND($O50*$P50*(1-$AP50),2))</x:f>
        <x:v>28445.62</x:v>
      </x:c>
      <x:c r="X50" s="151" t="n">
        <x:f>IF(OR(NOT(ISNUMBER($W50)),NOT(ISNUMBER($S50))),"",ROUND($W50-$S50,2))</x:f>
        <x:v>7507.03</x:v>
      </x:c>
      <x:c r="Y50" s="85" t="n">
        <x:f>IF(OR(NOT(ISNUMBER($W50)),NOT(ISNUMBER($X50)),$W50=0),"",ROUND($X50/$W50,4))</x:f>
        <x:v>0.2639</x:v>
      </x:c>
      <x:c r="Z50" s="82" t="n">
        <x:f>IF(OR($AH50&lt;&gt;"Valid",$AI50&lt;&gt;"Valid"),"",INT($D50-$C50))</x:f>
        <x:v>6</x:v>
      </x:c>
      <x:c r="AA50" s="86" t="str">
        <x:f>IF($AH50&lt;&gt;"Valid","",TEXT($C50,"mmmm"))</x:f>
        <x:v>January</x:v>
      </x:c>
      <x:c r="AB50" s="82" t="n">
        <x:f>IF($AH50&lt;&gt;"Valid","",YEAR($C50))</x:f>
        <x:v>2025</x:v>
      </x:c>
      <x:c r="AC50" s="80" t="str">
        <x:v>Consistent</x:v>
      </x:c>
      <x:c r="AD50" s="80" t="str">
        <x:v>Eligible</x:v>
      </x:c>
      <x:c r="AE50" s="80" t="str">
        <x:f>IF(OR($AH50&lt;&gt;"Valid",$AI50&lt;&gt;"Valid",$AJ50&lt;&gt;"Valid",LEFT($AM50,7)="Invalid",IFERROR(ABS($AQ50)&gt;0.01,FALSE),IFERROR(ABS($AR50)&gt;0.01,FALSE),COUNTIF($AS50,"*Conflicting duplicate*")&gt;0,COUNTIF($AS50,"*Completed order not paid*")&gt;0),"Invalid",IF(OR($H50="Unknown",$N50="Unknown",$AM50="Missing discount imputed as 0"),"Warning","Clean"))</x:f>
        <x:v>Clean</x:v>
      </x:c>
      <x:c r="AF50" s="80" t="str">
        <x:v>Cleaned</x:v>
      </x:c>
      <x:c r="AG50" s="80" t="str">
        <x:v>ship_mode: TRIM/SUBSTITUTE whitespace cleanup</x:v>
      </x:c>
      <x:c r="AH50" s="12" t="str">
        <x:f>IF(C50="","Missing date",IF(ISNUMBER(C50),"Valid","Unrecognized/invalid date"))</x:f>
        <x:v>Valid</x:v>
      </x:c>
      <x:c r="AI50" s="12" t="str">
        <x:f>IF(D50="","Missing date",IF(ISNUMBER(D50),"Valid","Unrecognized/invalid date"))</x:f>
        <x:v>Valid</x:v>
      </x:c>
      <x:c r="AJ50" s="12" t="str">
        <x:v>Valid</x:v>
      </x:c>
      <x:c r="AK50" s="12" t="str">
        <x:v>Pass</x:v>
      </x:c>
      <x:c r="AL50" s="12" t="str">
        <x:v>None</x:v>
      </x:c>
      <x:c r="AM50" s="12" t="str">
        <x:v>Valid</x:v>
      </x:c>
      <x:c r="AN50" s="12" t="str">
        <x:v>Include in completed sales</x:v>
      </x:c>
      <x:c r="AO50" s="12" t="str">
        <x:v>Not a refunded record</x:v>
      </x:c>
      <x:c r="AP50" s="37" t="n">
        <x:f>IF(LEFT($AM50,7)="Invalid","",IF($AM50="Missing discount imputed as 0",IF(AND(COUNT($O50,$P50,$R50,$S50)=4,$O50&gt;0,$P50&gt;=0,$R50&gt;=0,$S50&gt;=0),0,""),IF(AND(ISNUMBER($Q50),$Q50&gt;=0,$Q50&lt;=0.5),$Q50,"")))</x:f>
        <x:v>0</x:v>
      </x:c>
      <x:c r="AQ50" s="152" t="n">
        <x:f>IF(OR($W50="",NOT(ISNUMBER($R50))),"",ROUND($R50-$W50,2))</x:f>
        <x:v>0</x:v>
      </x:c>
      <x:c r="AR50" s="152" t="n">
        <x:f>IF(OR($X50="",NOT(ISNUMBER($T50))),"",ROUND($T50-$X50,2))</x:f>
        <x:v>0</x:v>
      </x:c>
      <x:c r="AS50" s="14" t="str">
        <x:v>OK</x:v>
      </x:c>
    </x:row>
    <x:row r="51">
      <x:c r="A51" s="80" t="n">
        <x:v>51</x:v>
      </x:c>
      <x:c r="B51" s="80" t="str">
        <x:v>ORD-2024-10050</x:v>
      </x:c>
      <x:c r="C51" s="81" t="n">
        <x:v>45388</x:v>
      </x:c>
      <x:c r="D51" s="81" t="n">
        <x:v>45395</x:v>
      </x:c>
      <x:c r="E51" s="80" t="str">
        <x:v>CUST-2380</x:v>
      </x:c>
      <x:c r="F51" s="80" t="str">
        <x:v>Aarav Sharma</x:v>
      </x:c>
      <x:c r="G51" s="80" t="str">
        <x:v>Home Office</x:v>
      </x:c>
      <x:c r="H51" s="80" t="str">
        <x:v>North</x:v>
      </x:c>
      <x:c r="I51" s="80" t="str">
        <x:v>Uttar Pradesh</x:v>
      </x:c>
      <x:c r="J51" s="80" t="str">
        <x:v>Noida</x:v>
      </x:c>
      <x:c r="K51" s="80" t="str">
        <x:v>Technology</x:v>
      </x:c>
      <x:c r="L51" s="80" t="str">
        <x:v>Copiers</x:v>
      </x:c>
      <x:c r="M51" s="80" t="str">
        <x:v>Classic Copiers 295</x:v>
      </x:c>
      <x:c r="N51" s="80" t="str">
        <x:v>Second Class</x:v>
      </x:c>
      <x:c r="O51" s="82" t="n">
        <x:v>9</x:v>
      </x:c>
      <x:c r="P51" s="83" t="n">
        <x:v>792.11</x:v>
      </x:c>
      <x:c r="Q51" s="84" t="n">
        <x:v>0.05</x:v>
      </x:c>
      <x:c r="R51" s="83" t="n">
        <x:v>6772.54</x:v>
      </x:c>
      <x:c r="S51" s="83" t="n">
        <x:v>5755.46</x:v>
      </x:c>
      <x:c r="T51" s="83" t="n">
        <x:v>1017.08</x:v>
      </x:c>
      <x:c r="U51" s="83" t="str">
        <x:v>Paid</x:v>
      </x:c>
      <x:c r="V51" s="83" t="str">
        <x:v>Completed</x:v>
      </x:c>
      <x:c r="W51" s="151" t="n">
        <x:f>IF(OR(NOT(ISNUMBER($AP51)),COUNT($O51,$P51)&lt;2,$O51&lt;=0,$P51&lt;0),"",ROUND($O51*$P51*(1-$AP51),2))</x:f>
        <x:v>6772.54</x:v>
      </x:c>
      <x:c r="X51" s="151" t="n">
        <x:f>IF(OR(NOT(ISNUMBER($W51)),NOT(ISNUMBER($S51))),"",ROUND($W51-$S51,2))</x:f>
        <x:v>1017.08</x:v>
      </x:c>
      <x:c r="Y51" s="85" t="n">
        <x:f>IF(OR(NOT(ISNUMBER($W51)),NOT(ISNUMBER($X51)),$W51=0),"",ROUND($X51/$W51,4))</x:f>
        <x:v>0.1502</x:v>
      </x:c>
      <x:c r="Z51" s="82" t="n">
        <x:f>IF(OR($AH51&lt;&gt;"Valid",$AI51&lt;&gt;"Valid"),"",INT($D51-$C51))</x:f>
        <x:v>7</x:v>
      </x:c>
      <x:c r="AA51" s="86" t="str">
        <x:f>IF($AH51&lt;&gt;"Valid","",TEXT($C51,"mmmm"))</x:f>
        <x:v>April</x:v>
      </x:c>
      <x:c r="AB51" s="82" t="n">
        <x:f>IF($AH51&lt;&gt;"Valid","",YEAR($C51))</x:f>
        <x:v>2024</x:v>
      </x:c>
      <x:c r="AC51" s="80" t="str">
        <x:v>Consistent</x:v>
      </x:c>
      <x:c r="AD51" s="80" t="str">
        <x:v>Eligible</x:v>
      </x:c>
      <x:c r="AE51" s="80" t="str">
        <x:f>IF(OR($AH51&lt;&gt;"Valid",$AI51&lt;&gt;"Valid",$AJ51&lt;&gt;"Valid",LEFT($AM51,7)="Invalid",IFERROR(ABS($AQ51)&gt;0.01,FALSE),IFERROR(ABS($AR51)&gt;0.01,FALSE),COUNTIF($AS51,"*Conflicting duplicate*")&gt;0,COUNTIF($AS51,"*Completed order not paid*")&gt;0),"Invalid",IF(OR($H51="Unknown",$N51="Unknown",$AM51="Missing discount imputed as 0"),"Warning","Clean"))</x:f>
        <x:v>Clean</x:v>
      </x:c>
      <x:c r="AF51" s="80" t="str">
        <x:v>Pass</x:v>
      </x:c>
      <x:c r="AG51" s="80" t="str">
        <x:v>No text cleanup required</x:v>
      </x:c>
      <x:c r="AH51" s="12" t="str">
        <x:f>IF(C51="","Missing date",IF(ISNUMBER(C51),"Valid","Unrecognized/invalid date"))</x:f>
        <x:v>Valid</x:v>
      </x:c>
      <x:c r="AI51" s="12" t="str">
        <x:f>IF(D51="","Missing date",IF(ISNUMBER(D51),"Valid","Unrecognized/invalid date"))</x:f>
        <x:v>Valid</x:v>
      </x:c>
      <x:c r="AJ51" s="12" t="str">
        <x:v>Valid</x:v>
      </x:c>
      <x:c r="AK51" s="12" t="str">
        <x:v>Pass</x:v>
      </x:c>
      <x:c r="AL51" s="12" t="str">
        <x:v>None</x:v>
      </x:c>
      <x:c r="AM51" s="12" t="str">
        <x:v>Valid</x:v>
      </x:c>
      <x:c r="AN51" s="12" t="str">
        <x:v>Include in completed sales</x:v>
      </x:c>
      <x:c r="AO51" s="12" t="str">
        <x:v>Not a refunded record</x:v>
      </x:c>
      <x:c r="AP51" s="37" t="n">
        <x:f>IF(LEFT($AM51,7)="Invalid","",IF($AM51="Missing discount imputed as 0",IF(AND(COUNT($O51,$P51,$R51,$S51)=4,$O51&gt;0,$P51&gt;=0,$R51&gt;=0,$S51&gt;=0),0,""),IF(AND(ISNUMBER($Q51),$Q51&gt;=0,$Q51&lt;=0.5),$Q51,"")))</x:f>
        <x:v>0.05</x:v>
      </x:c>
      <x:c r="AQ51" s="152" t="n">
        <x:f>IF(OR($W51="",NOT(ISNUMBER($R51))),"",ROUND($R51-$W51,2))</x:f>
        <x:v>0</x:v>
      </x:c>
      <x:c r="AR51" s="152" t="n">
        <x:f>IF(OR($X51="",NOT(ISNUMBER($T51))),"",ROUND($T51-$X51,2))</x:f>
        <x:v>0</x:v>
      </x:c>
      <x:c r="AS51" s="14" t="str">
        <x:v>OK</x:v>
      </x:c>
    </x:row>
    <x:row r="52">
      <x:c r="A52" s="80" t="n">
        <x:v>52</x:v>
      </x:c>
      <x:c r="B52" s="80" t="str">
        <x:v>ORD-2025-10051</x:v>
      </x:c>
      <x:c r="C52" s="81" t="n">
        <x:v>45788</x:v>
      </x:c>
      <x:c r="D52" s="81" t="n">
        <x:v>45796</x:v>
      </x:c>
      <x:c r="E52" s="80" t="str">
        <x:v>CUST-8787</x:v>
      </x:c>
      <x:c r="F52" s="80" t="str">
        <x:v>Sneha Kapoor</x:v>
      </x:c>
      <x:c r="G52" s="80" t="str">
        <x:v>Consumer</x:v>
      </x:c>
      <x:c r="H52" s="80" t="str">
        <x:v>East</x:v>
      </x:c>
      <x:c r="I52" s="80" t="str">
        <x:v>West Bengal</x:v>
      </x:c>
      <x:c r="J52" s="80" t="str">
        <x:v>Kolkata</x:v>
      </x:c>
      <x:c r="K52" s="80" t="str">
        <x:v>Technology</x:v>
      </x:c>
      <x:c r="L52" s="80" t="str">
        <x:v>Copiers</x:v>
      </x:c>
      <x:c r="M52" s="80" t="str">
        <x:v>Pro Copiers 963</x:v>
      </x:c>
      <x:c r="N52" s="80" t="str">
        <x:v>Standard Class</x:v>
      </x:c>
      <x:c r="O52" s="82" t="n">
        <x:v>1</x:v>
      </x:c>
      <x:c r="P52" s="83" t="n">
        <x:v>2382.8</x:v>
      </x:c>
      <x:c r="Q52" s="84" t="n">
        <x:v>0.15</x:v>
      </x:c>
      <x:c r="R52" s="83" t="n">
        <x:v>2025.38</x:v>
      </x:c>
      <x:c r="S52" s="83" t="n">
        <x:v>1140.65</x:v>
      </x:c>
      <x:c r="T52" s="83" t="n">
        <x:v>884.73</x:v>
      </x:c>
      <x:c r="U52" s="83" t="str">
        <x:v>Paid</x:v>
      </x:c>
      <x:c r="V52" s="83" t="str">
        <x:v>Completed</x:v>
      </x:c>
      <x:c r="W52" s="151" t="n">
        <x:f>IF(OR(NOT(ISNUMBER($AP52)),COUNT($O52,$P52)&lt;2,$O52&lt;=0,$P52&lt;0),"",ROUND($O52*$P52*(1-$AP52),2))</x:f>
        <x:v>2025.38</x:v>
      </x:c>
      <x:c r="X52" s="151" t="n">
        <x:f>IF(OR(NOT(ISNUMBER($W52)),NOT(ISNUMBER($S52))),"",ROUND($W52-$S52,2))</x:f>
        <x:v>884.73</x:v>
      </x:c>
      <x:c r="Y52" s="85" t="n">
        <x:f>IF(OR(NOT(ISNUMBER($W52)),NOT(ISNUMBER($X52)),$W52=0),"",ROUND($X52/$W52,4))</x:f>
        <x:v>0.4368</x:v>
      </x:c>
      <x:c r="Z52" s="82" t="n">
        <x:f>IF(OR($AH52&lt;&gt;"Valid",$AI52&lt;&gt;"Valid"),"",INT($D52-$C52))</x:f>
        <x:v>8</x:v>
      </x:c>
      <x:c r="AA52" s="86" t="str">
        <x:f>IF($AH52&lt;&gt;"Valid","",TEXT($C52,"mmmm"))</x:f>
        <x:v>May</x:v>
      </x:c>
      <x:c r="AB52" s="82" t="n">
        <x:f>IF($AH52&lt;&gt;"Valid","",YEAR($C52))</x:f>
        <x:v>2025</x:v>
      </x:c>
      <x:c r="AC52" s="80" t="str">
        <x:v>Consistent</x:v>
      </x:c>
      <x:c r="AD52" s="80" t="str">
        <x:v>Eligible</x:v>
      </x:c>
      <x:c r="AE52" s="80" t="str">
        <x:f>IF(OR($AH52&lt;&gt;"Valid",$AI52&lt;&gt;"Valid",$AJ52&lt;&gt;"Valid",LEFT($AM52,7)="Invalid",IFERROR(ABS($AQ52)&gt;0.01,FALSE),IFERROR(ABS($AR52)&gt;0.01,FALSE),COUNTIF($AS52,"*Conflicting duplicate*")&gt;0,COUNTIF($AS52,"*Completed order not paid*")&gt;0),"Invalid",IF(OR($H52="Unknown",$N52="Unknown",$AM52="Missing discount imputed as 0"),"Warning","Clean"))</x:f>
        <x:v>Clean</x:v>
      </x:c>
      <x:c r="AF52" s="80" t="str">
        <x:v>Pass</x:v>
      </x:c>
      <x:c r="AG52" s="80" t="str">
        <x:v>No text cleanup required</x:v>
      </x:c>
      <x:c r="AH52" s="12" t="str">
        <x:f>IF(C52="","Missing date",IF(ISNUMBER(C52),"Valid","Unrecognized/invalid date"))</x:f>
        <x:v>Valid</x:v>
      </x:c>
      <x:c r="AI52" s="12" t="str">
        <x:f>IF(D52="","Missing date",IF(ISNUMBER(D52),"Valid","Unrecognized/invalid date"))</x:f>
        <x:v>Valid</x:v>
      </x:c>
      <x:c r="AJ52" s="12" t="str">
        <x:v>Valid</x:v>
      </x:c>
      <x:c r="AK52" s="12" t="str">
        <x:v>Pass</x:v>
      </x:c>
      <x:c r="AL52" s="12" t="str">
        <x:v>None</x:v>
      </x:c>
      <x:c r="AM52" s="12" t="str">
        <x:v>Valid</x:v>
      </x:c>
      <x:c r="AN52" s="12" t="str">
        <x:v>Include in completed sales</x:v>
      </x:c>
      <x:c r="AO52" s="12" t="str">
        <x:v>Not a refunded record</x:v>
      </x:c>
      <x:c r="AP52" s="37" t="n">
        <x:f>IF(LEFT($AM52,7)="Invalid","",IF($AM52="Missing discount imputed as 0",IF(AND(COUNT($O52,$P52,$R52,$S52)=4,$O52&gt;0,$P52&gt;=0,$R52&gt;=0,$S52&gt;=0),0,""),IF(AND(ISNUMBER($Q52),$Q52&gt;=0,$Q52&lt;=0.5),$Q52,"")))</x:f>
        <x:v>0.15</x:v>
      </x:c>
      <x:c r="AQ52" s="152" t="n">
        <x:f>IF(OR($W52="",NOT(ISNUMBER($R52))),"",ROUND($R52-$W52,2))</x:f>
        <x:v>0</x:v>
      </x:c>
      <x:c r="AR52" s="152" t="n">
        <x:f>IF(OR($X52="",NOT(ISNUMBER($T52))),"",ROUND($T52-$X52,2))</x:f>
        <x:v>0</x:v>
      </x:c>
      <x:c r="AS52" s="14" t="str">
        <x:v>OK</x:v>
      </x:c>
    </x:row>
    <x:row r="53">
      <x:c r="A53" s="80" t="n">
        <x:v>53</x:v>
      </x:c>
      <x:c r="B53" s="80" t="str">
        <x:v>ORD-2024-10052</x:v>
      </x:c>
      <x:c r="C53" s="81" t="n">
        <x:v>45406</x:v>
      </x:c>
      <x:c r="D53" s="81" t="n">
        <x:v>45411</x:v>
      </x:c>
      <x:c r="E53" s="80" t="str">
        <x:v>CUST-3557</x:v>
      </x:c>
      <x:c r="F53" s="80" t="str">
        <x:v>Ananya Rao</x:v>
      </x:c>
      <x:c r="G53" s="80" t="str">
        <x:v>Corporate</x:v>
      </x:c>
      <x:c r="H53" s="80" t="str">
        <x:v>South</x:v>
      </x:c>
      <x:c r="I53" s="80" t="str">
        <x:v>Telangana</x:v>
      </x:c>
      <x:c r="J53" s="80" t="str">
        <x:v>Hyderabad</x:v>
      </x:c>
      <x:c r="K53" s="80" t="str">
        <x:v>Office Supplies</x:v>
      </x:c>
      <x:c r="L53" s="80" t="str">
        <x:v>Art</x:v>
      </x:c>
      <x:c r="M53" s="80" t="str">
        <x:v>Pro Art 907</x:v>
      </x:c>
      <x:c r="N53" s="80" t="str">
        <x:v>Standard Class</x:v>
      </x:c>
      <x:c r="O53" s="82" t="n">
        <x:v>6</x:v>
      </x:c>
      <x:c r="P53" s="83" t="n">
        <x:v>1528.08</x:v>
      </x:c>
      <x:c r="Q53" s="84" t="n">
        <x:v>0</x:v>
      </x:c>
      <x:c r="R53" s="83" t="n">
        <x:v>9168.48</x:v>
      </x:c>
      <x:c r="S53" s="83" t="n">
        <x:v>7439.77</x:v>
      </x:c>
      <x:c r="T53" s="83" t="n">
        <x:v>1728.71</x:v>
      </x:c>
      <x:c r="U53" s="83" t="str">
        <x:v>Paid</x:v>
      </x:c>
      <x:c r="V53" s="83" t="str">
        <x:v>Completed</x:v>
      </x:c>
      <x:c r="W53" s="151" t="n">
        <x:f>IF(OR(NOT(ISNUMBER($AP53)),COUNT($O53,$P53)&lt;2,$O53&lt;=0,$P53&lt;0),"",ROUND($O53*$P53*(1-$AP53),2))</x:f>
        <x:v>9168.48</x:v>
      </x:c>
      <x:c r="X53" s="151" t="n">
        <x:f>IF(OR(NOT(ISNUMBER($W53)),NOT(ISNUMBER($S53))),"",ROUND($W53-$S53,2))</x:f>
        <x:v>1728.71</x:v>
      </x:c>
      <x:c r="Y53" s="85" t="n">
        <x:f>IF(OR(NOT(ISNUMBER($W53)),NOT(ISNUMBER($X53)),$W53=0),"",ROUND($X53/$W53,4))</x:f>
        <x:v>0.1885</x:v>
      </x:c>
      <x:c r="Z53" s="82" t="n">
        <x:f>IF(OR($AH53&lt;&gt;"Valid",$AI53&lt;&gt;"Valid"),"",INT($D53-$C53))</x:f>
        <x:v>5</x:v>
      </x:c>
      <x:c r="AA53" s="86" t="str">
        <x:f>IF($AH53&lt;&gt;"Valid","",TEXT($C53,"mmmm"))</x:f>
        <x:v>April</x:v>
      </x:c>
      <x:c r="AB53" s="82" t="n">
        <x:f>IF($AH53&lt;&gt;"Valid","",YEAR($C53))</x:f>
        <x:v>2024</x:v>
      </x:c>
      <x:c r="AC53" s="80" t="str">
        <x:v>Consistent</x:v>
      </x:c>
      <x:c r="AD53" s="80" t="str">
        <x:v>Eligible</x:v>
      </x:c>
      <x:c r="AE53" s="80" t="str">
        <x:f>IF(OR($AH53&lt;&gt;"Valid",$AI53&lt;&gt;"Valid",$AJ53&lt;&gt;"Valid",LEFT($AM53,7)="Invalid",IFERROR(ABS($AQ53)&gt;0.01,FALSE),IFERROR(ABS($AR53)&gt;0.01,FALSE),COUNTIF($AS53,"*Conflicting duplicate*")&gt;0,COUNTIF($AS53,"*Completed order not paid*")&gt;0),"Invalid",IF(OR($H53="Unknown",$N53="Unknown",$AM53="Missing discount imputed as 0"),"Warning","Clean"))</x:f>
        <x:v>Clean</x:v>
      </x:c>
      <x:c r="AF53" s="80" t="str">
        <x:v>Cleaned</x:v>
      </x:c>
      <x:c r="AG53" s="80" t="str">
        <x:v>customer_name: TRIM/SUBSTITUTE whitespace cleanup</x:v>
      </x:c>
      <x:c r="AH53" s="12" t="str">
        <x:f>IF(C53="","Missing date",IF(ISNUMBER(C53),"Valid","Unrecognized/invalid date"))</x:f>
        <x:v>Valid</x:v>
      </x:c>
      <x:c r="AI53" s="12" t="str">
        <x:f>IF(D53="","Missing date",IF(ISNUMBER(D53),"Valid","Unrecognized/invalid date"))</x:f>
        <x:v>Valid</x:v>
      </x:c>
      <x:c r="AJ53" s="12" t="str">
        <x:v>Valid</x:v>
      </x:c>
      <x:c r="AK53" s="12" t="str">
        <x:v>Pass</x:v>
      </x:c>
      <x:c r="AL53" s="12" t="str">
        <x:v>None</x:v>
      </x:c>
      <x:c r="AM53" s="12" t="str">
        <x:v>Valid</x:v>
      </x:c>
      <x:c r="AN53" s="12" t="str">
        <x:v>Include in completed sales</x:v>
      </x:c>
      <x:c r="AO53" s="12" t="str">
        <x:v>Not a refunded record</x:v>
      </x:c>
      <x:c r="AP53" s="37" t="n">
        <x:f>IF(LEFT($AM53,7)="Invalid","",IF($AM53="Missing discount imputed as 0",IF(AND(COUNT($O53,$P53,$R53,$S53)=4,$O53&gt;0,$P53&gt;=0,$R53&gt;=0,$S53&gt;=0),0,""),IF(AND(ISNUMBER($Q53),$Q53&gt;=0,$Q53&lt;=0.5),$Q53,"")))</x:f>
        <x:v>0</x:v>
      </x:c>
      <x:c r="AQ53" s="152" t="n">
        <x:f>IF(OR($W53="",NOT(ISNUMBER($R53))),"",ROUND($R53-$W53,2))</x:f>
        <x:v>0</x:v>
      </x:c>
      <x:c r="AR53" s="152" t="n">
        <x:f>IF(OR($X53="",NOT(ISNUMBER($T53))),"",ROUND($T53-$X53,2))</x:f>
        <x:v>0</x:v>
      </x:c>
      <x:c r="AS53" s="14" t="str">
        <x:v>OK</x:v>
      </x:c>
    </x:row>
    <x:row r="54">
      <x:c r="A54" s="80" t="n">
        <x:v>54</x:v>
      </x:c>
      <x:c r="B54" s="80" t="str">
        <x:v>ORD-2024-10053</x:v>
      </x:c>
      <x:c r="C54" s="81" t="n">
        <x:v>45591</x:v>
      </x:c>
      <x:c r="D54" s="81" t="n">
        <x:v>45593</x:v>
      </x:c>
      <x:c r="E54" s="80" t="str">
        <x:v>CUST-2778</x:v>
      </x:c>
      <x:c r="F54" s="80" t="str">
        <x:v>Kabir Singh</x:v>
      </x:c>
      <x:c r="G54" s="80" t="str">
        <x:v>Small Business</x:v>
      </x:c>
      <x:c r="H54" s="80" t="str">
        <x:v>North</x:v>
      </x:c>
      <x:c r="I54" s="80" t="str">
        <x:v>Rajasthan</x:v>
      </x:c>
      <x:c r="J54" s="80" t="str">
        <x:v>Jaipur</x:v>
      </x:c>
      <x:c r="K54" s="80" t="str">
        <x:v>Furniture</x:v>
      </x:c>
      <x:c r="L54" s="80" t="str">
        <x:v>Chairs</x:v>
      </x:c>
      <x:c r="M54" s="80" t="str">
        <x:v>Pro Chairs 526</x:v>
      </x:c>
      <x:c r="N54" s="80" t="str">
        <x:v>First Class</x:v>
      </x:c>
      <x:c r="O54" s="82" t="n">
        <x:v>9</x:v>
      </x:c>
      <x:c r="P54" s="83" t="n">
        <x:v>1399.63</x:v>
      </x:c>
      <x:c r="Q54" s="84" t="n">
        <x:v>0</x:v>
      </x:c>
      <x:c r="R54" s="83" t="n">
        <x:v>12596.67</x:v>
      </x:c>
      <x:c r="S54" s="83" t="n">
        <x:v>10603.29</x:v>
      </x:c>
      <x:c r="T54" s="83" t="n">
        <x:v>1993.38</x:v>
      </x:c>
      <x:c r="U54" s="83" t="str">
        <x:v>Failed</x:v>
      </x:c>
      <x:c r="V54" s="83" t="str">
        <x:v>Cancelled</x:v>
      </x:c>
      <x:c r="W54" s="151" t="n">
        <x:f>IF(OR(NOT(ISNUMBER($AP54)),COUNT($O54,$P54)&lt;2,$O54&lt;=0,$P54&lt;0),"",ROUND($O54*$P54*(1-$AP54),2))</x:f>
        <x:v>12596.67</x:v>
      </x:c>
      <x:c r="X54" s="151" t="n">
        <x:f>IF(OR(NOT(ISNUMBER($W54)),NOT(ISNUMBER($S54))),"",ROUND($W54-$S54,2))</x:f>
        <x:v>1993.38</x:v>
      </x:c>
      <x:c r="Y54" s="85" t="n">
        <x:f>IF(OR(NOT(ISNUMBER($W54)),NOT(ISNUMBER($X54)),$W54=0),"",ROUND($X54/$W54,4))</x:f>
        <x:v>0.1582</x:v>
      </x:c>
      <x:c r="Z54" s="82" t="n">
        <x:f>IF(OR($AH54&lt;&gt;"Valid",$AI54&lt;&gt;"Valid"),"",INT($D54-$C54))</x:f>
        <x:v>2</x:v>
      </x:c>
      <x:c r="AA54" s="86" t="str">
        <x:f>IF($AH54&lt;&gt;"Valid","",TEXT($C54,"mmmm"))</x:f>
        <x:v>October</x:v>
      </x:c>
      <x:c r="AB54" s="82" t="n">
        <x:f>IF($AH54&lt;&gt;"Valid","",YEAR($C54))</x:f>
        <x:v>2024</x:v>
      </x:c>
      <x:c r="AC54" s="80" t="str">
        <x:v>Cancelled (excluded from completed-sales summary)</x:v>
      </x:c>
      <x:c r="AD54" s="80" t="str">
        <x:v>Excluded</x:v>
      </x:c>
      <x:c r="AE54" s="80" t="str">
        <x:f>IF(OR($AH54&lt;&gt;"Valid",$AI54&lt;&gt;"Valid",$AJ54&lt;&gt;"Valid",LEFT($AM54,7)="Invalid",IFERROR(ABS($AQ54)&gt;0.01,FALSE),IFERROR(ABS($AR54)&gt;0.01,FALSE),COUNTIF($AS54,"*Conflicting duplicate*")&gt;0,COUNTIF($AS54,"*Completed order not paid*")&gt;0),"Invalid",IF(OR($H54="Unknown",$N54="Unknown",$AM54="Missing discount imputed as 0"),"Warning","Clean"))</x:f>
        <x:v>Clean</x:v>
      </x:c>
      <x:c r="AF54" s="80" t="str">
        <x:v>Pass</x:v>
      </x:c>
      <x:c r="AG54" s="80" t="str">
        <x:v>No text cleanup required</x:v>
      </x:c>
      <x:c r="AH54" s="12" t="str">
        <x:f>IF(C54="","Missing date",IF(ISNUMBER(C54),"Valid","Unrecognized/invalid date"))</x:f>
        <x:v>Valid</x:v>
      </x:c>
      <x:c r="AI54" s="12" t="str">
        <x:f>IF(D54="","Missing date",IF(ISNUMBER(D54),"Valid","Unrecognized/invalid date"))</x:f>
        <x:v>Valid</x:v>
      </x:c>
      <x:c r="AJ54" s="12" t="str">
        <x:v>Valid</x:v>
      </x:c>
      <x:c r="AK54" s="12" t="str">
        <x:v>Pass</x:v>
      </x:c>
      <x:c r="AL54" s="12" t="str">
        <x:v>Cancelled order – excluded from completed sales; Failed payment – excluded from completed sales</x:v>
      </x:c>
      <x:c r="AM54" s="12" t="str">
        <x:v>Valid</x:v>
      </x:c>
      <x:c r="AN54" s="12" t="str">
        <x:v>Exclude from completed sales</x:v>
      </x:c>
      <x:c r="AO54" s="12" t="str">
        <x:v>Not a refunded record</x:v>
      </x:c>
      <x:c r="AP54" s="37" t="n">
        <x:f>IF(LEFT($AM54,7)="Invalid","",IF($AM54="Missing discount imputed as 0",IF(AND(COUNT($O54,$P54,$R54,$S54)=4,$O54&gt;0,$P54&gt;=0,$R54&gt;=0,$S54&gt;=0),0,""),IF(AND(ISNUMBER($Q54),$Q54&gt;=0,$Q54&lt;=0.5),$Q54,"")))</x:f>
        <x:v>0</x:v>
      </x:c>
      <x:c r="AQ54" s="152" t="n">
        <x:f>IF(OR($W54="",NOT(ISNUMBER($R54))),"",ROUND($R54-$W54,2))</x:f>
        <x:v>0</x:v>
      </x:c>
      <x:c r="AR54" s="152" t="n">
        <x:f>IF(OR($X54="",NOT(ISNUMBER($T54))),"",ROUND($T54-$X54,2))</x:f>
        <x:v>0</x:v>
      </x:c>
      <x:c r="AS54" s="14" t="str">
        <x:v>OK</x:v>
      </x:c>
    </x:row>
    <x:row r="55">
      <x:c r="A55" s="80" t="n">
        <x:v>55</x:v>
      </x:c>
      <x:c r="B55" s="80" t="str">
        <x:v>ORD-2025-10054</x:v>
      </x:c>
      <x:c r="C55" s="81" t="n">
        <x:v>45747</x:v>
      </x:c>
      <x:c r="D55" s="81" t="n">
        <x:v>45747</x:v>
      </x:c>
      <x:c r="E55" s="80" t="str">
        <x:v>CUST-7195</x:v>
      </x:c>
      <x:c r="F55" s="80" t="str">
        <x:v>Kabir Singh</x:v>
      </x:c>
      <x:c r="G55" s="80" t="str">
        <x:v>Home Office</x:v>
      </x:c>
      <x:c r="H55" s="80" t="str">
        <x:v>West</x:v>
      </x:c>
      <x:c r="I55" s="80" t="str">
        <x:v>Gujarat</x:v>
      </x:c>
      <x:c r="J55" s="80" t="str">
        <x:v>Ahmedabad</x:v>
      </x:c>
      <x:c r="K55" s="80" t="str">
        <x:v>Office Supplies</x:v>
      </x:c>
      <x:c r="L55" s="80" t="str">
        <x:v>Storage</x:v>
      </x:c>
      <x:c r="M55" s="80" t="str">
        <x:v>Elite Storage 924</x:v>
      </x:c>
      <x:c r="N55" s="80" t="str">
        <x:v>First Class</x:v>
      </x:c>
      <x:c r="O55" s="82" t="n">
        <x:v>5</x:v>
      </x:c>
      <x:c r="P55" s="83" t="n">
        <x:v>1207.47</x:v>
      </x:c>
      <x:c r="Q55" s="84" t="n">
        <x:v>0.15</x:v>
      </x:c>
      <x:c r="R55" s="83" t="n">
        <x:v>5131.75</x:v>
      </x:c>
      <x:c r="S55" s="83" t="n">
        <x:v>2838.68</x:v>
      </x:c>
      <x:c r="T55" s="83" t="n">
        <x:v>2293.07</x:v>
      </x:c>
      <x:c r="U55" s="83" t="str">
        <x:v>Paid</x:v>
      </x:c>
      <x:c r="V55" s="83" t="str">
        <x:v>Completed</x:v>
      </x:c>
      <x:c r="W55" s="151" t="n">
        <x:f>IF(OR(NOT(ISNUMBER($AP55)),COUNT($O55,$P55)&lt;2,$O55&lt;=0,$P55&lt;0),"",ROUND($O55*$P55*(1-$AP55),2))</x:f>
        <x:v>5131.75</x:v>
      </x:c>
      <x:c r="X55" s="151" t="n">
        <x:f>IF(OR(NOT(ISNUMBER($W55)),NOT(ISNUMBER($S55))),"",ROUND($W55-$S55,2))</x:f>
        <x:v>2293.07</x:v>
      </x:c>
      <x:c r="Y55" s="85" t="n">
        <x:f>IF(OR(NOT(ISNUMBER($W55)),NOT(ISNUMBER($X55)),$W55=0),"",ROUND($X55/$W55,4))</x:f>
        <x:v>0.4468</x:v>
      </x:c>
      <x:c r="Z55" s="82" t="n">
        <x:f>IF(OR($AH55&lt;&gt;"Valid",$AI55&lt;&gt;"Valid"),"",INT($D55-$C55))</x:f>
        <x:v>0</x:v>
      </x:c>
      <x:c r="AA55" s="86" t="str">
        <x:f>IF($AH55&lt;&gt;"Valid","",TEXT($C55,"mmmm"))</x:f>
        <x:v>March</x:v>
      </x:c>
      <x:c r="AB55" s="82" t="n">
        <x:f>IF($AH55&lt;&gt;"Valid","",YEAR($C55))</x:f>
        <x:v>2025</x:v>
      </x:c>
      <x:c r="AC55" s="80" t="str">
        <x:v>Consistent</x:v>
      </x:c>
      <x:c r="AD55" s="80" t="str">
        <x:v>Eligible</x:v>
      </x:c>
      <x:c r="AE55" s="80" t="str">
        <x:f>IF(OR($AH55&lt;&gt;"Valid",$AI55&lt;&gt;"Valid",$AJ55&lt;&gt;"Valid",LEFT($AM55,7)="Invalid",IFERROR(ABS($AQ55)&gt;0.01,FALSE),IFERROR(ABS($AR55)&gt;0.01,FALSE),COUNTIF($AS55,"*Conflicting duplicate*")&gt;0,COUNTIF($AS55,"*Completed order not paid*")&gt;0),"Invalid",IF(OR($H55="Unknown",$N55="Unknown",$AM55="Missing discount imputed as 0"),"Warning","Clean"))</x:f>
        <x:v>Clean</x:v>
      </x:c>
      <x:c r="AF55" s="80" t="str">
        <x:v>Pass</x:v>
      </x:c>
      <x:c r="AG55" s="80" t="str">
        <x:v>No text cleanup required</x:v>
      </x:c>
      <x:c r="AH55" s="12" t="str">
        <x:f>IF(C55="","Missing date",IF(ISNUMBER(C55),"Valid","Unrecognized/invalid date"))</x:f>
        <x:v>Valid</x:v>
      </x:c>
      <x:c r="AI55" s="12" t="str">
        <x:f>IF(D55="","Missing date",IF(ISNUMBER(D55),"Valid","Unrecognized/invalid date"))</x:f>
        <x:v>Valid</x:v>
      </x:c>
      <x:c r="AJ55" s="12" t="str">
        <x:v>Valid</x:v>
      </x:c>
      <x:c r="AK55" s="12" t="str">
        <x:v>Pass</x:v>
      </x:c>
      <x:c r="AL55" s="12" t="str">
        <x:v>None</x:v>
      </x:c>
      <x:c r="AM55" s="12" t="str">
        <x:v>Valid</x:v>
      </x:c>
      <x:c r="AN55" s="12" t="str">
        <x:v>Include in completed sales</x:v>
      </x:c>
      <x:c r="AO55" s="12" t="str">
        <x:v>Not a refunded record</x:v>
      </x:c>
      <x:c r="AP55" s="37" t="n">
        <x:f>IF(LEFT($AM55,7)="Invalid","",IF($AM55="Missing discount imputed as 0",IF(AND(COUNT($O55,$P55,$R55,$S55)=4,$O55&gt;0,$P55&gt;=0,$R55&gt;=0,$S55&gt;=0),0,""),IF(AND(ISNUMBER($Q55),$Q55&gt;=0,$Q55&lt;=0.5),$Q55,"")))</x:f>
        <x:v>0.15</x:v>
      </x:c>
      <x:c r="AQ55" s="152" t="n">
        <x:f>IF(OR($W55="",NOT(ISNUMBER($R55))),"",ROUND($R55-$W55,2))</x:f>
        <x:v>0</x:v>
      </x:c>
      <x:c r="AR55" s="152" t="n">
        <x:f>IF(OR($X55="",NOT(ISNUMBER($T55))),"",ROUND($T55-$X55,2))</x:f>
        <x:v>0</x:v>
      </x:c>
      <x:c r="AS55" s="14" t="str">
        <x:v>OK</x:v>
      </x:c>
    </x:row>
    <x:row r="56">
      <x:c r="A56" s="80" t="n">
        <x:v>56</x:v>
      </x:c>
      <x:c r="B56" s="80" t="str">
        <x:v>ORD-2025-10055</x:v>
      </x:c>
      <x:c r="C56" s="81" t="n">
        <x:v>45807</x:v>
      </x:c>
      <x:c r="D56" s="81" t="n">
        <x:v>45810</x:v>
      </x:c>
      <x:c r="E56" s="80" t="str">
        <x:v>CUST-9039</x:v>
      </x:c>
      <x:c r="F56" s="80" t="str">
        <x:v>Arjun Bose</x:v>
      </x:c>
      <x:c r="G56" s="80" t="str">
        <x:v>Corporate</x:v>
      </x:c>
      <x:c r="H56" s="80" t="str">
        <x:v>South</x:v>
      </x:c>
      <x:c r="I56" s="80" t="str">
        <x:v>Tamil Nadu</x:v>
      </x:c>
      <x:c r="J56" s="80" t="str">
        <x:v>Chennai</x:v>
      </x:c>
      <x:c r="K56" s="80" t="str">
        <x:v>Office Supplies</x:v>
      </x:c>
      <x:c r="L56" s="80" t="str">
        <x:v>Labels</x:v>
      </x:c>
      <x:c r="M56" s="80" t="str">
        <x:v>Pro Labels 957</x:v>
      </x:c>
      <x:c r="N56" s="80" t="str">
        <x:v>Same Day</x:v>
      </x:c>
      <x:c r="O56" s="82" t="n">
        <x:v>8</x:v>
      </x:c>
      <x:c r="P56" s="83" t="n">
        <x:v>474.37</x:v>
      </x:c>
      <x:c r="Q56" s="84" t="n">
        <x:v>0.1</x:v>
      </x:c>
      <x:c r="R56" s="83" t="n">
        <x:v>3415.46</x:v>
      </x:c>
      <x:c r="S56" s="83" t="n">
        <x:v>1993.23</x:v>
      </x:c>
      <x:c r="T56" s="83" t="n">
        <x:v>1422.23</x:v>
      </x:c>
      <x:c r="U56" s="83" t="str">
        <x:v>Failed</x:v>
      </x:c>
      <x:c r="V56" s="83" t="str">
        <x:v>Cancelled</x:v>
      </x:c>
      <x:c r="W56" s="151" t="n">
        <x:f>IF(OR(NOT(ISNUMBER($AP56)),COUNT($O56,$P56)&lt;2,$O56&lt;=0,$P56&lt;0),"",ROUND($O56*$P56*(1-$AP56),2))</x:f>
        <x:v>3415.46</x:v>
      </x:c>
      <x:c r="X56" s="151" t="n">
        <x:f>IF(OR(NOT(ISNUMBER($W56)),NOT(ISNUMBER($S56))),"",ROUND($W56-$S56,2))</x:f>
        <x:v>1422.23</x:v>
      </x:c>
      <x:c r="Y56" s="85" t="n">
        <x:f>IF(OR(NOT(ISNUMBER($W56)),NOT(ISNUMBER($X56)),$W56=0),"",ROUND($X56/$W56,4))</x:f>
        <x:v>0.4164</x:v>
      </x:c>
      <x:c r="Z56" s="82" t="n">
        <x:f>IF(OR($AH56&lt;&gt;"Valid",$AI56&lt;&gt;"Valid"),"",INT($D56-$C56))</x:f>
        <x:v>3</x:v>
      </x:c>
      <x:c r="AA56" s="86" t="str">
        <x:f>IF($AH56&lt;&gt;"Valid","",TEXT($C56,"mmmm"))</x:f>
        <x:v>May</x:v>
      </x:c>
      <x:c r="AB56" s="82" t="n">
        <x:f>IF($AH56&lt;&gt;"Valid","",YEAR($C56))</x:f>
        <x:v>2025</x:v>
      </x:c>
      <x:c r="AC56" s="80" t="str">
        <x:v>Cancelled (excluded from completed-sales summary)</x:v>
      </x:c>
      <x:c r="AD56" s="80" t="str">
        <x:v>Excluded</x:v>
      </x:c>
      <x:c r="AE56" s="80" t="str">
        <x:f>IF(OR($AH56&lt;&gt;"Valid",$AI56&lt;&gt;"Valid",$AJ56&lt;&gt;"Valid",LEFT($AM56,7)="Invalid",IFERROR(ABS($AQ56)&gt;0.01,FALSE),IFERROR(ABS($AR56)&gt;0.01,FALSE),COUNTIF($AS56,"*Conflicting duplicate*")&gt;0,COUNTIF($AS56,"*Completed order not paid*")&gt;0),"Invalid",IF(OR($H56="Unknown",$N56="Unknown",$AM56="Missing discount imputed as 0"),"Warning","Clean"))</x:f>
        <x:v>Clean</x:v>
      </x:c>
      <x:c r="AF56" s="80" t="str">
        <x:v>Pass</x:v>
      </x:c>
      <x:c r="AG56" s="80" t="str">
        <x:v>No text cleanup required</x:v>
      </x:c>
      <x:c r="AH56" s="12" t="str">
        <x:f>IF(C56="","Missing date",IF(ISNUMBER(C56),"Valid","Unrecognized/invalid date"))</x:f>
        <x:v>Valid</x:v>
      </x:c>
      <x:c r="AI56" s="12" t="str">
        <x:f>IF(D56="","Missing date",IF(ISNUMBER(D56),"Valid","Unrecognized/invalid date"))</x:f>
        <x:v>Valid</x:v>
      </x:c>
      <x:c r="AJ56" s="12" t="str">
        <x:v>Valid</x:v>
      </x:c>
      <x:c r="AK56" s="12" t="str">
        <x:v>Pass</x:v>
      </x:c>
      <x:c r="AL56" s="12" t="str">
        <x:v>Cancelled order – excluded from completed sales; Failed payment – excluded from completed sales</x:v>
      </x:c>
      <x:c r="AM56" s="12" t="str">
        <x:v>Valid</x:v>
      </x:c>
      <x:c r="AN56" s="12" t="str">
        <x:v>Exclude from completed sales</x:v>
      </x:c>
      <x:c r="AO56" s="12" t="str">
        <x:v>Not a refunded record</x:v>
      </x:c>
      <x:c r="AP56" s="37" t="n">
        <x:f>IF(LEFT($AM56,7)="Invalid","",IF($AM56="Missing discount imputed as 0",IF(AND(COUNT($O56,$P56,$R56,$S56)=4,$O56&gt;0,$P56&gt;=0,$R56&gt;=0,$S56&gt;=0),0,""),IF(AND(ISNUMBER($Q56),$Q56&gt;=0,$Q56&lt;=0.5),$Q56,"")))</x:f>
        <x:v>0.1</x:v>
      </x:c>
      <x:c r="AQ56" s="152" t="n">
        <x:f>IF(OR($W56="",NOT(ISNUMBER($R56))),"",ROUND($R56-$W56,2))</x:f>
        <x:v>0</x:v>
      </x:c>
      <x:c r="AR56" s="152" t="n">
        <x:f>IF(OR($X56="",NOT(ISNUMBER($T56))),"",ROUND($T56-$X56,2))</x:f>
        <x:v>0</x:v>
      </x:c>
      <x:c r="AS56" s="14" t="str">
        <x:v>OK</x:v>
      </x:c>
    </x:row>
    <x:row r="57">
      <x:c r="A57" s="80" t="n">
        <x:v>57</x:v>
      </x:c>
      <x:c r="B57" s="80" t="str">
        <x:v>ORD-2025-10056</x:v>
      </x:c>
      <x:c r="C57" s="81" t="n">
        <x:v>45839</x:v>
      </x:c>
      <x:c r="D57" s="81" t="n">
        <x:v>45841</x:v>
      </x:c>
      <x:c r="E57" s="80" t="str">
        <x:v>CUST-9821</x:v>
      </x:c>
      <x:c r="F57" s="80" t="str">
        <x:v>Mira Das</x:v>
      </x:c>
      <x:c r="G57" s="80" t="str">
        <x:v>Small Business</x:v>
      </x:c>
      <x:c r="H57" s="80" t="str">
        <x:v>South</x:v>
      </x:c>
      <x:c r="I57" s="80" t="str">
        <x:v>Andhra Pradesh</x:v>
      </x:c>
      <x:c r="J57" s="80" t="str">
        <x:v>Vijayawada</x:v>
      </x:c>
      <x:c r="K57" s="80" t="str">
        <x:v>Technology</x:v>
      </x:c>
      <x:c r="L57" s="80" t="str">
        <x:v>Machines</x:v>
      </x:c>
      <x:c r="M57" s="80" t="str">
        <x:v>Classic Machines 310</x:v>
      </x:c>
      <x:c r="N57" s="80" t="str">
        <x:v>Same Day</x:v>
      </x:c>
      <x:c r="O57" s="82" t="n">
        <x:v>3</x:v>
      </x:c>
      <x:c r="P57" s="83" t="n">
        <x:v>1516.24</x:v>
      </x:c>
      <x:c r="Q57" s="84" t="n">
        <x:v>0.25</x:v>
      </x:c>
      <x:c r="R57" s="83" t="n">
        <x:v>3411.54</x:v>
      </x:c>
      <x:c r="S57" s="83" t="n">
        <x:v>2803.13</x:v>
      </x:c>
      <x:c r="T57" s="83" t="n">
        <x:v>608.41</x:v>
      </x:c>
      <x:c r="U57" s="83" t="str">
        <x:v>Paid</x:v>
      </x:c>
      <x:c r="V57" s="83" t="str">
        <x:v>Completed</x:v>
      </x:c>
      <x:c r="W57" s="151" t="n">
        <x:f>IF(OR(NOT(ISNUMBER($AP57)),COUNT($O57,$P57)&lt;2,$O57&lt;=0,$P57&lt;0),"",ROUND($O57*$P57*(1-$AP57),2))</x:f>
        <x:v>3411.54</x:v>
      </x:c>
      <x:c r="X57" s="151" t="n">
        <x:f>IF(OR(NOT(ISNUMBER($W57)),NOT(ISNUMBER($S57))),"",ROUND($W57-$S57,2))</x:f>
        <x:v>608.41</x:v>
      </x:c>
      <x:c r="Y57" s="85" t="n">
        <x:f>IF(OR(NOT(ISNUMBER($W57)),NOT(ISNUMBER($X57)),$W57=0),"",ROUND($X57/$W57,4))</x:f>
        <x:v>0.1783</x:v>
      </x:c>
      <x:c r="Z57" s="82" t="n">
        <x:f>IF(OR($AH57&lt;&gt;"Valid",$AI57&lt;&gt;"Valid"),"",INT($D57-$C57))</x:f>
        <x:v>2</x:v>
      </x:c>
      <x:c r="AA57" s="86" t="str">
        <x:f>IF($AH57&lt;&gt;"Valid","",TEXT($C57,"mmmm"))</x:f>
        <x:v>July</x:v>
      </x:c>
      <x:c r="AB57" s="82" t="n">
        <x:f>IF($AH57&lt;&gt;"Valid","",YEAR($C57))</x:f>
        <x:v>2025</x:v>
      </x:c>
      <x:c r="AC57" s="80" t="str">
        <x:v>Consistent</x:v>
      </x:c>
      <x:c r="AD57" s="80" t="str">
        <x:v>Eligible</x:v>
      </x:c>
      <x:c r="AE57" s="80" t="str">
        <x:f>IF(OR($AH57&lt;&gt;"Valid",$AI57&lt;&gt;"Valid",$AJ57&lt;&gt;"Valid",LEFT($AM57,7)="Invalid",IFERROR(ABS($AQ57)&gt;0.01,FALSE),IFERROR(ABS($AR57)&gt;0.01,FALSE),COUNTIF($AS57,"*Conflicting duplicate*")&gt;0,COUNTIF($AS57,"*Completed order not paid*")&gt;0),"Invalid",IF(OR($H57="Unknown",$N57="Unknown",$AM57="Missing discount imputed as 0"),"Warning","Clean"))</x:f>
        <x:v>Clean</x:v>
      </x:c>
      <x:c r="AF57" s="80" t="str">
        <x:v>Pass</x:v>
      </x:c>
      <x:c r="AG57" s="80" t="str">
        <x:v>No text cleanup required</x:v>
      </x:c>
      <x:c r="AH57" s="12" t="str">
        <x:f>IF(C57="","Missing date",IF(ISNUMBER(C57),"Valid","Unrecognized/invalid date"))</x:f>
        <x:v>Valid</x:v>
      </x:c>
      <x:c r="AI57" s="12" t="str">
        <x:f>IF(D57="","Missing date",IF(ISNUMBER(D57),"Valid","Unrecognized/invalid date"))</x:f>
        <x:v>Valid</x:v>
      </x:c>
      <x:c r="AJ57" s="12" t="str">
        <x:v>Valid</x:v>
      </x:c>
      <x:c r="AK57" s="12" t="str">
        <x:v>Pass</x:v>
      </x:c>
      <x:c r="AL57" s="12" t="str">
        <x:v>None</x:v>
      </x:c>
      <x:c r="AM57" s="12" t="str">
        <x:v>Valid</x:v>
      </x:c>
      <x:c r="AN57" s="12" t="str">
        <x:v>Include in completed sales</x:v>
      </x:c>
      <x:c r="AO57" s="12" t="str">
        <x:v>Not a refunded record</x:v>
      </x:c>
      <x:c r="AP57" s="37" t="n">
        <x:f>IF(LEFT($AM57,7)="Invalid","",IF($AM57="Missing discount imputed as 0",IF(AND(COUNT($O57,$P57,$R57,$S57)=4,$O57&gt;0,$P57&gt;=0,$R57&gt;=0,$S57&gt;=0),0,""),IF(AND(ISNUMBER($Q57),$Q57&gt;=0,$Q57&lt;=0.5),$Q57,"")))</x:f>
        <x:v>0.25</x:v>
      </x:c>
      <x:c r="AQ57" s="152" t="n">
        <x:f>IF(OR($W57="",NOT(ISNUMBER($R57))),"",ROUND($R57-$W57,2))</x:f>
        <x:v>0</x:v>
      </x:c>
      <x:c r="AR57" s="152" t="n">
        <x:f>IF(OR($X57="",NOT(ISNUMBER($T57))),"",ROUND($T57-$X57,2))</x:f>
        <x:v>0</x:v>
      </x:c>
      <x:c r="AS57" s="14" t="str">
        <x:v>OK</x:v>
      </x:c>
    </x:row>
    <x:row r="58">
      <x:c r="A58" s="80" t="n">
        <x:v>58</x:v>
      </x:c>
      <x:c r="B58" s="80" t="str">
        <x:v>ORD-2025-10057</x:v>
      </x:c>
      <x:c r="C58" s="81" t="n">
        <x:v>45662</x:v>
      </x:c>
      <x:c r="D58" s="81" t="n">
        <x:v>45663</x:v>
      </x:c>
      <x:c r="E58" s="80" t="str">
        <x:v>CUST-8701</x:v>
      </x:c>
      <x:c r="F58" s="80" t="str">
        <x:v>Karan Malhotra</x:v>
      </x:c>
      <x:c r="G58" s="80" t="str">
        <x:v>Consumer</x:v>
      </x:c>
      <x:c r="H58" s="80" t="str">
        <x:v>South</x:v>
      </x:c>
      <x:c r="I58" s="80" t="str">
        <x:v>Karnataka</x:v>
      </x:c>
      <x:c r="J58" s="80" t="str">
        <x:v>Bengaluru</x:v>
      </x:c>
      <x:c r="K58" s="80" t="str">
        <x:v>Office Supplies</x:v>
      </x:c>
      <x:c r="L58" s="80" t="str">
        <x:v>Binders</x:v>
      </x:c>
      <x:c r="M58" s="80" t="str">
        <x:v>Smart Binders 393</x:v>
      </x:c>
      <x:c r="N58" s="80" t="str">
        <x:v>Second Class</x:v>
      </x:c>
      <x:c r="O58" s="82" t="n">
        <x:v>3</x:v>
      </x:c>
      <x:c r="P58" s="83" t="n">
        <x:v>3155.61</x:v>
      </x:c>
      <x:c r="Q58" s="84" t="n">
        <x:v>0</x:v>
      </x:c>
      <x:c r="R58" s="83" t="n">
        <x:v>9466.83</x:v>
      </x:c>
      <x:c r="S58" s="83" t="n">
        <x:v>6557.83</x:v>
      </x:c>
      <x:c r="T58" s="83" t="n">
        <x:v>2909</x:v>
      </x:c>
      <x:c r="U58" s="83" t="str">
        <x:v>Refunded</x:v>
      </x:c>
      <x:c r="V58" s="83" t="str">
        <x:v>Cancelled</x:v>
      </x:c>
      <x:c r="W58" s="151" t="n">
        <x:f>IF(OR(NOT(ISNUMBER($AP58)),COUNT($O58,$P58)&lt;2,$O58&lt;=0,$P58&lt;0),"",ROUND($O58*$P58*(1-$AP58),2))</x:f>
        <x:v>9466.83</x:v>
      </x:c>
      <x:c r="X58" s="151" t="n">
        <x:f>IF(OR(NOT(ISNUMBER($W58)),NOT(ISNUMBER($S58))),"",ROUND($W58-$S58,2))</x:f>
        <x:v>2909</x:v>
      </x:c>
      <x:c r="Y58" s="85" t="n">
        <x:f>IF(OR(NOT(ISNUMBER($W58)),NOT(ISNUMBER($X58)),$W58=0),"",ROUND($X58/$W58,4))</x:f>
        <x:v>0.3073</x:v>
      </x:c>
      <x:c r="Z58" s="82" t="n">
        <x:f>IF(OR($AH58&lt;&gt;"Valid",$AI58&lt;&gt;"Valid"),"",INT($D58-$C58))</x:f>
        <x:v>1</x:v>
      </x:c>
      <x:c r="AA58" s="86" t="str">
        <x:f>IF($AH58&lt;&gt;"Valid","",TEXT($C58,"mmmm"))</x:f>
        <x:v>January</x:v>
      </x:c>
      <x:c r="AB58" s="82" t="n">
        <x:f>IF($AH58&lt;&gt;"Valid","",YEAR($C58))</x:f>
        <x:v>2025</x:v>
      </x:c>
      <x:c r="AC58" s="80" t="str">
        <x:v>Cancelled (excluded from completed-sales summary)</x:v>
      </x:c>
      <x:c r="AD58" s="80" t="str">
        <x:v>Excluded</x:v>
      </x:c>
      <x:c r="AE58" s="80" t="str">
        <x:f>IF(OR($AH58&lt;&gt;"Valid",$AI58&lt;&gt;"Valid",$AJ58&lt;&gt;"Valid",LEFT($AM58,7)="Invalid",IFERROR(ABS($AQ58)&gt;0.01,FALSE),IFERROR(ABS($AR58)&gt;0.01,FALSE),COUNTIF($AS58,"*Conflicting duplicate*")&gt;0,COUNTIF($AS58,"*Completed order not paid*")&gt;0),"Invalid",IF(OR($H58="Unknown",$N58="Unknown",$AM58="Missing discount imputed as 0"),"Warning","Clean"))</x:f>
        <x:v>Clean</x:v>
      </x:c>
      <x:c r="AF58" s="80" t="str">
        <x:v>Pass</x:v>
      </x:c>
      <x:c r="AG58" s="80" t="str">
        <x:v>No text cleanup required</x:v>
      </x:c>
      <x:c r="AH58" s="12" t="str">
        <x:f>IF(C58="","Missing date",IF(ISNUMBER(C58),"Valid","Unrecognized/invalid date"))</x:f>
        <x:v>Valid</x:v>
      </x:c>
      <x:c r="AI58" s="12" t="str">
        <x:f>IF(D58="","Missing date",IF(ISNUMBER(D58),"Valid","Unrecognized/invalid date"))</x:f>
        <x:v>Valid</x:v>
      </x:c>
      <x:c r="AJ58" s="12" t="str">
        <x:v>Valid</x:v>
      </x:c>
      <x:c r="AK58" s="12" t="str">
        <x:v>Pass</x:v>
      </x:c>
      <x:c r="AL58" s="12" t="str">
        <x:v>Cancelled order – excluded from completed sales; Refunded payment – separately summarized</x:v>
      </x:c>
      <x:c r="AM58" s="12" t="str">
        <x:v>Valid</x:v>
      </x:c>
      <x:c r="AN58" s="12" t="str">
        <x:v>Exclude from completed sales</x:v>
      </x:c>
      <x:c r="AO58" s="12" t="str">
        <x:v>Include in refunded summary</x:v>
      </x:c>
      <x:c r="AP58" s="37" t="n">
        <x:f>IF(LEFT($AM58,7)="Invalid","",IF($AM58="Missing discount imputed as 0",IF(AND(COUNT($O58,$P58,$R58,$S58)=4,$O58&gt;0,$P58&gt;=0,$R58&gt;=0,$S58&gt;=0),0,""),IF(AND(ISNUMBER($Q58),$Q58&gt;=0,$Q58&lt;=0.5),$Q58,"")))</x:f>
        <x:v>0</x:v>
      </x:c>
      <x:c r="AQ58" s="152" t="n">
        <x:f>IF(OR($W58="",NOT(ISNUMBER($R58))),"",ROUND($R58-$W58,2))</x:f>
        <x:v>0</x:v>
      </x:c>
      <x:c r="AR58" s="152" t="n">
        <x:f>IF(OR($X58="",NOT(ISNUMBER($T58))),"",ROUND($T58-$X58,2))</x:f>
        <x:v>0</x:v>
      </x:c>
      <x:c r="AS58" s="14" t="str">
        <x:v>OK</x:v>
      </x:c>
    </x:row>
    <x:row r="59">
      <x:c r="A59" s="80" t="n">
        <x:v>59</x:v>
      </x:c>
      <x:c r="B59" s="80" t="str">
        <x:v>ORD-2024-10058</x:v>
      </x:c>
      <x:c r="C59" s="81" t="n">
        <x:v>45329</x:v>
      </x:c>
      <x:c r="D59" s="81" t="n">
        <x:v>45337</x:v>
      </x:c>
      <x:c r="E59" s="80" t="str">
        <x:v>CUST-9941</x:v>
      </x:c>
      <x:c r="F59" s="80" t="str">
        <x:v>Priya Menon</x:v>
      </x:c>
      <x:c r="G59" s="80" t="str">
        <x:v>Consumer</x:v>
      </x:c>
      <x:c r="H59" s="80" t="str">
        <x:v>West</x:v>
      </x:c>
      <x:c r="I59" s="80" t="str">
        <x:v>Goa</x:v>
      </x:c>
      <x:c r="J59" s="80" t="str">
        <x:v>Panaji</x:v>
      </x:c>
      <x:c r="K59" s="80" t="str">
        <x:v>Furniture</x:v>
      </x:c>
      <x:c r="L59" s="80" t="str">
        <x:v>Chairs</x:v>
      </x:c>
      <x:c r="M59" s="80" t="str">
        <x:v>Max Chairs 813</x:v>
      </x:c>
      <x:c r="N59" s="80" t="str">
        <x:v>Same Day</x:v>
      </x:c>
      <x:c r="O59" s="82" t="n">
        <x:v>5</x:v>
      </x:c>
      <x:c r="P59" s="83" t="n">
        <x:v>255.87</x:v>
      </x:c>
      <x:c r="Q59" s="84" t="n">
        <x:v>0</x:v>
      </x:c>
      <x:c r="R59" s="83" t="n">
        <x:v>1279.35</x:v>
      </x:c>
      <x:c r="S59" s="83" t="n">
        <x:v>1091.54</x:v>
      </x:c>
      <x:c r="T59" s="83" t="n">
        <x:v>187.81</x:v>
      </x:c>
      <x:c r="U59" s="83" t="str">
        <x:v>Paid</x:v>
      </x:c>
      <x:c r="V59" s="83" t="str">
        <x:v>Completed</x:v>
      </x:c>
      <x:c r="W59" s="151" t="n">
        <x:f>IF(OR(NOT(ISNUMBER($AP59)),COUNT($O59,$P59)&lt;2,$O59&lt;=0,$P59&lt;0),"",ROUND($O59*$P59*(1-$AP59),2))</x:f>
        <x:v>1279.35</x:v>
      </x:c>
      <x:c r="X59" s="151" t="n">
        <x:f>IF(OR(NOT(ISNUMBER($W59)),NOT(ISNUMBER($S59))),"",ROUND($W59-$S59,2))</x:f>
        <x:v>187.81</x:v>
      </x:c>
      <x:c r="Y59" s="85" t="n">
        <x:f>IF(OR(NOT(ISNUMBER($W59)),NOT(ISNUMBER($X59)),$W59=0),"",ROUND($X59/$W59,4))</x:f>
        <x:v>0.1468</x:v>
      </x:c>
      <x:c r="Z59" s="82" t="n">
        <x:f>IF(OR($AH59&lt;&gt;"Valid",$AI59&lt;&gt;"Valid"),"",INT($D59-$C59))</x:f>
        <x:v>8</x:v>
      </x:c>
      <x:c r="AA59" s="86" t="str">
        <x:f>IF($AH59&lt;&gt;"Valid","",TEXT($C59,"mmmm"))</x:f>
        <x:v>February</x:v>
      </x:c>
      <x:c r="AB59" s="82" t="n">
        <x:f>IF($AH59&lt;&gt;"Valid","",YEAR($C59))</x:f>
        <x:v>2024</x:v>
      </x:c>
      <x:c r="AC59" s="80" t="str">
        <x:v>Consistent</x:v>
      </x:c>
      <x:c r="AD59" s="80" t="str">
        <x:v>Eligible</x:v>
      </x:c>
      <x:c r="AE59" s="80" t="str">
        <x:f>IF(OR($AH59&lt;&gt;"Valid",$AI59&lt;&gt;"Valid",$AJ59&lt;&gt;"Valid",LEFT($AM59,7)="Invalid",IFERROR(ABS($AQ59)&gt;0.01,FALSE),IFERROR(ABS($AR59)&gt;0.01,FALSE),COUNTIF($AS59,"*Conflicting duplicate*")&gt;0,COUNTIF($AS59,"*Completed order not paid*")&gt;0),"Invalid",IF(OR($H59="Unknown",$N59="Unknown",$AM59="Missing discount imputed as 0"),"Warning","Clean"))</x:f>
        <x:v>Clean</x:v>
      </x:c>
      <x:c r="AF59" s="80" t="str">
        <x:v>Pass</x:v>
      </x:c>
      <x:c r="AG59" s="80" t="str">
        <x:v>No text cleanup required</x:v>
      </x:c>
      <x:c r="AH59" s="12" t="str">
        <x:f>IF(C59="","Missing date",IF(ISNUMBER(C59),"Valid","Unrecognized/invalid date"))</x:f>
        <x:v>Valid</x:v>
      </x:c>
      <x:c r="AI59" s="12" t="str">
        <x:f>IF(D59="","Missing date",IF(ISNUMBER(D59),"Valid","Unrecognized/invalid date"))</x:f>
        <x:v>Valid</x:v>
      </x:c>
      <x:c r="AJ59" s="12" t="str">
        <x:v>Valid</x:v>
      </x:c>
      <x:c r="AK59" s="12" t="str">
        <x:v>Pass</x:v>
      </x:c>
      <x:c r="AL59" s="12" t="str">
        <x:v>None</x:v>
      </x:c>
      <x:c r="AM59" s="12" t="str">
        <x:v>Valid</x:v>
      </x:c>
      <x:c r="AN59" s="12" t="str">
        <x:v>Include in completed sales</x:v>
      </x:c>
      <x:c r="AO59" s="12" t="str">
        <x:v>Not a refunded record</x:v>
      </x:c>
      <x:c r="AP59" s="37" t="n">
        <x:f>IF(LEFT($AM59,7)="Invalid","",IF($AM59="Missing discount imputed as 0",IF(AND(COUNT($O59,$P59,$R59,$S59)=4,$O59&gt;0,$P59&gt;=0,$R59&gt;=0,$S59&gt;=0),0,""),IF(AND(ISNUMBER($Q59),$Q59&gt;=0,$Q59&lt;=0.5),$Q59,"")))</x:f>
        <x:v>0</x:v>
      </x:c>
      <x:c r="AQ59" s="152" t="n">
        <x:f>IF(OR($W59="",NOT(ISNUMBER($R59))),"",ROUND($R59-$W59,2))</x:f>
        <x:v>0</x:v>
      </x:c>
      <x:c r="AR59" s="152" t="n">
        <x:f>IF(OR($X59="",NOT(ISNUMBER($T59))),"",ROUND($T59-$X59,2))</x:f>
        <x:v>0</x:v>
      </x:c>
      <x:c r="AS59" s="14" t="str">
        <x:v>OK</x:v>
      </x:c>
    </x:row>
    <x:row r="60">
      <x:c r="A60" s="80" t="n">
        <x:v>60</x:v>
      </x:c>
      <x:c r="B60" s="80" t="str">
        <x:v>ORD-2024-10059</x:v>
      </x:c>
      <x:c r="C60" s="81" t="n">
        <x:v>45536</x:v>
      </x:c>
      <x:c r="D60" s="81" t="n">
        <x:v>45542</x:v>
      </x:c>
      <x:c r="E60" s="80" t="str">
        <x:v>CUST-3983</x:v>
      </x:c>
      <x:c r="F60" s="80" t="str">
        <x:v>Isha Nair</x:v>
      </x:c>
      <x:c r="G60" s="80" t="str">
        <x:v>Home Office</x:v>
      </x:c>
      <x:c r="H60" s="80" t="str">
        <x:v>North</x:v>
      </x:c>
      <x:c r="I60" s="80" t="str">
        <x:v>Rajasthan</x:v>
      </x:c>
      <x:c r="J60" s="80" t="str">
        <x:v>Jaipur</x:v>
      </x:c>
      <x:c r="K60" s="80" t="str">
        <x:v>Office Supplies</x:v>
      </x:c>
      <x:c r="L60" s="80" t="str">
        <x:v>Storage</x:v>
      </x:c>
      <x:c r="M60" s="80" t="str">
        <x:v>Basic Storage 872</x:v>
      </x:c>
      <x:c r="N60" s="80" t="str">
        <x:v>Unknown</x:v>
      </x:c>
      <x:c r="O60" s="82" t="n">
        <x:v>9</x:v>
      </x:c>
      <x:c r="P60" s="83" t="n">
        <x:v>1389.48</x:v>
      </x:c>
      <x:c r="Q60" s="84" t="n">
        <x:v>0.1</x:v>
      </x:c>
      <x:c r="R60" s="83" t="n">
        <x:v>11254.79</x:v>
      </x:c>
      <x:c r="S60" s="83" t="n">
        <x:v>6578.06</x:v>
      </x:c>
      <x:c r="T60" s="83" t="n">
        <x:v>4676.73</x:v>
      </x:c>
      <x:c r="U60" s="83" t="str">
        <x:v>Pending</x:v>
      </x:c>
      <x:c r="V60" s="83" t="str">
        <x:v>Returned</x:v>
      </x:c>
      <x:c r="W60" s="151" t="n">
        <x:f>IF(OR(NOT(ISNUMBER($AP60)),COUNT($O60,$P60)&lt;2,$O60&lt;=0,$P60&lt;0),"",ROUND($O60*$P60*(1-$AP60),2))</x:f>
        <x:v>11254.79</x:v>
      </x:c>
      <x:c r="X60" s="151" t="n">
        <x:f>IF(OR(NOT(ISNUMBER($W60)),NOT(ISNUMBER($S60))),"",ROUND($W60-$S60,2))</x:f>
        <x:v>4676.73</x:v>
      </x:c>
      <x:c r="Y60" s="85" t="n">
        <x:f>IF(OR(NOT(ISNUMBER($W60)),NOT(ISNUMBER($X60)),$W60=0),"",ROUND($X60/$W60,4))</x:f>
        <x:v>0.4155</x:v>
      </x:c>
      <x:c r="Z60" s="82" t="n">
        <x:f>IF(OR($AH60&lt;&gt;"Valid",$AI60&lt;&gt;"Valid"),"",INT($D60-$C60))</x:f>
        <x:v>6</x:v>
      </x:c>
      <x:c r="AA60" s="86" t="str">
        <x:f>IF($AH60&lt;&gt;"Valid","",TEXT($C60,"mmmm"))</x:f>
        <x:v>September</x:v>
      </x:c>
      <x:c r="AB60" s="82" t="n">
        <x:f>IF($AH60&lt;&gt;"Valid","",YEAR($C60))</x:f>
        <x:v>2024</x:v>
      </x:c>
      <x:c r="AC60" s="80" t="str">
        <x:v>Consistent</x:v>
      </x:c>
      <x:c r="AD60" s="80" t="str">
        <x:v>Excluded</x:v>
      </x:c>
      <x:c r="AE60" s="80" t="str">
        <x:f>IF(OR($AH60&lt;&gt;"Valid",$AI60&lt;&gt;"Valid",$AJ60&lt;&gt;"Valid",LEFT($AM60,7)="Invalid",IFERROR(ABS($AQ60)&gt;0.01,FALSE),IFERROR(ABS($AR60)&gt;0.01,FALSE),COUNTIF($AS60,"*Conflicting duplicate*")&gt;0,COUNTIF($AS60,"*Completed order not paid*")&gt;0),"Invalid",IF(OR($H60="Unknown",$N60="Unknown",$AM60="Missing discount imputed as 0"),"Warning","Clean"))</x:f>
        <x:v>Warning</x:v>
      </x:c>
      <x:c r="AF60" s="80" t="str">
        <x:v>Cleaned</x:v>
      </x:c>
      <x:c r="AG60" s="80" t="str">
        <x:v>ship_mode: Missing value filled as Unknown</x:v>
      </x:c>
      <x:c r="AH60" s="12" t="str">
        <x:f>IF(C60="","Missing date",IF(ISNUMBER(C60),"Valid","Unrecognized/invalid date"))</x:f>
        <x:v>Valid</x:v>
      </x:c>
      <x:c r="AI60" s="12" t="str">
        <x:f>IF(D60="","Missing date",IF(ISNUMBER(D60),"Valid","Unrecognized/invalid date"))</x:f>
        <x:v>Valid</x:v>
      </x:c>
      <x:c r="AJ60" s="12" t="str">
        <x:v>Valid</x:v>
      </x:c>
      <x:c r="AK60" s="12" t="str">
        <x:v>Pass</x:v>
      </x:c>
      <x:c r="AL60" s="12" t="str">
        <x:v>Missing ship_mode filled as Unknown</x:v>
      </x:c>
      <x:c r="AM60" s="12" t="str">
        <x:v>Valid</x:v>
      </x:c>
      <x:c r="AN60" s="12" t="str">
        <x:v>Exclude from completed sales</x:v>
      </x:c>
      <x:c r="AO60" s="12" t="str">
        <x:v>Not a refunded record</x:v>
      </x:c>
      <x:c r="AP60" s="37" t="n">
        <x:f>IF(LEFT($AM60,7)="Invalid","",IF($AM60="Missing discount imputed as 0",IF(AND(COUNT($O60,$P60,$R60,$S60)=4,$O60&gt;0,$P60&gt;=0,$R60&gt;=0,$S60&gt;=0),0,""),IF(AND(ISNUMBER($Q60),$Q60&gt;=0,$Q60&lt;=0.5),$Q60,"")))</x:f>
        <x:v>0.1</x:v>
      </x:c>
      <x:c r="AQ60" s="152" t="n">
        <x:f>IF(OR($W60="",NOT(ISNUMBER($R60))),"",ROUND($R60-$W60,2))</x:f>
        <x:v>0</x:v>
      </x:c>
      <x:c r="AR60" s="152" t="n">
        <x:f>IF(OR($X60="",NOT(ISNUMBER($T60))),"",ROUND($T60-$X60,2))</x:f>
        <x:v>0</x:v>
      </x:c>
      <x:c r="AS60" s="14" t="str">
        <x:v>OK</x:v>
      </x:c>
    </x:row>
    <x:row r="61">
      <x:c r="A61" s="80" t="n">
        <x:v>61</x:v>
      </x:c>
      <x:c r="B61" s="80" t="str">
        <x:v>ORD-2024-10060</x:v>
      </x:c>
      <x:c r="C61" s="81" t="n">
        <x:v>45493</x:v>
      </x:c>
      <x:c r="D61" s="81" t="n">
        <x:v>45498</x:v>
      </x:c>
      <x:c r="E61" s="80" t="str">
        <x:v>CUST-2418</x:v>
      </x:c>
      <x:c r="F61" s="80" t="str">
        <x:v>Priya Menon</x:v>
      </x:c>
      <x:c r="G61" s="80" t="str">
        <x:v>Corporate</x:v>
      </x:c>
      <x:c r="H61" s="80" t="str">
        <x:v>East</x:v>
      </x:c>
      <x:c r="I61" s="80" t="str">
        <x:v>Assam</x:v>
      </x:c>
      <x:c r="J61" s="80" t="str">
        <x:v>Guwahati</x:v>
      </x:c>
      <x:c r="K61" s="80" t="str">
        <x:v>Office Supplies</x:v>
      </x:c>
      <x:c r="L61" s="80" t="str">
        <x:v>Labels</x:v>
      </x:c>
      <x:c r="M61" s="80" t="str">
        <x:v>Smart Labels 655</x:v>
      </x:c>
      <x:c r="N61" s="80" t="str">
        <x:v>Same Day</x:v>
      </x:c>
      <x:c r="O61" s="82" t="n">
        <x:v>5</x:v>
      </x:c>
      <x:c r="P61" s="83" t="n">
        <x:v>4133.85</x:v>
      </x:c>
      <x:c r="Q61" s="84" t="n">
        <x:v>0.2</x:v>
      </x:c>
      <x:c r="R61" s="83" t="n">
        <x:v>16535.4</x:v>
      </x:c>
      <x:c r="S61" s="83" t="n">
        <x:v>12990.21</x:v>
      </x:c>
      <x:c r="T61" s="83" t="n">
        <x:v>3545.19</x:v>
      </x:c>
      <x:c r="U61" s="83" t="str">
        <x:v>Paid</x:v>
      </x:c>
      <x:c r="V61" s="83" t="str">
        <x:v>Cancelled</x:v>
      </x:c>
      <x:c r="W61" s="151" t="n">
        <x:f>IF(OR(NOT(ISNUMBER($AP61)),COUNT($O61,$P61)&lt;2,$O61&lt;=0,$P61&lt;0),"",ROUND($O61*$P61*(1-$AP61),2))</x:f>
        <x:v>16535.4</x:v>
      </x:c>
      <x:c r="X61" s="151" t="n">
        <x:f>IF(OR(NOT(ISNUMBER($W61)),NOT(ISNUMBER($S61))),"",ROUND($W61-$S61,2))</x:f>
        <x:v>3545.19</x:v>
      </x:c>
      <x:c r="Y61" s="85" t="n">
        <x:f>IF(OR(NOT(ISNUMBER($W61)),NOT(ISNUMBER($X61)),$W61=0),"",ROUND($X61/$W61,4))</x:f>
        <x:v>0.2144</x:v>
      </x:c>
      <x:c r="Z61" s="82" t="n">
        <x:f>IF(OR($AH61&lt;&gt;"Valid",$AI61&lt;&gt;"Valid"),"",INT($D61-$C61))</x:f>
        <x:v>5</x:v>
      </x:c>
      <x:c r="AA61" s="86" t="str">
        <x:f>IF($AH61&lt;&gt;"Valid","",TEXT($C61,"mmmm"))</x:f>
        <x:v>July</x:v>
      </x:c>
      <x:c r="AB61" s="82" t="n">
        <x:f>IF($AH61&lt;&gt;"Valid","",YEAR($C61))</x:f>
        <x:v>2024</x:v>
      </x:c>
      <x:c r="AC61" s="80" t="str">
        <x:v>Cancelled (excluded from completed-sales summary)</x:v>
      </x:c>
      <x:c r="AD61" s="80" t="str">
        <x:v>Excluded</x:v>
      </x:c>
      <x:c r="AE61" s="80" t="str">
        <x:f>IF(OR($AH61&lt;&gt;"Valid",$AI61&lt;&gt;"Valid",$AJ61&lt;&gt;"Valid",LEFT($AM61,7)="Invalid",IFERROR(ABS($AQ61)&gt;0.01,FALSE),IFERROR(ABS($AR61)&gt;0.01,FALSE),COUNTIF($AS61,"*Conflicting duplicate*")&gt;0,COUNTIF($AS61,"*Completed order not paid*")&gt;0),"Invalid",IF(OR($H61="Unknown",$N61="Unknown",$AM61="Missing discount imputed as 0"),"Warning","Clean"))</x:f>
        <x:v>Clean</x:v>
      </x:c>
      <x:c r="AF61" s="80" t="str">
        <x:v>Pass</x:v>
      </x:c>
      <x:c r="AG61" s="80" t="str">
        <x:v>No text cleanup required</x:v>
      </x:c>
      <x:c r="AH61" s="12" t="str">
        <x:f>IF(C61="","Missing date",IF(ISNUMBER(C61),"Valid","Unrecognized/invalid date"))</x:f>
        <x:v>Valid</x:v>
      </x:c>
      <x:c r="AI61" s="12" t="str">
        <x:f>IF(D61="","Missing date",IF(ISNUMBER(D61),"Valid","Unrecognized/invalid date"))</x:f>
        <x:v>Valid</x:v>
      </x:c>
      <x:c r="AJ61" s="12" t="str">
        <x:v>Valid</x:v>
      </x:c>
      <x:c r="AK61" s="12" t="str">
        <x:v>Pass</x:v>
      </x:c>
      <x:c r="AL61" s="12" t="str">
        <x:v>Cancelled order – excluded from completed sales</x:v>
      </x:c>
      <x:c r="AM61" s="12" t="str">
        <x:v>Valid</x:v>
      </x:c>
      <x:c r="AN61" s="12" t="str">
        <x:v>Exclude from completed sales</x:v>
      </x:c>
      <x:c r="AO61" s="12" t="str">
        <x:v>Not a refunded record</x:v>
      </x:c>
      <x:c r="AP61" s="37" t="n">
        <x:f>IF(LEFT($AM61,7)="Invalid","",IF($AM61="Missing discount imputed as 0",IF(AND(COUNT($O61,$P61,$R61,$S61)=4,$O61&gt;0,$P61&gt;=0,$R61&gt;=0,$S61&gt;=0),0,""),IF(AND(ISNUMBER($Q61),$Q61&gt;=0,$Q61&lt;=0.5),$Q61,"")))</x:f>
        <x:v>0.2</x:v>
      </x:c>
      <x:c r="AQ61" s="152" t="n">
        <x:f>IF(OR($W61="",NOT(ISNUMBER($R61))),"",ROUND($R61-$W61,2))</x:f>
        <x:v>0</x:v>
      </x:c>
      <x:c r="AR61" s="152" t="n">
        <x:f>IF(OR($X61="",NOT(ISNUMBER($T61))),"",ROUND($T61-$X61,2))</x:f>
        <x:v>0</x:v>
      </x:c>
      <x:c r="AS61" s="14" t="str">
        <x:v>OK</x:v>
      </x:c>
    </x:row>
    <x:row r="62">
      <x:c r="A62" s="80" t="n">
        <x:v>62</x:v>
      </x:c>
      <x:c r="B62" s="80" t="str">
        <x:v>ORD-2024-10061</x:v>
      </x:c>
      <x:c r="C62" s="81" t="n">
        <x:v>45486</x:v>
      </x:c>
      <x:c r="D62" s="81" t="n">
        <x:v>45492</x:v>
      </x:c>
      <x:c r="E62" s="80" t="str">
        <x:v>CUST-2892</x:v>
      </x:c>
      <x:c r="F62" s="80" t="str">
        <x:v>Ananya Rao</x:v>
      </x:c>
      <x:c r="G62" s="80" t="str">
        <x:v>Corporate</x:v>
      </x:c>
      <x:c r="H62" s="80" t="str">
        <x:v>East</x:v>
      </x:c>
      <x:c r="I62" s="80" t="str">
        <x:v>Assam</x:v>
      </x:c>
      <x:c r="J62" s="80" t="str">
        <x:v>Guwahati</x:v>
      </x:c>
      <x:c r="K62" s="80" t="str">
        <x:v>Office Supplies</x:v>
      </x:c>
      <x:c r="L62" s="80" t="str">
        <x:v>Labels</x:v>
      </x:c>
      <x:c r="M62" s="80" t="str">
        <x:v>Eco Labels 210</x:v>
      </x:c>
      <x:c r="N62" s="80" t="str">
        <x:v>Same Day</x:v>
      </x:c>
      <x:c r="O62" s="82" t="n">
        <x:v>3</x:v>
      </x:c>
      <x:c r="P62" s="83" t="n">
        <x:v>275.76</x:v>
      </x:c>
      <x:c r="Q62" s="84" t="n">
        <x:v>0.2</x:v>
      </x:c>
      <x:c r="R62" s="83" t="n">
        <x:v>661.82</x:v>
      </x:c>
      <x:c r="S62" s="83" t="n">
        <x:v>481.47</x:v>
      </x:c>
      <x:c r="T62" s="83" t="n">
        <x:v>180.35</x:v>
      </x:c>
      <x:c r="U62" s="83" t="str">
        <x:v>Refunded</x:v>
      </x:c>
      <x:c r="V62" s="83" t="str">
        <x:v>Cancelled</x:v>
      </x:c>
      <x:c r="W62" s="151" t="n">
        <x:f>IF(OR(NOT(ISNUMBER($AP62)),COUNT($O62,$P62)&lt;2,$O62&lt;=0,$P62&lt;0),"",ROUND($O62*$P62*(1-$AP62),2))</x:f>
        <x:v>661.82</x:v>
      </x:c>
      <x:c r="X62" s="151" t="n">
        <x:f>IF(OR(NOT(ISNUMBER($W62)),NOT(ISNUMBER($S62))),"",ROUND($W62-$S62,2))</x:f>
        <x:v>180.35</x:v>
      </x:c>
      <x:c r="Y62" s="85" t="n">
        <x:f>IF(OR(NOT(ISNUMBER($W62)),NOT(ISNUMBER($X62)),$W62=0),"",ROUND($X62/$W62,4))</x:f>
        <x:v>0.2725</x:v>
      </x:c>
      <x:c r="Z62" s="82" t="n">
        <x:f>IF(OR($AH62&lt;&gt;"Valid",$AI62&lt;&gt;"Valid"),"",INT($D62-$C62))</x:f>
        <x:v>6</x:v>
      </x:c>
      <x:c r="AA62" s="86" t="str">
        <x:f>IF($AH62&lt;&gt;"Valid","",TEXT($C62,"mmmm"))</x:f>
        <x:v>July</x:v>
      </x:c>
      <x:c r="AB62" s="82" t="n">
        <x:f>IF($AH62&lt;&gt;"Valid","",YEAR($C62))</x:f>
        <x:v>2024</x:v>
      </x:c>
      <x:c r="AC62" s="80" t="str">
        <x:v>Cancelled (excluded from completed-sales summary)</x:v>
      </x:c>
      <x:c r="AD62" s="80" t="str">
        <x:v>Excluded</x:v>
      </x:c>
      <x:c r="AE62" s="80" t="str">
        <x:f>IF(OR($AH62&lt;&gt;"Valid",$AI62&lt;&gt;"Valid",$AJ62&lt;&gt;"Valid",LEFT($AM62,7)="Invalid",IFERROR(ABS($AQ62)&gt;0.01,FALSE),IFERROR(ABS($AR62)&gt;0.01,FALSE),COUNTIF($AS62,"*Conflicting duplicate*")&gt;0,COUNTIF($AS62,"*Completed order not paid*")&gt;0),"Invalid",IF(OR($H62="Unknown",$N62="Unknown",$AM62="Missing discount imputed as 0"),"Warning","Clean"))</x:f>
        <x:v>Clean</x:v>
      </x:c>
      <x:c r="AF62" s="80" t="str">
        <x:v>Pass</x:v>
      </x:c>
      <x:c r="AG62" s="80" t="str">
        <x:v>No text cleanup required</x:v>
      </x:c>
      <x:c r="AH62" s="12" t="str">
        <x:f>IF(C62="","Missing date",IF(ISNUMBER(C62),"Valid","Unrecognized/invalid date"))</x:f>
        <x:v>Valid</x:v>
      </x:c>
      <x:c r="AI62" s="12" t="str">
        <x:f>IF(D62="","Missing date",IF(ISNUMBER(D62),"Valid","Unrecognized/invalid date"))</x:f>
        <x:v>Valid</x:v>
      </x:c>
      <x:c r="AJ62" s="12" t="str">
        <x:v>Valid</x:v>
      </x:c>
      <x:c r="AK62" s="12" t="str">
        <x:v>Pass</x:v>
      </x:c>
      <x:c r="AL62" s="12" t="str">
        <x:v>Cancelled order – excluded from completed sales; Refunded payment – separately summarized</x:v>
      </x:c>
      <x:c r="AM62" s="12" t="str">
        <x:v>Valid</x:v>
      </x:c>
      <x:c r="AN62" s="12" t="str">
        <x:v>Exclude from completed sales</x:v>
      </x:c>
      <x:c r="AO62" s="12" t="str">
        <x:v>Include in refunded summary</x:v>
      </x:c>
      <x:c r="AP62" s="37" t="n">
        <x:f>IF(LEFT($AM62,7)="Invalid","",IF($AM62="Missing discount imputed as 0",IF(AND(COUNT($O62,$P62,$R62,$S62)=4,$O62&gt;0,$P62&gt;=0,$R62&gt;=0,$S62&gt;=0),0,""),IF(AND(ISNUMBER($Q62),$Q62&gt;=0,$Q62&lt;=0.5),$Q62,"")))</x:f>
        <x:v>0.2</x:v>
      </x:c>
      <x:c r="AQ62" s="152" t="n">
        <x:f>IF(OR($W62="",NOT(ISNUMBER($R62))),"",ROUND($R62-$W62,2))</x:f>
        <x:v>0</x:v>
      </x:c>
      <x:c r="AR62" s="152" t="n">
        <x:f>IF(OR($X62="",NOT(ISNUMBER($T62))),"",ROUND($T62-$X62,2))</x:f>
        <x:v>0</x:v>
      </x:c>
      <x:c r="AS62" s="14" t="str">
        <x:v>OK</x:v>
      </x:c>
    </x:row>
    <x:row r="63">
      <x:c r="A63" s="80" t="n">
        <x:v>63</x:v>
      </x:c>
      <x:c r="B63" s="80" t="str">
        <x:v>ORD-2024-10062</x:v>
      </x:c>
      <x:c r="C63" s="81" t="n">
        <x:v>45398</x:v>
      </x:c>
      <x:c r="D63" s="81" t="n">
        <x:v>45398</x:v>
      </x:c>
      <x:c r="E63" s="80" t="str">
        <x:v>CUST-7008</x:v>
      </x:c>
      <x:c r="F63" s="80" t="str">
        <x:v>Vikram Iyer</x:v>
      </x:c>
      <x:c r="G63" s="80" t="str">
        <x:v>Home Office</x:v>
      </x:c>
      <x:c r="H63" s="80" t="str">
        <x:v>East</x:v>
      </x:c>
      <x:c r="I63" s="80" t="str">
        <x:v>Bihar</x:v>
      </x:c>
      <x:c r="J63" s="80" t="str">
        <x:v>Patna</x:v>
      </x:c>
      <x:c r="K63" s="80" t="str">
        <x:v>Furniture</x:v>
      </x:c>
      <x:c r="L63" s="80" t="str">
        <x:v>Bookcases</x:v>
      </x:c>
      <x:c r="M63" s="80" t="str">
        <x:v>Classic Bookcases 296</x:v>
      </x:c>
      <x:c r="N63" s="80" t="str">
        <x:v>Standard Class</x:v>
      </x:c>
      <x:c r="O63" s="82" t="n">
        <x:v>1</x:v>
      </x:c>
      <x:c r="P63" s="83" t="n">
        <x:v>949.59</x:v>
      </x:c>
      <x:c r="Q63" s="84" t="n">
        <x:v>0</x:v>
      </x:c>
      <x:c r="R63" s="83" t="n">
        <x:v>949.59</x:v>
      </x:c>
      <x:c r="S63" s="83" t="n">
        <x:v>751.25</x:v>
      </x:c>
      <x:c r="T63" s="83" t="n">
        <x:v>198.34</x:v>
      </x:c>
      <x:c r="U63" s="83" t="str">
        <x:v>Paid</x:v>
      </x:c>
      <x:c r="V63" s="83" t="str">
        <x:v>Completed</x:v>
      </x:c>
      <x:c r="W63" s="151" t="n">
        <x:f>IF(OR(NOT(ISNUMBER($AP63)),COUNT($O63,$P63)&lt;2,$O63&lt;=0,$P63&lt;0),"",ROUND($O63*$P63*(1-$AP63),2))</x:f>
        <x:v>949.59</x:v>
      </x:c>
      <x:c r="X63" s="151" t="n">
        <x:f>IF(OR(NOT(ISNUMBER($W63)),NOT(ISNUMBER($S63))),"",ROUND($W63-$S63,2))</x:f>
        <x:v>198.34</x:v>
      </x:c>
      <x:c r="Y63" s="85" t="n">
        <x:f>IF(OR(NOT(ISNUMBER($W63)),NOT(ISNUMBER($X63)),$W63=0),"",ROUND($X63/$W63,4))</x:f>
        <x:v>0.2089</x:v>
      </x:c>
      <x:c r="Z63" s="82" t="n">
        <x:f>IF(OR($AH63&lt;&gt;"Valid",$AI63&lt;&gt;"Valid"),"",INT($D63-$C63))</x:f>
        <x:v>0</x:v>
      </x:c>
      <x:c r="AA63" s="86" t="str">
        <x:f>IF($AH63&lt;&gt;"Valid","",TEXT($C63,"mmmm"))</x:f>
        <x:v>April</x:v>
      </x:c>
      <x:c r="AB63" s="82" t="n">
        <x:f>IF($AH63&lt;&gt;"Valid","",YEAR($C63))</x:f>
        <x:v>2024</x:v>
      </x:c>
      <x:c r="AC63" s="80" t="str">
        <x:v>Consistent</x:v>
      </x:c>
      <x:c r="AD63" s="80" t="str">
        <x:v>Eligible</x:v>
      </x:c>
      <x:c r="AE63" s="80" t="str">
        <x:f>IF(OR($AH63&lt;&gt;"Valid",$AI63&lt;&gt;"Valid",$AJ63&lt;&gt;"Valid",LEFT($AM63,7)="Invalid",IFERROR(ABS($AQ63)&gt;0.01,FALSE),IFERROR(ABS($AR63)&gt;0.01,FALSE),COUNTIF($AS63,"*Conflicting duplicate*")&gt;0,COUNTIF($AS63,"*Completed order not paid*")&gt;0),"Invalid",IF(OR($H63="Unknown",$N63="Unknown",$AM63="Missing discount imputed as 0"),"Warning","Clean"))</x:f>
        <x:v>Clean</x:v>
      </x:c>
      <x:c r="AF63" s="80" t="str">
        <x:v>Pass</x:v>
      </x:c>
      <x:c r="AG63" s="80" t="str">
        <x:v>No text cleanup required</x:v>
      </x:c>
      <x:c r="AH63" s="12" t="str">
        <x:f>IF(C63="","Missing date",IF(ISNUMBER(C63),"Valid","Unrecognized/invalid date"))</x:f>
        <x:v>Valid</x:v>
      </x:c>
      <x:c r="AI63" s="12" t="str">
        <x:f>IF(D63="","Missing date",IF(ISNUMBER(D63),"Valid","Unrecognized/invalid date"))</x:f>
        <x:v>Valid</x:v>
      </x:c>
      <x:c r="AJ63" s="12" t="str">
        <x:v>Valid</x:v>
      </x:c>
      <x:c r="AK63" s="12" t="str">
        <x:v>Pass</x:v>
      </x:c>
      <x:c r="AL63" s="12" t="str">
        <x:v>None</x:v>
      </x:c>
      <x:c r="AM63" s="12" t="str">
        <x:v>Valid</x:v>
      </x:c>
      <x:c r="AN63" s="12" t="str">
        <x:v>Include in completed sales</x:v>
      </x:c>
      <x:c r="AO63" s="12" t="str">
        <x:v>Not a refunded record</x:v>
      </x:c>
      <x:c r="AP63" s="37" t="n">
        <x:f>IF(LEFT($AM63,7)="Invalid","",IF($AM63="Missing discount imputed as 0",IF(AND(COUNT($O63,$P63,$R63,$S63)=4,$O63&gt;0,$P63&gt;=0,$R63&gt;=0,$S63&gt;=0),0,""),IF(AND(ISNUMBER($Q63),$Q63&gt;=0,$Q63&lt;=0.5),$Q63,"")))</x:f>
        <x:v>0</x:v>
      </x:c>
      <x:c r="AQ63" s="152" t="n">
        <x:f>IF(OR($W63="",NOT(ISNUMBER($R63))),"",ROUND($R63-$W63,2))</x:f>
        <x:v>0</x:v>
      </x:c>
      <x:c r="AR63" s="152" t="n">
        <x:f>IF(OR($X63="",NOT(ISNUMBER($T63))),"",ROUND($T63-$X63,2))</x:f>
        <x:v>0</x:v>
      </x:c>
      <x:c r="AS63" s="14" t="str">
        <x:v>OK</x:v>
      </x:c>
    </x:row>
    <x:row r="64">
      <x:c r="A64" s="80" t="n">
        <x:v>64</x:v>
      </x:c>
      <x:c r="B64" s="80" t="str">
        <x:v>ORD-2024-10063</x:v>
      </x:c>
      <x:c r="C64" s="81" t="n">
        <x:v>45595</x:v>
      </x:c>
      <x:c r="D64" s="81" t="n">
        <x:v>45598</x:v>
      </x:c>
      <x:c r="E64" s="80" t="str">
        <x:v>CUST-4900</x:v>
      </x:c>
      <x:c r="F64" s="80" t="str">
        <x:v>Sneha Kapoor</x:v>
      </x:c>
      <x:c r="G64" s="80" t="str">
        <x:v>Home Office</x:v>
      </x:c>
      <x:c r="H64" s="80" t="str">
        <x:v>North</x:v>
      </x:c>
      <x:c r="I64" s="80" t="str">
        <x:v>Rajasthan</x:v>
      </x:c>
      <x:c r="J64" s="80" t="str">
        <x:v>Jaipur</x:v>
      </x:c>
      <x:c r="K64" s="80" t="str">
        <x:v>Technology</x:v>
      </x:c>
      <x:c r="L64" s="80" t="str">
        <x:v>Phones</x:v>
      </x:c>
      <x:c r="M64" s="80" t="str">
        <x:v>Basic Phones 230</x:v>
      </x:c>
      <x:c r="N64" s="80" t="str">
        <x:v>Standard Class</x:v>
      </x:c>
      <x:c r="O64" s="82" t="n">
        <x:v>9</x:v>
      </x:c>
      <x:c r="P64" s="83" t="n">
        <x:v>3042.29</x:v>
      </x:c>
      <x:c r="Q64" s="84" t="n">
        <x:v>0.2</x:v>
      </x:c>
      <x:c r="R64" s="83" t="n">
        <x:v>21904.49</x:v>
      </x:c>
      <x:c r="S64" s="83" t="n">
        <x:v>13570.55</x:v>
      </x:c>
      <x:c r="T64" s="83" t="n">
        <x:v>8333.94</x:v>
      </x:c>
      <x:c r="U64" s="83" t="str">
        <x:v>Paid</x:v>
      </x:c>
      <x:c r="V64" s="83" t="str">
        <x:v>Completed</x:v>
      </x:c>
      <x:c r="W64" s="151" t="n">
        <x:f>IF(OR(NOT(ISNUMBER($AP64)),COUNT($O64,$P64)&lt;2,$O64&lt;=0,$P64&lt;0),"",ROUND($O64*$P64*(1-$AP64),2))</x:f>
        <x:v>21904.49</x:v>
      </x:c>
      <x:c r="X64" s="151" t="n">
        <x:f>IF(OR(NOT(ISNUMBER($W64)),NOT(ISNUMBER($S64))),"",ROUND($W64-$S64,2))</x:f>
        <x:v>8333.94</x:v>
      </x:c>
      <x:c r="Y64" s="85" t="n">
        <x:f>IF(OR(NOT(ISNUMBER($W64)),NOT(ISNUMBER($X64)),$W64=0),"",ROUND($X64/$W64,4))</x:f>
        <x:v>0.3805</x:v>
      </x:c>
      <x:c r="Z64" s="82" t="n">
        <x:f>IF(OR($AH64&lt;&gt;"Valid",$AI64&lt;&gt;"Valid"),"",INT($D64-$C64))</x:f>
        <x:v>3</x:v>
      </x:c>
      <x:c r="AA64" s="86" t="str">
        <x:f>IF($AH64&lt;&gt;"Valid","",TEXT($C64,"mmmm"))</x:f>
        <x:v>October</x:v>
      </x:c>
      <x:c r="AB64" s="82" t="n">
        <x:f>IF($AH64&lt;&gt;"Valid","",YEAR($C64))</x:f>
        <x:v>2024</x:v>
      </x:c>
      <x:c r="AC64" s="80" t="str">
        <x:v>Consistent</x:v>
      </x:c>
      <x:c r="AD64" s="80" t="str">
        <x:v>Eligible</x:v>
      </x:c>
      <x:c r="AE64" s="80" t="str">
        <x:f>IF(OR($AH64&lt;&gt;"Valid",$AI64&lt;&gt;"Valid",$AJ64&lt;&gt;"Valid",LEFT($AM64,7)="Invalid",IFERROR(ABS($AQ64)&gt;0.01,FALSE),IFERROR(ABS($AR64)&gt;0.01,FALSE),COUNTIF($AS64,"*Conflicting duplicate*")&gt;0,COUNTIF($AS64,"*Completed order not paid*")&gt;0),"Invalid",IF(OR($H64="Unknown",$N64="Unknown",$AM64="Missing discount imputed as 0"),"Warning","Clean"))</x:f>
        <x:v>Clean</x:v>
      </x:c>
      <x:c r="AF64" s="80" t="str">
        <x:v>Pass</x:v>
      </x:c>
      <x:c r="AG64" s="80" t="str">
        <x:v>No text cleanup required</x:v>
      </x:c>
      <x:c r="AH64" s="12" t="str">
        <x:f>IF(C64="","Missing date",IF(ISNUMBER(C64),"Valid","Unrecognized/invalid date"))</x:f>
        <x:v>Valid</x:v>
      </x:c>
      <x:c r="AI64" s="12" t="str">
        <x:f>IF(D64="","Missing date",IF(ISNUMBER(D64),"Valid","Unrecognized/invalid date"))</x:f>
        <x:v>Valid</x:v>
      </x:c>
      <x:c r="AJ64" s="12" t="str">
        <x:v>Valid</x:v>
      </x:c>
      <x:c r="AK64" s="12" t="str">
        <x:v>Pass</x:v>
      </x:c>
      <x:c r="AL64" s="12" t="str">
        <x:v>None</x:v>
      </x:c>
      <x:c r="AM64" s="12" t="str">
        <x:v>Valid</x:v>
      </x:c>
      <x:c r="AN64" s="12" t="str">
        <x:v>Include in completed sales</x:v>
      </x:c>
      <x:c r="AO64" s="12" t="str">
        <x:v>Not a refunded record</x:v>
      </x:c>
      <x:c r="AP64" s="37" t="n">
        <x:f>IF(LEFT($AM64,7)="Invalid","",IF($AM64="Missing discount imputed as 0",IF(AND(COUNT($O64,$P64,$R64,$S64)=4,$O64&gt;0,$P64&gt;=0,$R64&gt;=0,$S64&gt;=0),0,""),IF(AND(ISNUMBER($Q64),$Q64&gt;=0,$Q64&lt;=0.5),$Q64,"")))</x:f>
        <x:v>0.2</x:v>
      </x:c>
      <x:c r="AQ64" s="152" t="n">
        <x:f>IF(OR($W64="",NOT(ISNUMBER($R64))),"",ROUND($R64-$W64,2))</x:f>
        <x:v>0</x:v>
      </x:c>
      <x:c r="AR64" s="152" t="n">
        <x:f>IF(OR($X64="",NOT(ISNUMBER($T64))),"",ROUND($T64-$X64,2))</x:f>
        <x:v>0</x:v>
      </x:c>
      <x:c r="AS64" s="14" t="str">
        <x:v>OK</x:v>
      </x:c>
    </x:row>
    <x:row r="65">
      <x:c r="A65" s="80" t="n">
        <x:v>65</x:v>
      </x:c>
      <x:c r="B65" s="80" t="str">
        <x:v>ORD-2024-10064</x:v>
      </x:c>
      <x:c r="C65" s="81" t="n">
        <x:v>45316</x:v>
      </x:c>
      <x:c r="D65" s="81" t="n">
        <x:v>45323</x:v>
      </x:c>
      <x:c r="E65" s="80" t="str">
        <x:v>CUST-5382</x:v>
      </x:c>
      <x:c r="F65" s="80" t="str">
        <x:v>Sneha Kapoor</x:v>
      </x:c>
      <x:c r="G65" s="80" t="str">
        <x:v>Home Office</x:v>
      </x:c>
      <x:c r="H65" s="80" t="str">
        <x:v>North</x:v>
      </x:c>
      <x:c r="I65" s="80" t="str">
        <x:v>Haryana</x:v>
      </x:c>
      <x:c r="J65" s="80" t="str">
        <x:v>Gurugram</x:v>
      </x:c>
      <x:c r="K65" s="80" t="str">
        <x:v>Office Supplies</x:v>
      </x:c>
      <x:c r="L65" s="80" t="str">
        <x:v>Binders</x:v>
      </x:c>
      <x:c r="M65" s="80" t="str">
        <x:v>Pro Binders 690</x:v>
      </x:c>
      <x:c r="N65" s="80" t="str">
        <x:v>Same Day</x:v>
      </x:c>
      <x:c r="O65" s="82" t="n">
        <x:v>2</x:v>
      </x:c>
      <x:c r="P65" s="83" t="n">
        <x:v>2832.77</x:v>
      </x:c>
      <x:c r="Q65" s="84" t="n">
        <x:v>0.15</x:v>
      </x:c>
      <x:c r="R65" s="83" t="n">
        <x:v>4815.71</x:v>
      </x:c>
      <x:c r="S65" s="83" t="n">
        <x:v>3027.75</x:v>
      </x:c>
      <x:c r="T65" s="83" t="n">
        <x:v>1917.47</x:v>
      </x:c>
      <x:c r="U65" s="83" t="str">
        <x:v>Paid</x:v>
      </x:c>
      <x:c r="V65" s="83" t="str">
        <x:v>Completed</x:v>
      </x:c>
      <x:c r="W65" s="151" t="n">
        <x:f>IF(OR(NOT(ISNUMBER($AP65)),COUNT($O65,$P65)&lt;2,$O65&lt;=0,$P65&lt;0),"",ROUND($O65*$P65*(1-$AP65),2))</x:f>
        <x:v>4815.71</x:v>
      </x:c>
      <x:c r="X65" s="151" t="n">
        <x:f>IF(OR(NOT(ISNUMBER($W65)),NOT(ISNUMBER($S65))),"",ROUND($W65-$S65,2))</x:f>
        <x:v>1787.96</x:v>
      </x:c>
      <x:c r="Y65" s="85" t="n">
        <x:f>IF(OR(NOT(ISNUMBER($W65)),NOT(ISNUMBER($X65)),$W65=0),"",ROUND($X65/$W65,4))</x:f>
        <x:v>0.3713</x:v>
      </x:c>
      <x:c r="Z65" s="82" t="n">
        <x:f>IF(OR($AH65&lt;&gt;"Valid",$AI65&lt;&gt;"Valid"),"",INT($D65-$C65))</x:f>
        <x:v>7</x:v>
      </x:c>
      <x:c r="AA65" s="86" t="str">
        <x:f>IF($AH65&lt;&gt;"Valid","",TEXT($C65,"mmmm"))</x:f>
        <x:v>January</x:v>
      </x:c>
      <x:c r="AB65" s="82" t="n">
        <x:f>IF($AH65&lt;&gt;"Valid","",YEAR($C65))</x:f>
        <x:v>2024</x:v>
      </x:c>
      <x:c r="AC65" s="80" t="str">
        <x:v>Consistent</x:v>
      </x:c>
      <x:c r="AD65" s="80" t="str">
        <x:v>Excluded</x:v>
      </x:c>
      <x:c r="AE65" s="80" t="str">
        <x:f>IF(OR($AH65&lt;&gt;"Valid",$AI65&lt;&gt;"Valid",$AJ65&lt;&gt;"Valid",LEFT($AM65,7)="Invalid",IFERROR(ABS($AQ65)&gt;0.01,FALSE),IFERROR(ABS($AR65)&gt;0.01,FALSE),COUNTIF($AS65,"*Conflicting duplicate*")&gt;0,COUNTIF($AS65,"*Completed order not paid*")&gt;0),"Invalid",IF(OR($H65="Unknown",$N65="Unknown",$AM65="Missing discount imputed as 0"),"Warning","Clean"))</x:f>
        <x:v>Invalid</x:v>
      </x:c>
      <x:c r="AF65" s="80" t="str">
        <x:v>Review</x:v>
      </x:c>
      <x:c r="AG65" s="80" t="str">
        <x:v>payment_status: TRIM/SUBSTITUTE whitespace cleanup</x:v>
      </x:c>
      <x:c r="AH65" s="12" t="str">
        <x:f>IF(C65="","Missing date",IF(ISNUMBER(C65),"Valid","Unrecognized/invalid date"))</x:f>
        <x:v>Valid</x:v>
      </x:c>
      <x:c r="AI65" s="12" t="str">
        <x:f>IF(D65="","Missing date",IF(ISNUMBER(D65),"Valid","Unrecognized/invalid date"))</x:f>
        <x:v>Valid</x:v>
      </x:c>
      <x:c r="AJ65" s="12" t="str">
        <x:v>Valid</x:v>
      </x:c>
      <x:c r="AK65" s="12" t="str">
        <x:v>Pass</x:v>
      </x:c>
      <x:c r="AL65" s="12" t="str">
        <x:v>None</x:v>
      </x:c>
      <x:c r="AM65" s="12" t="str">
        <x:v>Valid</x:v>
      </x:c>
      <x:c r="AN65" s="12" t="str">
        <x:v>Exclude from completed sales</x:v>
      </x:c>
      <x:c r="AO65" s="12" t="str">
        <x:v>Not a refunded record</x:v>
      </x:c>
      <x:c r="AP65" s="37" t="n">
        <x:f>IF(LEFT($AM65,7)="Invalid","",IF($AM65="Missing discount imputed as 0",IF(AND(COUNT($O65,$P65,$R65,$S65)=4,$O65&gt;0,$P65&gt;=0,$R65&gt;=0,$S65&gt;=0),0,""),IF(AND(ISNUMBER($Q65),$Q65&gt;=0,$Q65&lt;=0.5),$Q65,"")))</x:f>
        <x:v>0.15</x:v>
      </x:c>
      <x:c r="AQ65" s="152" t="n">
        <x:f>IF(OR($W65="",NOT(ISNUMBER($R65))),"",ROUND($R65-$W65,2))</x:f>
        <x:v>0</x:v>
      </x:c>
      <x:c r="AR65" s="152" t="n">
        <x:f>IF(OR($X65="",NOT(ISNUMBER($T65))),"",ROUND($T65-$X65,2))</x:f>
        <x:v>129.51</x:v>
      </x:c>
      <x:c r="AS65" s="14" t="str">
        <x:v>Profit calculation mismatch</x:v>
      </x:c>
    </x:row>
    <x:row r="66">
      <x:c r="A66" s="80" t="n">
        <x:v>66</x:v>
      </x:c>
      <x:c r="B66" s="80" t="str">
        <x:v>ORD-2024-10065</x:v>
      </x:c>
      <x:c r="C66" s="81" t="n">
        <x:v>45649</x:v>
      </x:c>
      <x:c r="D66" s="81" t="n">
        <x:v>45655</x:v>
      </x:c>
      <x:c r="E66" s="80" t="str">
        <x:v>CUST-2749</x:v>
      </x:c>
      <x:c r="F66" s="80" t="str">
        <x:v>Aarav Sharma</x:v>
      </x:c>
      <x:c r="G66" s="80" t="str">
        <x:v>Corporate</x:v>
      </x:c>
      <x:c r="H66" s="80" t="str">
        <x:v>East</x:v>
      </x:c>
      <x:c r="I66" s="80" t="str">
        <x:v>Jharkhand</x:v>
      </x:c>
      <x:c r="J66" s="80" t="str">
        <x:v>Ranchi</x:v>
      </x:c>
      <x:c r="K66" s="80" t="str">
        <x:v>Office Supplies</x:v>
      </x:c>
      <x:c r="L66" s="80" t="str">
        <x:v>Paper</x:v>
      </x:c>
      <x:c r="M66" s="80" t="str">
        <x:v>Classic Paper 458</x:v>
      </x:c>
      <x:c r="N66" s="80" t="str">
        <x:v>First Class</x:v>
      </x:c>
      <x:c r="O66" s="82" t="n">
        <x:v>7</x:v>
      </x:c>
      <x:c r="P66" s="83" t="n">
        <x:v>447.84</x:v>
      </x:c>
      <x:c r="Q66" s="84" t="n">
        <x:v>0</x:v>
      </x:c>
      <x:c r="R66" s="83" t="n">
        <x:v>3134.88</x:v>
      </x:c>
      <x:c r="S66" s="83" t="n">
        <x:v>2367.63</x:v>
      </x:c>
      <x:c r="T66" s="83" t="n">
        <x:v>767.25</x:v>
      </x:c>
      <x:c r="U66" s="83" t="str">
        <x:v>Refunded</x:v>
      </x:c>
      <x:c r="V66" s="83" t="str">
        <x:v>Returned</x:v>
      </x:c>
      <x:c r="W66" s="151" t="n">
        <x:f>IF(OR(NOT(ISNUMBER($AP66)),COUNT($O66,$P66)&lt;2,$O66&lt;=0,$P66&lt;0),"",ROUND($O66*$P66*(1-$AP66),2))</x:f>
        <x:v>3134.88</x:v>
      </x:c>
      <x:c r="X66" s="151" t="n">
        <x:f>IF(OR(NOT(ISNUMBER($W66)),NOT(ISNUMBER($S66))),"",ROUND($W66-$S66,2))</x:f>
        <x:v>767.25</x:v>
      </x:c>
      <x:c r="Y66" s="85" t="n">
        <x:f>IF(OR(NOT(ISNUMBER($W66)),NOT(ISNUMBER($X66)),$W66=0),"",ROUND($X66/$W66,4))</x:f>
        <x:v>0.2447</x:v>
      </x:c>
      <x:c r="Z66" s="82" t="n">
        <x:f>IF(OR($AH66&lt;&gt;"Valid",$AI66&lt;&gt;"Valid"),"",INT($D66-$C66))</x:f>
        <x:v>6</x:v>
      </x:c>
      <x:c r="AA66" s="86" t="str">
        <x:f>IF($AH66&lt;&gt;"Valid","",TEXT($C66,"mmmm"))</x:f>
        <x:v>December</x:v>
      </x:c>
      <x:c r="AB66" s="82" t="n">
        <x:f>IF($AH66&lt;&gt;"Valid","",YEAR($C66))</x:f>
        <x:v>2024</x:v>
      </x:c>
      <x:c r="AC66" s="80" t="str">
        <x:v>Refunded (separately summarized)</x:v>
      </x:c>
      <x:c r="AD66" s="80" t="str">
        <x:v>Excluded</x:v>
      </x:c>
      <x:c r="AE66" s="80" t="str">
        <x:f>IF(OR($AH66&lt;&gt;"Valid",$AI66&lt;&gt;"Valid",$AJ66&lt;&gt;"Valid",LEFT($AM66,7)="Invalid",IFERROR(ABS($AQ66)&gt;0.01,FALSE),IFERROR(ABS($AR66)&gt;0.01,FALSE),COUNTIF($AS66,"*Conflicting duplicate*")&gt;0,COUNTIF($AS66,"*Completed order not paid*")&gt;0),"Invalid",IF(OR($H66="Unknown",$N66="Unknown",$AM66="Missing discount imputed as 0"),"Warning","Clean"))</x:f>
        <x:v>Clean</x:v>
      </x:c>
      <x:c r="AF66" s="80" t="str">
        <x:v>Pass</x:v>
      </x:c>
      <x:c r="AG66" s="80" t="str">
        <x:v>No text cleanup required</x:v>
      </x:c>
      <x:c r="AH66" s="12" t="str">
        <x:f>IF(C66="","Missing date",IF(ISNUMBER(C66),"Valid","Unrecognized/invalid date"))</x:f>
        <x:v>Valid</x:v>
      </x:c>
      <x:c r="AI66" s="12" t="str">
        <x:f>IF(D66="","Missing date",IF(ISNUMBER(D66),"Valid","Unrecognized/invalid date"))</x:f>
        <x:v>Valid</x:v>
      </x:c>
      <x:c r="AJ66" s="12" t="str">
        <x:v>Valid</x:v>
      </x:c>
      <x:c r="AK66" s="12" t="str">
        <x:v>Pass</x:v>
      </x:c>
      <x:c r="AL66" s="12" t="str">
        <x:v>Refunded payment – separately summarized</x:v>
      </x:c>
      <x:c r="AM66" s="12" t="str">
        <x:v>Valid</x:v>
      </x:c>
      <x:c r="AN66" s="12" t="str">
        <x:v>Exclude from completed sales</x:v>
      </x:c>
      <x:c r="AO66" s="12" t="str">
        <x:v>Include in refunded summary</x:v>
      </x:c>
      <x:c r="AP66" s="37" t="n">
        <x:f>IF(LEFT($AM66,7)="Invalid","",IF($AM66="Missing discount imputed as 0",IF(AND(COUNT($O66,$P66,$R66,$S66)=4,$O66&gt;0,$P66&gt;=0,$R66&gt;=0,$S66&gt;=0),0,""),IF(AND(ISNUMBER($Q66),$Q66&gt;=0,$Q66&lt;=0.5),$Q66,"")))</x:f>
        <x:v>0</x:v>
      </x:c>
      <x:c r="AQ66" s="152" t="n">
        <x:f>IF(OR($W66="",NOT(ISNUMBER($R66))),"",ROUND($R66-$W66,2))</x:f>
        <x:v>0</x:v>
      </x:c>
      <x:c r="AR66" s="152" t="n">
        <x:f>IF(OR($X66="",NOT(ISNUMBER($T66))),"",ROUND($T66-$X66,2))</x:f>
        <x:v>0</x:v>
      </x:c>
      <x:c r="AS66" s="14" t="str">
        <x:v>OK</x:v>
      </x:c>
    </x:row>
    <x:row r="67">
      <x:c r="A67" s="80" t="n">
        <x:v>67</x:v>
      </x:c>
      <x:c r="B67" s="80" t="str">
        <x:v>ORD-2024-10066</x:v>
      </x:c>
      <x:c r="C67" s="81" t="n">
        <x:v>45404</x:v>
      </x:c>
      <x:c r="D67" s="81" t="n">
        <x:v>45409</x:v>
      </x:c>
      <x:c r="E67" s="80" t="str">
        <x:v>CUST-2463</x:v>
      </x:c>
      <x:c r="F67" s="80" t="str">
        <x:v>Mira Das</x:v>
      </x:c>
      <x:c r="G67" s="80" t="str">
        <x:v>Home Office</x:v>
      </x:c>
      <x:c r="H67" s="80" t="str">
        <x:v>West</x:v>
      </x:c>
      <x:c r="I67" s="80" t="str">
        <x:v>Maharashtra</x:v>
      </x:c>
      <x:c r="J67" s="80" t="str">
        <x:v>Mumbai</x:v>
      </x:c>
      <x:c r="K67" s="80" t="str">
        <x:v>Office Supplies</x:v>
      </x:c>
      <x:c r="L67" s="80" t="str">
        <x:v>Paper</x:v>
      </x:c>
      <x:c r="M67" s="80" t="str">
        <x:v>Pro Paper 552</x:v>
      </x:c>
      <x:c r="N67" s="80" t="str">
        <x:v>Second Class</x:v>
      </x:c>
      <x:c r="O67" s="82" t="n">
        <x:v>1</x:v>
      </x:c>
      <x:c r="P67" s="83" t="n">
        <x:v>4280.19</x:v>
      </x:c>
      <x:c r="Q67" s="84" t="n">
        <x:v>0.05</x:v>
      </x:c>
      <x:c r="R67" s="83" t="n">
        <x:v>4066.18</x:v>
      </x:c>
      <x:c r="S67" s="83" t="n">
        <x:v>2628.92</x:v>
      </x:c>
      <x:c r="T67" s="83" t="n">
        <x:v>1437.26</x:v>
      </x:c>
      <x:c r="U67" s="83" t="str">
        <x:v>Paid</x:v>
      </x:c>
      <x:c r="V67" s="83" t="str">
        <x:v>Completed</x:v>
      </x:c>
      <x:c r="W67" s="151" t="n">
        <x:f>IF(OR(NOT(ISNUMBER($AP67)),COUNT($O67,$P67)&lt;2,$O67&lt;=0,$P67&lt;0),"",ROUND($O67*$P67*(1-$AP67),2))</x:f>
        <x:v>4066.18</x:v>
      </x:c>
      <x:c r="X67" s="151" t="n">
        <x:f>IF(OR(NOT(ISNUMBER($W67)),NOT(ISNUMBER($S67))),"",ROUND($W67-$S67,2))</x:f>
        <x:v>1437.26</x:v>
      </x:c>
      <x:c r="Y67" s="85" t="n">
        <x:f>IF(OR(NOT(ISNUMBER($W67)),NOT(ISNUMBER($X67)),$W67=0),"",ROUND($X67/$W67,4))</x:f>
        <x:v>0.3535</x:v>
      </x:c>
      <x:c r="Z67" s="82" t="n">
        <x:f>IF(OR($AH67&lt;&gt;"Valid",$AI67&lt;&gt;"Valid"),"",INT($D67-$C67))</x:f>
        <x:v>5</x:v>
      </x:c>
      <x:c r="AA67" s="86" t="str">
        <x:f>IF($AH67&lt;&gt;"Valid","",TEXT($C67,"mmmm"))</x:f>
        <x:v>April</x:v>
      </x:c>
      <x:c r="AB67" s="82" t="n">
        <x:f>IF($AH67&lt;&gt;"Valid","",YEAR($C67))</x:f>
        <x:v>2024</x:v>
      </x:c>
      <x:c r="AC67" s="80" t="str">
        <x:v>Consistent</x:v>
      </x:c>
      <x:c r="AD67" s="80" t="str">
        <x:v>Eligible</x:v>
      </x:c>
      <x:c r="AE67" s="80" t="str">
        <x:f>IF(OR($AH67&lt;&gt;"Valid",$AI67&lt;&gt;"Valid",$AJ67&lt;&gt;"Valid",LEFT($AM67,7)="Invalid",IFERROR(ABS($AQ67)&gt;0.01,FALSE),IFERROR(ABS($AR67)&gt;0.01,FALSE),COUNTIF($AS67,"*Conflicting duplicate*")&gt;0,COUNTIF($AS67,"*Completed order not paid*")&gt;0),"Invalid",IF(OR($H67="Unknown",$N67="Unknown",$AM67="Missing discount imputed as 0"),"Warning","Clean"))</x:f>
        <x:v>Clean</x:v>
      </x:c>
      <x:c r="AF67" s="80" t="str">
        <x:v>Pass</x:v>
      </x:c>
      <x:c r="AG67" s="80" t="str">
        <x:v>No text cleanup required</x:v>
      </x:c>
      <x:c r="AH67" s="12" t="str">
        <x:f>IF(C67="","Missing date",IF(ISNUMBER(C67),"Valid","Unrecognized/invalid date"))</x:f>
        <x:v>Valid</x:v>
      </x:c>
      <x:c r="AI67" s="12" t="str">
        <x:f>IF(D67="","Missing date",IF(ISNUMBER(D67),"Valid","Unrecognized/invalid date"))</x:f>
        <x:v>Valid</x:v>
      </x:c>
      <x:c r="AJ67" s="12" t="str">
        <x:v>Valid</x:v>
      </x:c>
      <x:c r="AK67" s="12" t="str">
        <x:v>Pass</x:v>
      </x:c>
      <x:c r="AL67" s="12" t="str">
        <x:v>None</x:v>
      </x:c>
      <x:c r="AM67" s="12" t="str">
        <x:v>Valid</x:v>
      </x:c>
      <x:c r="AN67" s="12" t="str">
        <x:v>Include in completed sales</x:v>
      </x:c>
      <x:c r="AO67" s="12" t="str">
        <x:v>Not a refunded record</x:v>
      </x:c>
      <x:c r="AP67" s="37" t="n">
        <x:f>IF(LEFT($AM67,7)="Invalid","",IF($AM67="Missing discount imputed as 0",IF(AND(COUNT($O67,$P67,$R67,$S67)=4,$O67&gt;0,$P67&gt;=0,$R67&gt;=0,$S67&gt;=0),0,""),IF(AND(ISNUMBER($Q67),$Q67&gt;=0,$Q67&lt;=0.5),$Q67,"")))</x:f>
        <x:v>0.05</x:v>
      </x:c>
      <x:c r="AQ67" s="152" t="n">
        <x:f>IF(OR($W67="",NOT(ISNUMBER($R67))),"",ROUND($R67-$W67,2))</x:f>
        <x:v>0</x:v>
      </x:c>
      <x:c r="AR67" s="152" t="n">
        <x:f>IF(OR($X67="",NOT(ISNUMBER($T67))),"",ROUND($T67-$X67,2))</x:f>
        <x:v>0</x:v>
      </x:c>
      <x:c r="AS67" s="14" t="str">
        <x:v>OK</x:v>
      </x:c>
    </x:row>
    <x:row r="68">
      <x:c r="A68" s="80" t="n">
        <x:v>68</x:v>
      </x:c>
      <x:c r="B68" s="80" t="str">
        <x:v>ORD-2025-10067</x:v>
      </x:c>
      <x:c r="C68" s="81" t="n">
        <x:v>45897</x:v>
      </x:c>
      <x:c r="D68" s="81" t="n">
        <x:v>45901</x:v>
      </x:c>
      <x:c r="E68" s="80" t="str">
        <x:v>CUST-1504</x:v>
      </x:c>
      <x:c r="F68" s="80" t="str">
        <x:v>Karan Malhotra</x:v>
      </x:c>
      <x:c r="G68" s="80" t="str">
        <x:v>Small Business</x:v>
      </x:c>
      <x:c r="H68" s="80" t="str">
        <x:v>South</x:v>
      </x:c>
      <x:c r="I68" s="80" t="str">
        <x:v>Tamil Nadu</x:v>
      </x:c>
      <x:c r="J68" s="80" t="str">
        <x:v>Chennai</x:v>
      </x:c>
      <x:c r="K68" s="80" t="str">
        <x:v>Technology</x:v>
      </x:c>
      <x:c r="L68" s="80" t="str">
        <x:v>Accessories</x:v>
      </x:c>
      <x:c r="M68" s="80" t="str">
        <x:v>Elite Accessories 187</x:v>
      </x:c>
      <x:c r="N68" s="80" t="str">
        <x:v>Same Day</x:v>
      </x:c>
      <x:c r="O68" s="82" t="n">
        <x:v>7</x:v>
      </x:c>
      <x:c r="P68" s="83" t="n">
        <x:v>1057.46</x:v>
      </x:c>
      <x:c r="Q68" s="84" t="n">
        <x:v>0.05</x:v>
      </x:c>
      <x:c r="R68" s="83" t="n">
        <x:v>7032.11</x:v>
      </x:c>
      <x:c r="S68" s="83" t="n">
        <x:v>4610.34</x:v>
      </x:c>
      <x:c r="T68" s="83" t="n">
        <x:v>2421.77</x:v>
      </x:c>
      <x:c r="U68" s="83" t="str">
        <x:v>Paid</x:v>
      </x:c>
      <x:c r="V68" s="83" t="str">
        <x:v>Completed</x:v>
      </x:c>
      <x:c r="W68" s="151" t="n">
        <x:f>IF(OR(NOT(ISNUMBER($AP68)),COUNT($O68,$P68)&lt;2,$O68&lt;=0,$P68&lt;0),"",ROUND($O68*$P68*(1-$AP68),2))</x:f>
        <x:v>7032.11</x:v>
      </x:c>
      <x:c r="X68" s="151" t="n">
        <x:f>IF(OR(NOT(ISNUMBER($W68)),NOT(ISNUMBER($S68))),"",ROUND($W68-$S68,2))</x:f>
        <x:v>2421.77</x:v>
      </x:c>
      <x:c r="Y68" s="85" t="n">
        <x:f>IF(OR(NOT(ISNUMBER($W68)),NOT(ISNUMBER($X68)),$W68=0),"",ROUND($X68/$W68,4))</x:f>
        <x:v>0.3444</x:v>
      </x:c>
      <x:c r="Z68" s="82" t="n">
        <x:f>IF(OR($AH68&lt;&gt;"Valid",$AI68&lt;&gt;"Valid"),"",INT($D68-$C68))</x:f>
        <x:v>4</x:v>
      </x:c>
      <x:c r="AA68" s="86" t="str">
        <x:f>IF($AH68&lt;&gt;"Valid","",TEXT($C68,"mmmm"))</x:f>
        <x:v>August</x:v>
      </x:c>
      <x:c r="AB68" s="82" t="n">
        <x:f>IF($AH68&lt;&gt;"Valid","",YEAR($C68))</x:f>
        <x:v>2025</x:v>
      </x:c>
      <x:c r="AC68" s="80" t="str">
        <x:v>Consistent</x:v>
      </x:c>
      <x:c r="AD68" s="80" t="str">
        <x:v>Eligible</x:v>
      </x:c>
      <x:c r="AE68" s="80" t="str">
        <x:f>IF(OR($AH68&lt;&gt;"Valid",$AI68&lt;&gt;"Valid",$AJ68&lt;&gt;"Valid",LEFT($AM68,7)="Invalid",IFERROR(ABS($AQ68)&gt;0.01,FALSE),IFERROR(ABS($AR68)&gt;0.01,FALSE),COUNTIF($AS68,"*Conflicting duplicate*")&gt;0,COUNTIF($AS68,"*Completed order not paid*")&gt;0),"Invalid",IF(OR($H68="Unknown",$N68="Unknown",$AM68="Missing discount imputed as 0"),"Warning","Clean"))</x:f>
        <x:v>Clean</x:v>
      </x:c>
      <x:c r="AF68" s="80" t="str">
        <x:v>Pass</x:v>
      </x:c>
      <x:c r="AG68" s="80" t="str">
        <x:v>No text cleanup required</x:v>
      </x:c>
      <x:c r="AH68" s="12" t="str">
        <x:f>IF(C68="","Missing date",IF(ISNUMBER(C68),"Valid","Unrecognized/invalid date"))</x:f>
        <x:v>Valid</x:v>
      </x:c>
      <x:c r="AI68" s="12" t="str">
        <x:f>IF(D68="","Missing date",IF(ISNUMBER(D68),"Valid","Unrecognized/invalid date"))</x:f>
        <x:v>Valid</x:v>
      </x:c>
      <x:c r="AJ68" s="12" t="str">
        <x:v>Valid</x:v>
      </x:c>
      <x:c r="AK68" s="12" t="str">
        <x:v>Pass</x:v>
      </x:c>
      <x:c r="AL68" s="12" t="str">
        <x:v>None</x:v>
      </x:c>
      <x:c r="AM68" s="12" t="str">
        <x:v>Valid</x:v>
      </x:c>
      <x:c r="AN68" s="12" t="str">
        <x:v>Include in completed sales</x:v>
      </x:c>
      <x:c r="AO68" s="12" t="str">
        <x:v>Not a refunded record</x:v>
      </x:c>
      <x:c r="AP68" s="37" t="n">
        <x:f>IF(LEFT($AM68,7)="Invalid","",IF($AM68="Missing discount imputed as 0",IF(AND(COUNT($O68,$P68,$R68,$S68)=4,$O68&gt;0,$P68&gt;=0,$R68&gt;=0,$S68&gt;=0),0,""),IF(AND(ISNUMBER($Q68),$Q68&gt;=0,$Q68&lt;=0.5),$Q68,"")))</x:f>
        <x:v>0.05</x:v>
      </x:c>
      <x:c r="AQ68" s="152" t="n">
        <x:f>IF(OR($W68="",NOT(ISNUMBER($R68))),"",ROUND($R68-$W68,2))</x:f>
        <x:v>0</x:v>
      </x:c>
      <x:c r="AR68" s="152" t="n">
        <x:f>IF(OR($X68="",NOT(ISNUMBER($T68))),"",ROUND($T68-$X68,2))</x:f>
        <x:v>0</x:v>
      </x:c>
      <x:c r="AS68" s="14" t="str">
        <x:v>OK</x:v>
      </x:c>
    </x:row>
    <x:row r="69">
      <x:c r="A69" s="80" t="n">
        <x:v>69</x:v>
      </x:c>
      <x:c r="B69" s="80" t="str">
        <x:v>ORD-2025-10068</x:v>
      </x:c>
      <x:c r="C69" s="81" t="n">
        <x:v>45691</x:v>
      </x:c>
      <x:c r="D69" s="81" t="n">
        <x:v>45695</x:v>
      </x:c>
      <x:c r="E69" s="80" t="str">
        <x:v>CUST-8282</x:v>
      </x:c>
      <x:c r="F69" s="80" t="str">
        <x:v>Kabir Singh</x:v>
      </x:c>
      <x:c r="G69" s="80" t="str">
        <x:v>Consumer</x:v>
      </x:c>
      <x:c r="H69" s="80" t="str">
        <x:v>North</x:v>
      </x:c>
      <x:c r="I69" s="80" t="str">
        <x:v>Haryana</x:v>
      </x:c>
      <x:c r="J69" s="80" t="str">
        <x:v>Gurugram</x:v>
      </x:c>
      <x:c r="K69" s="80" t="str">
        <x:v>Office Supplies</x:v>
      </x:c>
      <x:c r="L69" s="80" t="str">
        <x:v>Paper</x:v>
      </x:c>
      <x:c r="M69" s="80" t="str">
        <x:v>Eco Paper 922</x:v>
      </x:c>
      <x:c r="N69" s="80" t="str">
        <x:v>First Class</x:v>
      </x:c>
      <x:c r="O69" s="82" t="n">
        <x:v>7</x:v>
      </x:c>
      <x:c r="P69" s="83" t="n">
        <x:v>3609.34</x:v>
      </x:c>
      <x:c r="Q69" s="84" t="n">
        <x:v>0.05</x:v>
      </x:c>
      <x:c r="R69" s="83" t="n">
        <x:v>24002.11</x:v>
      </x:c>
      <x:c r="S69" s="83" t="n">
        <x:v>18707.57</x:v>
      </x:c>
      <x:c r="T69" s="83" t="n">
        <x:v>5294.54</x:v>
      </x:c>
      <x:c r="U69" s="83" t="str">
        <x:v>Paid</x:v>
      </x:c>
      <x:c r="V69" s="83" t="str">
        <x:v>Completed</x:v>
      </x:c>
      <x:c r="W69" s="151" t="n">
        <x:f>IF(OR(NOT(ISNUMBER($AP69)),COUNT($O69,$P69)&lt;2,$O69&lt;=0,$P69&lt;0),"",ROUND($O69*$P69*(1-$AP69),2))</x:f>
        <x:v>24002.11</x:v>
      </x:c>
      <x:c r="X69" s="151" t="n">
        <x:f>IF(OR(NOT(ISNUMBER($W69)),NOT(ISNUMBER($S69))),"",ROUND($W69-$S69,2))</x:f>
        <x:v>5294.54</x:v>
      </x:c>
      <x:c r="Y69" s="85" t="n">
        <x:f>IF(OR(NOT(ISNUMBER($W69)),NOT(ISNUMBER($X69)),$W69=0),"",ROUND($X69/$W69,4))</x:f>
        <x:v>0.2206</x:v>
      </x:c>
      <x:c r="Z69" s="82" t="n">
        <x:f>IF(OR($AH69&lt;&gt;"Valid",$AI69&lt;&gt;"Valid"),"",INT($D69-$C69))</x:f>
        <x:v>4</x:v>
      </x:c>
      <x:c r="AA69" s="86" t="str">
        <x:f>IF($AH69&lt;&gt;"Valid","",TEXT($C69,"mmmm"))</x:f>
        <x:v>February</x:v>
      </x:c>
      <x:c r="AB69" s="82" t="n">
        <x:f>IF($AH69&lt;&gt;"Valid","",YEAR($C69))</x:f>
        <x:v>2025</x:v>
      </x:c>
      <x:c r="AC69" s="80" t="str">
        <x:v>Consistent</x:v>
      </x:c>
      <x:c r="AD69" s="80" t="str">
        <x:v>Eligible</x:v>
      </x:c>
      <x:c r="AE69" s="80" t="str">
        <x:f>IF(OR($AH69&lt;&gt;"Valid",$AI69&lt;&gt;"Valid",$AJ69&lt;&gt;"Valid",LEFT($AM69,7)="Invalid",IFERROR(ABS($AQ69)&gt;0.01,FALSE),IFERROR(ABS($AR69)&gt;0.01,FALSE),COUNTIF($AS69,"*Conflicting duplicate*")&gt;0,COUNTIF($AS69,"*Completed order not paid*")&gt;0),"Invalid",IF(OR($H69="Unknown",$N69="Unknown",$AM69="Missing discount imputed as 0"),"Warning","Clean"))</x:f>
        <x:v>Clean</x:v>
      </x:c>
      <x:c r="AF69" s="80" t="str">
        <x:v>Pass</x:v>
      </x:c>
      <x:c r="AG69" s="80" t="str">
        <x:v>No text cleanup required</x:v>
      </x:c>
      <x:c r="AH69" s="12" t="str">
        <x:f>IF(C69="","Missing date",IF(ISNUMBER(C69),"Valid","Unrecognized/invalid date"))</x:f>
        <x:v>Valid</x:v>
      </x:c>
      <x:c r="AI69" s="12" t="str">
        <x:f>IF(D69="","Missing date",IF(ISNUMBER(D69),"Valid","Unrecognized/invalid date"))</x:f>
        <x:v>Valid</x:v>
      </x:c>
      <x:c r="AJ69" s="12" t="str">
        <x:v>Valid</x:v>
      </x:c>
      <x:c r="AK69" s="12" t="str">
        <x:v>Pass</x:v>
      </x:c>
      <x:c r="AL69" s="12" t="str">
        <x:v>None</x:v>
      </x:c>
      <x:c r="AM69" s="12" t="str">
        <x:v>Valid</x:v>
      </x:c>
      <x:c r="AN69" s="12" t="str">
        <x:v>Include in completed sales</x:v>
      </x:c>
      <x:c r="AO69" s="12" t="str">
        <x:v>Not a refunded record</x:v>
      </x:c>
      <x:c r="AP69" s="37" t="n">
        <x:f>IF(LEFT($AM69,7)="Invalid","",IF($AM69="Missing discount imputed as 0",IF(AND(COUNT($O69,$P69,$R69,$S69)=4,$O69&gt;0,$P69&gt;=0,$R69&gt;=0,$S69&gt;=0),0,""),IF(AND(ISNUMBER($Q69),$Q69&gt;=0,$Q69&lt;=0.5),$Q69,"")))</x:f>
        <x:v>0.05</x:v>
      </x:c>
      <x:c r="AQ69" s="152" t="n">
        <x:f>IF(OR($W69="",NOT(ISNUMBER($R69))),"",ROUND($R69-$W69,2))</x:f>
        <x:v>0</x:v>
      </x:c>
      <x:c r="AR69" s="152" t="n">
        <x:f>IF(OR($X69="",NOT(ISNUMBER($T69))),"",ROUND($T69-$X69,2))</x:f>
        <x:v>0</x:v>
      </x:c>
      <x:c r="AS69" s="14" t="str">
        <x:v>OK</x:v>
      </x:c>
    </x:row>
    <x:row r="70">
      <x:c r="A70" s="80" t="n">
        <x:v>70</x:v>
      </x:c>
      <x:c r="B70" s="80" t="str">
        <x:v>ORD-2024-10069</x:v>
      </x:c>
      <x:c r="C70" s="81" t="n">
        <x:v>45606</x:v>
      </x:c>
      <x:c r="D70" s="81" t="n">
        <x:v>45609</x:v>
      </x:c>
      <x:c r="E70" s="80" t="str">
        <x:v>CUST-6054</x:v>
      </x:c>
      <x:c r="F70" s="80" t="str">
        <x:v>Isha Nair</x:v>
      </x:c>
      <x:c r="G70" s="80" t="str">
        <x:v>Corporate</x:v>
      </x:c>
      <x:c r="H70" s="80" t="str">
        <x:v>East</x:v>
      </x:c>
      <x:c r="I70" s="80" t="str">
        <x:v>Jharkhand</x:v>
      </x:c>
      <x:c r="J70" s="80" t="str">
        <x:v>Ranchi</x:v>
      </x:c>
      <x:c r="K70" s="80" t="str">
        <x:v>Office Supplies</x:v>
      </x:c>
      <x:c r="L70" s="80" t="str">
        <x:v>Storage</x:v>
      </x:c>
      <x:c r="M70" s="80" t="str">
        <x:v>Pro Storage 975</x:v>
      </x:c>
      <x:c r="N70" s="80" t="str">
        <x:v>Second Class</x:v>
      </x:c>
      <x:c r="O70" s="82" t="n">
        <x:v>9</x:v>
      </x:c>
      <x:c r="P70" s="83" t="n">
        <x:v>2211.12</x:v>
      </x:c>
      <x:c r="Q70" s="84" t="n">
        <x:v>0</x:v>
      </x:c>
      <x:c r="R70" s="83" t="n">
        <x:v>19900.08</x:v>
      </x:c>
      <x:c r="S70" s="83" t="n">
        <x:v>10962.66</x:v>
      </x:c>
      <x:c r="T70" s="83" t="n">
        <x:v>8937.42</x:v>
      </x:c>
      <x:c r="U70" s="83" t="str">
        <x:v>Failed</x:v>
      </x:c>
      <x:c r="V70" s="83" t="str">
        <x:v>Returned</x:v>
      </x:c>
      <x:c r="W70" s="151" t="n">
        <x:f>IF(OR(NOT(ISNUMBER($AP70)),COUNT($O70,$P70)&lt;2,$O70&lt;=0,$P70&lt;0),"",ROUND($O70*$P70*(1-$AP70),2))</x:f>
        <x:v>19900.08</x:v>
      </x:c>
      <x:c r="X70" s="151" t="n">
        <x:f>IF(OR(NOT(ISNUMBER($W70)),NOT(ISNUMBER($S70))),"",ROUND($W70-$S70,2))</x:f>
        <x:v>8937.42</x:v>
      </x:c>
      <x:c r="Y70" s="85" t="n">
        <x:f>IF(OR(NOT(ISNUMBER($W70)),NOT(ISNUMBER($X70)),$W70=0),"",ROUND($X70/$W70,4))</x:f>
        <x:v>0.4491</x:v>
      </x:c>
      <x:c r="Z70" s="82" t="n">
        <x:f>IF(OR($AH70&lt;&gt;"Valid",$AI70&lt;&gt;"Valid"),"",INT($D70-$C70))</x:f>
        <x:v>3</x:v>
      </x:c>
      <x:c r="AA70" s="86" t="str">
        <x:f>IF($AH70&lt;&gt;"Valid","",TEXT($C70,"mmmm"))</x:f>
        <x:v>November</x:v>
      </x:c>
      <x:c r="AB70" s="82" t="n">
        <x:f>IF($AH70&lt;&gt;"Valid","",YEAR($C70))</x:f>
        <x:v>2024</x:v>
      </x:c>
      <x:c r="AC70" s="80" t="str">
        <x:v>Failed payment (excluded from completed-sales summary)</x:v>
      </x:c>
      <x:c r="AD70" s="80" t="str">
        <x:v>Excluded</x:v>
      </x:c>
      <x:c r="AE70" s="80" t="str">
        <x:f>IF(OR($AH70&lt;&gt;"Valid",$AI70&lt;&gt;"Valid",$AJ70&lt;&gt;"Valid",LEFT($AM70,7)="Invalid",IFERROR(ABS($AQ70)&gt;0.01,FALSE),IFERROR(ABS($AR70)&gt;0.01,FALSE),COUNTIF($AS70,"*Conflicting duplicate*")&gt;0,COUNTIF($AS70,"*Completed order not paid*")&gt;0),"Invalid",IF(OR($H70="Unknown",$N70="Unknown",$AM70="Missing discount imputed as 0"),"Warning","Clean"))</x:f>
        <x:v>Clean</x:v>
      </x:c>
      <x:c r="AF70" s="80" t="str">
        <x:v>Pass</x:v>
      </x:c>
      <x:c r="AG70" s="80" t="str">
        <x:v>No text cleanup required</x:v>
      </x:c>
      <x:c r="AH70" s="12" t="str">
        <x:f>IF(C70="","Missing date",IF(ISNUMBER(C70),"Valid","Unrecognized/invalid date"))</x:f>
        <x:v>Valid</x:v>
      </x:c>
      <x:c r="AI70" s="12" t="str">
        <x:f>IF(D70="","Missing date",IF(ISNUMBER(D70),"Valid","Unrecognized/invalid date"))</x:f>
        <x:v>Valid</x:v>
      </x:c>
      <x:c r="AJ70" s="12" t="str">
        <x:v>Valid</x:v>
      </x:c>
      <x:c r="AK70" s="12" t="str">
        <x:v>Pass</x:v>
      </x:c>
      <x:c r="AL70" s="12" t="str">
        <x:v>Failed payment – excluded from completed sales</x:v>
      </x:c>
      <x:c r="AM70" s="12" t="str">
        <x:v>Valid</x:v>
      </x:c>
      <x:c r="AN70" s="12" t="str">
        <x:v>Exclude from completed sales</x:v>
      </x:c>
      <x:c r="AO70" s="12" t="str">
        <x:v>Not a refunded record</x:v>
      </x:c>
      <x:c r="AP70" s="37" t="n">
        <x:f>IF(LEFT($AM70,7)="Invalid","",IF($AM70="Missing discount imputed as 0",IF(AND(COUNT($O70,$P70,$R70,$S70)=4,$O70&gt;0,$P70&gt;=0,$R70&gt;=0,$S70&gt;=0),0,""),IF(AND(ISNUMBER($Q70),$Q70&gt;=0,$Q70&lt;=0.5),$Q70,"")))</x:f>
        <x:v>0</x:v>
      </x:c>
      <x:c r="AQ70" s="152" t="n">
        <x:f>IF(OR($W70="",NOT(ISNUMBER($R70))),"",ROUND($R70-$W70,2))</x:f>
        <x:v>0</x:v>
      </x:c>
      <x:c r="AR70" s="152" t="n">
        <x:f>IF(OR($X70="",NOT(ISNUMBER($T70))),"",ROUND($T70-$X70,2))</x:f>
        <x:v>0</x:v>
      </x:c>
      <x:c r="AS70" s="14" t="str">
        <x:v>OK</x:v>
      </x:c>
    </x:row>
    <x:row r="71">
      <x:c r="A71" s="80" t="n">
        <x:v>71</x:v>
      </x:c>
      <x:c r="B71" s="80" t="str">
        <x:v>ORD-2024-10070</x:v>
      </x:c>
      <x:c r="C71" s="81" t="n">
        <x:v>45391</x:v>
      </x:c>
      <x:c r="D71" s="81" t="n">
        <x:v>45396</x:v>
      </x:c>
      <x:c r="E71" s="80" t="str">
        <x:v>CUST-5979</x:v>
      </x:c>
      <x:c r="F71" s="80" t="str">
        <x:v>Neha Gupta</x:v>
      </x:c>
      <x:c r="G71" s="80" t="str">
        <x:v>Small Business</x:v>
      </x:c>
      <x:c r="H71" s="80" t="str">
        <x:v>West</x:v>
      </x:c>
      <x:c r="I71" s="80" t="str">
        <x:v>Gujarat</x:v>
      </x:c>
      <x:c r="J71" s="80" t="str">
        <x:v>Ahmedabad</x:v>
      </x:c>
      <x:c r="K71" s="80" t="str">
        <x:v>Technology</x:v>
      </x:c>
      <x:c r="L71" s="80" t="str">
        <x:v>Machines</x:v>
      </x:c>
      <x:c r="M71" s="80" t="str">
        <x:v>Prime Machines 782</x:v>
      </x:c>
      <x:c r="N71" s="80" t="str">
        <x:v>Same Day</x:v>
      </x:c>
      <x:c r="O71" s="82" t="n">
        <x:v>7</x:v>
      </x:c>
      <x:c r="P71" s="83" t="n">
        <x:v>3417.09</x:v>
      </x:c>
      <x:c r="Q71" s="84" t="n">
        <x:v>0.1</x:v>
      </x:c>
      <x:c r="R71" s="83" t="n">
        <x:v>21527.67</x:v>
      </x:c>
      <x:c r="S71" s="83" t="n">
        <x:v>18287.58</x:v>
      </x:c>
      <x:c r="T71" s="83" t="n">
        <x:v>3240.09</x:v>
      </x:c>
      <x:c r="U71" s="83" t="str">
        <x:v>Refunded</x:v>
      </x:c>
      <x:c r="V71" s="83" t="str">
        <x:v>Returned</x:v>
      </x:c>
      <x:c r="W71" s="151" t="n">
        <x:f>IF(OR(NOT(ISNUMBER($AP71)),COUNT($O71,$P71)&lt;2,$O71&lt;=0,$P71&lt;0),"",ROUND($O71*$P71*(1-$AP71),2))</x:f>
        <x:v>21527.67</x:v>
      </x:c>
      <x:c r="X71" s="151" t="n">
        <x:f>IF(OR(NOT(ISNUMBER($W71)),NOT(ISNUMBER($S71))),"",ROUND($W71-$S71,2))</x:f>
        <x:v>3240.09</x:v>
      </x:c>
      <x:c r="Y71" s="85" t="n">
        <x:f>IF(OR(NOT(ISNUMBER($W71)),NOT(ISNUMBER($X71)),$W71=0),"",ROUND($X71/$W71,4))</x:f>
        <x:v>0.1505</x:v>
      </x:c>
      <x:c r="Z71" s="82" t="n">
        <x:f>IF(OR($AH71&lt;&gt;"Valid",$AI71&lt;&gt;"Valid"),"",INT($D71-$C71))</x:f>
        <x:v>5</x:v>
      </x:c>
      <x:c r="AA71" s="86" t="str">
        <x:f>IF($AH71&lt;&gt;"Valid","",TEXT($C71,"mmmm"))</x:f>
        <x:v>April</x:v>
      </x:c>
      <x:c r="AB71" s="82" t="n">
        <x:f>IF($AH71&lt;&gt;"Valid","",YEAR($C71))</x:f>
        <x:v>2024</x:v>
      </x:c>
      <x:c r="AC71" s="80" t="str">
        <x:v>Refunded (separately summarized)</x:v>
      </x:c>
      <x:c r="AD71" s="80" t="str">
        <x:v>Excluded</x:v>
      </x:c>
      <x:c r="AE71" s="80" t="str">
        <x:f>IF(OR($AH71&lt;&gt;"Valid",$AI71&lt;&gt;"Valid",$AJ71&lt;&gt;"Valid",LEFT($AM71,7)="Invalid",IFERROR(ABS($AQ71)&gt;0.01,FALSE),IFERROR(ABS($AR71)&gt;0.01,FALSE),COUNTIF($AS71,"*Conflicting duplicate*")&gt;0,COUNTIF($AS71,"*Completed order not paid*")&gt;0),"Invalid",IF(OR($H71="Unknown",$N71="Unknown",$AM71="Missing discount imputed as 0"),"Warning","Clean"))</x:f>
        <x:v>Clean</x:v>
      </x:c>
      <x:c r="AF71" s="80" t="str">
        <x:v>Pass</x:v>
      </x:c>
      <x:c r="AG71" s="80" t="str">
        <x:v>No text cleanup required</x:v>
      </x:c>
      <x:c r="AH71" s="12" t="str">
        <x:f>IF(C71="","Missing date",IF(ISNUMBER(C71),"Valid","Unrecognized/invalid date"))</x:f>
        <x:v>Valid</x:v>
      </x:c>
      <x:c r="AI71" s="12" t="str">
        <x:f>IF(D71="","Missing date",IF(ISNUMBER(D71),"Valid","Unrecognized/invalid date"))</x:f>
        <x:v>Valid</x:v>
      </x:c>
      <x:c r="AJ71" s="12" t="str">
        <x:v>Valid</x:v>
      </x:c>
      <x:c r="AK71" s="12" t="str">
        <x:v>Pass</x:v>
      </x:c>
      <x:c r="AL71" s="12" t="str">
        <x:v>Refunded payment – separately summarized</x:v>
      </x:c>
      <x:c r="AM71" s="12" t="str">
        <x:v>Valid</x:v>
      </x:c>
      <x:c r="AN71" s="12" t="str">
        <x:v>Exclude from completed sales</x:v>
      </x:c>
      <x:c r="AO71" s="12" t="str">
        <x:v>Include in refunded summary</x:v>
      </x:c>
      <x:c r="AP71" s="37" t="n">
        <x:f>IF(LEFT($AM71,7)="Invalid","",IF($AM71="Missing discount imputed as 0",IF(AND(COUNT($O71,$P71,$R71,$S71)=4,$O71&gt;0,$P71&gt;=0,$R71&gt;=0,$S71&gt;=0),0,""),IF(AND(ISNUMBER($Q71),$Q71&gt;=0,$Q71&lt;=0.5),$Q71,"")))</x:f>
        <x:v>0.1</x:v>
      </x:c>
      <x:c r="AQ71" s="152" t="n">
        <x:f>IF(OR($W71="",NOT(ISNUMBER($R71))),"",ROUND($R71-$W71,2))</x:f>
        <x:v>0</x:v>
      </x:c>
      <x:c r="AR71" s="152" t="n">
        <x:f>IF(OR($X71="",NOT(ISNUMBER($T71))),"",ROUND($T71-$X71,2))</x:f>
        <x:v>0</x:v>
      </x:c>
      <x:c r="AS71" s="14" t="str">
        <x:v>OK</x:v>
      </x:c>
    </x:row>
    <x:row r="72">
      <x:c r="A72" s="80" t="n">
        <x:v>72</x:v>
      </x:c>
      <x:c r="B72" s="80" t="str">
        <x:v>ORD-2025-10071</x:v>
      </x:c>
      <x:c r="C72" s="81" t="n">
        <x:v>45891</x:v>
      </x:c>
      <x:c r="D72" s="81" t="n">
        <x:v>45896</x:v>
      </x:c>
      <x:c r="E72" s="80" t="str">
        <x:v>CUST-5582</x:v>
      </x:c>
      <x:c r="F72" s="80" t="str">
        <x:v>Karan Malhotra</x:v>
      </x:c>
      <x:c r="G72" s="80" t="str">
        <x:v>Corporate</x:v>
      </x:c>
      <x:c r="H72" s="80" t="str">
        <x:v>South</x:v>
      </x:c>
      <x:c r="I72" s="80" t="str">
        <x:v>Andhra Pradesh</x:v>
      </x:c>
      <x:c r="J72" s="80" t="str">
        <x:v>Vijayawada</x:v>
      </x:c>
      <x:c r="K72" s="80" t="str">
        <x:v>Technology</x:v>
      </x:c>
      <x:c r="L72" s="80" t="str">
        <x:v>Phones</x:v>
      </x:c>
      <x:c r="M72" s="80" t="str">
        <x:v>Max Phones 661</x:v>
      </x:c>
      <x:c r="N72" s="80" t="str">
        <x:v>First Class</x:v>
      </x:c>
      <x:c r="O72" s="82" t="n">
        <x:v>2</x:v>
      </x:c>
      <x:c r="P72" s="83" t="n">
        <x:v>905.87</x:v>
      </x:c>
      <x:c r="Q72" s="84" t="n">
        <x:v>0.15</x:v>
      </x:c>
      <x:c r="R72" s="83" t="n">
        <x:v>1539.98</x:v>
      </x:c>
      <x:c r="S72" s="83" t="n">
        <x:v>1070.2</x:v>
      </x:c>
      <x:c r="T72" s="83" t="n">
        <x:v>469.78</x:v>
      </x:c>
      <x:c r="U72" s="83" t="str">
        <x:v>Paid</x:v>
      </x:c>
      <x:c r="V72" s="83" t="str">
        <x:v>Completed</x:v>
      </x:c>
      <x:c r="W72" s="151" t="n">
        <x:f>IF(OR(NOT(ISNUMBER($AP72)),COUNT($O72,$P72)&lt;2,$O72&lt;=0,$P72&lt;0),"",ROUND($O72*$P72*(1-$AP72),2))</x:f>
        <x:v>1539.98</x:v>
      </x:c>
      <x:c r="X72" s="151" t="n">
        <x:f>IF(OR(NOT(ISNUMBER($W72)),NOT(ISNUMBER($S72))),"",ROUND($W72-$S72,2))</x:f>
        <x:v>469.78</x:v>
      </x:c>
      <x:c r="Y72" s="85" t="n">
        <x:f>IF(OR(NOT(ISNUMBER($W72)),NOT(ISNUMBER($X72)),$W72=0),"",ROUND($X72/$W72,4))</x:f>
        <x:v>0.3051</x:v>
      </x:c>
      <x:c r="Z72" s="82" t="n">
        <x:f>IF(OR($AH72&lt;&gt;"Valid",$AI72&lt;&gt;"Valid"),"",INT($D72-$C72))</x:f>
        <x:v>5</x:v>
      </x:c>
      <x:c r="AA72" s="86" t="str">
        <x:f>IF($AH72&lt;&gt;"Valid","",TEXT($C72,"mmmm"))</x:f>
        <x:v>August</x:v>
      </x:c>
      <x:c r="AB72" s="82" t="n">
        <x:f>IF($AH72&lt;&gt;"Valid","",YEAR($C72))</x:f>
        <x:v>2025</x:v>
      </x:c>
      <x:c r="AC72" s="80" t="str">
        <x:v>Consistent</x:v>
      </x:c>
      <x:c r="AD72" s="80" t="str">
        <x:v>Eligible</x:v>
      </x:c>
      <x:c r="AE72" s="80" t="str">
        <x:f>IF(OR($AH72&lt;&gt;"Valid",$AI72&lt;&gt;"Valid",$AJ72&lt;&gt;"Valid",LEFT($AM72,7)="Invalid",IFERROR(ABS($AQ72)&gt;0.01,FALSE),IFERROR(ABS($AR72)&gt;0.01,FALSE),COUNTIF($AS72,"*Conflicting duplicate*")&gt;0,COUNTIF($AS72,"*Completed order not paid*")&gt;0),"Invalid",IF(OR($H72="Unknown",$N72="Unknown",$AM72="Missing discount imputed as 0"),"Warning","Clean"))</x:f>
        <x:v>Clean</x:v>
      </x:c>
      <x:c r="AF72" s="80" t="str">
        <x:v>Pass</x:v>
      </x:c>
      <x:c r="AG72" s="80" t="str">
        <x:v>No text cleanup required</x:v>
      </x:c>
      <x:c r="AH72" s="12" t="str">
        <x:f>IF(C72="","Missing date",IF(ISNUMBER(C72),"Valid","Unrecognized/invalid date"))</x:f>
        <x:v>Valid</x:v>
      </x:c>
      <x:c r="AI72" s="12" t="str">
        <x:f>IF(D72="","Missing date",IF(ISNUMBER(D72),"Valid","Unrecognized/invalid date"))</x:f>
        <x:v>Valid</x:v>
      </x:c>
      <x:c r="AJ72" s="12" t="str">
        <x:v>Valid</x:v>
      </x:c>
      <x:c r="AK72" s="12" t="str">
        <x:v>Pass</x:v>
      </x:c>
      <x:c r="AL72" s="12" t="str">
        <x:v>None</x:v>
      </x:c>
      <x:c r="AM72" s="12" t="str">
        <x:v>Valid</x:v>
      </x:c>
      <x:c r="AN72" s="12" t="str">
        <x:v>Include in completed sales</x:v>
      </x:c>
      <x:c r="AO72" s="12" t="str">
        <x:v>Not a refunded record</x:v>
      </x:c>
      <x:c r="AP72" s="37" t="n">
        <x:f>IF(LEFT($AM72,7)="Invalid","",IF($AM72="Missing discount imputed as 0",IF(AND(COUNT($O72,$P72,$R72,$S72)=4,$O72&gt;0,$P72&gt;=0,$R72&gt;=0,$S72&gt;=0),0,""),IF(AND(ISNUMBER($Q72),$Q72&gt;=0,$Q72&lt;=0.5),$Q72,"")))</x:f>
        <x:v>0.15</x:v>
      </x:c>
      <x:c r="AQ72" s="152" t="n">
        <x:f>IF(OR($W72="",NOT(ISNUMBER($R72))),"",ROUND($R72-$W72,2))</x:f>
        <x:v>0</x:v>
      </x:c>
      <x:c r="AR72" s="152" t="n">
        <x:f>IF(OR($X72="",NOT(ISNUMBER($T72))),"",ROUND($T72-$X72,2))</x:f>
        <x:v>0</x:v>
      </x:c>
      <x:c r="AS72" s="14" t="str">
        <x:v>OK</x:v>
      </x:c>
    </x:row>
    <x:row r="73">
      <x:c r="A73" s="80" t="n">
        <x:v>73</x:v>
      </x:c>
      <x:c r="B73" s="80" t="str">
        <x:v>ORD-2025-10072</x:v>
      </x:c>
      <x:c r="C73" s="81" t="n">
        <x:v>45763</x:v>
      </x:c>
      <x:c r="D73" s="81" t="n">
        <x:v>45770</x:v>
      </x:c>
      <x:c r="E73" s="80" t="str">
        <x:v>CUST-3308</x:v>
      </x:c>
      <x:c r="F73" s="80" t="str">
        <x:v>Mira Das</x:v>
      </x:c>
      <x:c r="G73" s="80" t="str">
        <x:v>Small Business</x:v>
      </x:c>
      <x:c r="H73" s="80" t="str">
        <x:v>West</x:v>
      </x:c>
      <x:c r="I73" s="80" t="str">
        <x:v>Goa</x:v>
      </x:c>
      <x:c r="J73" s="80" t="str">
        <x:v>Panaji</x:v>
      </x:c>
      <x:c r="K73" s="80" t="str">
        <x:v>Technology</x:v>
      </x:c>
      <x:c r="L73" s="80" t="str">
        <x:v>Machines</x:v>
      </x:c>
      <x:c r="M73" s="80" t="str">
        <x:v>Elite Machines 836</x:v>
      </x:c>
      <x:c r="N73" s="80" t="str">
        <x:v>Standard Class</x:v>
      </x:c>
      <x:c r="O73" s="82" t="n">
        <x:v>6</x:v>
      </x:c>
      <x:c r="P73" s="83" t="n">
        <x:v>2027.32</x:v>
      </x:c>
      <x:c r="Q73" s="84" t="n">
        <x:v>0.1</x:v>
      </x:c>
      <x:c r="R73" s="83" t="n">
        <x:v>10947.53</x:v>
      </x:c>
      <x:c r="S73" s="83" t="n">
        <x:v>6447.36</x:v>
      </x:c>
      <x:c r="T73" s="83" t="n">
        <x:v>4500.17</x:v>
      </x:c>
      <x:c r="U73" s="83" t="str">
        <x:v>Paid</x:v>
      </x:c>
      <x:c r="V73" s="83" t="str">
        <x:v>Completed</x:v>
      </x:c>
      <x:c r="W73" s="151" t="n">
        <x:f>IF(OR(NOT(ISNUMBER($AP73)),COUNT($O73,$P73)&lt;2,$O73&lt;=0,$P73&lt;0),"",ROUND($O73*$P73*(1-$AP73),2))</x:f>
        <x:v>10947.53</x:v>
      </x:c>
      <x:c r="X73" s="151" t="n">
        <x:f>IF(OR(NOT(ISNUMBER($W73)),NOT(ISNUMBER($S73))),"",ROUND($W73-$S73,2))</x:f>
        <x:v>4500.17</x:v>
      </x:c>
      <x:c r="Y73" s="85" t="n">
        <x:f>IF(OR(NOT(ISNUMBER($W73)),NOT(ISNUMBER($X73)),$W73=0),"",ROUND($X73/$W73,4))</x:f>
        <x:v>0.4111</x:v>
      </x:c>
      <x:c r="Z73" s="82" t="n">
        <x:f>IF(OR($AH73&lt;&gt;"Valid",$AI73&lt;&gt;"Valid"),"",INT($D73-$C73))</x:f>
        <x:v>7</x:v>
      </x:c>
      <x:c r="AA73" s="86" t="str">
        <x:f>IF($AH73&lt;&gt;"Valid","",TEXT($C73,"mmmm"))</x:f>
        <x:v>April</x:v>
      </x:c>
      <x:c r="AB73" s="82" t="n">
        <x:f>IF($AH73&lt;&gt;"Valid","",YEAR($C73))</x:f>
        <x:v>2025</x:v>
      </x:c>
      <x:c r="AC73" s="80" t="str">
        <x:v>Consistent</x:v>
      </x:c>
      <x:c r="AD73" s="80" t="str">
        <x:v>Eligible</x:v>
      </x:c>
      <x:c r="AE73" s="80" t="str">
        <x:f>IF(OR($AH73&lt;&gt;"Valid",$AI73&lt;&gt;"Valid",$AJ73&lt;&gt;"Valid",LEFT($AM73,7)="Invalid",IFERROR(ABS($AQ73)&gt;0.01,FALSE),IFERROR(ABS($AR73)&gt;0.01,FALSE),COUNTIF($AS73,"*Conflicting duplicate*")&gt;0,COUNTIF($AS73,"*Completed order not paid*")&gt;0),"Invalid",IF(OR($H73="Unknown",$N73="Unknown",$AM73="Missing discount imputed as 0"),"Warning","Clean"))</x:f>
        <x:v>Clean</x:v>
      </x:c>
      <x:c r="AF73" s="80" t="str">
        <x:v>Cleaned</x:v>
      </x:c>
      <x:c r="AG73" s="80" t="str">
        <x:v>segment: TRIM/SUBSTITUTE whitespace cleanup</x:v>
      </x:c>
      <x:c r="AH73" s="12" t="str">
        <x:f>IF(C73="","Missing date",IF(ISNUMBER(C73),"Valid","Unrecognized/invalid date"))</x:f>
        <x:v>Valid</x:v>
      </x:c>
      <x:c r="AI73" s="12" t="str">
        <x:f>IF(D73="","Missing date",IF(ISNUMBER(D73),"Valid","Unrecognized/invalid date"))</x:f>
        <x:v>Valid</x:v>
      </x:c>
      <x:c r="AJ73" s="12" t="str">
        <x:v>Valid</x:v>
      </x:c>
      <x:c r="AK73" s="12" t="str">
        <x:v>Pass</x:v>
      </x:c>
      <x:c r="AL73" s="12" t="str">
        <x:v>None</x:v>
      </x:c>
      <x:c r="AM73" s="12" t="str">
        <x:v>Valid</x:v>
      </x:c>
      <x:c r="AN73" s="12" t="str">
        <x:v>Include in completed sales</x:v>
      </x:c>
      <x:c r="AO73" s="12" t="str">
        <x:v>Not a refunded record</x:v>
      </x:c>
      <x:c r="AP73" s="37" t="n">
        <x:f>IF(LEFT($AM73,7)="Invalid","",IF($AM73="Missing discount imputed as 0",IF(AND(COUNT($O73,$P73,$R73,$S73)=4,$O73&gt;0,$P73&gt;=0,$R73&gt;=0,$S73&gt;=0),0,""),IF(AND(ISNUMBER($Q73),$Q73&gt;=0,$Q73&lt;=0.5),$Q73,"")))</x:f>
        <x:v>0.1</x:v>
      </x:c>
      <x:c r="AQ73" s="152" t="n">
        <x:f>IF(OR($W73="",NOT(ISNUMBER($R73))),"",ROUND($R73-$W73,2))</x:f>
        <x:v>0</x:v>
      </x:c>
      <x:c r="AR73" s="152" t="n">
        <x:f>IF(OR($X73="",NOT(ISNUMBER($T73))),"",ROUND($T73-$X73,2))</x:f>
        <x:v>0</x:v>
      </x:c>
      <x:c r="AS73" s="14" t="str">
        <x:v>OK</x:v>
      </x:c>
    </x:row>
    <x:row r="74">
      <x:c r="A74" s="80" t="n">
        <x:v>74</x:v>
      </x:c>
      <x:c r="B74" s="80" t="str">
        <x:v>ORD-2024-10073</x:v>
      </x:c>
      <x:c r="C74" s="81" t="n">
        <x:v>45333</x:v>
      </x:c>
      <x:c r="D74" s="81" t="n">
        <x:v>45329</x:v>
      </x:c>
      <x:c r="E74" s="80" t="str">
        <x:v>CUST-5018</x:v>
      </x:c>
      <x:c r="F74" s="80" t="str">
        <x:v>Karan Malhotra</x:v>
      </x:c>
      <x:c r="G74" s="80" t="str">
        <x:v>Home Office</x:v>
      </x:c>
      <x:c r="H74" s="80" t="str">
        <x:v>South</x:v>
      </x:c>
      <x:c r="I74" s="80" t="str">
        <x:v>Tamil Nadu</x:v>
      </x:c>
      <x:c r="J74" s="80" t="str">
        <x:v>Chennai</x:v>
      </x:c>
      <x:c r="K74" s="80" t="str">
        <x:v>Furniture</x:v>
      </x:c>
      <x:c r="L74" s="80" t="str">
        <x:v>Tables</x:v>
      </x:c>
      <x:c r="M74" s="80" t="str">
        <x:v>Prime Tables 902</x:v>
      </x:c>
      <x:c r="N74" s="80" t="str">
        <x:v>First Class</x:v>
      </x:c>
      <x:c r="O74" s="82" t="n">
        <x:v>7</x:v>
      </x:c>
      <x:c r="P74" s="83" t="n">
        <x:v>2287.47</x:v>
      </x:c>
      <x:c r="Q74" s="84" t="n">
        <x:v>0.15</x:v>
      </x:c>
      <x:c r="R74" s="83" t="n">
        <x:v>13610.45</x:v>
      </x:c>
      <x:c r="S74" s="83" t="n">
        <x:v>10039.05</x:v>
      </x:c>
      <x:c r="T74" s="83" t="n">
        <x:v>3571.4</x:v>
      </x:c>
      <x:c r="U74" s="83" t="str">
        <x:v>Paid</x:v>
      </x:c>
      <x:c r="V74" s="83" t="str">
        <x:v>Completed</x:v>
      </x:c>
      <x:c r="W74" s="151" t="n">
        <x:f>IF(OR(NOT(ISNUMBER($AP74)),COUNT($O74,$P74)&lt;2,$O74&lt;=0,$P74&lt;0),"",ROUND($O74*$P74*(1-$AP74),2))</x:f>
        <x:v>13610.45</x:v>
      </x:c>
      <x:c r="X74" s="151" t="n">
        <x:f>IF(OR(NOT(ISNUMBER($W74)),NOT(ISNUMBER($S74))),"",ROUND($W74-$S74,2))</x:f>
        <x:v>3571.4</x:v>
      </x:c>
      <x:c r="Y74" s="85" t="n">
        <x:f>IF(OR(NOT(ISNUMBER($W74)),NOT(ISNUMBER($X74)),$W74=0),"",ROUND($X74/$W74,4))</x:f>
        <x:v>0.2624</x:v>
      </x:c>
      <x:c r="Z74" s="82" t="n">
        <x:f>IF(OR($AH74&lt;&gt;"Valid",$AI74&lt;&gt;"Valid"),"",INT($D74-$C74))</x:f>
        <x:v>-4</x:v>
      </x:c>
      <x:c r="AA74" s="86" t="str">
        <x:f>IF($AH74&lt;&gt;"Valid","",TEXT($C74,"mmmm"))</x:f>
        <x:v>February</x:v>
      </x:c>
      <x:c r="AB74" s="82" t="n">
        <x:f>IF($AH74&lt;&gt;"Valid","",YEAR($C74))</x:f>
        <x:v>2024</x:v>
      </x:c>
      <x:c r="AC74" s="80" t="str">
        <x:v>Consistent</x:v>
      </x:c>
      <x:c r="AD74" s="80" t="str">
        <x:v>Excluded</x:v>
      </x:c>
      <x:c r="AE74" s="80" t="str">
        <x:f>IF(OR($AH74&lt;&gt;"Valid",$AI74&lt;&gt;"Valid",$AJ74&lt;&gt;"Valid",LEFT($AM74,7)="Invalid",IFERROR(ABS($AQ74)&gt;0.01,FALSE),IFERROR(ABS($AR74)&gt;0.01,FALSE),COUNTIF($AS74,"*Conflicting duplicate*")&gt;0,COUNTIF($AS74,"*Completed order not paid*")&gt;0),"Invalid",IF(OR($H74="Unknown",$N74="Unknown",$AM74="Missing discount imputed as 0"),"Warning","Clean"))</x:f>
        <x:v>Invalid</x:v>
      </x:c>
      <x:c r="AF74" s="80" t="str">
        <x:v>Review</x:v>
      </x:c>
      <x:c r="AG74" s="80" t="str">
        <x:v>No text cleanup required</x:v>
      </x:c>
      <x:c r="AH74" s="12" t="str">
        <x:f>IF(C74="","Missing date",IF(ISNUMBER(C74),"Valid","Unrecognized/invalid date"))</x:f>
        <x:v>Valid</x:v>
      </x:c>
      <x:c r="AI74" s="12" t="str">
        <x:f>IF(D74="","Missing date",IF(ISNUMBER(D74),"Valid","Unrecognized/invalid date"))</x:f>
        <x:v>Valid</x:v>
      </x:c>
      <x:c r="AJ74" s="12" t="str">
        <x:v>Invalid</x:v>
      </x:c>
      <x:c r="AK74" s="12" t="str">
        <x:v>Ship date is earlier than order date</x:v>
      </x:c>
      <x:c r="AL74" s="12" t="str">
        <x:v>None</x:v>
      </x:c>
      <x:c r="AM74" s="12" t="str">
        <x:v>Valid</x:v>
      </x:c>
      <x:c r="AN74" s="12" t="str">
        <x:v>Exclude from completed sales</x:v>
      </x:c>
      <x:c r="AO74" s="12" t="str">
        <x:v>Not a refunded record</x:v>
      </x:c>
      <x:c r="AP74" s="37" t="n">
        <x:f>IF(LEFT($AM74,7)="Invalid","",IF($AM74="Missing discount imputed as 0",IF(AND(COUNT($O74,$P74,$R74,$S74)=4,$O74&gt;0,$P74&gt;=0,$R74&gt;=0,$S74&gt;=0),0,""),IF(AND(ISNUMBER($Q74),$Q74&gt;=0,$Q74&lt;=0.5),$Q74,"")))</x:f>
        <x:v>0.15</x:v>
      </x:c>
      <x:c r="AQ74" s="152" t="n">
        <x:f>IF(OR($W74="",NOT(ISNUMBER($R74))),"",ROUND($R74-$W74,2))</x:f>
        <x:v>0</x:v>
      </x:c>
      <x:c r="AR74" s="152" t="n">
        <x:f>IF(OR($X74="",NOT(ISNUMBER($T74))),"",ROUND($T74-$X74,2))</x:f>
        <x:v>0</x:v>
      </x:c>
      <x:c r="AS74" s="14" t="str">
        <x:v>Ship date earlier than order date</x:v>
      </x:c>
    </x:row>
    <x:row r="75">
      <x:c r="A75" s="80" t="n">
        <x:v>75</x:v>
      </x:c>
      <x:c r="B75" s="80" t="str">
        <x:v>ORD-2025-10074</x:v>
      </x:c>
      <x:c r="C75" s="81" t="n">
        <x:v>45745</x:v>
      </x:c>
      <x:c r="D75" s="81" t="n">
        <x:v>45750</x:v>
      </x:c>
      <x:c r="E75" s="80" t="str">
        <x:v>CUST-2342</x:v>
      </x:c>
      <x:c r="F75" s="80" t="str">
        <x:v>Sneha Kapoor</x:v>
      </x:c>
      <x:c r="G75" s="80" t="str">
        <x:v>Corporate</x:v>
      </x:c>
      <x:c r="H75" s="80" t="str">
        <x:v>East</x:v>
      </x:c>
      <x:c r="I75" s="80" t="str">
        <x:v>West Bengal</x:v>
      </x:c>
      <x:c r="J75" s="80" t="str">
        <x:v>Kolkata</x:v>
      </x:c>
      <x:c r="K75" s="80" t="str">
        <x:v>Furniture</x:v>
      </x:c>
      <x:c r="L75" s="80" t="str">
        <x:v>Bookcases</x:v>
      </x:c>
      <x:c r="M75" s="80" t="str">
        <x:v>Smart Bookcases 167</x:v>
      </x:c>
      <x:c r="N75" s="80" t="str">
        <x:v>First Class</x:v>
      </x:c>
      <x:c r="O75" s="82" t="n">
        <x:v>5</x:v>
      </x:c>
      <x:c r="P75" s="83" t="n">
        <x:v>1425.74</x:v>
      </x:c>
      <x:c r="Q75" s="84" t="n">
        <x:v>0</x:v>
      </x:c>
      <x:c r="R75" s="83" t="n">
        <x:v>7128.7</x:v>
      </x:c>
      <x:c r="S75" s="83" t="n">
        <x:v>4382.15</x:v>
      </x:c>
      <x:c r="T75" s="83" t="n">
        <x:v>2746.55</x:v>
      </x:c>
      <x:c r="U75" s="83" t="str">
        <x:v>Paid</x:v>
      </x:c>
      <x:c r="V75" s="83" t="str">
        <x:v>Completed</x:v>
      </x:c>
      <x:c r="W75" s="151" t="n">
        <x:f>IF(OR(NOT(ISNUMBER($AP75)),COUNT($O75,$P75)&lt;2,$O75&lt;=0,$P75&lt;0),"",ROUND($O75*$P75*(1-$AP75),2))</x:f>
        <x:v>7128.7</x:v>
      </x:c>
      <x:c r="X75" s="151" t="n">
        <x:f>IF(OR(NOT(ISNUMBER($W75)),NOT(ISNUMBER($S75))),"",ROUND($W75-$S75,2))</x:f>
        <x:v>2746.55</x:v>
      </x:c>
      <x:c r="Y75" s="85" t="n">
        <x:f>IF(OR(NOT(ISNUMBER($W75)),NOT(ISNUMBER($X75)),$W75=0),"",ROUND($X75/$W75,4))</x:f>
        <x:v>0.3853</x:v>
      </x:c>
      <x:c r="Z75" s="82" t="n">
        <x:f>IF(OR($AH75&lt;&gt;"Valid",$AI75&lt;&gt;"Valid"),"",INT($D75-$C75))</x:f>
        <x:v>5</x:v>
      </x:c>
      <x:c r="AA75" s="86" t="str">
        <x:f>IF($AH75&lt;&gt;"Valid","",TEXT($C75,"mmmm"))</x:f>
        <x:v>March</x:v>
      </x:c>
      <x:c r="AB75" s="82" t="n">
        <x:f>IF($AH75&lt;&gt;"Valid","",YEAR($C75))</x:f>
        <x:v>2025</x:v>
      </x:c>
      <x:c r="AC75" s="80" t="str">
        <x:v>Consistent</x:v>
      </x:c>
      <x:c r="AD75" s="80" t="str">
        <x:v>Eligible</x:v>
      </x:c>
      <x:c r="AE75" s="80" t="str">
        <x:f>IF(OR($AH75&lt;&gt;"Valid",$AI75&lt;&gt;"Valid",$AJ75&lt;&gt;"Valid",LEFT($AM75,7)="Invalid",IFERROR(ABS($AQ75)&gt;0.01,FALSE),IFERROR(ABS($AR75)&gt;0.01,FALSE),COUNTIF($AS75,"*Conflicting duplicate*")&gt;0,COUNTIF($AS75,"*Completed order not paid*")&gt;0),"Invalid",IF(OR($H75="Unknown",$N75="Unknown",$AM75="Missing discount imputed as 0"),"Warning","Clean"))</x:f>
        <x:v>Clean</x:v>
      </x:c>
      <x:c r="AF75" s="80" t="str">
        <x:v>Pass</x:v>
      </x:c>
      <x:c r="AG75" s="80" t="str">
        <x:v>No text cleanup required</x:v>
      </x:c>
      <x:c r="AH75" s="12" t="str">
        <x:f>IF(C75="","Missing date",IF(ISNUMBER(C75),"Valid","Unrecognized/invalid date"))</x:f>
        <x:v>Valid</x:v>
      </x:c>
      <x:c r="AI75" s="12" t="str">
        <x:f>IF(D75="","Missing date",IF(ISNUMBER(D75),"Valid","Unrecognized/invalid date"))</x:f>
        <x:v>Valid</x:v>
      </x:c>
      <x:c r="AJ75" s="12" t="str">
        <x:v>Valid</x:v>
      </x:c>
      <x:c r="AK75" s="12" t="str">
        <x:v>Pass</x:v>
      </x:c>
      <x:c r="AL75" s="12" t="str">
        <x:v>None</x:v>
      </x:c>
      <x:c r="AM75" s="12" t="str">
        <x:v>Valid</x:v>
      </x:c>
      <x:c r="AN75" s="12" t="str">
        <x:v>Include in completed sales</x:v>
      </x:c>
      <x:c r="AO75" s="12" t="str">
        <x:v>Not a refunded record</x:v>
      </x:c>
      <x:c r="AP75" s="37" t="n">
        <x:f>IF(LEFT($AM75,7)="Invalid","",IF($AM75="Missing discount imputed as 0",IF(AND(COUNT($O75,$P75,$R75,$S75)=4,$O75&gt;0,$P75&gt;=0,$R75&gt;=0,$S75&gt;=0),0,""),IF(AND(ISNUMBER($Q75),$Q75&gt;=0,$Q75&lt;=0.5),$Q75,"")))</x:f>
        <x:v>0</x:v>
      </x:c>
      <x:c r="AQ75" s="152" t="n">
        <x:f>IF(OR($W75="",NOT(ISNUMBER($R75))),"",ROUND($R75-$W75,2))</x:f>
        <x:v>0</x:v>
      </x:c>
      <x:c r="AR75" s="152" t="n">
        <x:f>IF(OR($X75="",NOT(ISNUMBER($T75))),"",ROUND($T75-$X75,2))</x:f>
        <x:v>0</x:v>
      </x:c>
      <x:c r="AS75" s="14" t="str">
        <x:v>OK</x:v>
      </x:c>
    </x:row>
    <x:row r="76">
      <x:c r="A76" s="80" t="n">
        <x:v>76</x:v>
      </x:c>
      <x:c r="B76" s="80" t="str">
        <x:v>ORD-2025-10075</x:v>
      </x:c>
      <x:c r="C76" s="81" t="n">
        <x:v>45715</x:v>
      </x:c>
      <x:c r="D76" s="81" t="n">
        <x:v>45717</x:v>
      </x:c>
      <x:c r="E76" s="80" t="str">
        <x:v>CUST-6201</x:v>
      </x:c>
      <x:c r="F76" s="80" t="str">
        <x:v>Vikram Iyer</x:v>
      </x:c>
      <x:c r="G76" s="80" t="str">
        <x:v>Small Business</x:v>
      </x:c>
      <x:c r="H76" s="80" t="str">
        <x:v>East</x:v>
      </x:c>
      <x:c r="I76" s="80" t="str">
        <x:v>West Bengal</x:v>
      </x:c>
      <x:c r="J76" s="80" t="str">
        <x:v>Kolkata</x:v>
      </x:c>
      <x:c r="K76" s="80" t="str">
        <x:v>Furniture</x:v>
      </x:c>
      <x:c r="L76" s="80" t="str">
        <x:v>Chairs</x:v>
      </x:c>
      <x:c r="M76" s="80" t="str">
        <x:v>Max Chairs 244</x:v>
      </x:c>
      <x:c r="N76" s="80" t="str">
        <x:v>Standard Class</x:v>
      </x:c>
      <x:c r="O76" s="82" t="n">
        <x:v>6</x:v>
      </x:c>
      <x:c r="P76" s="83" t="n">
        <x:v>551.64</x:v>
      </x:c>
      <x:c r="Q76" s="84" t="n">
        <x:v>0</x:v>
      </x:c>
      <x:c r="R76" s="83" t="n">
        <x:v>3309.84</x:v>
      </x:c>
      <x:c r="S76" s="83" t="n">
        <x:v>2671.08</x:v>
      </x:c>
      <x:c r="T76" s="83" t="n">
        <x:v>638.76</x:v>
      </x:c>
      <x:c r="U76" s="83" t="str">
        <x:v>Paid</x:v>
      </x:c>
      <x:c r="V76" s="83" t="str">
        <x:v>Completed</x:v>
      </x:c>
      <x:c r="W76" s="151" t="n">
        <x:f>IF(OR(NOT(ISNUMBER($AP76)),COUNT($O76,$P76)&lt;2,$O76&lt;=0,$P76&lt;0),"",ROUND($O76*$P76*(1-$AP76),2))</x:f>
        <x:v>3309.84</x:v>
      </x:c>
      <x:c r="X76" s="151" t="n">
        <x:f>IF(OR(NOT(ISNUMBER($W76)),NOT(ISNUMBER($S76))),"",ROUND($W76-$S76,2))</x:f>
        <x:v>638.76</x:v>
      </x:c>
      <x:c r="Y76" s="85" t="n">
        <x:f>IF(OR(NOT(ISNUMBER($W76)),NOT(ISNUMBER($X76)),$W76=0),"",ROUND($X76/$W76,4))</x:f>
        <x:v>0.193</x:v>
      </x:c>
      <x:c r="Z76" s="82" t="n">
        <x:f>IF(OR($AH76&lt;&gt;"Valid",$AI76&lt;&gt;"Valid"),"",INT($D76-$C76))</x:f>
        <x:v>2</x:v>
      </x:c>
      <x:c r="AA76" s="86" t="str">
        <x:f>IF($AH76&lt;&gt;"Valid","",TEXT($C76,"mmmm"))</x:f>
        <x:v>February</x:v>
      </x:c>
      <x:c r="AB76" s="82" t="n">
        <x:f>IF($AH76&lt;&gt;"Valid","",YEAR($C76))</x:f>
        <x:v>2025</x:v>
      </x:c>
      <x:c r="AC76" s="80" t="str">
        <x:v>Consistent</x:v>
      </x:c>
      <x:c r="AD76" s="80" t="str">
        <x:v>Eligible</x:v>
      </x:c>
      <x:c r="AE76" s="80" t="str">
        <x:f>IF(OR($AH76&lt;&gt;"Valid",$AI76&lt;&gt;"Valid",$AJ76&lt;&gt;"Valid",LEFT($AM76,7)="Invalid",IFERROR(ABS($AQ76)&gt;0.01,FALSE),IFERROR(ABS($AR76)&gt;0.01,FALSE),COUNTIF($AS76,"*Conflicting duplicate*")&gt;0,COUNTIF($AS76,"*Completed order not paid*")&gt;0),"Invalid",IF(OR($H76="Unknown",$N76="Unknown",$AM76="Missing discount imputed as 0"),"Warning","Clean"))</x:f>
        <x:v>Clean</x:v>
      </x:c>
      <x:c r="AF76" s="80" t="str">
        <x:v>Pass</x:v>
      </x:c>
      <x:c r="AG76" s="80" t="str">
        <x:v>No text cleanup required</x:v>
      </x:c>
      <x:c r="AH76" s="12" t="str">
        <x:f>IF(C76="","Missing date",IF(ISNUMBER(C76),"Valid","Unrecognized/invalid date"))</x:f>
        <x:v>Valid</x:v>
      </x:c>
      <x:c r="AI76" s="12" t="str">
        <x:f>IF(D76="","Missing date",IF(ISNUMBER(D76),"Valid","Unrecognized/invalid date"))</x:f>
        <x:v>Valid</x:v>
      </x:c>
      <x:c r="AJ76" s="12" t="str">
        <x:v>Valid</x:v>
      </x:c>
      <x:c r="AK76" s="12" t="str">
        <x:v>Pass</x:v>
      </x:c>
      <x:c r="AL76" s="12" t="str">
        <x:v>None</x:v>
      </x:c>
      <x:c r="AM76" s="12" t="str">
        <x:v>Valid</x:v>
      </x:c>
      <x:c r="AN76" s="12" t="str">
        <x:v>Include in completed sales</x:v>
      </x:c>
      <x:c r="AO76" s="12" t="str">
        <x:v>Not a refunded record</x:v>
      </x:c>
      <x:c r="AP76" s="37" t="n">
        <x:f>IF(LEFT($AM76,7)="Invalid","",IF($AM76="Missing discount imputed as 0",IF(AND(COUNT($O76,$P76,$R76,$S76)=4,$O76&gt;0,$P76&gt;=0,$R76&gt;=0,$S76&gt;=0),0,""),IF(AND(ISNUMBER($Q76),$Q76&gt;=0,$Q76&lt;=0.5),$Q76,"")))</x:f>
        <x:v>0</x:v>
      </x:c>
      <x:c r="AQ76" s="152" t="n">
        <x:f>IF(OR($W76="",NOT(ISNUMBER($R76))),"",ROUND($R76-$W76,2))</x:f>
        <x:v>0</x:v>
      </x:c>
      <x:c r="AR76" s="152" t="n">
        <x:f>IF(OR($X76="",NOT(ISNUMBER($T76))),"",ROUND($T76-$X76,2))</x:f>
        <x:v>0</x:v>
      </x:c>
      <x:c r="AS76" s="14" t="str">
        <x:v>OK</x:v>
      </x:c>
    </x:row>
    <x:row r="77">
      <x:c r="A77" s="80" t="n">
        <x:v>77</x:v>
      </x:c>
      <x:c r="B77" s="80" t="str">
        <x:v>ORD-2025-10076</x:v>
      </x:c>
      <x:c r="C77" s="81" t="n">
        <x:v>45891</x:v>
      </x:c>
      <x:c r="D77" s="81" t="n">
        <x:v>45896</x:v>
      </x:c>
      <x:c r="E77" s="80" t="str">
        <x:v>CUST-5808</x:v>
      </x:c>
      <x:c r="F77" s="80" t="str">
        <x:v>Priya Menon</x:v>
      </x:c>
      <x:c r="G77" s="80" t="str">
        <x:v>Small Business</x:v>
      </x:c>
      <x:c r="H77" s="80" t="str">
        <x:v>East</x:v>
      </x:c>
      <x:c r="I77" s="80" t="str">
        <x:v>Odisha</x:v>
      </x:c>
      <x:c r="J77" s="80" t="str">
        <x:v>Bhubaneswar</x:v>
      </x:c>
      <x:c r="K77" s="80" t="str">
        <x:v>Office Supplies</x:v>
      </x:c>
      <x:c r="L77" s="80" t="str">
        <x:v>Labels</x:v>
      </x:c>
      <x:c r="M77" s="80" t="str">
        <x:v>Eco Labels 653</x:v>
      </x:c>
      <x:c r="N77" s="80" t="str">
        <x:v>First Class</x:v>
      </x:c>
      <x:c r="O77" s="82" t="n">
        <x:v>3</x:v>
      </x:c>
      <x:c r="P77" s="83" t="n">
        <x:v>3294.82</x:v>
      </x:c>
      <x:c r="Q77" s="84" t="n">
        <x:v>0.2</x:v>
      </x:c>
      <x:c r="R77" s="83" t="n">
        <x:v>7907.57</x:v>
      </x:c>
      <x:c r="S77" s="83" t="n">
        <x:v>5391.18</x:v>
      </x:c>
      <x:c r="T77" s="83" t="n">
        <x:v>2516.39</x:v>
      </x:c>
      <x:c r="U77" s="83" t="str">
        <x:v>Paid</x:v>
      </x:c>
      <x:c r="V77" s="83" t="str">
        <x:v>Completed</x:v>
      </x:c>
      <x:c r="W77" s="151" t="n">
        <x:f>IF(OR(NOT(ISNUMBER($AP77)),COUNT($O77,$P77)&lt;2,$O77&lt;=0,$P77&lt;0),"",ROUND($O77*$P77*(1-$AP77),2))</x:f>
        <x:v>7907.57</x:v>
      </x:c>
      <x:c r="X77" s="151" t="n">
        <x:f>IF(OR(NOT(ISNUMBER($W77)),NOT(ISNUMBER($S77))),"",ROUND($W77-$S77,2))</x:f>
        <x:v>2516.39</x:v>
      </x:c>
      <x:c r="Y77" s="85" t="n">
        <x:f>IF(OR(NOT(ISNUMBER($W77)),NOT(ISNUMBER($X77)),$W77=0),"",ROUND($X77/$W77,4))</x:f>
        <x:v>0.3182</x:v>
      </x:c>
      <x:c r="Z77" s="82" t="n">
        <x:f>IF(OR($AH77&lt;&gt;"Valid",$AI77&lt;&gt;"Valid"),"",INT($D77-$C77))</x:f>
        <x:v>5</x:v>
      </x:c>
      <x:c r="AA77" s="86" t="str">
        <x:f>IF($AH77&lt;&gt;"Valid","",TEXT($C77,"mmmm"))</x:f>
        <x:v>August</x:v>
      </x:c>
      <x:c r="AB77" s="82" t="n">
        <x:f>IF($AH77&lt;&gt;"Valid","",YEAR($C77))</x:f>
        <x:v>2025</x:v>
      </x:c>
      <x:c r="AC77" s="80" t="str">
        <x:v>Consistent</x:v>
      </x:c>
      <x:c r="AD77" s="80" t="str">
        <x:v>Eligible</x:v>
      </x:c>
      <x:c r="AE77" s="80" t="str">
        <x:f>IF(OR($AH77&lt;&gt;"Valid",$AI77&lt;&gt;"Valid",$AJ77&lt;&gt;"Valid",LEFT($AM77,7)="Invalid",IFERROR(ABS($AQ77)&gt;0.01,FALSE),IFERROR(ABS($AR77)&gt;0.01,FALSE),COUNTIF($AS77,"*Conflicting duplicate*")&gt;0,COUNTIF($AS77,"*Completed order not paid*")&gt;0),"Invalid",IF(OR($H77="Unknown",$N77="Unknown",$AM77="Missing discount imputed as 0"),"Warning","Clean"))</x:f>
        <x:v>Clean</x:v>
      </x:c>
      <x:c r="AF77" s="80" t="str">
        <x:v>Pass</x:v>
      </x:c>
      <x:c r="AG77" s="80" t="str">
        <x:v>No text cleanup required</x:v>
      </x:c>
      <x:c r="AH77" s="12" t="str">
        <x:f>IF(C77="","Missing date",IF(ISNUMBER(C77),"Valid","Unrecognized/invalid date"))</x:f>
        <x:v>Valid</x:v>
      </x:c>
      <x:c r="AI77" s="12" t="str">
        <x:f>IF(D77="","Missing date",IF(ISNUMBER(D77),"Valid","Unrecognized/invalid date"))</x:f>
        <x:v>Valid</x:v>
      </x:c>
      <x:c r="AJ77" s="12" t="str">
        <x:v>Valid</x:v>
      </x:c>
      <x:c r="AK77" s="12" t="str">
        <x:v>Pass</x:v>
      </x:c>
      <x:c r="AL77" s="12" t="str">
        <x:v>None</x:v>
      </x:c>
      <x:c r="AM77" s="12" t="str">
        <x:v>Valid</x:v>
      </x:c>
      <x:c r="AN77" s="12" t="str">
        <x:v>Include in completed sales</x:v>
      </x:c>
      <x:c r="AO77" s="12" t="str">
        <x:v>Not a refunded record</x:v>
      </x:c>
      <x:c r="AP77" s="37" t="n">
        <x:f>IF(LEFT($AM77,7)="Invalid","",IF($AM77="Missing discount imputed as 0",IF(AND(COUNT($O77,$P77,$R77,$S77)=4,$O77&gt;0,$P77&gt;=0,$R77&gt;=0,$S77&gt;=0),0,""),IF(AND(ISNUMBER($Q77),$Q77&gt;=0,$Q77&lt;=0.5),$Q77,"")))</x:f>
        <x:v>0.2</x:v>
      </x:c>
      <x:c r="AQ77" s="152" t="n">
        <x:f>IF(OR($W77="",NOT(ISNUMBER($R77))),"",ROUND($R77-$W77,2))</x:f>
        <x:v>0</x:v>
      </x:c>
      <x:c r="AR77" s="152" t="n">
        <x:f>IF(OR($X77="",NOT(ISNUMBER($T77))),"",ROUND($T77-$X77,2))</x:f>
        <x:v>0</x:v>
      </x:c>
      <x:c r="AS77" s="14" t="str">
        <x:v>OK</x:v>
      </x:c>
    </x:row>
    <x:row r="78">
      <x:c r="A78" s="80" t="n">
        <x:v>78</x:v>
      </x:c>
      <x:c r="B78" s="80" t="str">
        <x:v>ORD-2024-10077</x:v>
      </x:c>
      <x:c r="C78" s="81" t="n">
        <x:v>45599</x:v>
      </x:c>
      <x:c r="D78" s="81" t="n">
        <x:v>45607</x:v>
      </x:c>
      <x:c r="E78" s="80" t="str">
        <x:v>CUST-2642</x:v>
      </x:c>
      <x:c r="F78" s="80" t="str">
        <x:v>Ananya Rao</x:v>
      </x:c>
      <x:c r="G78" s="80" t="str">
        <x:v>Corporate</x:v>
      </x:c>
      <x:c r="H78" s="80" t="str">
        <x:v>East</x:v>
      </x:c>
      <x:c r="I78" s="80" t="str">
        <x:v>Jharkhand</x:v>
      </x:c>
      <x:c r="J78" s="80" t="str">
        <x:v>Ranchi</x:v>
      </x:c>
      <x:c r="K78" s="80" t="str">
        <x:v>Office Supplies</x:v>
      </x:c>
      <x:c r="L78" s="80" t="str">
        <x:v>Labels</x:v>
      </x:c>
      <x:c r="M78" s="80" t="str">
        <x:v>Max Labels 617</x:v>
      </x:c>
      <x:c r="N78" s="80" t="str">
        <x:v>Second Class</x:v>
      </x:c>
      <x:c r="O78" s="82" t="n">
        <x:v>3</x:v>
      </x:c>
      <x:c r="P78" s="83" t="n">
        <x:v>3406.27</x:v>
      </x:c>
      <x:c r="Q78" s="84" t="n">
        <x:v>0</x:v>
      </x:c>
      <x:c r="R78" s="83" t="n">
        <x:v>10218.81</x:v>
      </x:c>
      <x:c r="S78" s="83" t="n">
        <x:v>7616.97</x:v>
      </x:c>
      <x:c r="T78" s="83" t="n">
        <x:v>2601.84</x:v>
      </x:c>
      <x:c r="U78" s="83" t="str">
        <x:v>Paid</x:v>
      </x:c>
      <x:c r="V78" s="83" t="str">
        <x:v>Completed</x:v>
      </x:c>
      <x:c r="W78" s="151" t="n">
        <x:f>IF(OR(NOT(ISNUMBER($AP78)),COUNT($O78,$P78)&lt;2,$O78&lt;=0,$P78&lt;0),"",ROUND($O78*$P78*(1-$AP78),2))</x:f>
        <x:v>10218.81</x:v>
      </x:c>
      <x:c r="X78" s="151" t="n">
        <x:f>IF(OR(NOT(ISNUMBER($W78)),NOT(ISNUMBER($S78))),"",ROUND($W78-$S78,2))</x:f>
        <x:v>2601.84</x:v>
      </x:c>
      <x:c r="Y78" s="85" t="n">
        <x:f>IF(OR(NOT(ISNUMBER($W78)),NOT(ISNUMBER($X78)),$W78=0),"",ROUND($X78/$W78,4))</x:f>
        <x:v>0.2546</x:v>
      </x:c>
      <x:c r="Z78" s="82" t="n">
        <x:f>IF(OR($AH78&lt;&gt;"Valid",$AI78&lt;&gt;"Valid"),"",INT($D78-$C78))</x:f>
        <x:v>8</x:v>
      </x:c>
      <x:c r="AA78" s="86" t="str">
        <x:f>IF($AH78&lt;&gt;"Valid","",TEXT($C78,"mmmm"))</x:f>
        <x:v>November</x:v>
      </x:c>
      <x:c r="AB78" s="82" t="n">
        <x:f>IF($AH78&lt;&gt;"Valid","",YEAR($C78))</x:f>
        <x:v>2024</x:v>
      </x:c>
      <x:c r="AC78" s="80" t="str">
        <x:v>Consistent</x:v>
      </x:c>
      <x:c r="AD78" s="80" t="str">
        <x:v>Eligible</x:v>
      </x:c>
      <x:c r="AE78" s="80" t="str">
        <x:f>IF(OR($AH78&lt;&gt;"Valid",$AI78&lt;&gt;"Valid",$AJ78&lt;&gt;"Valid",LEFT($AM78,7)="Invalid",IFERROR(ABS($AQ78)&gt;0.01,FALSE),IFERROR(ABS($AR78)&gt;0.01,FALSE),COUNTIF($AS78,"*Conflicting duplicate*")&gt;0,COUNTIF($AS78,"*Completed order not paid*")&gt;0),"Invalid",IF(OR($H78="Unknown",$N78="Unknown",$AM78="Missing discount imputed as 0"),"Warning","Clean"))</x:f>
        <x:v>Clean</x:v>
      </x:c>
      <x:c r="AF78" s="80" t="str">
        <x:v>Pass</x:v>
      </x:c>
      <x:c r="AG78" s="80" t="str">
        <x:v>No text cleanup required</x:v>
      </x:c>
      <x:c r="AH78" s="12" t="str">
        <x:f>IF(C78="","Missing date",IF(ISNUMBER(C78),"Valid","Unrecognized/invalid date"))</x:f>
        <x:v>Valid</x:v>
      </x:c>
      <x:c r="AI78" s="12" t="str">
        <x:f>IF(D78="","Missing date",IF(ISNUMBER(D78),"Valid","Unrecognized/invalid date"))</x:f>
        <x:v>Valid</x:v>
      </x:c>
      <x:c r="AJ78" s="12" t="str">
        <x:v>Valid</x:v>
      </x:c>
      <x:c r="AK78" s="12" t="str">
        <x:v>Pass</x:v>
      </x:c>
      <x:c r="AL78" s="12" t="str">
        <x:v>None</x:v>
      </x:c>
      <x:c r="AM78" s="12" t="str">
        <x:v>Valid</x:v>
      </x:c>
      <x:c r="AN78" s="12" t="str">
        <x:v>Include in completed sales</x:v>
      </x:c>
      <x:c r="AO78" s="12" t="str">
        <x:v>Not a refunded record</x:v>
      </x:c>
      <x:c r="AP78" s="37" t="n">
        <x:f>IF(LEFT($AM78,7)="Invalid","",IF($AM78="Missing discount imputed as 0",IF(AND(COUNT($O78,$P78,$R78,$S78)=4,$O78&gt;0,$P78&gt;=0,$R78&gt;=0,$S78&gt;=0),0,""),IF(AND(ISNUMBER($Q78),$Q78&gt;=0,$Q78&lt;=0.5),$Q78,"")))</x:f>
        <x:v>0</x:v>
      </x:c>
      <x:c r="AQ78" s="152" t="n">
        <x:f>IF(OR($W78="",NOT(ISNUMBER($R78))),"",ROUND($R78-$W78,2))</x:f>
        <x:v>0</x:v>
      </x:c>
      <x:c r="AR78" s="152" t="n">
        <x:f>IF(OR($X78="",NOT(ISNUMBER($T78))),"",ROUND($T78-$X78,2))</x:f>
        <x:v>0</x:v>
      </x:c>
      <x:c r="AS78" s="14" t="str">
        <x:v>OK</x:v>
      </x:c>
    </x:row>
    <x:row r="79">
      <x:c r="A79" s="80" t="n">
        <x:v>79</x:v>
      </x:c>
      <x:c r="B79" s="80" t="str">
        <x:v>ORD-2025-10078</x:v>
      </x:c>
      <x:c r="C79" s="81" t="n">
        <x:v>45846</x:v>
      </x:c>
      <x:c r="D79" s="81" t="n">
        <x:v>45850</x:v>
      </x:c>
      <x:c r="E79" s="80" t="str">
        <x:v>CUST-4385</x:v>
      </x:c>
      <x:c r="F79" s="80" t="str">
        <x:v>Rohan Mehta</x:v>
      </x:c>
      <x:c r="G79" s="80" t="str">
        <x:v>Home Office</x:v>
      </x:c>
      <x:c r="H79" s="80" t="str">
        <x:v>North</x:v>
      </x:c>
      <x:c r="I79" s="80" t="str">
        <x:v>Uttar Pradesh</x:v>
      </x:c>
      <x:c r="J79" s="80" t="str">
        <x:v>Noida</x:v>
      </x:c>
      <x:c r="K79" s="80" t="str">
        <x:v>Furniture</x:v>
      </x:c>
      <x:c r="L79" s="80" t="str">
        <x:v>Furnishings</x:v>
      </x:c>
      <x:c r="M79" s="80" t="str">
        <x:v>Pro Furnishings 529</x:v>
      </x:c>
      <x:c r="N79" s="80" t="str">
        <x:v>Standard Class</x:v>
      </x:c>
      <x:c r="O79" s="82" t="n">
        <x:v>1</x:v>
      </x:c>
      <x:c r="P79" s="83" t="n">
        <x:v>2582.2</x:v>
      </x:c>
      <x:c r="Q79" s="84" t="n">
        <x:v>0.15</x:v>
      </x:c>
      <x:c r="R79" s="83" t="n">
        <x:v>2194.87</x:v>
      </x:c>
      <x:c r="S79" s="83" t="n">
        <x:v>1223.17</x:v>
      </x:c>
      <x:c r="T79" s="83" t="n">
        <x:v>971.7</x:v>
      </x:c>
      <x:c r="U79" s="83" t="str">
        <x:v>Refunded</x:v>
      </x:c>
      <x:c r="V79" s="83" t="str">
        <x:v>Cancelled</x:v>
      </x:c>
      <x:c r="W79" s="151" t="n">
        <x:f>IF(OR(NOT(ISNUMBER($AP79)),COUNT($O79,$P79)&lt;2,$O79&lt;=0,$P79&lt;0),"",ROUND($O79*$P79*(1-$AP79),2))</x:f>
        <x:v>2194.87</x:v>
      </x:c>
      <x:c r="X79" s="151" t="n">
        <x:f>IF(OR(NOT(ISNUMBER($W79)),NOT(ISNUMBER($S79))),"",ROUND($W79-$S79,2))</x:f>
        <x:v>971.7</x:v>
      </x:c>
      <x:c r="Y79" s="85" t="n">
        <x:f>IF(OR(NOT(ISNUMBER($W79)),NOT(ISNUMBER($X79)),$W79=0),"",ROUND($X79/$W79,4))</x:f>
        <x:v>0.4427</x:v>
      </x:c>
      <x:c r="Z79" s="82" t="n">
        <x:f>IF(OR($AH79&lt;&gt;"Valid",$AI79&lt;&gt;"Valid"),"",INT($D79-$C79))</x:f>
        <x:v>4</x:v>
      </x:c>
      <x:c r="AA79" s="86" t="str">
        <x:f>IF($AH79&lt;&gt;"Valid","",TEXT($C79,"mmmm"))</x:f>
        <x:v>July</x:v>
      </x:c>
      <x:c r="AB79" s="82" t="n">
        <x:f>IF($AH79&lt;&gt;"Valid","",YEAR($C79))</x:f>
        <x:v>2025</x:v>
      </x:c>
      <x:c r="AC79" s="80" t="str">
        <x:v>Cancelled (excluded from completed-sales summary)</x:v>
      </x:c>
      <x:c r="AD79" s="80" t="str">
        <x:v>Excluded</x:v>
      </x:c>
      <x:c r="AE79" s="80" t="str">
        <x:f>IF(OR($AH79&lt;&gt;"Valid",$AI79&lt;&gt;"Valid",$AJ79&lt;&gt;"Valid",LEFT($AM79,7)="Invalid",IFERROR(ABS($AQ79)&gt;0.01,FALSE),IFERROR(ABS($AR79)&gt;0.01,FALSE),COUNTIF($AS79,"*Conflicting duplicate*")&gt;0,COUNTIF($AS79,"*Completed order not paid*")&gt;0),"Invalid",IF(OR($H79="Unknown",$N79="Unknown",$AM79="Missing discount imputed as 0"),"Warning","Clean"))</x:f>
        <x:v>Clean</x:v>
      </x:c>
      <x:c r="AF79" s="80" t="str">
        <x:v>Pass</x:v>
      </x:c>
      <x:c r="AG79" s="80" t="str">
        <x:v>No text cleanup required</x:v>
      </x:c>
      <x:c r="AH79" s="12" t="str">
        <x:f>IF(C79="","Missing date",IF(ISNUMBER(C79),"Valid","Unrecognized/invalid date"))</x:f>
        <x:v>Valid</x:v>
      </x:c>
      <x:c r="AI79" s="12" t="str">
        <x:f>IF(D79="","Missing date",IF(ISNUMBER(D79),"Valid","Unrecognized/invalid date"))</x:f>
        <x:v>Valid</x:v>
      </x:c>
      <x:c r="AJ79" s="12" t="str">
        <x:v>Valid</x:v>
      </x:c>
      <x:c r="AK79" s="12" t="str">
        <x:v>Pass</x:v>
      </x:c>
      <x:c r="AL79" s="12" t="str">
        <x:v>Cancelled order – excluded from completed sales; Refunded payment – separately summarized</x:v>
      </x:c>
      <x:c r="AM79" s="12" t="str">
        <x:v>Valid</x:v>
      </x:c>
      <x:c r="AN79" s="12" t="str">
        <x:v>Exclude from completed sales</x:v>
      </x:c>
      <x:c r="AO79" s="12" t="str">
        <x:v>Include in refunded summary</x:v>
      </x:c>
      <x:c r="AP79" s="37" t="n">
        <x:f>IF(LEFT($AM79,7)="Invalid","",IF($AM79="Missing discount imputed as 0",IF(AND(COUNT($O79,$P79,$R79,$S79)=4,$O79&gt;0,$P79&gt;=0,$R79&gt;=0,$S79&gt;=0),0,""),IF(AND(ISNUMBER($Q79),$Q79&gt;=0,$Q79&lt;=0.5),$Q79,"")))</x:f>
        <x:v>0.15</x:v>
      </x:c>
      <x:c r="AQ79" s="152" t="n">
        <x:f>IF(OR($W79="",NOT(ISNUMBER($R79))),"",ROUND($R79-$W79,2))</x:f>
        <x:v>0</x:v>
      </x:c>
      <x:c r="AR79" s="152" t="n">
        <x:f>IF(OR($X79="",NOT(ISNUMBER($T79))),"",ROUND($T79-$X79,2))</x:f>
        <x:v>0</x:v>
      </x:c>
      <x:c r="AS79" s="14" t="str">
        <x:v>OK</x:v>
      </x:c>
    </x:row>
    <x:row r="80">
      <x:c r="A80" s="80" t="n">
        <x:v>80</x:v>
      </x:c>
      <x:c r="B80" s="80" t="str">
        <x:v>ORD-2025-10079</x:v>
      </x:c>
      <x:c r="C80" s="81" t="n">
        <x:v>45854</x:v>
      </x:c>
      <x:c r="D80" s="81" t="n">
        <x:v>45859</x:v>
      </x:c>
      <x:c r="E80" s="80" t="str">
        <x:v>CUST-8043</x:v>
      </x:c>
      <x:c r="F80" s="80" t="str">
        <x:v>Sneha Kapoor</x:v>
      </x:c>
      <x:c r="G80" s="80" t="str">
        <x:v>Corporate</x:v>
      </x:c>
      <x:c r="H80" s="80" t="str">
        <x:v>East</x:v>
      </x:c>
      <x:c r="I80" s="80" t="str">
        <x:v>West Bengal</x:v>
      </x:c>
      <x:c r="J80" s="80" t="str">
        <x:v>Kolkata</x:v>
      </x:c>
      <x:c r="K80" s="80" t="str">
        <x:v>Furniture</x:v>
      </x:c>
      <x:c r="L80" s="80" t="str">
        <x:v>Tables</x:v>
      </x:c>
      <x:c r="M80" s="80" t="str">
        <x:v>Smart Tables 561</x:v>
      </x:c>
      <x:c r="N80" s="80" t="str">
        <x:v>First Class</x:v>
      </x:c>
      <x:c r="O80" s="82" t="n">
        <x:v>5</x:v>
      </x:c>
      <x:c r="P80" s="83" t="n">
        <x:v>2129.51</x:v>
      </x:c>
      <x:c r="Q80" s="84" t="n">
        <x:v>0.15</x:v>
      </x:c>
      <x:c r="R80" s="83" t="n">
        <x:v>9050.42</x:v>
      </x:c>
      <x:c r="S80" s="83" t="n">
        <x:v>6778.85</x:v>
      </x:c>
      <x:c r="T80" s="83" t="n">
        <x:v>2271.57</x:v>
      </x:c>
      <x:c r="U80" s="83" t="str">
        <x:v>Paid</x:v>
      </x:c>
      <x:c r="V80" s="83" t="str">
        <x:v>Completed</x:v>
      </x:c>
      <x:c r="W80" s="151" t="n">
        <x:f>IF(OR(NOT(ISNUMBER($AP80)),COUNT($O80,$P80)&lt;2,$O80&lt;=0,$P80&lt;0),"",ROUND($O80*$P80*(1-$AP80),2))</x:f>
        <x:v>9050.42</x:v>
      </x:c>
      <x:c r="X80" s="151" t="n">
        <x:f>IF(OR(NOT(ISNUMBER($W80)),NOT(ISNUMBER($S80))),"",ROUND($W80-$S80,2))</x:f>
        <x:v>2271.57</x:v>
      </x:c>
      <x:c r="Y80" s="85" t="n">
        <x:f>IF(OR(NOT(ISNUMBER($W80)),NOT(ISNUMBER($X80)),$W80=0),"",ROUND($X80/$W80,4))</x:f>
        <x:v>0.251</x:v>
      </x:c>
      <x:c r="Z80" s="82" t="n">
        <x:f>IF(OR($AH80&lt;&gt;"Valid",$AI80&lt;&gt;"Valid"),"",INT($D80-$C80))</x:f>
        <x:v>5</x:v>
      </x:c>
      <x:c r="AA80" s="86" t="str">
        <x:f>IF($AH80&lt;&gt;"Valid","",TEXT($C80,"mmmm"))</x:f>
        <x:v>July</x:v>
      </x:c>
      <x:c r="AB80" s="82" t="n">
        <x:f>IF($AH80&lt;&gt;"Valid","",YEAR($C80))</x:f>
        <x:v>2025</x:v>
      </x:c>
      <x:c r="AC80" s="80" t="str">
        <x:v>Consistent</x:v>
      </x:c>
      <x:c r="AD80" s="80" t="str">
        <x:v>Eligible</x:v>
      </x:c>
      <x:c r="AE80" s="80" t="str">
        <x:f>IF(OR($AH80&lt;&gt;"Valid",$AI80&lt;&gt;"Valid",$AJ80&lt;&gt;"Valid",LEFT($AM80,7)="Invalid",IFERROR(ABS($AQ80)&gt;0.01,FALSE),IFERROR(ABS($AR80)&gt;0.01,FALSE),COUNTIF($AS80,"*Conflicting duplicate*")&gt;0,COUNTIF($AS80,"*Completed order not paid*")&gt;0),"Invalid",IF(OR($H80="Unknown",$N80="Unknown",$AM80="Missing discount imputed as 0"),"Warning","Clean"))</x:f>
        <x:v>Clean</x:v>
      </x:c>
      <x:c r="AF80" s="80" t="str">
        <x:v>Pass</x:v>
      </x:c>
      <x:c r="AG80" s="80" t="str">
        <x:v>No text cleanup required</x:v>
      </x:c>
      <x:c r="AH80" s="12" t="str">
        <x:f>IF(C80="","Missing date",IF(ISNUMBER(C80),"Valid","Unrecognized/invalid date"))</x:f>
        <x:v>Valid</x:v>
      </x:c>
      <x:c r="AI80" s="12" t="str">
        <x:f>IF(D80="","Missing date",IF(ISNUMBER(D80),"Valid","Unrecognized/invalid date"))</x:f>
        <x:v>Valid</x:v>
      </x:c>
      <x:c r="AJ80" s="12" t="str">
        <x:v>Valid</x:v>
      </x:c>
      <x:c r="AK80" s="12" t="str">
        <x:v>Pass</x:v>
      </x:c>
      <x:c r="AL80" s="12" t="str">
        <x:v>None</x:v>
      </x:c>
      <x:c r="AM80" s="12" t="str">
        <x:v>Valid</x:v>
      </x:c>
      <x:c r="AN80" s="12" t="str">
        <x:v>Include in completed sales</x:v>
      </x:c>
      <x:c r="AO80" s="12" t="str">
        <x:v>Not a refunded record</x:v>
      </x:c>
      <x:c r="AP80" s="37" t="n">
        <x:f>IF(LEFT($AM80,7)="Invalid","",IF($AM80="Missing discount imputed as 0",IF(AND(COUNT($O80,$P80,$R80,$S80)=4,$O80&gt;0,$P80&gt;=0,$R80&gt;=0,$S80&gt;=0),0,""),IF(AND(ISNUMBER($Q80),$Q80&gt;=0,$Q80&lt;=0.5),$Q80,"")))</x:f>
        <x:v>0.15</x:v>
      </x:c>
      <x:c r="AQ80" s="152" t="n">
        <x:f>IF(OR($W80="",NOT(ISNUMBER($R80))),"",ROUND($R80-$W80,2))</x:f>
        <x:v>0</x:v>
      </x:c>
      <x:c r="AR80" s="152" t="n">
        <x:f>IF(OR($X80="",NOT(ISNUMBER($T80))),"",ROUND($T80-$X80,2))</x:f>
        <x:v>0</x:v>
      </x:c>
      <x:c r="AS80" s="14" t="str">
        <x:v>OK</x:v>
      </x:c>
    </x:row>
    <x:row r="81">
      <x:c r="A81" s="80" t="n">
        <x:v>81</x:v>
      </x:c>
      <x:c r="B81" s="80" t="str">
        <x:v>ORD-2025-10080</x:v>
      </x:c>
      <x:c r="C81" s="81" t="n">
        <x:v>45927</x:v>
      </x:c>
      <x:c r="D81" s="81" t="n">
        <x:v>45933</x:v>
      </x:c>
      <x:c r="E81" s="80" t="str">
        <x:v>CUST-9978</x:v>
      </x:c>
      <x:c r="F81" s="80" t="str">
        <x:v>Diya Patel</x:v>
      </x:c>
      <x:c r="G81" s="80" t="str">
        <x:v>Home Office</x:v>
      </x:c>
      <x:c r="H81" s="80" t="str">
        <x:v>South</x:v>
      </x:c>
      <x:c r="I81" s="80" t="str">
        <x:v>Tamil Nadu</x:v>
      </x:c>
      <x:c r="J81" s="80" t="str">
        <x:v>Chennai</x:v>
      </x:c>
      <x:c r="K81" s="80" t="str">
        <x:v>Furniture</x:v>
      </x:c>
      <x:c r="L81" s="80" t="str">
        <x:v>Chairs</x:v>
      </x:c>
      <x:c r="M81" s="80" t="str">
        <x:v>Prime Chairs 838</x:v>
      </x:c>
      <x:c r="N81" s="80" t="str">
        <x:v>Same Day</x:v>
      </x:c>
      <x:c r="O81" s="82" t="n">
        <x:v>9</x:v>
      </x:c>
      <x:c r="P81" s="83" t="n">
        <x:v>4131.52</x:v>
      </x:c>
      <x:c r="Q81" s="84" t="n">
        <x:v>0.1</x:v>
      </x:c>
      <x:c r="R81" s="83" t="n">
        <x:v>33465.31</x:v>
      </x:c>
      <x:c r="S81" s="83" t="n">
        <x:v>24781.26</x:v>
      </x:c>
      <x:c r="T81" s="83" t="n">
        <x:v>8684.05</x:v>
      </x:c>
      <x:c r="U81" s="83" t="str">
        <x:v>Paid</x:v>
      </x:c>
      <x:c r="V81" s="83" t="str">
        <x:v>Completed</x:v>
      </x:c>
      <x:c r="W81" s="151" t="n">
        <x:f>IF(OR(NOT(ISNUMBER($AP81)),COUNT($O81,$P81)&lt;2,$O81&lt;=0,$P81&lt;0),"",ROUND($O81*$P81*(1-$AP81),2))</x:f>
        <x:v>33465.31</x:v>
      </x:c>
      <x:c r="X81" s="151" t="n">
        <x:f>IF(OR(NOT(ISNUMBER($W81)),NOT(ISNUMBER($S81))),"",ROUND($W81-$S81,2))</x:f>
        <x:v>8684.05</x:v>
      </x:c>
      <x:c r="Y81" s="85" t="n">
        <x:f>IF(OR(NOT(ISNUMBER($W81)),NOT(ISNUMBER($X81)),$W81=0),"",ROUND($X81/$W81,4))</x:f>
        <x:v>0.2595</x:v>
      </x:c>
      <x:c r="Z81" s="82" t="n">
        <x:f>IF(OR($AH81&lt;&gt;"Valid",$AI81&lt;&gt;"Valid"),"",INT($D81-$C81))</x:f>
        <x:v>6</x:v>
      </x:c>
      <x:c r="AA81" s="86" t="str">
        <x:f>IF($AH81&lt;&gt;"Valid","",TEXT($C81,"mmmm"))</x:f>
        <x:v>September</x:v>
      </x:c>
      <x:c r="AB81" s="82" t="n">
        <x:f>IF($AH81&lt;&gt;"Valid","",YEAR($C81))</x:f>
        <x:v>2025</x:v>
      </x:c>
      <x:c r="AC81" s="80" t="str">
        <x:v>Consistent</x:v>
      </x:c>
      <x:c r="AD81" s="80" t="str">
        <x:v>Eligible</x:v>
      </x:c>
      <x:c r="AE81" s="80" t="str">
        <x:f>IF(OR($AH81&lt;&gt;"Valid",$AI81&lt;&gt;"Valid",$AJ81&lt;&gt;"Valid",LEFT($AM81,7)="Invalid",IFERROR(ABS($AQ81)&gt;0.01,FALSE),IFERROR(ABS($AR81)&gt;0.01,FALSE),COUNTIF($AS81,"*Conflicting duplicate*")&gt;0,COUNTIF($AS81,"*Completed order not paid*")&gt;0),"Invalid",IF(OR($H81="Unknown",$N81="Unknown",$AM81="Missing discount imputed as 0"),"Warning","Clean"))</x:f>
        <x:v>Clean</x:v>
      </x:c>
      <x:c r="AF81" s="80" t="str">
        <x:v>Cleaned</x:v>
      </x:c>
      <x:c r="AG81" s="80" t="str">
        <x:v>category: TRIM/SUBSTITUTE whitespace cleanup</x:v>
      </x:c>
      <x:c r="AH81" s="12" t="str">
        <x:f>IF(C81="","Missing date",IF(ISNUMBER(C81),"Valid","Unrecognized/invalid date"))</x:f>
        <x:v>Valid</x:v>
      </x:c>
      <x:c r="AI81" s="12" t="str">
        <x:f>IF(D81="","Missing date",IF(ISNUMBER(D81),"Valid","Unrecognized/invalid date"))</x:f>
        <x:v>Valid</x:v>
      </x:c>
      <x:c r="AJ81" s="12" t="str">
        <x:v>Valid</x:v>
      </x:c>
      <x:c r="AK81" s="12" t="str">
        <x:v>Pass</x:v>
      </x:c>
      <x:c r="AL81" s="12" t="str">
        <x:v>None</x:v>
      </x:c>
      <x:c r="AM81" s="12" t="str">
        <x:v>Valid</x:v>
      </x:c>
      <x:c r="AN81" s="12" t="str">
        <x:v>Include in completed sales</x:v>
      </x:c>
      <x:c r="AO81" s="12" t="str">
        <x:v>Not a refunded record</x:v>
      </x:c>
      <x:c r="AP81" s="37" t="n">
        <x:f>IF(LEFT($AM81,7)="Invalid","",IF($AM81="Missing discount imputed as 0",IF(AND(COUNT($O81,$P81,$R81,$S81)=4,$O81&gt;0,$P81&gt;=0,$R81&gt;=0,$S81&gt;=0),0,""),IF(AND(ISNUMBER($Q81),$Q81&gt;=0,$Q81&lt;=0.5),$Q81,"")))</x:f>
        <x:v>0.1</x:v>
      </x:c>
      <x:c r="AQ81" s="152" t="n">
        <x:f>IF(OR($W81="",NOT(ISNUMBER($R81))),"",ROUND($R81-$W81,2))</x:f>
        <x:v>0</x:v>
      </x:c>
      <x:c r="AR81" s="152" t="n">
        <x:f>IF(OR($X81="",NOT(ISNUMBER($T81))),"",ROUND($T81-$X81,2))</x:f>
        <x:v>0</x:v>
      </x:c>
      <x:c r="AS81" s="14" t="str">
        <x:v>OK</x:v>
      </x:c>
    </x:row>
    <x:row r="82">
      <x:c r="A82" s="80" t="n">
        <x:v>82</x:v>
      </x:c>
      <x:c r="B82" s="80" t="str">
        <x:v>ORD-2024-10081</x:v>
      </x:c>
      <x:c r="C82" s="81" t="n">
        <x:v>45514</x:v>
      </x:c>
      <x:c r="D82" s="81" t="n">
        <x:v>45518</x:v>
      </x:c>
      <x:c r="E82" s="80" t="str">
        <x:v>CUST-2094</x:v>
      </x:c>
      <x:c r="F82" s="80" t="str">
        <x:v>Aarav Sharma</x:v>
      </x:c>
      <x:c r="G82" s="80" t="str">
        <x:v>Small Business</x:v>
      </x:c>
      <x:c r="H82" s="80" t="str">
        <x:v>North</x:v>
      </x:c>
      <x:c r="I82" s="80" t="str">
        <x:v>Delhi</x:v>
      </x:c>
      <x:c r="J82" s="80" t="str">
        <x:v>New Delhi</x:v>
      </x:c>
      <x:c r="K82" s="80" t="str">
        <x:v>Office Supplies</x:v>
      </x:c>
      <x:c r="L82" s="80" t="str">
        <x:v>Storage</x:v>
      </x:c>
      <x:c r="M82" s="80" t="str">
        <x:v>Elite Storage 371</x:v>
      </x:c>
      <x:c r="N82" s="80" t="str">
        <x:v>Second Class</x:v>
      </x:c>
      <x:c r="O82" s="82" t="n">
        <x:v>4</x:v>
      </x:c>
      <x:c r="P82" s="83" t="n">
        <x:v>1182.32</x:v>
      </x:c>
      <x:c r="Q82" s="84" t="n">
        <x:v>0.1</x:v>
      </x:c>
      <x:c r="R82" s="83" t="n">
        <x:v>4256.35</x:v>
      </x:c>
      <x:c r="S82" s="83" t="n">
        <x:v>2495.33</x:v>
      </x:c>
      <x:c r="T82" s="83" t="n">
        <x:v>1761.02</x:v>
      </x:c>
      <x:c r="U82" s="83" t="str">
        <x:v>Pending</x:v>
      </x:c>
      <x:c r="V82" s="83" t="str">
        <x:v>Returned</x:v>
      </x:c>
      <x:c r="W82" s="151" t="n">
        <x:f>IF(OR(NOT(ISNUMBER($AP82)),COUNT($O82,$P82)&lt;2,$O82&lt;=0,$P82&lt;0),"",ROUND($O82*$P82*(1-$AP82),2))</x:f>
        <x:v>4256.35</x:v>
      </x:c>
      <x:c r="X82" s="151" t="n">
        <x:f>IF(OR(NOT(ISNUMBER($W82)),NOT(ISNUMBER($S82))),"",ROUND($W82-$S82,2))</x:f>
        <x:v>1761.02</x:v>
      </x:c>
      <x:c r="Y82" s="85" t="n">
        <x:f>IF(OR(NOT(ISNUMBER($W82)),NOT(ISNUMBER($X82)),$W82=0),"",ROUND($X82/$W82,4))</x:f>
        <x:v>0.4137</x:v>
      </x:c>
      <x:c r="Z82" s="82" t="n">
        <x:f>IF(OR($AH82&lt;&gt;"Valid",$AI82&lt;&gt;"Valid"),"",INT($D82-$C82))</x:f>
        <x:v>4</x:v>
      </x:c>
      <x:c r="AA82" s="86" t="str">
        <x:f>IF($AH82&lt;&gt;"Valid","",TEXT($C82,"mmmm"))</x:f>
        <x:v>August</x:v>
      </x:c>
      <x:c r="AB82" s="82" t="n">
        <x:f>IF($AH82&lt;&gt;"Valid","",YEAR($C82))</x:f>
        <x:v>2024</x:v>
      </x:c>
      <x:c r="AC82" s="80" t="str">
        <x:v>Consistent</x:v>
      </x:c>
      <x:c r="AD82" s="80" t="str">
        <x:v>Excluded</x:v>
      </x:c>
      <x:c r="AE82" s="80" t="str">
        <x:f>IF(OR($AH82&lt;&gt;"Valid",$AI82&lt;&gt;"Valid",$AJ82&lt;&gt;"Valid",LEFT($AM82,7)="Invalid",IFERROR(ABS($AQ82)&gt;0.01,FALSE),IFERROR(ABS($AR82)&gt;0.01,FALSE),COUNTIF($AS82,"*Conflicting duplicate*")&gt;0,COUNTIF($AS82,"*Completed order not paid*")&gt;0),"Invalid",IF(OR($H82="Unknown",$N82="Unknown",$AM82="Missing discount imputed as 0"),"Warning","Clean"))</x:f>
        <x:v>Clean</x:v>
      </x:c>
      <x:c r="AF82" s="80" t="str">
        <x:v>Pass</x:v>
      </x:c>
      <x:c r="AG82" s="80" t="str">
        <x:v>No text cleanup required</x:v>
      </x:c>
      <x:c r="AH82" s="12" t="str">
        <x:f>IF(C82="","Missing date",IF(ISNUMBER(C82),"Valid","Unrecognized/invalid date"))</x:f>
        <x:v>Valid</x:v>
      </x:c>
      <x:c r="AI82" s="12" t="str">
        <x:f>IF(D82="","Missing date",IF(ISNUMBER(D82),"Valid","Unrecognized/invalid date"))</x:f>
        <x:v>Valid</x:v>
      </x:c>
      <x:c r="AJ82" s="12" t="str">
        <x:v>Valid</x:v>
      </x:c>
      <x:c r="AK82" s="12" t="str">
        <x:v>Pass</x:v>
      </x:c>
      <x:c r="AL82" s="12" t="str">
        <x:v>None</x:v>
      </x:c>
      <x:c r="AM82" s="12" t="str">
        <x:v>Valid</x:v>
      </x:c>
      <x:c r="AN82" s="12" t="str">
        <x:v>Exclude from completed sales</x:v>
      </x:c>
      <x:c r="AO82" s="12" t="str">
        <x:v>Not a refunded record</x:v>
      </x:c>
      <x:c r="AP82" s="37" t="n">
        <x:f>IF(LEFT($AM82,7)="Invalid","",IF($AM82="Missing discount imputed as 0",IF(AND(COUNT($O82,$P82,$R82,$S82)=4,$O82&gt;0,$P82&gt;=0,$R82&gt;=0,$S82&gt;=0),0,""),IF(AND(ISNUMBER($Q82),$Q82&gt;=0,$Q82&lt;=0.5),$Q82,"")))</x:f>
        <x:v>0.1</x:v>
      </x:c>
      <x:c r="AQ82" s="152" t="n">
        <x:f>IF(OR($W82="",NOT(ISNUMBER($R82))),"",ROUND($R82-$W82,2))</x:f>
        <x:v>0</x:v>
      </x:c>
      <x:c r="AR82" s="152" t="n">
        <x:f>IF(OR($X82="",NOT(ISNUMBER($T82))),"",ROUND($T82-$X82,2))</x:f>
        <x:v>0</x:v>
      </x:c>
      <x:c r="AS82" s="14" t="str">
        <x:v>OK</x:v>
      </x:c>
    </x:row>
    <x:row r="83">
      <x:c r="A83" s="80" t="n">
        <x:v>83</x:v>
      </x:c>
      <x:c r="B83" s="80" t="str">
        <x:v>ORD-2025-10082</x:v>
      </x:c>
      <x:c r="C83" s="81" t="n">
        <x:v>45732</x:v>
      </x:c>
      <x:c r="D83" s="81" t="n">
        <x:v>45733</x:v>
      </x:c>
      <x:c r="E83" s="80" t="str">
        <x:v>CUST-7907</x:v>
      </x:c>
      <x:c r="F83" s="80" t="str">
        <x:v>Karan Malhotra</x:v>
      </x:c>
      <x:c r="G83" s="80" t="str">
        <x:v>Home Office</x:v>
      </x:c>
      <x:c r="H83" s="80" t="str">
        <x:v>West</x:v>
      </x:c>
      <x:c r="I83" s="80" t="str">
        <x:v>Goa</x:v>
      </x:c>
      <x:c r="J83" s="80" t="str">
        <x:v>Panaji</x:v>
      </x:c>
      <x:c r="K83" s="80" t="str">
        <x:v>Office Supplies</x:v>
      </x:c>
      <x:c r="L83" s="80" t="str">
        <x:v>Labels</x:v>
      </x:c>
      <x:c r="M83" s="80" t="str">
        <x:v>Eco Labels 662</x:v>
      </x:c>
      <x:c r="N83" s="80" t="str">
        <x:v>Same Day</x:v>
      </x:c>
      <x:c r="O83" s="82" t="n">
        <x:v>3</x:v>
      </x:c>
      <x:c r="P83" s="83" t="n">
        <x:v>1841.91</x:v>
      </x:c>
      <x:c r="Q83" s="84" t="n">
        <x:v>0</x:v>
      </x:c>
      <x:c r="R83" s="83" t="n">
        <x:v>5525.73</x:v>
      </x:c>
      <x:c r="S83" s="83" t="n">
        <x:v>3093.42</x:v>
      </x:c>
      <x:c r="T83" s="83" t="n">
        <x:v>2432.31</x:v>
      </x:c>
      <x:c r="U83" s="83" t="str">
        <x:v>Paid</x:v>
      </x:c>
      <x:c r="V83" s="83" t="str">
        <x:v>Completed</x:v>
      </x:c>
      <x:c r="W83" s="151" t="n">
        <x:f>IF(OR(NOT(ISNUMBER($AP83)),COUNT($O83,$P83)&lt;2,$O83&lt;=0,$P83&lt;0),"",ROUND($O83*$P83*(1-$AP83),2))</x:f>
        <x:v>5525.73</x:v>
      </x:c>
      <x:c r="X83" s="151" t="n">
        <x:f>IF(OR(NOT(ISNUMBER($W83)),NOT(ISNUMBER($S83))),"",ROUND($W83-$S83,2))</x:f>
        <x:v>2432.31</x:v>
      </x:c>
      <x:c r="Y83" s="85" t="n">
        <x:f>IF(OR(NOT(ISNUMBER($W83)),NOT(ISNUMBER($X83)),$W83=0),"",ROUND($X83/$W83,4))</x:f>
        <x:v>0.4402</x:v>
      </x:c>
      <x:c r="Z83" s="82" t="n">
        <x:f>IF(OR($AH83&lt;&gt;"Valid",$AI83&lt;&gt;"Valid"),"",INT($D83-$C83))</x:f>
        <x:v>1</x:v>
      </x:c>
      <x:c r="AA83" s="86" t="str">
        <x:f>IF($AH83&lt;&gt;"Valid","",TEXT($C83,"mmmm"))</x:f>
        <x:v>March</x:v>
      </x:c>
      <x:c r="AB83" s="82" t="n">
        <x:f>IF($AH83&lt;&gt;"Valid","",YEAR($C83))</x:f>
        <x:v>2025</x:v>
      </x:c>
      <x:c r="AC83" s="80" t="str">
        <x:v>Consistent</x:v>
      </x:c>
      <x:c r="AD83" s="80" t="str">
        <x:v>Eligible</x:v>
      </x:c>
      <x:c r="AE83" s="80" t="str">
        <x:f>IF(OR($AH83&lt;&gt;"Valid",$AI83&lt;&gt;"Valid",$AJ83&lt;&gt;"Valid",LEFT($AM83,7)="Invalid",IFERROR(ABS($AQ83)&gt;0.01,FALSE),IFERROR(ABS($AR83)&gt;0.01,FALSE),COUNTIF($AS83,"*Conflicting duplicate*")&gt;0,COUNTIF($AS83,"*Completed order not paid*")&gt;0),"Invalid",IF(OR($H83="Unknown",$N83="Unknown",$AM83="Missing discount imputed as 0"),"Warning","Clean"))</x:f>
        <x:v>Clean</x:v>
      </x:c>
      <x:c r="AF83" s="80" t="str">
        <x:v>Pass</x:v>
      </x:c>
      <x:c r="AG83" s="80" t="str">
        <x:v>No text cleanup required</x:v>
      </x:c>
      <x:c r="AH83" s="12" t="str">
        <x:f>IF(C83="","Missing date",IF(ISNUMBER(C83),"Valid","Unrecognized/invalid date"))</x:f>
        <x:v>Valid</x:v>
      </x:c>
      <x:c r="AI83" s="12" t="str">
        <x:f>IF(D83="","Missing date",IF(ISNUMBER(D83),"Valid","Unrecognized/invalid date"))</x:f>
        <x:v>Valid</x:v>
      </x:c>
      <x:c r="AJ83" s="12" t="str">
        <x:v>Valid</x:v>
      </x:c>
      <x:c r="AK83" s="12" t="str">
        <x:v>Pass</x:v>
      </x:c>
      <x:c r="AL83" s="12" t="str">
        <x:v>None</x:v>
      </x:c>
      <x:c r="AM83" s="12" t="str">
        <x:v>Valid</x:v>
      </x:c>
      <x:c r="AN83" s="12" t="str">
        <x:v>Include in completed sales</x:v>
      </x:c>
      <x:c r="AO83" s="12" t="str">
        <x:v>Not a refunded record</x:v>
      </x:c>
      <x:c r="AP83" s="37" t="n">
        <x:f>IF(LEFT($AM83,7)="Invalid","",IF($AM83="Missing discount imputed as 0",IF(AND(COUNT($O83,$P83,$R83,$S83)=4,$O83&gt;0,$P83&gt;=0,$R83&gt;=0,$S83&gt;=0),0,""),IF(AND(ISNUMBER($Q83),$Q83&gt;=0,$Q83&lt;=0.5),$Q83,"")))</x:f>
        <x:v>0</x:v>
      </x:c>
      <x:c r="AQ83" s="152" t="n">
        <x:f>IF(OR($W83="",NOT(ISNUMBER($R83))),"",ROUND($R83-$W83,2))</x:f>
        <x:v>0</x:v>
      </x:c>
      <x:c r="AR83" s="152" t="n">
        <x:f>IF(OR($X83="",NOT(ISNUMBER($T83))),"",ROUND($T83-$X83,2))</x:f>
        <x:v>0</x:v>
      </x:c>
      <x:c r="AS83" s="14" t="str">
        <x:v>OK</x:v>
      </x:c>
    </x:row>
    <x:row r="84">
      <x:c r="A84" s="80" t="n">
        <x:v>84</x:v>
      </x:c>
      <x:c r="B84" s="80" t="str">
        <x:v>ORD-2024-10083</x:v>
      </x:c>
      <x:c r="C84" s="81" t="n">
        <x:v>45507</x:v>
      </x:c>
      <x:c r="D84" s="81" t="n">
        <x:v>45508</x:v>
      </x:c>
      <x:c r="E84" s="80" t="str">
        <x:v>CUST-6516</x:v>
      </x:c>
      <x:c r="F84" s="80" t="str">
        <x:v>Arjun Bose</x:v>
      </x:c>
      <x:c r="G84" s="80" t="str">
        <x:v>Consumer</x:v>
      </x:c>
      <x:c r="H84" s="80" t="str">
        <x:v>North</x:v>
      </x:c>
      <x:c r="I84" s="80" t="str">
        <x:v>Uttar Pradesh</x:v>
      </x:c>
      <x:c r="J84" s="80" t="str">
        <x:v>Noida</x:v>
      </x:c>
      <x:c r="K84" s="80" t="str">
        <x:v>Technology</x:v>
      </x:c>
      <x:c r="L84" s="80" t="str">
        <x:v>Copiers</x:v>
      </x:c>
      <x:c r="M84" s="80" t="str">
        <x:v>Smart Copiers 702</x:v>
      </x:c>
      <x:c r="N84" s="80" t="str">
        <x:v>Second Class</x:v>
      </x:c>
      <x:c r="O84" s="82" t="n">
        <x:v>6</x:v>
      </x:c>
      <x:c r="P84" s="83" t="n">
        <x:v>1001.73</x:v>
      </x:c>
      <x:c r="Q84" s="84" t="n">
        <x:v>0</x:v>
      </x:c>
      <x:c r="R84" s="83" t="n">
        <x:v>6010.38</x:v>
      </x:c>
      <x:c r="S84" s="83" t="n">
        <x:v>3762.85</x:v>
      </x:c>
      <x:c r="T84" s="83" t="n">
        <x:v>2247.53</x:v>
      </x:c>
      <x:c r="U84" s="83" t="str">
        <x:v>Failed</x:v>
      </x:c>
      <x:c r="V84" s="83" t="str">
        <x:v>Returned</x:v>
      </x:c>
      <x:c r="W84" s="151" t="n">
        <x:f>IF(OR(NOT(ISNUMBER($AP84)),COUNT($O84,$P84)&lt;2,$O84&lt;=0,$P84&lt;0),"",ROUND($O84*$P84*(1-$AP84),2))</x:f>
        <x:v>6010.38</x:v>
      </x:c>
      <x:c r="X84" s="151" t="n">
        <x:f>IF(OR(NOT(ISNUMBER($W84)),NOT(ISNUMBER($S84))),"",ROUND($W84-$S84,2))</x:f>
        <x:v>2247.53</x:v>
      </x:c>
      <x:c r="Y84" s="85" t="n">
        <x:f>IF(OR(NOT(ISNUMBER($W84)),NOT(ISNUMBER($X84)),$W84=0),"",ROUND($X84/$W84,4))</x:f>
        <x:v>0.3739</x:v>
      </x:c>
      <x:c r="Z84" s="82" t="n">
        <x:f>IF(OR($AH84&lt;&gt;"Valid",$AI84&lt;&gt;"Valid"),"",INT($D84-$C84))</x:f>
        <x:v>1</x:v>
      </x:c>
      <x:c r="AA84" s="86" t="str">
        <x:f>IF($AH84&lt;&gt;"Valid","",TEXT($C84,"mmmm"))</x:f>
        <x:v>August</x:v>
      </x:c>
      <x:c r="AB84" s="82" t="n">
        <x:f>IF($AH84&lt;&gt;"Valid","",YEAR($C84))</x:f>
        <x:v>2024</x:v>
      </x:c>
      <x:c r="AC84" s="80" t="str">
        <x:v>Failed payment (excluded from completed-sales summary)</x:v>
      </x:c>
      <x:c r="AD84" s="80" t="str">
        <x:v>Excluded</x:v>
      </x:c>
      <x:c r="AE84" s="80" t="str">
        <x:f>IF(OR($AH84&lt;&gt;"Valid",$AI84&lt;&gt;"Valid",$AJ84&lt;&gt;"Valid",LEFT($AM84,7)="Invalid",IFERROR(ABS($AQ84)&gt;0.01,FALSE),IFERROR(ABS($AR84)&gt;0.01,FALSE),COUNTIF($AS84,"*Conflicting duplicate*")&gt;0,COUNTIF($AS84,"*Completed order not paid*")&gt;0),"Invalid",IF(OR($H84="Unknown",$N84="Unknown",$AM84="Missing discount imputed as 0"),"Warning","Clean"))</x:f>
        <x:v>Clean</x:v>
      </x:c>
      <x:c r="AF84" s="80" t="str">
        <x:v>Pass</x:v>
      </x:c>
      <x:c r="AG84" s="80" t="str">
        <x:v>No text cleanup required</x:v>
      </x:c>
      <x:c r="AH84" s="12" t="str">
        <x:f>IF(C84="","Missing date",IF(ISNUMBER(C84),"Valid","Unrecognized/invalid date"))</x:f>
        <x:v>Valid</x:v>
      </x:c>
      <x:c r="AI84" s="12" t="str">
        <x:f>IF(D84="","Missing date",IF(ISNUMBER(D84),"Valid","Unrecognized/invalid date"))</x:f>
        <x:v>Valid</x:v>
      </x:c>
      <x:c r="AJ84" s="12" t="str">
        <x:v>Valid</x:v>
      </x:c>
      <x:c r="AK84" s="12" t="str">
        <x:v>Pass</x:v>
      </x:c>
      <x:c r="AL84" s="12" t="str">
        <x:v>Failed payment – excluded from completed sales</x:v>
      </x:c>
      <x:c r="AM84" s="12" t="str">
        <x:v>Valid</x:v>
      </x:c>
      <x:c r="AN84" s="12" t="str">
        <x:v>Exclude from completed sales</x:v>
      </x:c>
      <x:c r="AO84" s="12" t="str">
        <x:v>Not a refunded record</x:v>
      </x:c>
      <x:c r="AP84" s="37" t="n">
        <x:f>IF(LEFT($AM84,7)="Invalid","",IF($AM84="Missing discount imputed as 0",IF(AND(COUNT($O84,$P84,$R84,$S84)=4,$O84&gt;0,$P84&gt;=0,$R84&gt;=0,$S84&gt;=0),0,""),IF(AND(ISNUMBER($Q84),$Q84&gt;=0,$Q84&lt;=0.5),$Q84,"")))</x:f>
        <x:v>0</x:v>
      </x:c>
      <x:c r="AQ84" s="152" t="n">
        <x:f>IF(OR($W84="",NOT(ISNUMBER($R84))),"",ROUND($R84-$W84,2))</x:f>
        <x:v>0</x:v>
      </x:c>
      <x:c r="AR84" s="152" t="n">
        <x:f>IF(OR($X84="",NOT(ISNUMBER($T84))),"",ROUND($T84-$X84,2))</x:f>
        <x:v>0</x:v>
      </x:c>
      <x:c r="AS84" s="14" t="str">
        <x:v>OK</x:v>
      </x:c>
    </x:row>
    <x:row r="85">
      <x:c r="A85" s="80" t="n">
        <x:v>85</x:v>
      </x:c>
      <x:c r="B85" s="80" t="str">
        <x:v>ORD-2024-10084</x:v>
      </x:c>
      <x:c r="C85" s="81" t="n">
        <x:v>45591</x:v>
      </x:c>
      <x:c r="D85" s="81" t="n">
        <x:v>45594</x:v>
      </x:c>
      <x:c r="E85" s="80" t="str">
        <x:v>CUST-4989</x:v>
      </x:c>
      <x:c r="F85" s="80" t="str">
        <x:v>Aditi Sen</x:v>
      </x:c>
      <x:c r="G85" s="80" t="str">
        <x:v>Home Office</x:v>
      </x:c>
      <x:c r="H85" s="80" t="str">
        <x:v>West</x:v>
      </x:c>
      <x:c r="I85" s="80" t="str">
        <x:v>Maharashtra</x:v>
      </x:c>
      <x:c r="J85" s="80" t="str">
        <x:v>Mumbai</x:v>
      </x:c>
      <x:c r="K85" s="80" t="str">
        <x:v>Furniture</x:v>
      </x:c>
      <x:c r="L85" s="80" t="str">
        <x:v>Tables</x:v>
      </x:c>
      <x:c r="M85" s="80" t="str">
        <x:v>Elite Tables 362</x:v>
      </x:c>
      <x:c r="N85" s="80" t="str">
        <x:v>Second Class</x:v>
      </x:c>
      <x:c r="O85" s="82" t="n">
        <x:v>9</x:v>
      </x:c>
      <x:c r="P85" s="83" t="n">
        <x:v>131.74</x:v>
      </x:c>
      <x:c r="Q85" s="84" t="n">
        <x:v>0.2</x:v>
      </x:c>
      <x:c r="R85" s="83" t="n">
        <x:v>948.53</x:v>
      </x:c>
      <x:c r="S85" s="83" t="n">
        <x:v>674.62</x:v>
      </x:c>
      <x:c r="T85" s="83" t="n">
        <x:v>273.91</x:v>
      </x:c>
      <x:c r="U85" s="83" t="str">
        <x:v>Paid</x:v>
      </x:c>
      <x:c r="V85" s="83" t="str">
        <x:v>Completed</x:v>
      </x:c>
      <x:c r="W85" s="151" t="n">
        <x:f>IF(OR(NOT(ISNUMBER($AP85)),COUNT($O85,$P85)&lt;2,$O85&lt;=0,$P85&lt;0),"",ROUND($O85*$P85*(1-$AP85),2))</x:f>
        <x:v>948.53</x:v>
      </x:c>
      <x:c r="X85" s="151" t="n">
        <x:f>IF(OR(NOT(ISNUMBER($W85)),NOT(ISNUMBER($S85))),"",ROUND($W85-$S85,2))</x:f>
        <x:v>273.91</x:v>
      </x:c>
      <x:c r="Y85" s="85" t="n">
        <x:f>IF(OR(NOT(ISNUMBER($W85)),NOT(ISNUMBER($X85)),$W85=0),"",ROUND($X85/$W85,4))</x:f>
        <x:v>0.2888</x:v>
      </x:c>
      <x:c r="Z85" s="82" t="n">
        <x:f>IF(OR($AH85&lt;&gt;"Valid",$AI85&lt;&gt;"Valid"),"",INT($D85-$C85))</x:f>
        <x:v>3</x:v>
      </x:c>
      <x:c r="AA85" s="86" t="str">
        <x:f>IF($AH85&lt;&gt;"Valid","",TEXT($C85,"mmmm"))</x:f>
        <x:v>October</x:v>
      </x:c>
      <x:c r="AB85" s="82" t="n">
        <x:f>IF($AH85&lt;&gt;"Valid","",YEAR($C85))</x:f>
        <x:v>2024</x:v>
      </x:c>
      <x:c r="AC85" s="80" t="str">
        <x:v>Consistent</x:v>
      </x:c>
      <x:c r="AD85" s="80" t="str">
        <x:v>Eligible</x:v>
      </x:c>
      <x:c r="AE85" s="80" t="str">
        <x:f>IF(OR($AH85&lt;&gt;"Valid",$AI85&lt;&gt;"Valid",$AJ85&lt;&gt;"Valid",LEFT($AM85,7)="Invalid",IFERROR(ABS($AQ85)&gt;0.01,FALSE),IFERROR(ABS($AR85)&gt;0.01,FALSE),COUNTIF($AS85,"*Conflicting duplicate*")&gt;0,COUNTIF($AS85,"*Completed order not paid*")&gt;0),"Invalid",IF(OR($H85="Unknown",$N85="Unknown",$AM85="Missing discount imputed as 0"),"Warning","Clean"))</x:f>
        <x:v>Clean</x:v>
      </x:c>
      <x:c r="AF85" s="80" t="str">
        <x:v>Pass</x:v>
      </x:c>
      <x:c r="AG85" s="80" t="str">
        <x:v>No text cleanup required</x:v>
      </x:c>
      <x:c r="AH85" s="12" t="str">
        <x:f>IF(C85="","Missing date",IF(ISNUMBER(C85),"Valid","Unrecognized/invalid date"))</x:f>
        <x:v>Valid</x:v>
      </x:c>
      <x:c r="AI85" s="12" t="str">
        <x:f>IF(D85="","Missing date",IF(ISNUMBER(D85),"Valid","Unrecognized/invalid date"))</x:f>
        <x:v>Valid</x:v>
      </x:c>
      <x:c r="AJ85" s="12" t="str">
        <x:v>Valid</x:v>
      </x:c>
      <x:c r="AK85" s="12" t="str">
        <x:v>Pass</x:v>
      </x:c>
      <x:c r="AL85" s="12" t="str">
        <x:v>None</x:v>
      </x:c>
      <x:c r="AM85" s="12" t="str">
        <x:v>Valid</x:v>
      </x:c>
      <x:c r="AN85" s="12" t="str">
        <x:v>Include in completed sales</x:v>
      </x:c>
      <x:c r="AO85" s="12" t="str">
        <x:v>Not a refunded record</x:v>
      </x:c>
      <x:c r="AP85" s="37" t="n">
        <x:f>IF(LEFT($AM85,7)="Invalid","",IF($AM85="Missing discount imputed as 0",IF(AND(COUNT($O85,$P85,$R85,$S85)=4,$O85&gt;0,$P85&gt;=0,$R85&gt;=0,$S85&gt;=0),0,""),IF(AND(ISNUMBER($Q85),$Q85&gt;=0,$Q85&lt;=0.5),$Q85,"")))</x:f>
        <x:v>0.2</x:v>
      </x:c>
      <x:c r="AQ85" s="152" t="n">
        <x:f>IF(OR($W85="",NOT(ISNUMBER($R85))),"",ROUND($R85-$W85,2))</x:f>
        <x:v>0</x:v>
      </x:c>
      <x:c r="AR85" s="152" t="n">
        <x:f>IF(OR($X85="",NOT(ISNUMBER($T85))),"",ROUND($T85-$X85,2))</x:f>
        <x:v>0</x:v>
      </x:c>
      <x:c r="AS85" s="14" t="str">
        <x:v>OK</x:v>
      </x:c>
    </x:row>
    <x:row r="86">
      <x:c r="A86" s="80" t="n">
        <x:v>86</x:v>
      </x:c>
      <x:c r="B86" s="80" t="str">
        <x:v>ORD-2024-10085</x:v>
      </x:c>
      <x:c r="C86" s="81" t="n">
        <x:v>45566</x:v>
      </x:c>
      <x:c r="D86" s="81" t="n">
        <x:v>45568</x:v>
      </x:c>
      <x:c r="E86" s="80" t="str">
        <x:v>CUST-3758</x:v>
      </x:c>
      <x:c r="F86" s="80" t="str">
        <x:v>Rohan Mehta</x:v>
      </x:c>
      <x:c r="G86" s="80" t="str">
        <x:v>Corporate</x:v>
      </x:c>
      <x:c r="H86" s="80" t="str">
        <x:v>South</x:v>
      </x:c>
      <x:c r="I86" s="80" t="str">
        <x:v>Tamil Nadu</x:v>
      </x:c>
      <x:c r="J86" s="80" t="str">
        <x:v>Chennai</x:v>
      </x:c>
      <x:c r="K86" s="80" t="str">
        <x:v>Technology</x:v>
      </x:c>
      <x:c r="L86" s="80" t="str">
        <x:v>Phones</x:v>
      </x:c>
      <x:c r="M86" s="80" t="str">
        <x:v>Elite Phones 781</x:v>
      </x:c>
      <x:c r="N86" s="80" t="str">
        <x:v>Second Class</x:v>
      </x:c>
      <x:c r="O86" s="82" t="n">
        <x:v>6</x:v>
      </x:c>
      <x:c r="P86" s="83" t="n">
        <x:v>570.28</x:v>
      </x:c>
      <x:c r="Q86" s="84" t="n">
        <x:v>0.2</x:v>
      </x:c>
      <x:c r="R86" s="83" t="n">
        <x:v>2737.34</x:v>
      </x:c>
      <x:c r="S86" s="83" t="n">
        <x:v>2085.44</x:v>
      </x:c>
      <x:c r="T86" s="83" t="n">
        <x:v>651.9</x:v>
      </x:c>
      <x:c r="U86" s="83" t="str">
        <x:v>Paid</x:v>
      </x:c>
      <x:c r="V86" s="83" t="str">
        <x:v>Completed</x:v>
      </x:c>
      <x:c r="W86" s="151" t="n">
        <x:f>IF(OR(NOT(ISNUMBER($AP86)),COUNT($O86,$P86)&lt;2,$O86&lt;=0,$P86&lt;0),"",ROUND($O86*$P86*(1-$AP86),2))</x:f>
        <x:v>2737.34</x:v>
      </x:c>
      <x:c r="X86" s="151" t="n">
        <x:f>IF(OR(NOT(ISNUMBER($W86)),NOT(ISNUMBER($S86))),"",ROUND($W86-$S86,2))</x:f>
        <x:v>651.9</x:v>
      </x:c>
      <x:c r="Y86" s="85" t="n">
        <x:f>IF(OR(NOT(ISNUMBER($W86)),NOT(ISNUMBER($X86)),$W86=0),"",ROUND($X86/$W86,4))</x:f>
        <x:v>0.2382</x:v>
      </x:c>
      <x:c r="Z86" s="82" t="n">
        <x:f>IF(OR($AH86&lt;&gt;"Valid",$AI86&lt;&gt;"Valid"),"",INT($D86-$C86))</x:f>
        <x:v>2</x:v>
      </x:c>
      <x:c r="AA86" s="86" t="str">
        <x:f>IF($AH86&lt;&gt;"Valid","",TEXT($C86,"mmmm"))</x:f>
        <x:v>October</x:v>
      </x:c>
      <x:c r="AB86" s="82" t="n">
        <x:f>IF($AH86&lt;&gt;"Valid","",YEAR($C86))</x:f>
        <x:v>2024</x:v>
      </x:c>
      <x:c r="AC86" s="80" t="str">
        <x:v>Consistent</x:v>
      </x:c>
      <x:c r="AD86" s="80" t="str">
        <x:v>Eligible</x:v>
      </x:c>
      <x:c r="AE86" s="80" t="str">
        <x:f>IF(OR($AH86&lt;&gt;"Valid",$AI86&lt;&gt;"Valid",$AJ86&lt;&gt;"Valid",LEFT($AM86,7)="Invalid",IFERROR(ABS($AQ86)&gt;0.01,FALSE),IFERROR(ABS($AR86)&gt;0.01,FALSE),COUNTIF($AS86,"*Conflicting duplicate*")&gt;0,COUNTIF($AS86,"*Completed order not paid*")&gt;0),"Invalid",IF(OR($H86="Unknown",$N86="Unknown",$AM86="Missing discount imputed as 0"),"Warning","Clean"))</x:f>
        <x:v>Clean</x:v>
      </x:c>
      <x:c r="AF86" s="80" t="str">
        <x:v>Cleaned</x:v>
      </x:c>
      <x:c r="AG86" s="80" t="str">
        <x:v>category: TRIM/SUBSTITUTE whitespace cleanup</x:v>
      </x:c>
      <x:c r="AH86" s="12" t="str">
        <x:f>IF(C86="","Missing date",IF(ISNUMBER(C86),"Valid","Unrecognized/invalid date"))</x:f>
        <x:v>Valid</x:v>
      </x:c>
      <x:c r="AI86" s="12" t="str">
        <x:f>IF(D86="","Missing date",IF(ISNUMBER(D86),"Valid","Unrecognized/invalid date"))</x:f>
        <x:v>Valid</x:v>
      </x:c>
      <x:c r="AJ86" s="12" t="str">
        <x:v>Valid</x:v>
      </x:c>
      <x:c r="AK86" s="12" t="str">
        <x:v>Pass</x:v>
      </x:c>
      <x:c r="AL86" s="12" t="str">
        <x:v>None</x:v>
      </x:c>
      <x:c r="AM86" s="12" t="str">
        <x:v>Valid</x:v>
      </x:c>
      <x:c r="AN86" s="12" t="str">
        <x:v>Include in completed sales</x:v>
      </x:c>
      <x:c r="AO86" s="12" t="str">
        <x:v>Not a refunded record</x:v>
      </x:c>
      <x:c r="AP86" s="37" t="n">
        <x:f>IF(LEFT($AM86,7)="Invalid","",IF($AM86="Missing discount imputed as 0",IF(AND(COUNT($O86,$P86,$R86,$S86)=4,$O86&gt;0,$P86&gt;=0,$R86&gt;=0,$S86&gt;=0),0,""),IF(AND(ISNUMBER($Q86),$Q86&gt;=0,$Q86&lt;=0.5),$Q86,"")))</x:f>
        <x:v>0.2</x:v>
      </x:c>
      <x:c r="AQ86" s="152" t="n">
        <x:f>IF(OR($W86="",NOT(ISNUMBER($R86))),"",ROUND($R86-$W86,2))</x:f>
        <x:v>0</x:v>
      </x:c>
      <x:c r="AR86" s="152" t="n">
        <x:f>IF(OR($X86="",NOT(ISNUMBER($T86))),"",ROUND($T86-$X86,2))</x:f>
        <x:v>0</x:v>
      </x:c>
      <x:c r="AS86" s="14" t="str">
        <x:v>OK</x:v>
      </x:c>
    </x:row>
    <x:row r="87">
      <x:c r="A87" s="80" t="n">
        <x:v>87</x:v>
      </x:c>
      <x:c r="B87" s="80" t="str">
        <x:v>ORD-2024-10086</x:v>
      </x:c>
      <x:c r="C87" s="81" t="n">
        <x:v>45503</x:v>
      </x:c>
      <x:c r="D87" s="81" t="n">
        <x:v>45509</x:v>
      </x:c>
      <x:c r="E87" s="80" t="str">
        <x:v>CUST-6702</x:v>
      </x:c>
      <x:c r="F87" s="80" t="str">
        <x:v>Kabir Singh</x:v>
      </x:c>
      <x:c r="G87" s="80" t="str">
        <x:v>Corporate</x:v>
      </x:c>
      <x:c r="H87" s="80" t="str">
        <x:v>North</x:v>
      </x:c>
      <x:c r="I87" s="80" t="str">
        <x:v>Delhi</x:v>
      </x:c>
      <x:c r="J87" s="80" t="str">
        <x:v>New Delhi</x:v>
      </x:c>
      <x:c r="K87" s="80" t="str">
        <x:v>Office Supplies</x:v>
      </x:c>
      <x:c r="L87" s="80" t="str">
        <x:v>Binders</x:v>
      </x:c>
      <x:c r="M87" s="80" t="str">
        <x:v>Eco Binders 456</x:v>
      </x:c>
      <x:c r="N87" s="80" t="str">
        <x:v>Standard Class</x:v>
      </x:c>
      <x:c r="O87" s="82" t="n">
        <x:v>1</x:v>
      </x:c>
      <x:c r="P87" s="83" t="n">
        <x:v>608.64</x:v>
      </x:c>
      <x:c r="Q87" s="84" t="n">
        <x:v>0</x:v>
      </x:c>
      <x:c r="R87" s="83" t="n">
        <x:v>608.64</x:v>
      </x:c>
      <x:c r="S87" s="83" t="n">
        <x:v>343.99</x:v>
      </x:c>
      <x:c r="T87" s="83" t="n">
        <x:v>264.65</x:v>
      </x:c>
      <x:c r="U87" s="83" t="str">
        <x:v>Paid</x:v>
      </x:c>
      <x:c r="V87" s="83" t="str">
        <x:v>Cancelled</x:v>
      </x:c>
      <x:c r="W87" s="151" t="n">
        <x:f>IF(OR(NOT(ISNUMBER($AP87)),COUNT($O87,$P87)&lt;2,$O87&lt;=0,$P87&lt;0),"",ROUND($O87*$P87*(1-$AP87),2))</x:f>
        <x:v>608.64</x:v>
      </x:c>
      <x:c r="X87" s="151" t="n">
        <x:f>IF(OR(NOT(ISNUMBER($W87)),NOT(ISNUMBER($S87))),"",ROUND($W87-$S87,2))</x:f>
        <x:v>264.65</x:v>
      </x:c>
      <x:c r="Y87" s="85" t="n">
        <x:f>IF(OR(NOT(ISNUMBER($W87)),NOT(ISNUMBER($X87)),$W87=0),"",ROUND($X87/$W87,4))</x:f>
        <x:v>0.4348</x:v>
      </x:c>
      <x:c r="Z87" s="82" t="n">
        <x:f>IF(OR($AH87&lt;&gt;"Valid",$AI87&lt;&gt;"Valid"),"",INT($D87-$C87))</x:f>
        <x:v>6</x:v>
      </x:c>
      <x:c r="AA87" s="86" t="str">
        <x:f>IF($AH87&lt;&gt;"Valid","",TEXT($C87,"mmmm"))</x:f>
        <x:v>July</x:v>
      </x:c>
      <x:c r="AB87" s="82" t="n">
        <x:f>IF($AH87&lt;&gt;"Valid","",YEAR($C87))</x:f>
        <x:v>2024</x:v>
      </x:c>
      <x:c r="AC87" s="80" t="str">
        <x:v>Cancelled (excluded from completed-sales summary)</x:v>
      </x:c>
      <x:c r="AD87" s="80" t="str">
        <x:v>Excluded</x:v>
      </x:c>
      <x:c r="AE87" s="80" t="str">
        <x:f>IF(OR($AH87&lt;&gt;"Valid",$AI87&lt;&gt;"Valid",$AJ87&lt;&gt;"Valid",LEFT($AM87,7)="Invalid",IFERROR(ABS($AQ87)&gt;0.01,FALSE),IFERROR(ABS($AR87)&gt;0.01,FALSE),COUNTIF($AS87,"*Conflicting duplicate*")&gt;0,COUNTIF($AS87,"*Completed order not paid*")&gt;0),"Invalid",IF(OR($H87="Unknown",$N87="Unknown",$AM87="Missing discount imputed as 0"),"Warning","Clean"))</x:f>
        <x:v>Clean</x:v>
      </x:c>
      <x:c r="AF87" s="80" t="str">
        <x:v>Pass</x:v>
      </x:c>
      <x:c r="AG87" s="80" t="str">
        <x:v>No text cleanup required</x:v>
      </x:c>
      <x:c r="AH87" s="12" t="str">
        <x:f>IF(C87="","Missing date",IF(ISNUMBER(C87),"Valid","Unrecognized/invalid date"))</x:f>
        <x:v>Valid</x:v>
      </x:c>
      <x:c r="AI87" s="12" t="str">
        <x:f>IF(D87="","Missing date",IF(ISNUMBER(D87),"Valid","Unrecognized/invalid date"))</x:f>
        <x:v>Valid</x:v>
      </x:c>
      <x:c r="AJ87" s="12" t="str">
        <x:v>Valid</x:v>
      </x:c>
      <x:c r="AK87" s="12" t="str">
        <x:v>Pass</x:v>
      </x:c>
      <x:c r="AL87" s="12" t="str">
        <x:v>Cancelled order – excluded from completed sales</x:v>
      </x:c>
      <x:c r="AM87" s="12" t="str">
        <x:v>Valid</x:v>
      </x:c>
      <x:c r="AN87" s="12" t="str">
        <x:v>Exclude from completed sales</x:v>
      </x:c>
      <x:c r="AO87" s="12" t="str">
        <x:v>Not a refunded record</x:v>
      </x:c>
      <x:c r="AP87" s="37" t="n">
        <x:f>IF(LEFT($AM87,7)="Invalid","",IF($AM87="Missing discount imputed as 0",IF(AND(COUNT($O87,$P87,$R87,$S87)=4,$O87&gt;0,$P87&gt;=0,$R87&gt;=0,$S87&gt;=0),0,""),IF(AND(ISNUMBER($Q87),$Q87&gt;=0,$Q87&lt;=0.5),$Q87,"")))</x:f>
        <x:v>0</x:v>
      </x:c>
      <x:c r="AQ87" s="152" t="n">
        <x:f>IF(OR($W87="",NOT(ISNUMBER($R87))),"",ROUND($R87-$W87,2))</x:f>
        <x:v>0</x:v>
      </x:c>
      <x:c r="AR87" s="152" t="n">
        <x:f>IF(OR($X87="",NOT(ISNUMBER($T87))),"",ROUND($T87-$X87,2))</x:f>
        <x:v>0</x:v>
      </x:c>
      <x:c r="AS87" s="14" t="str">
        <x:v>OK</x:v>
      </x:c>
    </x:row>
    <x:row r="88">
      <x:c r="A88" s="80" t="n">
        <x:v>88</x:v>
      </x:c>
      <x:c r="B88" s="80" t="str">
        <x:v>ORD-2024-10087</x:v>
      </x:c>
      <x:c r="C88" s="81" t="n">
        <x:v>45474</x:v>
      </x:c>
      <x:c r="D88" s="81" t="n">
        <x:v>45474</x:v>
      </x:c>
      <x:c r="E88" s="80" t="str">
        <x:v>CUST-9148</x:v>
      </x:c>
      <x:c r="F88" s="80" t="str">
        <x:v>Ananya Rao</x:v>
      </x:c>
      <x:c r="G88" s="80" t="str">
        <x:v>Small Business</x:v>
      </x:c>
      <x:c r="H88" s="80" t="str">
        <x:v>North</x:v>
      </x:c>
      <x:c r="I88" s="80" t="str">
        <x:v>Delhi</x:v>
      </x:c>
      <x:c r="J88" s="80" t="str">
        <x:v>New Delhi</x:v>
      </x:c>
      <x:c r="K88" s="80" t="str">
        <x:v>Technology</x:v>
      </x:c>
      <x:c r="L88" s="80" t="str">
        <x:v>Copiers</x:v>
      </x:c>
      <x:c r="M88" s="80" t="str">
        <x:v>Basic Copiers 525</x:v>
      </x:c>
      <x:c r="N88" s="80" t="str">
        <x:v>Second Class</x:v>
      </x:c>
      <x:c r="O88" s="82" t="n">
        <x:v>3</x:v>
      </x:c>
      <x:c r="P88" s="83" t="n">
        <x:v>885.28</x:v>
      </x:c>
      <x:c r="Q88" s="84" t="n">
        <x:v>0.1</x:v>
      </x:c>
      <x:c r="R88" s="83" t="n">
        <x:v>2390.26</x:v>
      </x:c>
      <x:c r="S88" s="83" t="n">
        <x:v>1495.94</x:v>
      </x:c>
      <x:c r="T88" s="83" t="n">
        <x:v>894.32</x:v>
      </x:c>
      <x:c r="U88" s="83" t="str">
        <x:v>Refunded</x:v>
      </x:c>
      <x:c r="V88" s="83" t="str">
        <x:v>Cancelled</x:v>
      </x:c>
      <x:c r="W88" s="151" t="n">
        <x:f>IF(OR(NOT(ISNUMBER($AP88)),COUNT($O88,$P88)&lt;2,$O88&lt;=0,$P88&lt;0),"",ROUND($O88*$P88*(1-$AP88),2))</x:f>
        <x:v>2390.26</x:v>
      </x:c>
      <x:c r="X88" s="151" t="n">
        <x:f>IF(OR(NOT(ISNUMBER($W88)),NOT(ISNUMBER($S88))),"",ROUND($W88-$S88,2))</x:f>
        <x:v>894.32</x:v>
      </x:c>
      <x:c r="Y88" s="85" t="n">
        <x:f>IF(OR(NOT(ISNUMBER($W88)),NOT(ISNUMBER($X88)),$W88=0),"",ROUND($X88/$W88,4))</x:f>
        <x:v>0.3742</x:v>
      </x:c>
      <x:c r="Z88" s="82" t="n">
        <x:f>IF(OR($AH88&lt;&gt;"Valid",$AI88&lt;&gt;"Valid"),"",INT($D88-$C88))</x:f>
        <x:v>0</x:v>
      </x:c>
      <x:c r="AA88" s="86" t="str">
        <x:f>IF($AH88&lt;&gt;"Valid","",TEXT($C88,"mmmm"))</x:f>
        <x:v>July</x:v>
      </x:c>
      <x:c r="AB88" s="82" t="n">
        <x:f>IF($AH88&lt;&gt;"Valid","",YEAR($C88))</x:f>
        <x:v>2024</x:v>
      </x:c>
      <x:c r="AC88" s="80" t="str">
        <x:v>Cancelled (excluded from completed-sales summary)</x:v>
      </x:c>
      <x:c r="AD88" s="80" t="str">
        <x:v>Excluded</x:v>
      </x:c>
      <x:c r="AE88" s="80" t="str">
        <x:f>IF(OR($AH88&lt;&gt;"Valid",$AI88&lt;&gt;"Valid",$AJ88&lt;&gt;"Valid",LEFT($AM88,7)="Invalid",IFERROR(ABS($AQ88)&gt;0.01,FALSE),IFERROR(ABS($AR88)&gt;0.01,FALSE),COUNTIF($AS88,"*Conflicting duplicate*")&gt;0,COUNTIF($AS88,"*Completed order not paid*")&gt;0),"Invalid",IF(OR($H88="Unknown",$N88="Unknown",$AM88="Missing discount imputed as 0"),"Warning","Clean"))</x:f>
        <x:v>Clean</x:v>
      </x:c>
      <x:c r="AF88" s="80" t="str">
        <x:v>Pass</x:v>
      </x:c>
      <x:c r="AG88" s="80" t="str">
        <x:v>No text cleanup required</x:v>
      </x:c>
      <x:c r="AH88" s="12" t="str">
        <x:f>IF(C88="","Missing date",IF(ISNUMBER(C88),"Valid","Unrecognized/invalid date"))</x:f>
        <x:v>Valid</x:v>
      </x:c>
      <x:c r="AI88" s="12" t="str">
        <x:f>IF(D88="","Missing date",IF(ISNUMBER(D88),"Valid","Unrecognized/invalid date"))</x:f>
        <x:v>Valid</x:v>
      </x:c>
      <x:c r="AJ88" s="12" t="str">
        <x:v>Valid</x:v>
      </x:c>
      <x:c r="AK88" s="12" t="str">
        <x:v>Pass</x:v>
      </x:c>
      <x:c r="AL88" s="12" t="str">
        <x:v>Cancelled order – excluded from completed sales; Refunded payment – separately summarized</x:v>
      </x:c>
      <x:c r="AM88" s="12" t="str">
        <x:v>Valid</x:v>
      </x:c>
      <x:c r="AN88" s="12" t="str">
        <x:v>Exclude from completed sales</x:v>
      </x:c>
      <x:c r="AO88" s="12" t="str">
        <x:v>Include in refunded summary</x:v>
      </x:c>
      <x:c r="AP88" s="37" t="n">
        <x:f>IF(LEFT($AM88,7)="Invalid","",IF($AM88="Missing discount imputed as 0",IF(AND(COUNT($O88,$P88,$R88,$S88)=4,$O88&gt;0,$P88&gt;=0,$R88&gt;=0,$S88&gt;=0),0,""),IF(AND(ISNUMBER($Q88),$Q88&gt;=0,$Q88&lt;=0.5),$Q88,"")))</x:f>
        <x:v>0.1</x:v>
      </x:c>
      <x:c r="AQ88" s="152" t="n">
        <x:f>IF(OR($W88="",NOT(ISNUMBER($R88))),"",ROUND($R88-$W88,2))</x:f>
        <x:v>0</x:v>
      </x:c>
      <x:c r="AR88" s="152" t="n">
        <x:f>IF(OR($X88="",NOT(ISNUMBER($T88))),"",ROUND($T88-$X88,2))</x:f>
        <x:v>0</x:v>
      </x:c>
      <x:c r="AS88" s="14" t="str">
        <x:v>OK</x:v>
      </x:c>
    </x:row>
    <x:row r="89">
      <x:c r="A89" s="80" t="n">
        <x:v>89</x:v>
      </x:c>
      <x:c r="B89" s="80" t="str">
        <x:v>ORD-2024-10088</x:v>
      </x:c>
      <x:c r="C89" s="81" t="n">
        <x:v>45506</x:v>
      </x:c>
      <x:c r="D89" s="81" t="n">
        <x:v>45507</x:v>
      </x:c>
      <x:c r="E89" s="80" t="str">
        <x:v>CUST-5829</x:v>
      </x:c>
      <x:c r="F89" s="80" t="str">
        <x:v>Vikram Iyer</x:v>
      </x:c>
      <x:c r="G89" s="80" t="str">
        <x:v>Consumer</x:v>
      </x:c>
      <x:c r="H89" s="80" t="str">
        <x:v>East</x:v>
      </x:c>
      <x:c r="I89" s="80" t="str">
        <x:v>Assam</x:v>
      </x:c>
      <x:c r="J89" s="80" t="str">
        <x:v>Guwahati</x:v>
      </x:c>
      <x:c r="K89" s="80" t="str">
        <x:v>Office Supplies</x:v>
      </x:c>
      <x:c r="L89" s="80" t="str">
        <x:v>Binders</x:v>
      </x:c>
      <x:c r="M89" s="80" t="str">
        <x:v>Eco Binders 258</x:v>
      </x:c>
      <x:c r="N89" s="80" t="str">
        <x:v>Standard Class</x:v>
      </x:c>
      <x:c r="O89" s="82" t="n">
        <x:v>7</x:v>
      </x:c>
      <x:c r="P89" s="83" t="n">
        <x:v>3345.22</x:v>
      </x:c>
      <x:c r="Q89" s="84" t="n">
        <x:v>0</x:v>
      </x:c>
      <x:c r="R89" s="83" t="n">
        <x:v>23416.54</x:v>
      </x:c>
      <x:c r="S89" s="83" t="n">
        <x:v>15490.89</x:v>
      </x:c>
      <x:c r="T89" s="83" t="n">
        <x:v>7925.65</x:v>
      </x:c>
      <x:c r="U89" s="83" t="str">
        <x:v>Paid</x:v>
      </x:c>
      <x:c r="V89" s="83" t="str">
        <x:v>Completed</x:v>
      </x:c>
      <x:c r="W89" s="151" t="n">
        <x:f>IF(OR(NOT(ISNUMBER($AP89)),COUNT($O89,$P89)&lt;2,$O89&lt;=0,$P89&lt;0),"",ROUND($O89*$P89*(1-$AP89),2))</x:f>
        <x:v>23416.54</x:v>
      </x:c>
      <x:c r="X89" s="151" t="n">
        <x:f>IF(OR(NOT(ISNUMBER($W89)),NOT(ISNUMBER($S89))),"",ROUND($W89-$S89,2))</x:f>
        <x:v>7925.65</x:v>
      </x:c>
      <x:c r="Y89" s="85" t="n">
        <x:f>IF(OR(NOT(ISNUMBER($W89)),NOT(ISNUMBER($X89)),$W89=0),"",ROUND($X89/$W89,4))</x:f>
        <x:v>0.3385</x:v>
      </x:c>
      <x:c r="Z89" s="82" t="n">
        <x:f>IF(OR($AH89&lt;&gt;"Valid",$AI89&lt;&gt;"Valid"),"",INT($D89-$C89))</x:f>
        <x:v>1</x:v>
      </x:c>
      <x:c r="AA89" s="86" t="str">
        <x:f>IF($AH89&lt;&gt;"Valid","",TEXT($C89,"mmmm"))</x:f>
        <x:v>August</x:v>
      </x:c>
      <x:c r="AB89" s="82" t="n">
        <x:f>IF($AH89&lt;&gt;"Valid","",YEAR($C89))</x:f>
        <x:v>2024</x:v>
      </x:c>
      <x:c r="AC89" s="80" t="str">
        <x:v>Consistent</x:v>
      </x:c>
      <x:c r="AD89" s="80" t="str">
        <x:v>Eligible</x:v>
      </x:c>
      <x:c r="AE89" s="80" t="str">
        <x:f>IF(OR($AH89&lt;&gt;"Valid",$AI89&lt;&gt;"Valid",$AJ89&lt;&gt;"Valid",LEFT($AM89,7)="Invalid",IFERROR(ABS($AQ89)&gt;0.01,FALSE),IFERROR(ABS($AR89)&gt;0.01,FALSE),COUNTIF($AS89,"*Conflicting duplicate*")&gt;0,COUNTIF($AS89,"*Completed order not paid*")&gt;0),"Invalid",IF(OR($H89="Unknown",$N89="Unknown",$AM89="Missing discount imputed as 0"),"Warning","Clean"))</x:f>
        <x:v>Clean</x:v>
      </x:c>
      <x:c r="AF89" s="80" t="str">
        <x:v>Pass</x:v>
      </x:c>
      <x:c r="AG89" s="80" t="str">
        <x:v>No text cleanup required</x:v>
      </x:c>
      <x:c r="AH89" s="12" t="str">
        <x:f>IF(C89="","Missing date",IF(ISNUMBER(C89),"Valid","Unrecognized/invalid date"))</x:f>
        <x:v>Valid</x:v>
      </x:c>
      <x:c r="AI89" s="12" t="str">
        <x:f>IF(D89="","Missing date",IF(ISNUMBER(D89),"Valid","Unrecognized/invalid date"))</x:f>
        <x:v>Valid</x:v>
      </x:c>
      <x:c r="AJ89" s="12" t="str">
        <x:v>Valid</x:v>
      </x:c>
      <x:c r="AK89" s="12" t="str">
        <x:v>Pass</x:v>
      </x:c>
      <x:c r="AL89" s="12" t="str">
        <x:v>None</x:v>
      </x:c>
      <x:c r="AM89" s="12" t="str">
        <x:v>Valid</x:v>
      </x:c>
      <x:c r="AN89" s="12" t="str">
        <x:v>Include in completed sales</x:v>
      </x:c>
      <x:c r="AO89" s="12" t="str">
        <x:v>Not a refunded record</x:v>
      </x:c>
      <x:c r="AP89" s="37" t="n">
        <x:f>IF(LEFT($AM89,7)="Invalid","",IF($AM89="Missing discount imputed as 0",IF(AND(COUNT($O89,$P89,$R89,$S89)=4,$O89&gt;0,$P89&gt;=0,$R89&gt;=0,$S89&gt;=0),0,""),IF(AND(ISNUMBER($Q89),$Q89&gt;=0,$Q89&lt;=0.5),$Q89,"")))</x:f>
        <x:v>0</x:v>
      </x:c>
      <x:c r="AQ89" s="152" t="n">
        <x:f>IF(OR($W89="",NOT(ISNUMBER($R89))),"",ROUND($R89-$W89,2))</x:f>
        <x:v>0</x:v>
      </x:c>
      <x:c r="AR89" s="152" t="n">
        <x:f>IF(OR($X89="",NOT(ISNUMBER($T89))),"",ROUND($T89-$X89,2))</x:f>
        <x:v>0</x:v>
      </x:c>
      <x:c r="AS89" s="14" t="str">
        <x:v>OK</x:v>
      </x:c>
    </x:row>
    <x:row r="90">
      <x:c r="A90" s="80" t="n">
        <x:v>90</x:v>
      </x:c>
      <x:c r="B90" s="80" t="str">
        <x:v>ORD-2024-10089</x:v>
      </x:c>
      <x:c r="C90" s="81" t="n">
        <x:v>45375</x:v>
      </x:c>
      <x:c r="D90" s="81" t="n">
        <x:v>45378</x:v>
      </x:c>
      <x:c r="E90" s="80" t="str">
        <x:v>CUST-6059</x:v>
      </x:c>
      <x:c r="F90" s="80" t="str">
        <x:v>Rohan Mehta</x:v>
      </x:c>
      <x:c r="G90" s="80" t="str">
        <x:v>Small Business</x:v>
      </x:c>
      <x:c r="H90" s="80" t="str">
        <x:v>West</x:v>
      </x:c>
      <x:c r="I90" s="80" t="str">
        <x:v>Maharashtra</x:v>
      </x:c>
      <x:c r="J90" s="80" t="str">
        <x:v>Mumbai</x:v>
      </x:c>
      <x:c r="K90" s="80" t="str">
        <x:v>Furniture</x:v>
      </x:c>
      <x:c r="L90" s="80" t="str">
        <x:v>Bookcases</x:v>
      </x:c>
      <x:c r="M90" s="80" t="str">
        <x:v>Max Bookcases 398</x:v>
      </x:c>
      <x:c r="N90" s="80" t="str">
        <x:v>Standard Class</x:v>
      </x:c>
      <x:c r="O90" s="82" t="n">
        <x:v>2</x:v>
      </x:c>
      <x:c r="P90" s="83" t="n">
        <x:v>3284.75</x:v>
      </x:c>
      <x:c r="Q90" s="84" t="n">
        <x:v>0.05</x:v>
      </x:c>
      <x:c r="R90" s="83" t="n">
        <x:v>6241.02</x:v>
      </x:c>
      <x:c r="S90" s="83" t="n">
        <x:v>5345.88</x:v>
      </x:c>
      <x:c r="T90" s="83" t="n">
        <x:v>895.14</x:v>
      </x:c>
      <x:c r="U90" s="83" t="str">
        <x:v>Paid</x:v>
      </x:c>
      <x:c r="V90" s="83" t="str">
        <x:v>Completed</x:v>
      </x:c>
      <x:c r="W90" s="151" t="n">
        <x:f>IF(OR(NOT(ISNUMBER($AP90)),COUNT($O90,$P90)&lt;2,$O90&lt;=0,$P90&lt;0),"",ROUND($O90*$P90*(1-$AP90),2))</x:f>
        <x:v>6241.03</x:v>
      </x:c>
      <x:c r="X90" s="151" t="n">
        <x:f>IF(OR(NOT(ISNUMBER($W90)),NOT(ISNUMBER($S90))),"",ROUND($W90-$S90,2))</x:f>
        <x:v>895.15</x:v>
      </x:c>
      <x:c r="Y90" s="85" t="n">
        <x:f>IF(OR(NOT(ISNUMBER($W90)),NOT(ISNUMBER($X90)),$W90=0),"",ROUND($X90/$W90,4))</x:f>
        <x:v>0.1434</x:v>
      </x:c>
      <x:c r="Z90" s="82" t="n">
        <x:f>IF(OR($AH90&lt;&gt;"Valid",$AI90&lt;&gt;"Valid"),"",INT($D90-$C90))</x:f>
        <x:v>3</x:v>
      </x:c>
      <x:c r="AA90" s="86" t="str">
        <x:f>IF($AH90&lt;&gt;"Valid","",TEXT($C90,"mmmm"))</x:f>
        <x:v>March</x:v>
      </x:c>
      <x:c r="AB90" s="82" t="n">
        <x:f>IF($AH90&lt;&gt;"Valid","",YEAR($C90))</x:f>
        <x:v>2024</x:v>
      </x:c>
      <x:c r="AC90" s="80" t="str">
        <x:v>Consistent</x:v>
      </x:c>
      <x:c r="AD90" s="80" t="str">
        <x:v>Eligible</x:v>
      </x:c>
      <x:c r="AE90" s="80" t="str">
        <x:f>IF(OR($AH90&lt;&gt;"Valid",$AI90&lt;&gt;"Valid",$AJ90&lt;&gt;"Valid",LEFT($AM90,7)="Invalid",IFERROR(ABS($AQ90)&gt;0.01,FALSE),IFERROR(ABS($AR90)&gt;0.01,FALSE),COUNTIF($AS90,"*Conflicting duplicate*")&gt;0,COUNTIF($AS90,"*Completed order not paid*")&gt;0),"Invalid",IF(OR($H90="Unknown",$N90="Unknown",$AM90="Missing discount imputed as 0"),"Warning","Clean"))</x:f>
        <x:v>Clean</x:v>
      </x:c>
      <x:c r="AF90" s="80" t="str">
        <x:v>Pass</x:v>
      </x:c>
      <x:c r="AG90" s="80" t="str">
        <x:v>No text cleanup required</x:v>
      </x:c>
      <x:c r="AH90" s="12" t="str">
        <x:f>IF(C90="","Missing date",IF(ISNUMBER(C90),"Valid","Unrecognized/invalid date"))</x:f>
        <x:v>Valid</x:v>
      </x:c>
      <x:c r="AI90" s="12" t="str">
        <x:f>IF(D90="","Missing date",IF(ISNUMBER(D90),"Valid","Unrecognized/invalid date"))</x:f>
        <x:v>Valid</x:v>
      </x:c>
      <x:c r="AJ90" s="12" t="str">
        <x:v>Valid</x:v>
      </x:c>
      <x:c r="AK90" s="12" t="str">
        <x:v>Pass</x:v>
      </x:c>
      <x:c r="AL90" s="12" t="str">
        <x:v>None</x:v>
      </x:c>
      <x:c r="AM90" s="12" t="str">
        <x:v>Valid</x:v>
      </x:c>
      <x:c r="AN90" s="12" t="str">
        <x:v>Include in completed sales</x:v>
      </x:c>
      <x:c r="AO90" s="12" t="str">
        <x:v>Not a refunded record</x:v>
      </x:c>
      <x:c r="AP90" s="37" t="n">
        <x:f>IF(LEFT($AM90,7)="Invalid","",IF($AM90="Missing discount imputed as 0",IF(AND(COUNT($O90,$P90,$R90,$S90)=4,$O90&gt;0,$P90&gt;=0,$R90&gt;=0,$S90&gt;=0),0,""),IF(AND(ISNUMBER($Q90),$Q90&gt;=0,$Q90&lt;=0.5),$Q90,"")))</x:f>
        <x:v>0.05</x:v>
      </x:c>
      <x:c r="AQ90" s="152" t="n">
        <x:f>IF(OR($W90="",NOT(ISNUMBER($R90))),"",ROUND($R90-$W90,2))</x:f>
        <x:v>-0.01</x:v>
      </x:c>
      <x:c r="AR90" s="152" t="n">
        <x:f>IF(OR($X90="",NOT(ISNUMBER($T90))),"",ROUND($T90-$X90,2))</x:f>
        <x:v>-0.01</x:v>
      </x:c>
      <x:c r="AS90" s="14" t="str">
        <x:v>OK</x:v>
      </x:c>
    </x:row>
    <x:row r="91">
      <x:c r="A91" s="80" t="n">
        <x:v>91</x:v>
      </x:c>
      <x:c r="B91" s="80" t="str">
        <x:v>ORD-2024-10090</x:v>
      </x:c>
      <x:c r="C91" s="81" t="n">
        <x:v>45540</x:v>
      </x:c>
      <x:c r="D91" s="81" t="n">
        <x:v>45540</x:v>
      </x:c>
      <x:c r="E91" s="80" t="str">
        <x:v>CUST-7744</x:v>
      </x:c>
      <x:c r="F91" s="80" t="str">
        <x:v>Kabir Singh</x:v>
      </x:c>
      <x:c r="G91" s="80" t="str">
        <x:v>Consumer</x:v>
      </x:c>
      <x:c r="H91" s="80" t="str">
        <x:v>South</x:v>
      </x:c>
      <x:c r="I91" s="80" t="str">
        <x:v>Andhra Pradesh</x:v>
      </x:c>
      <x:c r="J91" s="80" t="str">
        <x:v>Vijayawada</x:v>
      </x:c>
      <x:c r="K91" s="80" t="str">
        <x:v>Furniture</x:v>
      </x:c>
      <x:c r="L91" s="80" t="str">
        <x:v>Bookcases</x:v>
      </x:c>
      <x:c r="M91" s="80" t="str">
        <x:v>Smart Bookcases 857</x:v>
      </x:c>
      <x:c r="N91" s="80" t="str">
        <x:v>Standard Class</x:v>
      </x:c>
      <x:c r="O91" s="82" t="n">
        <x:v>7</x:v>
      </x:c>
      <x:c r="P91" s="83" t="n">
        <x:v>3761.09</x:v>
      </x:c>
      <x:c r="Q91" s="84" t="n">
        <x:v>0.2</x:v>
      </x:c>
      <x:c r="R91" s="83" t="n">
        <x:v>21062.1</x:v>
      </x:c>
      <x:c r="S91" s="83" t="n">
        <x:v>12057.13</x:v>
      </x:c>
      <x:c r="T91" s="83" t="n">
        <x:v>9004.97</x:v>
      </x:c>
      <x:c r="U91" s="83" t="str">
        <x:v>Pending</x:v>
      </x:c>
      <x:c r="V91" s="83" t="str">
        <x:v>Cancelled</x:v>
      </x:c>
      <x:c r="W91" s="151" t="n">
        <x:f>IF(OR(NOT(ISNUMBER($AP91)),COUNT($O91,$P91)&lt;2,$O91&lt;=0,$P91&lt;0),"",ROUND($O91*$P91*(1-$AP91),2))</x:f>
        <x:v>21062.1</x:v>
      </x:c>
      <x:c r="X91" s="151" t="n">
        <x:f>IF(OR(NOT(ISNUMBER($W91)),NOT(ISNUMBER($S91))),"",ROUND($W91-$S91,2))</x:f>
        <x:v>9004.97</x:v>
      </x:c>
      <x:c r="Y91" s="85" t="n">
        <x:f>IF(OR(NOT(ISNUMBER($W91)),NOT(ISNUMBER($X91)),$W91=0),"",ROUND($X91/$W91,4))</x:f>
        <x:v>0.4275</x:v>
      </x:c>
      <x:c r="Z91" s="82" t="n">
        <x:f>IF(OR($AH91&lt;&gt;"Valid",$AI91&lt;&gt;"Valid"),"",INT($D91-$C91))</x:f>
        <x:v>0</x:v>
      </x:c>
      <x:c r="AA91" s="86" t="str">
        <x:f>IF($AH91&lt;&gt;"Valid","",TEXT($C91,"mmmm"))</x:f>
        <x:v>September</x:v>
      </x:c>
      <x:c r="AB91" s="82" t="n">
        <x:f>IF($AH91&lt;&gt;"Valid","",YEAR($C91))</x:f>
        <x:v>2024</x:v>
      </x:c>
      <x:c r="AC91" s="80" t="str">
        <x:v>Cancelled (excluded from completed-sales summary)</x:v>
      </x:c>
      <x:c r="AD91" s="80" t="str">
        <x:v>Excluded</x:v>
      </x:c>
      <x:c r="AE91" s="80" t="str">
        <x:f>IF(OR($AH91&lt;&gt;"Valid",$AI91&lt;&gt;"Valid",$AJ91&lt;&gt;"Valid",LEFT($AM91,7)="Invalid",IFERROR(ABS($AQ91)&gt;0.01,FALSE),IFERROR(ABS($AR91)&gt;0.01,FALSE),COUNTIF($AS91,"*Conflicting duplicate*")&gt;0,COUNTIF($AS91,"*Completed order not paid*")&gt;0),"Invalid",IF(OR($H91="Unknown",$N91="Unknown",$AM91="Missing discount imputed as 0"),"Warning","Clean"))</x:f>
        <x:v>Clean</x:v>
      </x:c>
      <x:c r="AF91" s="80" t="str">
        <x:v>Pass</x:v>
      </x:c>
      <x:c r="AG91" s="80" t="str">
        <x:v>No text cleanup required</x:v>
      </x:c>
      <x:c r="AH91" s="12" t="str">
        <x:f>IF(C91="","Missing date",IF(ISNUMBER(C91),"Valid","Unrecognized/invalid date"))</x:f>
        <x:v>Valid</x:v>
      </x:c>
      <x:c r="AI91" s="12" t="str">
        <x:f>IF(D91="","Missing date",IF(ISNUMBER(D91),"Valid","Unrecognized/invalid date"))</x:f>
        <x:v>Valid</x:v>
      </x:c>
      <x:c r="AJ91" s="12" t="str">
        <x:v>Valid</x:v>
      </x:c>
      <x:c r="AK91" s="12" t="str">
        <x:v>Pass</x:v>
      </x:c>
      <x:c r="AL91" s="12" t="str">
        <x:v>Cancelled order – excluded from completed sales</x:v>
      </x:c>
      <x:c r="AM91" s="12" t="str">
        <x:v>Valid</x:v>
      </x:c>
      <x:c r="AN91" s="12" t="str">
        <x:v>Exclude from completed sales</x:v>
      </x:c>
      <x:c r="AO91" s="12" t="str">
        <x:v>Not a refunded record</x:v>
      </x:c>
      <x:c r="AP91" s="37" t="n">
        <x:f>IF(LEFT($AM91,7)="Invalid","",IF($AM91="Missing discount imputed as 0",IF(AND(COUNT($O91,$P91,$R91,$S91)=4,$O91&gt;0,$P91&gt;=0,$R91&gt;=0,$S91&gt;=0),0,""),IF(AND(ISNUMBER($Q91),$Q91&gt;=0,$Q91&lt;=0.5),$Q91,"")))</x:f>
        <x:v>0.2</x:v>
      </x:c>
      <x:c r="AQ91" s="152" t="n">
        <x:f>IF(OR($W91="",NOT(ISNUMBER($R91))),"",ROUND($R91-$W91,2))</x:f>
        <x:v>0</x:v>
      </x:c>
      <x:c r="AR91" s="152" t="n">
        <x:f>IF(OR($X91="",NOT(ISNUMBER($T91))),"",ROUND($T91-$X91,2))</x:f>
        <x:v>0</x:v>
      </x:c>
      <x:c r="AS91" s="14" t="str">
        <x:v>OK</x:v>
      </x:c>
    </x:row>
    <x:row r="92">
      <x:c r="A92" s="80" t="n">
        <x:v>92</x:v>
      </x:c>
      <x:c r="B92" s="80" t="str">
        <x:v>ORD-2025-10091</x:v>
      </x:c>
      <x:c r="C92" s="81" t="n">
        <x:v>45893</x:v>
      </x:c>
      <x:c r="D92" s="81" t="n">
        <x:v>45898</x:v>
      </x:c>
      <x:c r="E92" s="80" t="str">
        <x:v>CUST-5909</x:v>
      </x:c>
      <x:c r="F92" s="80" t="str">
        <x:v>Aarav Sharma</x:v>
      </x:c>
      <x:c r="G92" s="80" t="str">
        <x:v>Small Business</x:v>
      </x:c>
      <x:c r="H92" s="80" t="str">
        <x:v>East</x:v>
      </x:c>
      <x:c r="I92" s="80" t="str">
        <x:v>Bihar</x:v>
      </x:c>
      <x:c r="J92" s="80" t="str">
        <x:v>Patna</x:v>
      </x:c>
      <x:c r="K92" s="80" t="str">
        <x:v>Technology</x:v>
      </x:c>
      <x:c r="L92" s="80" t="str">
        <x:v>Copiers</x:v>
      </x:c>
      <x:c r="M92" s="80" t="str">
        <x:v>Smart Copiers 556</x:v>
      </x:c>
      <x:c r="N92" s="80" t="str">
        <x:v>First Class</x:v>
      </x:c>
      <x:c r="O92" s="82" t="n">
        <x:v>3</x:v>
      </x:c>
      <x:c r="P92" s="83" t="n">
        <x:v>3703.96</x:v>
      </x:c>
      <x:c r="Q92" s="84" t="n">
        <x:v>0.15</x:v>
      </x:c>
      <x:c r="R92" s="83" t="n">
        <x:v>9445.1</x:v>
      </x:c>
      <x:c r="S92" s="83" t="n">
        <x:v>5586.28</x:v>
      </x:c>
      <x:c r="T92" s="83" t="n">
        <x:v>3858.82</x:v>
      </x:c>
      <x:c r="U92" s="83" t="str">
        <x:v>Paid</x:v>
      </x:c>
      <x:c r="V92" s="83" t="str">
        <x:v>Completed</x:v>
      </x:c>
      <x:c r="W92" s="151" t="n">
        <x:f>IF(OR(NOT(ISNUMBER($AP92)),COUNT($O92,$P92)&lt;2,$O92&lt;=0,$P92&lt;0),"",ROUND($O92*$P92*(1-$AP92),2))</x:f>
        <x:v>9445.1</x:v>
      </x:c>
      <x:c r="X92" s="151" t="n">
        <x:f>IF(OR(NOT(ISNUMBER($W92)),NOT(ISNUMBER($S92))),"",ROUND($W92-$S92,2))</x:f>
        <x:v>3858.82</x:v>
      </x:c>
      <x:c r="Y92" s="85" t="n">
        <x:f>IF(OR(NOT(ISNUMBER($W92)),NOT(ISNUMBER($X92)),$W92=0),"",ROUND($X92/$W92,4))</x:f>
        <x:v>0.4086</x:v>
      </x:c>
      <x:c r="Z92" s="82" t="n">
        <x:f>IF(OR($AH92&lt;&gt;"Valid",$AI92&lt;&gt;"Valid"),"",INT($D92-$C92))</x:f>
        <x:v>5</x:v>
      </x:c>
      <x:c r="AA92" s="86" t="str">
        <x:f>IF($AH92&lt;&gt;"Valid","",TEXT($C92,"mmmm"))</x:f>
        <x:v>August</x:v>
      </x:c>
      <x:c r="AB92" s="82" t="n">
        <x:f>IF($AH92&lt;&gt;"Valid","",YEAR($C92))</x:f>
        <x:v>2025</x:v>
      </x:c>
      <x:c r="AC92" s="80" t="str">
        <x:v>Consistent</x:v>
      </x:c>
      <x:c r="AD92" s="80" t="str">
        <x:v>Excluded</x:v>
      </x:c>
      <x:c r="AE92" s="80" t="str">
        <x:f>IF(OR($AH92&lt;&gt;"Valid",$AI92&lt;&gt;"Valid",$AJ92&lt;&gt;"Valid",LEFT($AM92,7)="Invalid",IFERROR(ABS($AQ92)&gt;0.01,FALSE),IFERROR(ABS($AR92)&gt;0.01,FALSE),COUNTIF($AS92,"*Conflicting duplicate*")&gt;0,COUNTIF($AS92,"*Completed order not paid*")&gt;0),"Invalid",IF(OR($H92="Unknown",$N92="Unknown",$AM92="Missing discount imputed as 0"),"Warning","Clean"))</x:f>
        <x:v>Clean</x:v>
      </x:c>
      <x:c r="AF92" s="80" t="str">
        <x:v>Review</x:v>
      </x:c>
      <x:c r="AG92" s="80" t="str">
        <x:v>No text cleanup required</x:v>
      </x:c>
      <x:c r="AH92" s="12" t="str">
        <x:f>IF(C92="","Missing date",IF(ISNUMBER(C92),"Valid","Unrecognized/invalid date"))</x:f>
        <x:v>Valid</x:v>
      </x:c>
      <x:c r="AI92" s="12" t="str">
        <x:f>IF(D92="","Missing date",IF(ISNUMBER(D92),"Valid","Unrecognized/invalid date"))</x:f>
        <x:v>Valid</x:v>
      </x:c>
      <x:c r="AJ92" s="12" t="str">
        <x:v>Valid</x:v>
      </x:c>
      <x:c r="AK92" s="12" t="str">
        <x:v>Pass</x:v>
      </x:c>
      <x:c r="AL92" s="12" t="str">
        <x:v>None</x:v>
      </x:c>
      <x:c r="AM92" s="12" t="str">
        <x:v>Valid</x:v>
      </x:c>
      <x:c r="AN92" s="12" t="str">
        <x:v>Exclude from completed sales</x:v>
      </x:c>
      <x:c r="AO92" s="12" t="str">
        <x:v>Not a refunded record</x:v>
      </x:c>
      <x:c r="AP92" s="37" t="n">
        <x:f>IF(LEFT($AM92,7)="Invalid","",IF($AM92="Missing discount imputed as 0",IF(AND(COUNT($O92,$P92,$R92,$S92)=4,$O92&gt;0,$P92&gt;=0,$R92&gt;=0,$S92&gt;=0),0,""),IF(AND(ISNUMBER($Q92),$Q92&gt;=0,$Q92&lt;=0.5),$Q92,"")))</x:f>
        <x:v>0.15</x:v>
      </x:c>
      <x:c r="AQ92" s="152" t="n">
        <x:f>IF(OR($W92="",NOT(ISNUMBER($R92))),"",ROUND($R92-$W92,2))</x:f>
        <x:v>0</x:v>
      </x:c>
      <x:c r="AR92" s="152" t="n">
        <x:f>IF(OR($X92="",NOT(ISNUMBER($T92))),"",ROUND($T92-$X92,2))</x:f>
        <x:v>0</x:v>
      </x:c>
      <x:c r="AS92" s="14" t="str">
        <x:v>Conflicting duplicate order ID</x:v>
      </x:c>
    </x:row>
    <x:row r="93">
      <x:c r="A93" s="80" t="n">
        <x:v>93</x:v>
      </x:c>
      <x:c r="B93" s="80" t="str">
        <x:v>ORD-2025-10092</x:v>
      </x:c>
      <x:c r="C93" s="81" t="n">
        <x:v>45718</x:v>
      </x:c>
      <x:c r="D93" s="81" t="n">
        <x:v>45724</x:v>
      </x:c>
      <x:c r="E93" s="80" t="str">
        <x:v>CUST-6409</x:v>
      </x:c>
      <x:c r="F93" s="80" t="str">
        <x:v>Sneha Kapoor</x:v>
      </x:c>
      <x:c r="G93" s="80" t="str">
        <x:v>Corporate</x:v>
      </x:c>
      <x:c r="H93" s="80" t="str">
        <x:v>West</x:v>
      </x:c>
      <x:c r="I93" s="80" t="str">
        <x:v>Madhya Pradesh</x:v>
      </x:c>
      <x:c r="J93" s="80" t="str">
        <x:v>Indore</x:v>
      </x:c>
      <x:c r="K93" s="80" t="str">
        <x:v>Technology</x:v>
      </x:c>
      <x:c r="L93" s="80" t="str">
        <x:v>Copiers</x:v>
      </x:c>
      <x:c r="M93" s="80" t="str">
        <x:v>Prime Copiers 575</x:v>
      </x:c>
      <x:c r="N93" s="80" t="str">
        <x:v>Second Class</x:v>
      </x:c>
      <x:c r="O93" s="82" t="n">
        <x:v>9</x:v>
      </x:c>
      <x:c r="P93" s="83" t="n">
        <x:v>269.68</x:v>
      </x:c>
      <x:c r="Q93" s="84" t="n">
        <x:v>0</x:v>
      </x:c>
      <x:c r="R93" s="83" t="n">
        <x:v>2427.12</x:v>
      </x:c>
      <x:c r="S93" s="83" t="n">
        <x:v>1538.35</x:v>
      </x:c>
      <x:c r="T93" s="83" t="n">
        <x:v>804.53</x:v>
      </x:c>
      <x:c r="U93" s="83" t="str">
        <x:v>Paid</x:v>
      </x:c>
      <x:c r="V93" s="83" t="str">
        <x:v>Completed</x:v>
      </x:c>
      <x:c r="W93" s="151" t="n">
        <x:f>IF(OR(NOT(ISNUMBER($AP93)),COUNT($O93,$P93)&lt;2,$O93&lt;=0,$P93&lt;0),"",ROUND($O93*$P93*(1-$AP93),2))</x:f>
        <x:v>2427.12</x:v>
      </x:c>
      <x:c r="X93" s="151" t="n">
        <x:f>IF(OR(NOT(ISNUMBER($W93)),NOT(ISNUMBER($S93))),"",ROUND($W93-$S93,2))</x:f>
        <x:v>888.77</x:v>
      </x:c>
      <x:c r="Y93" s="85" t="n">
        <x:f>IF(OR(NOT(ISNUMBER($W93)),NOT(ISNUMBER($X93)),$W93=0),"",ROUND($X93/$W93,4))</x:f>
        <x:v>0.3662</x:v>
      </x:c>
      <x:c r="Z93" s="82" t="n">
        <x:f>IF(OR($AH93&lt;&gt;"Valid",$AI93&lt;&gt;"Valid"),"",INT($D93-$C93))</x:f>
        <x:v>6</x:v>
      </x:c>
      <x:c r="AA93" s="86" t="str">
        <x:f>IF($AH93&lt;&gt;"Valid","",TEXT($C93,"mmmm"))</x:f>
        <x:v>March</x:v>
      </x:c>
      <x:c r="AB93" s="82" t="n">
        <x:f>IF($AH93&lt;&gt;"Valid","",YEAR($C93))</x:f>
        <x:v>2025</x:v>
      </x:c>
      <x:c r="AC93" s="80" t="str">
        <x:v>Consistent</x:v>
      </x:c>
      <x:c r="AD93" s="80" t="str">
        <x:v>Excluded</x:v>
      </x:c>
      <x:c r="AE93" s="80" t="str">
        <x:f>IF(OR($AH93&lt;&gt;"Valid",$AI93&lt;&gt;"Valid",$AJ93&lt;&gt;"Valid",LEFT($AM93,7)="Invalid",IFERROR(ABS($AQ93)&gt;0.01,FALSE),IFERROR(ABS($AR93)&gt;0.01,FALSE),COUNTIF($AS93,"*Conflicting duplicate*")&gt;0,COUNTIF($AS93,"*Completed order not paid*")&gt;0),"Invalid",IF(OR($H93="Unknown",$N93="Unknown",$AM93="Missing discount imputed as 0"),"Warning","Clean"))</x:f>
        <x:v>Invalid</x:v>
      </x:c>
      <x:c r="AF93" s="80" t="str">
        <x:v>Review</x:v>
      </x:c>
      <x:c r="AG93" s="80" t="str">
        <x:v>No text cleanup required</x:v>
      </x:c>
      <x:c r="AH93" s="12" t="str">
        <x:f>IF(C93="","Missing date",IF(ISNUMBER(C93),"Valid","Unrecognized/invalid date"))</x:f>
        <x:v>Valid</x:v>
      </x:c>
      <x:c r="AI93" s="12" t="str">
        <x:f>IF(D93="","Missing date",IF(ISNUMBER(D93),"Valid","Unrecognized/invalid date"))</x:f>
        <x:v>Valid</x:v>
      </x:c>
      <x:c r="AJ93" s="12" t="str">
        <x:v>Valid</x:v>
      </x:c>
      <x:c r="AK93" s="12" t="str">
        <x:v>Pass</x:v>
      </x:c>
      <x:c r="AL93" s="12" t="str">
        <x:v>None</x:v>
      </x:c>
      <x:c r="AM93" s="12" t="str">
        <x:v>Valid</x:v>
      </x:c>
      <x:c r="AN93" s="12" t="str">
        <x:v>Exclude from completed sales</x:v>
      </x:c>
      <x:c r="AO93" s="12" t="str">
        <x:v>Not a refunded record</x:v>
      </x:c>
      <x:c r="AP93" s="37" t="n">
        <x:f>IF(LEFT($AM93,7)="Invalid","",IF($AM93="Missing discount imputed as 0",IF(AND(COUNT($O93,$P93,$R93,$S93)=4,$O93&gt;0,$P93&gt;=0,$R93&gt;=0,$S93&gt;=0),0,""),IF(AND(ISNUMBER($Q93),$Q93&gt;=0,$Q93&lt;=0.5),$Q93,"")))</x:f>
        <x:v>0</x:v>
      </x:c>
      <x:c r="AQ93" s="152" t="n">
        <x:f>IF(OR($W93="",NOT(ISNUMBER($R93))),"",ROUND($R93-$W93,2))</x:f>
        <x:v>0</x:v>
      </x:c>
      <x:c r="AR93" s="152" t="n">
        <x:f>IF(OR($X93="",NOT(ISNUMBER($T93))),"",ROUND($T93-$X93,2))</x:f>
        <x:v>-84.24</x:v>
      </x:c>
      <x:c r="AS93" s="14" t="str">
        <x:v>Profit calculation mismatch</x:v>
      </x:c>
    </x:row>
    <x:row r="94">
      <x:c r="A94" s="80" t="n">
        <x:v>94</x:v>
      </x:c>
      <x:c r="B94" s="80" t="str">
        <x:v>ORD-2025-10093</x:v>
      </x:c>
      <x:c r="C94" s="81" t="n">
        <x:v>45680</x:v>
      </x:c>
      <x:c r="D94" s="81" t="n">
        <x:v>45683</x:v>
      </x:c>
      <x:c r="E94" s="80" t="str">
        <x:v>CUST-3014</x:v>
      </x:c>
      <x:c r="F94" s="80" t="str">
        <x:v>Aarav Sharma</x:v>
      </x:c>
      <x:c r="G94" s="80" t="str">
        <x:v>Consumer</x:v>
      </x:c>
      <x:c r="H94" s="80" t="str">
        <x:v>West</x:v>
      </x:c>
      <x:c r="I94" s="80" t="str">
        <x:v>Madhya Pradesh</x:v>
      </x:c>
      <x:c r="J94" s="80" t="str">
        <x:v>Indore</x:v>
      </x:c>
      <x:c r="K94" s="80" t="str">
        <x:v>Office Supplies</x:v>
      </x:c>
      <x:c r="L94" s="80" t="str">
        <x:v>Paper</x:v>
      </x:c>
      <x:c r="M94" s="80" t="str">
        <x:v>Elite Paper 669</x:v>
      </x:c>
      <x:c r="N94" s="80" t="str">
        <x:v>Standard Class</x:v>
      </x:c>
      <x:c r="O94" s="82" t="n">
        <x:v>9</x:v>
      </x:c>
      <x:c r="P94" s="83" t="n">
        <x:v>4458.26</x:v>
      </x:c>
      <x:c r="Q94" s="84" t="n">
        <x:v>0.1</x:v>
      </x:c>
      <x:c r="R94" s="83" t="n">
        <x:v>36111.91</x:v>
      </x:c>
      <x:c r="S94" s="83" t="n">
        <x:v>29194.5</x:v>
      </x:c>
      <x:c r="T94" s="83" t="n">
        <x:v>6917.41</x:v>
      </x:c>
      <x:c r="U94" s="83" t="str">
        <x:v>Paid</x:v>
      </x:c>
      <x:c r="V94" s="83" t="str">
        <x:v>Completed</x:v>
      </x:c>
      <x:c r="W94" s="151" t="n">
        <x:f>IF(OR(NOT(ISNUMBER($AP94)),COUNT($O94,$P94)&lt;2,$O94&lt;=0,$P94&lt;0),"",ROUND($O94*$P94*(1-$AP94),2))</x:f>
        <x:v>36111.91</x:v>
      </x:c>
      <x:c r="X94" s="151" t="n">
        <x:f>IF(OR(NOT(ISNUMBER($W94)),NOT(ISNUMBER($S94))),"",ROUND($W94-$S94,2))</x:f>
        <x:v>6917.41</x:v>
      </x:c>
      <x:c r="Y94" s="85" t="n">
        <x:f>IF(OR(NOT(ISNUMBER($W94)),NOT(ISNUMBER($X94)),$W94=0),"",ROUND($X94/$W94,4))</x:f>
        <x:v>0.1916</x:v>
      </x:c>
      <x:c r="Z94" s="82" t="n">
        <x:f>IF(OR($AH94&lt;&gt;"Valid",$AI94&lt;&gt;"Valid"),"",INT($D94-$C94))</x:f>
        <x:v>3</x:v>
      </x:c>
      <x:c r="AA94" s="86" t="str">
        <x:f>IF($AH94&lt;&gt;"Valid","",TEXT($C94,"mmmm"))</x:f>
        <x:v>January</x:v>
      </x:c>
      <x:c r="AB94" s="82" t="n">
        <x:f>IF($AH94&lt;&gt;"Valid","",YEAR($C94))</x:f>
        <x:v>2025</x:v>
      </x:c>
      <x:c r="AC94" s="80" t="str">
        <x:v>Consistent</x:v>
      </x:c>
      <x:c r="AD94" s="80" t="str">
        <x:v>Eligible</x:v>
      </x:c>
      <x:c r="AE94" s="80" t="str">
        <x:f>IF(OR($AH94&lt;&gt;"Valid",$AI94&lt;&gt;"Valid",$AJ94&lt;&gt;"Valid",LEFT($AM94,7)="Invalid",IFERROR(ABS($AQ94)&gt;0.01,FALSE),IFERROR(ABS($AR94)&gt;0.01,FALSE),COUNTIF($AS94,"*Conflicting duplicate*")&gt;0,COUNTIF($AS94,"*Completed order not paid*")&gt;0),"Invalid",IF(OR($H94="Unknown",$N94="Unknown",$AM94="Missing discount imputed as 0"),"Warning","Clean"))</x:f>
        <x:v>Clean</x:v>
      </x:c>
      <x:c r="AF94" s="80" t="str">
        <x:v>Pass</x:v>
      </x:c>
      <x:c r="AG94" s="80" t="str">
        <x:v>No text cleanup required</x:v>
      </x:c>
      <x:c r="AH94" s="12" t="str">
        <x:f>IF(C94="","Missing date",IF(ISNUMBER(C94),"Valid","Unrecognized/invalid date"))</x:f>
        <x:v>Valid</x:v>
      </x:c>
      <x:c r="AI94" s="12" t="str">
        <x:f>IF(D94="","Missing date",IF(ISNUMBER(D94),"Valid","Unrecognized/invalid date"))</x:f>
        <x:v>Valid</x:v>
      </x:c>
      <x:c r="AJ94" s="12" t="str">
        <x:v>Valid</x:v>
      </x:c>
      <x:c r="AK94" s="12" t="str">
        <x:v>Pass</x:v>
      </x:c>
      <x:c r="AL94" s="12" t="str">
        <x:v>None</x:v>
      </x:c>
      <x:c r="AM94" s="12" t="str">
        <x:v>Valid</x:v>
      </x:c>
      <x:c r="AN94" s="12" t="str">
        <x:v>Include in completed sales</x:v>
      </x:c>
      <x:c r="AO94" s="12" t="str">
        <x:v>Not a refunded record</x:v>
      </x:c>
      <x:c r="AP94" s="37" t="n">
        <x:f>IF(LEFT($AM94,7)="Invalid","",IF($AM94="Missing discount imputed as 0",IF(AND(COUNT($O94,$P94,$R94,$S94)=4,$O94&gt;0,$P94&gt;=0,$R94&gt;=0,$S94&gt;=0),0,""),IF(AND(ISNUMBER($Q94),$Q94&gt;=0,$Q94&lt;=0.5),$Q94,"")))</x:f>
        <x:v>0.1</x:v>
      </x:c>
      <x:c r="AQ94" s="152" t="n">
        <x:f>IF(OR($W94="",NOT(ISNUMBER($R94))),"",ROUND($R94-$W94,2))</x:f>
        <x:v>0</x:v>
      </x:c>
      <x:c r="AR94" s="152" t="n">
        <x:f>IF(OR($X94="",NOT(ISNUMBER($T94))),"",ROUND($T94-$X94,2))</x:f>
        <x:v>0</x:v>
      </x:c>
      <x:c r="AS94" s="14" t="str">
        <x:v>OK</x:v>
      </x:c>
    </x:row>
    <x:row r="95">
      <x:c r="A95" s="80" t="n">
        <x:v>95</x:v>
      </x:c>
      <x:c r="B95" s="80" t="str">
        <x:v>ORD-2024-10094</x:v>
      </x:c>
      <x:c r="C95" s="81" t="n">
        <x:v>45298</x:v>
      </x:c>
      <x:c r="D95" s="81" t="n">
        <x:v>45304</x:v>
      </x:c>
      <x:c r="E95" s="80" t="str">
        <x:v>CUST-6106</x:v>
      </x:c>
      <x:c r="F95" s="80" t="str">
        <x:v>Rohan Mehta</x:v>
      </x:c>
      <x:c r="G95" s="80" t="str">
        <x:v>Corporate</x:v>
      </x:c>
      <x:c r="H95" s="80" t="str">
        <x:v>North</x:v>
      </x:c>
      <x:c r="I95" s="80" t="str">
        <x:v>Uttar Pradesh</x:v>
      </x:c>
      <x:c r="J95" s="80" t="str">
        <x:v>Noida</x:v>
      </x:c>
      <x:c r="K95" s="80" t="str">
        <x:v>Office Supplies</x:v>
      </x:c>
      <x:c r="L95" s="80" t="str">
        <x:v>Binders</x:v>
      </x:c>
      <x:c r="M95" s="80" t="str">
        <x:v>Eco Binders 780</x:v>
      </x:c>
      <x:c r="N95" s="80" t="str">
        <x:v>Standard Class</x:v>
      </x:c>
      <x:c r="O95" s="82" t="n">
        <x:v>7</x:v>
      </x:c>
      <x:c r="P95" s="83" t="n">
        <x:v>2788.97</x:v>
      </x:c>
      <x:c r="Q95" s="84" t="n">
        <x:v>-0.09</x:v>
      </x:c>
      <x:c r="R95" s="83" t="n">
        <x:v>19522.79</x:v>
      </x:c>
      <x:c r="S95" s="83" t="n">
        <x:v>12455.78</x:v>
      </x:c>
      <x:c r="T95" s="83" t="n">
        <x:v>7067.01</x:v>
      </x:c>
      <x:c r="U95" s="83" t="str">
        <x:v>Paid</x:v>
      </x:c>
      <x:c r="V95" s="83" t="str">
        <x:v>Completed</x:v>
      </x:c>
      <x:c r="W95" s="151" t="str">
        <x:f>IF(OR(NOT(ISNUMBER($AP95)),COUNT($O95,$P95)&lt;2,$O95&lt;=0,$P95&lt;0),"",ROUND($O95*$P95*(1-$AP95),2))</x:f>
      </x:c>
      <x:c r="X95" s="151" t="str">
        <x:f>IF(OR(NOT(ISNUMBER($W95)),NOT(ISNUMBER($S95))),"",ROUND($W95-$S95,2))</x:f>
      </x:c>
      <x:c r="Y95" s="85" t="str">
        <x:f>IF(OR(NOT(ISNUMBER($W95)),NOT(ISNUMBER($X95)),$W95=0),"",ROUND($X95/$W95,4))</x:f>
      </x:c>
      <x:c r="Z95" s="82" t="n">
        <x:f>IF(OR($AH95&lt;&gt;"Valid",$AI95&lt;&gt;"Valid"),"",INT($D95-$C95))</x:f>
        <x:v>6</x:v>
      </x:c>
      <x:c r="AA95" s="86" t="str">
        <x:f>IF($AH95&lt;&gt;"Valid","",TEXT($C95,"mmmm"))</x:f>
        <x:v>January</x:v>
      </x:c>
      <x:c r="AB95" s="82" t="n">
        <x:f>IF($AH95&lt;&gt;"Valid","",YEAR($C95))</x:f>
        <x:v>2024</x:v>
      </x:c>
      <x:c r="AC95" s="80" t="str">
        <x:v>Consistent</x:v>
      </x:c>
      <x:c r="AD95" s="80" t="str">
        <x:v>Excluded</x:v>
      </x:c>
      <x:c r="AE95" s="80" t="str">
        <x:f>IF(OR($AH95&lt;&gt;"Valid",$AI95&lt;&gt;"Valid",$AJ95&lt;&gt;"Valid",LEFT($AM95,7)="Invalid",IFERROR(ABS($AQ95)&gt;0.01,FALSE),IFERROR(ABS($AR95)&gt;0.01,FALSE),COUNTIF($AS95,"*Conflicting duplicate*")&gt;0,COUNTIF($AS95,"*Completed order not paid*")&gt;0),"Invalid",IF(OR($H95="Unknown",$N95="Unknown",$AM95="Missing discount imputed as 0"),"Warning","Clean"))</x:f>
        <x:v>Invalid</x:v>
      </x:c>
      <x:c r="AF95" s="80" t="str">
        <x:v>Review</x:v>
      </x:c>
      <x:c r="AG95" s="80" t="str">
        <x:v>No text cleanup required</x:v>
      </x:c>
      <x:c r="AH95" s="12" t="str">
        <x:f>IF(C95="","Missing date",IF(ISNUMBER(C95),"Valid","Unrecognized/invalid date"))</x:f>
        <x:v>Valid</x:v>
      </x:c>
      <x:c r="AI95" s="12" t="str">
        <x:f>IF(D95="","Missing date",IF(ISNUMBER(D95),"Valid","Unrecognized/invalid date"))</x:f>
        <x:v>Valid</x:v>
      </x:c>
      <x:c r="AJ95" s="12" t="str">
        <x:v>Valid</x:v>
      </x:c>
      <x:c r="AK95" s="12" t="str">
        <x:v>Pass</x:v>
      </x:c>
      <x:c r="AL95" s="12" t="str">
        <x:v>None</x:v>
      </x:c>
      <x:c r="AM95" s="12" t="str">
        <x:v>Invalid discount – negative</x:v>
      </x:c>
      <x:c r="AN95" s="12" t="str">
        <x:v>Exclude from completed sales</x:v>
      </x:c>
      <x:c r="AO95" s="12" t="str">
        <x:v>Not a refunded record</x:v>
      </x:c>
      <x:c r="AP95" s="37" t="str">
        <x:f>IF(LEFT($AM95,7)="Invalid","",IF($AM95="Missing discount imputed as 0",IF(AND(COUNT($O95,$P95,$R95,$S95)=4,$O95&gt;0,$P95&gt;=0,$R95&gt;=0,$S95&gt;=0),0,""),IF(AND(ISNUMBER($Q95),$Q95&gt;=0,$Q95&lt;=0.5),$Q95,"")))</x:f>
      </x:c>
      <x:c r="AQ95" s="152" t="str">
        <x:f>IF(OR($W95="",NOT(ISNUMBER($R95))),"",ROUND($R95-$W95,2))</x:f>
      </x:c>
      <x:c r="AR95" s="152" t="str">
        <x:f>IF(OR($X95="",NOT(ISNUMBER($T95))),"",ROUND($T95-$X95,2))</x:f>
      </x:c>
      <x:c r="AS95" s="14" t="str">
        <x:v>Negative discount</x:v>
      </x:c>
    </x:row>
    <x:row r="96">
      <x:c r="A96" s="80" t="n">
        <x:v>96</x:v>
      </x:c>
      <x:c r="B96" s="80" t="str">
        <x:v>ORD-2024-10095</x:v>
      </x:c>
      <x:c r="C96" s="81" t="n">
        <x:v>45541</x:v>
      </x:c>
      <x:c r="D96" s="81" t="n">
        <x:v>45544</x:v>
      </x:c>
      <x:c r="E96" s="80" t="str">
        <x:v>CUST-1926</x:v>
      </x:c>
      <x:c r="F96" s="80" t="str">
        <x:v>Diya Patel</x:v>
      </x:c>
      <x:c r="G96" s="80" t="str">
        <x:v>Consumer</x:v>
      </x:c>
      <x:c r="H96" s="80" t="str">
        <x:v>North</x:v>
      </x:c>
      <x:c r="I96" s="80" t="str">
        <x:v>Haryana</x:v>
      </x:c>
      <x:c r="J96" s="80" t="str">
        <x:v>Gurugram</x:v>
      </x:c>
      <x:c r="K96" s="80" t="str">
        <x:v>Technology</x:v>
      </x:c>
      <x:c r="L96" s="80" t="str">
        <x:v>Phones</x:v>
      </x:c>
      <x:c r="M96" s="80" t="str">
        <x:v>Elite Phones 723</x:v>
      </x:c>
      <x:c r="N96" s="80" t="str">
        <x:v>Second Class</x:v>
      </x:c>
      <x:c r="O96" s="82" t="n">
        <x:v>7</x:v>
      </x:c>
      <x:c r="P96" s="83" t="n">
        <x:v>3781.53</x:v>
      </x:c>
      <x:c r="Q96" s="84" t="n">
        <x:v>0</x:v>
      </x:c>
      <x:c r="R96" s="83" t="n">
        <x:v>26470.71</x:v>
      </x:c>
      <x:c r="S96" s="83" t="n">
        <x:v>21367.6</x:v>
      </x:c>
      <x:c r="T96" s="83" t="n">
        <x:v>5103.11</x:v>
      </x:c>
      <x:c r="U96" s="83" t="str">
        <x:v>Pending</x:v>
      </x:c>
      <x:c r="V96" s="83" t="str">
        <x:v>Cancelled</x:v>
      </x:c>
      <x:c r="W96" s="151" t="n">
        <x:f>IF(OR(NOT(ISNUMBER($AP96)),COUNT($O96,$P96)&lt;2,$O96&lt;=0,$P96&lt;0),"",ROUND($O96*$P96*(1-$AP96),2))</x:f>
        <x:v>26470.71</x:v>
      </x:c>
      <x:c r="X96" s="151" t="n">
        <x:f>IF(OR(NOT(ISNUMBER($W96)),NOT(ISNUMBER($S96))),"",ROUND($W96-$S96,2))</x:f>
        <x:v>5103.11</x:v>
      </x:c>
      <x:c r="Y96" s="85" t="n">
        <x:f>IF(OR(NOT(ISNUMBER($W96)),NOT(ISNUMBER($X96)),$W96=0),"",ROUND($X96/$W96,4))</x:f>
        <x:v>0.1928</x:v>
      </x:c>
      <x:c r="Z96" s="82" t="n">
        <x:f>IF(OR($AH96&lt;&gt;"Valid",$AI96&lt;&gt;"Valid"),"",INT($D96-$C96))</x:f>
        <x:v>3</x:v>
      </x:c>
      <x:c r="AA96" s="86" t="str">
        <x:f>IF($AH96&lt;&gt;"Valid","",TEXT($C96,"mmmm"))</x:f>
        <x:v>September</x:v>
      </x:c>
      <x:c r="AB96" s="82" t="n">
        <x:f>IF($AH96&lt;&gt;"Valid","",YEAR($C96))</x:f>
        <x:v>2024</x:v>
      </x:c>
      <x:c r="AC96" s="80" t="str">
        <x:v>Cancelled (excluded from completed-sales summary)</x:v>
      </x:c>
      <x:c r="AD96" s="80" t="str">
        <x:v>Excluded</x:v>
      </x:c>
      <x:c r="AE96" s="80" t="str">
        <x:f>IF(OR($AH96&lt;&gt;"Valid",$AI96&lt;&gt;"Valid",$AJ96&lt;&gt;"Valid",LEFT($AM96,7)="Invalid",IFERROR(ABS($AQ96)&gt;0.01,FALSE),IFERROR(ABS($AR96)&gt;0.01,FALSE),COUNTIF($AS96,"*Conflicting duplicate*")&gt;0,COUNTIF($AS96,"*Completed order not paid*")&gt;0),"Invalid",IF(OR($H96="Unknown",$N96="Unknown",$AM96="Missing discount imputed as 0"),"Warning","Clean"))</x:f>
        <x:v>Clean</x:v>
      </x:c>
      <x:c r="AF96" s="80" t="str">
        <x:v>Pass</x:v>
      </x:c>
      <x:c r="AG96" s="80" t="str">
        <x:v>No text cleanup required</x:v>
      </x:c>
      <x:c r="AH96" s="12" t="str">
        <x:f>IF(C96="","Missing date",IF(ISNUMBER(C96),"Valid","Unrecognized/invalid date"))</x:f>
        <x:v>Valid</x:v>
      </x:c>
      <x:c r="AI96" s="12" t="str">
        <x:f>IF(D96="","Missing date",IF(ISNUMBER(D96),"Valid","Unrecognized/invalid date"))</x:f>
        <x:v>Valid</x:v>
      </x:c>
      <x:c r="AJ96" s="12" t="str">
        <x:v>Valid</x:v>
      </x:c>
      <x:c r="AK96" s="12" t="str">
        <x:v>Pass</x:v>
      </x:c>
      <x:c r="AL96" s="12" t="str">
        <x:v>Cancelled order – excluded from completed sales</x:v>
      </x:c>
      <x:c r="AM96" s="12" t="str">
        <x:v>Valid</x:v>
      </x:c>
      <x:c r="AN96" s="12" t="str">
        <x:v>Exclude from completed sales</x:v>
      </x:c>
      <x:c r="AO96" s="12" t="str">
        <x:v>Not a refunded record</x:v>
      </x:c>
      <x:c r="AP96" s="37" t="n">
        <x:f>IF(LEFT($AM96,7)="Invalid","",IF($AM96="Missing discount imputed as 0",IF(AND(COUNT($O96,$P96,$R96,$S96)=4,$O96&gt;0,$P96&gt;=0,$R96&gt;=0,$S96&gt;=0),0,""),IF(AND(ISNUMBER($Q96),$Q96&gt;=0,$Q96&lt;=0.5),$Q96,"")))</x:f>
        <x:v>0</x:v>
      </x:c>
      <x:c r="AQ96" s="152" t="n">
        <x:f>IF(OR($W96="",NOT(ISNUMBER($R96))),"",ROUND($R96-$W96,2))</x:f>
        <x:v>0</x:v>
      </x:c>
      <x:c r="AR96" s="152" t="n">
        <x:f>IF(OR($X96="",NOT(ISNUMBER($T96))),"",ROUND($T96-$X96,2))</x:f>
        <x:v>0</x:v>
      </x:c>
      <x:c r="AS96" s="14" t="str">
        <x:v>OK</x:v>
      </x:c>
    </x:row>
    <x:row r="97">
      <x:c r="A97" s="80" t="n">
        <x:v>97</x:v>
      </x:c>
      <x:c r="B97" s="80" t="str">
        <x:v>ORD-2025-10096</x:v>
      </x:c>
      <x:c r="C97" s="81" t="n">
        <x:v>45905</x:v>
      </x:c>
      <x:c r="D97" s="81" t="n">
        <x:v>45910</x:v>
      </x:c>
      <x:c r="E97" s="80" t="str">
        <x:v>CUST-2687</x:v>
      </x:c>
      <x:c r="F97" s="80" t="str">
        <x:v>Sneha Kapoor</x:v>
      </x:c>
      <x:c r="G97" s="80" t="str">
        <x:v>Corporate</x:v>
      </x:c>
      <x:c r="H97" s="80" t="str">
        <x:v>West</x:v>
      </x:c>
      <x:c r="I97" s="80" t="str">
        <x:v>Goa</x:v>
      </x:c>
      <x:c r="J97" s="80" t="str">
        <x:v>Panaji</x:v>
      </x:c>
      <x:c r="K97" s="80" t="str">
        <x:v>Furniture</x:v>
      </x:c>
      <x:c r="L97" s="80" t="str">
        <x:v>Bookcases</x:v>
      </x:c>
      <x:c r="M97" s="80" t="str">
        <x:v>Classic Bookcases 988</x:v>
      </x:c>
      <x:c r="N97" s="80" t="str">
        <x:v>Same Day</x:v>
      </x:c>
      <x:c r="O97" s="82" t="n">
        <x:v>6</x:v>
      </x:c>
      <x:c r="P97" s="83" t="n">
        <x:v>1754.13</x:v>
      </x:c>
      <x:c r="Q97" s="84" t="n">
        <x:v>0</x:v>
      </x:c>
      <x:c r="R97" s="83" t="n">
        <x:v>10524.78</x:v>
      </x:c>
      <x:c r="S97" s="83" t="n">
        <x:v>8841.05</x:v>
      </x:c>
      <x:c r="T97" s="83" t="n">
        <x:v>1683.73</x:v>
      </x:c>
      <x:c r="U97" s="83" t="str">
        <x:v>Paid</x:v>
      </x:c>
      <x:c r="V97" s="83" t="str">
        <x:v>Completed</x:v>
      </x:c>
      <x:c r="W97" s="151" t="n">
        <x:f>IF(OR(NOT(ISNUMBER($AP97)),COUNT($O97,$P97)&lt;2,$O97&lt;=0,$P97&lt;0),"",ROUND($O97*$P97*(1-$AP97),2))</x:f>
        <x:v>10524.78</x:v>
      </x:c>
      <x:c r="X97" s="151" t="n">
        <x:f>IF(OR(NOT(ISNUMBER($W97)),NOT(ISNUMBER($S97))),"",ROUND($W97-$S97,2))</x:f>
        <x:v>1683.73</x:v>
      </x:c>
      <x:c r="Y97" s="85" t="n">
        <x:f>IF(OR(NOT(ISNUMBER($W97)),NOT(ISNUMBER($X97)),$W97=0),"",ROUND($X97/$W97,4))</x:f>
        <x:v>0.16</x:v>
      </x:c>
      <x:c r="Z97" s="82" t="n">
        <x:f>IF(OR($AH97&lt;&gt;"Valid",$AI97&lt;&gt;"Valid"),"",INT($D97-$C97))</x:f>
        <x:v>5</x:v>
      </x:c>
      <x:c r="AA97" s="86" t="str">
        <x:f>IF($AH97&lt;&gt;"Valid","",TEXT($C97,"mmmm"))</x:f>
        <x:v>September</x:v>
      </x:c>
      <x:c r="AB97" s="82" t="n">
        <x:f>IF($AH97&lt;&gt;"Valid","",YEAR($C97))</x:f>
        <x:v>2025</x:v>
      </x:c>
      <x:c r="AC97" s="80" t="str">
        <x:v>Consistent</x:v>
      </x:c>
      <x:c r="AD97" s="80" t="str">
        <x:v>Eligible</x:v>
      </x:c>
      <x:c r="AE97" s="80" t="str">
        <x:f>IF(OR($AH97&lt;&gt;"Valid",$AI97&lt;&gt;"Valid",$AJ97&lt;&gt;"Valid",LEFT($AM97,7)="Invalid",IFERROR(ABS($AQ97)&gt;0.01,FALSE),IFERROR(ABS($AR97)&gt;0.01,FALSE),COUNTIF($AS97,"*Conflicting duplicate*")&gt;0,COUNTIF($AS97,"*Completed order not paid*")&gt;0),"Invalid",IF(OR($H97="Unknown",$N97="Unknown",$AM97="Missing discount imputed as 0"),"Warning","Clean"))</x:f>
        <x:v>Clean</x:v>
      </x:c>
      <x:c r="AF97" s="80" t="str">
        <x:v>Pass</x:v>
      </x:c>
      <x:c r="AG97" s="80" t="str">
        <x:v>No text cleanup required</x:v>
      </x:c>
      <x:c r="AH97" s="12" t="str">
        <x:f>IF(C97="","Missing date",IF(ISNUMBER(C97),"Valid","Unrecognized/invalid date"))</x:f>
        <x:v>Valid</x:v>
      </x:c>
      <x:c r="AI97" s="12" t="str">
        <x:f>IF(D97="","Missing date",IF(ISNUMBER(D97),"Valid","Unrecognized/invalid date"))</x:f>
        <x:v>Valid</x:v>
      </x:c>
      <x:c r="AJ97" s="12" t="str">
        <x:v>Valid</x:v>
      </x:c>
      <x:c r="AK97" s="12" t="str">
        <x:v>Pass</x:v>
      </x:c>
      <x:c r="AL97" s="12" t="str">
        <x:v>None</x:v>
      </x:c>
      <x:c r="AM97" s="12" t="str">
        <x:v>Valid</x:v>
      </x:c>
      <x:c r="AN97" s="12" t="str">
        <x:v>Include in completed sales</x:v>
      </x:c>
      <x:c r="AO97" s="12" t="str">
        <x:v>Not a refunded record</x:v>
      </x:c>
      <x:c r="AP97" s="37" t="n">
        <x:f>IF(LEFT($AM97,7)="Invalid","",IF($AM97="Missing discount imputed as 0",IF(AND(COUNT($O97,$P97,$R97,$S97)=4,$O97&gt;0,$P97&gt;=0,$R97&gt;=0,$S97&gt;=0),0,""),IF(AND(ISNUMBER($Q97),$Q97&gt;=0,$Q97&lt;=0.5),$Q97,"")))</x:f>
        <x:v>0</x:v>
      </x:c>
      <x:c r="AQ97" s="152" t="n">
        <x:f>IF(OR($W97="",NOT(ISNUMBER($R97))),"",ROUND($R97-$W97,2))</x:f>
        <x:v>0</x:v>
      </x:c>
      <x:c r="AR97" s="152" t="n">
        <x:f>IF(OR($X97="",NOT(ISNUMBER($T97))),"",ROUND($T97-$X97,2))</x:f>
        <x:v>0</x:v>
      </x:c>
      <x:c r="AS97" s="14" t="str">
        <x:v>OK</x:v>
      </x:c>
    </x:row>
    <x:row r="98">
      <x:c r="A98" s="80" t="n">
        <x:v>98</x:v>
      </x:c>
      <x:c r="B98" s="80" t="str">
        <x:v>ORD-2024-10097</x:v>
      </x:c>
      <x:c r="C98" s="81" t="n">
        <x:v>45448</x:v>
      </x:c>
      <x:c r="D98" s="81" t="n">
        <x:v>45450</x:v>
      </x:c>
      <x:c r="E98" s="80" t="str">
        <x:v>CUST-7283</x:v>
      </x:c>
      <x:c r="F98" s="80" t="str">
        <x:v>Rahul Verma</x:v>
      </x:c>
      <x:c r="G98" s="80" t="str">
        <x:v>Home Office</x:v>
      </x:c>
      <x:c r="H98" s="80" t="str">
        <x:v>East</x:v>
      </x:c>
      <x:c r="I98" s="80" t="str">
        <x:v>Odisha</x:v>
      </x:c>
      <x:c r="J98" s="80" t="str">
        <x:v>Bhubaneswar</x:v>
      </x:c>
      <x:c r="K98" s="80" t="str">
        <x:v>Technology</x:v>
      </x:c>
      <x:c r="L98" s="80" t="str">
        <x:v>Copiers</x:v>
      </x:c>
      <x:c r="M98" s="80" t="str">
        <x:v>Smart Copiers 547</x:v>
      </x:c>
      <x:c r="N98" s="80" t="str">
        <x:v>Second Class</x:v>
      </x:c>
      <x:c r="O98" s="82" t="n">
        <x:v>2</x:v>
      </x:c>
      <x:c r="P98" s="83" t="n">
        <x:v>2259.24</x:v>
      </x:c>
      <x:c r="Q98" s="84" t="n">
        <x:v>0.15</x:v>
      </x:c>
      <x:c r="R98" s="83" t="n">
        <x:v>3840.71</x:v>
      </x:c>
      <x:c r="S98" s="83" t="n">
        <x:v>2516.29</x:v>
      </x:c>
      <x:c r="T98" s="83" t="n">
        <x:v>1324.42</x:v>
      </x:c>
      <x:c r="U98" s="83" t="str">
        <x:v>Paid</x:v>
      </x:c>
      <x:c r="V98" s="83" t="str">
        <x:v>Completed</x:v>
      </x:c>
      <x:c r="W98" s="151" t="n">
        <x:f>IF(OR(NOT(ISNUMBER($AP98)),COUNT($O98,$P98)&lt;2,$O98&lt;=0,$P98&lt;0),"",ROUND($O98*$P98*(1-$AP98),2))</x:f>
        <x:v>3840.71</x:v>
      </x:c>
      <x:c r="X98" s="151" t="n">
        <x:f>IF(OR(NOT(ISNUMBER($W98)),NOT(ISNUMBER($S98))),"",ROUND($W98-$S98,2))</x:f>
        <x:v>1324.42</x:v>
      </x:c>
      <x:c r="Y98" s="85" t="n">
        <x:f>IF(OR(NOT(ISNUMBER($W98)),NOT(ISNUMBER($X98)),$W98=0),"",ROUND($X98/$W98,4))</x:f>
        <x:v>0.3448</x:v>
      </x:c>
      <x:c r="Z98" s="82" t="n">
        <x:f>IF(OR($AH98&lt;&gt;"Valid",$AI98&lt;&gt;"Valid"),"",INT($D98-$C98))</x:f>
        <x:v>2</x:v>
      </x:c>
      <x:c r="AA98" s="86" t="str">
        <x:f>IF($AH98&lt;&gt;"Valid","",TEXT($C98,"mmmm"))</x:f>
        <x:v>June</x:v>
      </x:c>
      <x:c r="AB98" s="82" t="n">
        <x:f>IF($AH98&lt;&gt;"Valid","",YEAR($C98))</x:f>
        <x:v>2024</x:v>
      </x:c>
      <x:c r="AC98" s="80" t="str">
        <x:v>Consistent</x:v>
      </x:c>
      <x:c r="AD98" s="80" t="str">
        <x:v>Eligible</x:v>
      </x:c>
      <x:c r="AE98" s="80" t="str">
        <x:f>IF(OR($AH98&lt;&gt;"Valid",$AI98&lt;&gt;"Valid",$AJ98&lt;&gt;"Valid",LEFT($AM98,7)="Invalid",IFERROR(ABS($AQ98)&gt;0.01,FALSE),IFERROR(ABS($AR98)&gt;0.01,FALSE),COUNTIF($AS98,"*Conflicting duplicate*")&gt;0,COUNTIF($AS98,"*Completed order not paid*")&gt;0),"Invalid",IF(OR($H98="Unknown",$N98="Unknown",$AM98="Missing discount imputed as 0"),"Warning","Clean"))</x:f>
        <x:v>Clean</x:v>
      </x:c>
      <x:c r="AF98" s="80" t="str">
        <x:v>Pass</x:v>
      </x:c>
      <x:c r="AG98" s="80" t="str">
        <x:v>No text cleanup required</x:v>
      </x:c>
      <x:c r="AH98" s="12" t="str">
        <x:f>IF(C98="","Missing date",IF(ISNUMBER(C98),"Valid","Unrecognized/invalid date"))</x:f>
        <x:v>Valid</x:v>
      </x:c>
      <x:c r="AI98" s="12" t="str">
        <x:f>IF(D98="","Missing date",IF(ISNUMBER(D98),"Valid","Unrecognized/invalid date"))</x:f>
        <x:v>Valid</x:v>
      </x:c>
      <x:c r="AJ98" s="12" t="str">
        <x:v>Valid</x:v>
      </x:c>
      <x:c r="AK98" s="12" t="str">
        <x:v>Pass</x:v>
      </x:c>
      <x:c r="AL98" s="12" t="str">
        <x:v>None</x:v>
      </x:c>
      <x:c r="AM98" s="12" t="str">
        <x:v>Valid</x:v>
      </x:c>
      <x:c r="AN98" s="12" t="str">
        <x:v>Include in completed sales</x:v>
      </x:c>
      <x:c r="AO98" s="12" t="str">
        <x:v>Not a refunded record</x:v>
      </x:c>
      <x:c r="AP98" s="37" t="n">
        <x:f>IF(LEFT($AM98,7)="Invalid","",IF($AM98="Missing discount imputed as 0",IF(AND(COUNT($O98,$P98,$R98,$S98)=4,$O98&gt;0,$P98&gt;=0,$R98&gt;=0,$S98&gt;=0),0,""),IF(AND(ISNUMBER($Q98),$Q98&gt;=0,$Q98&lt;=0.5),$Q98,"")))</x:f>
        <x:v>0.15</x:v>
      </x:c>
      <x:c r="AQ98" s="152" t="n">
        <x:f>IF(OR($W98="",NOT(ISNUMBER($R98))),"",ROUND($R98-$W98,2))</x:f>
        <x:v>0</x:v>
      </x:c>
      <x:c r="AR98" s="152" t="n">
        <x:f>IF(OR($X98="",NOT(ISNUMBER($T98))),"",ROUND($T98-$X98,2))</x:f>
        <x:v>0</x:v>
      </x:c>
      <x:c r="AS98" s="14" t="str">
        <x:v>OK</x:v>
      </x:c>
    </x:row>
    <x:row r="99">
      <x:c r="A99" s="80" t="n">
        <x:v>99</x:v>
      </x:c>
      <x:c r="B99" s="80" t="str">
        <x:v>ORD-2025-10098</x:v>
      </x:c>
      <x:c r="C99" s="81" t="n">
        <x:v>45877</x:v>
      </x:c>
      <x:c r="D99" s="81" t="n">
        <x:v>45880</x:v>
      </x:c>
      <x:c r="E99" s="80" t="str">
        <x:v>CUST-8111</x:v>
      </x:c>
      <x:c r="F99" s="80" t="str">
        <x:v>Diya Patel</x:v>
      </x:c>
      <x:c r="G99" s="80" t="str">
        <x:v>Small Business</x:v>
      </x:c>
      <x:c r="H99" s="80" t="str">
        <x:v>West</x:v>
      </x:c>
      <x:c r="I99" s="80" t="str">
        <x:v>Gujarat</x:v>
      </x:c>
      <x:c r="J99" s="80" t="str">
        <x:v>Ahmedabad</x:v>
      </x:c>
      <x:c r="K99" s="80" t="str">
        <x:v>Office Supplies</x:v>
      </x:c>
      <x:c r="L99" s="80" t="str">
        <x:v>Storage</x:v>
      </x:c>
      <x:c r="M99" s="80" t="str">
        <x:v>Basic Storage 656</x:v>
      </x:c>
      <x:c r="N99" s="80" t="str">
        <x:v>Same Day</x:v>
      </x:c>
      <x:c r="O99" s="82" t="n">
        <x:v>5</x:v>
      </x:c>
      <x:c r="P99" s="83" t="n">
        <x:v>3602.36</x:v>
      </x:c>
      <x:c r="Q99" s="84" t="n">
        <x:v>0.2</x:v>
      </x:c>
      <x:c r="R99" s="83" t="n">
        <x:v>14409.44</x:v>
      </x:c>
      <x:c r="S99" s="83" t="n">
        <x:v>8809.97</x:v>
      </x:c>
      <x:c r="T99" s="83" t="n">
        <x:v>5599.47</x:v>
      </x:c>
      <x:c r="U99" s="83" t="str">
        <x:v>Pending</x:v>
      </x:c>
      <x:c r="V99" s="83" t="str">
        <x:v>Returned</x:v>
      </x:c>
      <x:c r="W99" s="151" t="n">
        <x:f>IF(OR(NOT(ISNUMBER($AP99)),COUNT($O99,$P99)&lt;2,$O99&lt;=0,$P99&lt;0),"",ROUND($O99*$P99*(1-$AP99),2))</x:f>
        <x:v>14409.44</x:v>
      </x:c>
      <x:c r="X99" s="151" t="n">
        <x:f>IF(OR(NOT(ISNUMBER($W99)),NOT(ISNUMBER($S99))),"",ROUND($W99-$S99,2))</x:f>
        <x:v>5599.47</x:v>
      </x:c>
      <x:c r="Y99" s="85" t="n">
        <x:f>IF(OR(NOT(ISNUMBER($W99)),NOT(ISNUMBER($X99)),$W99=0),"",ROUND($X99/$W99,4))</x:f>
        <x:v>0.3886</x:v>
      </x:c>
      <x:c r="Z99" s="82" t="n">
        <x:f>IF(OR($AH99&lt;&gt;"Valid",$AI99&lt;&gt;"Valid"),"",INT($D99-$C99))</x:f>
        <x:v>3</x:v>
      </x:c>
      <x:c r="AA99" s="86" t="str">
        <x:f>IF($AH99&lt;&gt;"Valid","",TEXT($C99,"mmmm"))</x:f>
        <x:v>August</x:v>
      </x:c>
      <x:c r="AB99" s="82" t="n">
        <x:f>IF($AH99&lt;&gt;"Valid","",YEAR($C99))</x:f>
        <x:v>2025</x:v>
      </x:c>
      <x:c r="AC99" s="80" t="str">
        <x:v>Consistent</x:v>
      </x:c>
      <x:c r="AD99" s="80" t="str">
        <x:v>Excluded</x:v>
      </x:c>
      <x:c r="AE99" s="80" t="str">
        <x:f>IF(OR($AH99&lt;&gt;"Valid",$AI99&lt;&gt;"Valid",$AJ99&lt;&gt;"Valid",LEFT($AM99,7)="Invalid",IFERROR(ABS($AQ99)&gt;0.01,FALSE),IFERROR(ABS($AR99)&gt;0.01,FALSE),COUNTIF($AS99,"*Conflicting duplicate*")&gt;0,COUNTIF($AS99,"*Completed order not paid*")&gt;0),"Invalid",IF(OR($H99="Unknown",$N99="Unknown",$AM99="Missing discount imputed as 0"),"Warning","Clean"))</x:f>
        <x:v>Clean</x:v>
      </x:c>
      <x:c r="AF99" s="80" t="str">
        <x:v>Pass</x:v>
      </x:c>
      <x:c r="AG99" s="80" t="str">
        <x:v>No text cleanup required</x:v>
      </x:c>
      <x:c r="AH99" s="12" t="str">
        <x:f>IF(C99="","Missing date",IF(ISNUMBER(C99),"Valid","Unrecognized/invalid date"))</x:f>
        <x:v>Valid</x:v>
      </x:c>
      <x:c r="AI99" s="12" t="str">
        <x:f>IF(D99="","Missing date",IF(ISNUMBER(D99),"Valid","Unrecognized/invalid date"))</x:f>
        <x:v>Valid</x:v>
      </x:c>
      <x:c r="AJ99" s="12" t="str">
        <x:v>Valid</x:v>
      </x:c>
      <x:c r="AK99" s="12" t="str">
        <x:v>Pass</x:v>
      </x:c>
      <x:c r="AL99" s="12" t="str">
        <x:v>None</x:v>
      </x:c>
      <x:c r="AM99" s="12" t="str">
        <x:v>Valid</x:v>
      </x:c>
      <x:c r="AN99" s="12" t="str">
        <x:v>Exclude from completed sales</x:v>
      </x:c>
      <x:c r="AO99" s="12" t="str">
        <x:v>Not a refunded record</x:v>
      </x:c>
      <x:c r="AP99" s="37" t="n">
        <x:f>IF(LEFT($AM99,7)="Invalid","",IF($AM99="Missing discount imputed as 0",IF(AND(COUNT($O99,$P99,$R99,$S99)=4,$O99&gt;0,$P99&gt;=0,$R99&gt;=0,$S99&gt;=0),0,""),IF(AND(ISNUMBER($Q99),$Q99&gt;=0,$Q99&lt;=0.5),$Q99,"")))</x:f>
        <x:v>0.2</x:v>
      </x:c>
      <x:c r="AQ99" s="152" t="n">
        <x:f>IF(OR($W99="",NOT(ISNUMBER($R99))),"",ROUND($R99-$W99,2))</x:f>
        <x:v>0</x:v>
      </x:c>
      <x:c r="AR99" s="152" t="n">
        <x:f>IF(OR($X99="",NOT(ISNUMBER($T99))),"",ROUND($T99-$X99,2))</x:f>
        <x:v>0</x:v>
      </x:c>
      <x:c r="AS99" s="14" t="str">
        <x:v>OK</x:v>
      </x:c>
    </x:row>
    <x:row r="100">
      <x:c r="A100" s="80" t="n">
        <x:v>100</x:v>
      </x:c>
      <x:c r="B100" s="80" t="str">
        <x:v>ORD-2024-10099</x:v>
      </x:c>
      <x:c r="C100" s="81" t="n">
        <x:v>45317</x:v>
      </x:c>
      <x:c r="D100" s="81" t="n">
        <x:v>45323</x:v>
      </x:c>
      <x:c r="E100" s="80" t="str">
        <x:v>CUST-5434</x:v>
      </x:c>
      <x:c r="F100" s="80" t="str">
        <x:v>Rohan Mehta</x:v>
      </x:c>
      <x:c r="G100" s="80" t="str">
        <x:v>Home Office</x:v>
      </x:c>
      <x:c r="H100" s="80" t="str">
        <x:v>South</x:v>
      </x:c>
      <x:c r="I100" s="80" t="str">
        <x:v>Kerala</x:v>
      </x:c>
      <x:c r="J100" s="80" t="str">
        <x:v>Kochi</x:v>
      </x:c>
      <x:c r="K100" s="80" t="str">
        <x:v>Technology</x:v>
      </x:c>
      <x:c r="L100" s="80" t="str">
        <x:v>Copiers</x:v>
      </x:c>
      <x:c r="M100" s="80" t="str">
        <x:v>Elite Copiers 785</x:v>
      </x:c>
      <x:c r="N100" s="80" t="str">
        <x:v>Unknown</x:v>
      </x:c>
      <x:c r="O100" s="82" t="n">
        <x:v>8</x:v>
      </x:c>
      <x:c r="P100" s="83" t="n">
        <x:v>2108.93</x:v>
      </x:c>
      <x:c r="Q100" s="84" t="n">
        <x:v>0.1</x:v>
      </x:c>
      <x:c r="R100" s="83" t="n">
        <x:v>15184.3</x:v>
      </x:c>
      <x:c r="S100" s="83" t="n">
        <x:v>11270.74</x:v>
      </x:c>
      <x:c r="T100" s="83" t="n">
        <x:v>3913.56</x:v>
      </x:c>
      <x:c r="U100" s="83" t="str">
        <x:v>Paid</x:v>
      </x:c>
      <x:c r="V100" s="83" t="str">
        <x:v>Completed</x:v>
      </x:c>
      <x:c r="W100" s="151" t="n">
        <x:f>IF(OR(NOT(ISNUMBER($AP100)),COUNT($O100,$P100)&lt;2,$O100&lt;=0,$P100&lt;0),"",ROUND($O100*$P100*(1-$AP100),2))</x:f>
        <x:v>15184.3</x:v>
      </x:c>
      <x:c r="X100" s="151" t="n">
        <x:f>IF(OR(NOT(ISNUMBER($W100)),NOT(ISNUMBER($S100))),"",ROUND($W100-$S100,2))</x:f>
        <x:v>3913.56</x:v>
      </x:c>
      <x:c r="Y100" s="85" t="n">
        <x:f>IF(OR(NOT(ISNUMBER($W100)),NOT(ISNUMBER($X100)),$W100=0),"",ROUND($X100/$W100,4))</x:f>
        <x:v>0.2577</x:v>
      </x:c>
      <x:c r="Z100" s="82" t="n">
        <x:f>IF(OR($AH100&lt;&gt;"Valid",$AI100&lt;&gt;"Valid"),"",INT($D100-$C100))</x:f>
        <x:v>6</x:v>
      </x:c>
      <x:c r="AA100" s="86" t="str">
        <x:f>IF($AH100&lt;&gt;"Valid","",TEXT($C100,"mmmm"))</x:f>
        <x:v>January</x:v>
      </x:c>
      <x:c r="AB100" s="82" t="n">
        <x:f>IF($AH100&lt;&gt;"Valid","",YEAR($C100))</x:f>
        <x:v>2024</x:v>
      </x:c>
      <x:c r="AC100" s="80" t="str">
        <x:v>Consistent</x:v>
      </x:c>
      <x:c r="AD100" s="80" t="str">
        <x:v>Eligible</x:v>
      </x:c>
      <x:c r="AE100" s="80" t="str">
        <x:f>IF(OR($AH100&lt;&gt;"Valid",$AI100&lt;&gt;"Valid",$AJ100&lt;&gt;"Valid",LEFT($AM100,7)="Invalid",IFERROR(ABS($AQ100)&gt;0.01,FALSE),IFERROR(ABS($AR100)&gt;0.01,FALSE),COUNTIF($AS100,"*Conflicting duplicate*")&gt;0,COUNTIF($AS100,"*Completed order not paid*")&gt;0),"Invalid",IF(OR($H100="Unknown",$N100="Unknown",$AM100="Missing discount imputed as 0"),"Warning","Clean"))</x:f>
        <x:v>Warning</x:v>
      </x:c>
      <x:c r="AF100" s="80" t="str">
        <x:v>Cleaned</x:v>
      </x:c>
      <x:c r="AG100" s="80" t="str">
        <x:v>ship_mode: Missing value filled as Unknown</x:v>
      </x:c>
      <x:c r="AH100" s="12" t="str">
        <x:f>IF(C100="","Missing date",IF(ISNUMBER(C100),"Valid","Unrecognized/invalid date"))</x:f>
        <x:v>Valid</x:v>
      </x:c>
      <x:c r="AI100" s="12" t="str">
        <x:f>IF(D100="","Missing date",IF(ISNUMBER(D100),"Valid","Unrecognized/invalid date"))</x:f>
        <x:v>Valid</x:v>
      </x:c>
      <x:c r="AJ100" s="12" t="str">
        <x:v>Valid</x:v>
      </x:c>
      <x:c r="AK100" s="12" t="str">
        <x:v>Pass</x:v>
      </x:c>
      <x:c r="AL100" s="12" t="str">
        <x:v>Missing ship_mode filled as Unknown</x:v>
      </x:c>
      <x:c r="AM100" s="12" t="str">
        <x:v>Valid</x:v>
      </x:c>
      <x:c r="AN100" s="12" t="str">
        <x:v>Include in completed sales</x:v>
      </x:c>
      <x:c r="AO100" s="12" t="str">
        <x:v>Not a refunded record</x:v>
      </x:c>
      <x:c r="AP100" s="37" t="n">
        <x:f>IF(LEFT($AM100,7)="Invalid","",IF($AM100="Missing discount imputed as 0",IF(AND(COUNT($O100,$P100,$R100,$S100)=4,$O100&gt;0,$P100&gt;=0,$R100&gt;=0,$S100&gt;=0),0,""),IF(AND(ISNUMBER($Q100),$Q100&gt;=0,$Q100&lt;=0.5),$Q100,"")))</x:f>
        <x:v>0.1</x:v>
      </x:c>
      <x:c r="AQ100" s="152" t="n">
        <x:f>IF(OR($W100="",NOT(ISNUMBER($R100))),"",ROUND($R100-$W100,2))</x:f>
        <x:v>0</x:v>
      </x:c>
      <x:c r="AR100" s="152" t="n">
        <x:f>IF(OR($X100="",NOT(ISNUMBER($T100))),"",ROUND($T100-$X100,2))</x:f>
        <x:v>0</x:v>
      </x:c>
      <x:c r="AS100" s="14" t="str">
        <x:v>OK</x:v>
      </x:c>
    </x:row>
    <x:row r="101">
      <x:c r="A101" s="80" t="n">
        <x:v>101</x:v>
      </x:c>
      <x:c r="B101" s="80" t="str">
        <x:v>ORD-2025-10100</x:v>
      </x:c>
      <x:c r="C101" s="81" t="n">
        <x:v>45668</x:v>
      </x:c>
      <x:c r="D101" s="81" t="n">
        <x:v>45668</x:v>
      </x:c>
      <x:c r="E101" s="80" t="str">
        <x:v>CUST-3865</x:v>
      </x:c>
      <x:c r="F101" s="80" t="str">
        <x:v>Aditi Sen</x:v>
      </x:c>
      <x:c r="G101" s="80" t="str">
        <x:v>Small Business</x:v>
      </x:c>
      <x:c r="H101" s="80" t="str">
        <x:v>West</x:v>
      </x:c>
      <x:c r="I101" s="80" t="str">
        <x:v>Rajasthan</x:v>
      </x:c>
      <x:c r="J101" s="80" t="str">
        <x:v>Udaipur</x:v>
      </x:c>
      <x:c r="K101" s="80" t="str">
        <x:v>Technology</x:v>
      </x:c>
      <x:c r="L101" s="80" t="str">
        <x:v>Accessories</x:v>
      </x:c>
      <x:c r="M101" s="80" t="str">
        <x:v>Smart Accessories 542</x:v>
      </x:c>
      <x:c r="N101" s="80" t="str">
        <x:v>Same Day</x:v>
      </x:c>
      <x:c r="O101" s="82" t="n">
        <x:v>3</x:v>
      </x:c>
      <x:c r="P101" s="83" t="n">
        <x:v>2165.29</x:v>
      </x:c>
      <x:c r="Q101" s="84" t="n">
        <x:v>0</x:v>
      </x:c>
      <x:c r="R101" s="83" t="n">
        <x:v>6495.87</x:v>
      </x:c>
      <x:c r="S101" s="83" t="n">
        <x:v>4700.89</x:v>
      </x:c>
      <x:c r="T101" s="83" t="n">
        <x:v>1794.98</x:v>
      </x:c>
      <x:c r="U101" s="83" t="str">
        <x:v>Paid</x:v>
      </x:c>
      <x:c r="V101" s="83" t="str">
        <x:v>Completed</x:v>
      </x:c>
      <x:c r="W101" s="151" t="n">
        <x:f>IF(OR(NOT(ISNUMBER($AP101)),COUNT($O101,$P101)&lt;2,$O101&lt;=0,$P101&lt;0),"",ROUND($O101*$P101*(1-$AP101),2))</x:f>
        <x:v>6495.87</x:v>
      </x:c>
      <x:c r="X101" s="151" t="n">
        <x:f>IF(OR(NOT(ISNUMBER($W101)),NOT(ISNUMBER($S101))),"",ROUND($W101-$S101,2))</x:f>
        <x:v>1794.98</x:v>
      </x:c>
      <x:c r="Y101" s="85" t="n">
        <x:f>IF(OR(NOT(ISNUMBER($W101)),NOT(ISNUMBER($X101)),$W101=0),"",ROUND($X101/$W101,4))</x:f>
        <x:v>0.2763</x:v>
      </x:c>
      <x:c r="Z101" s="82" t="n">
        <x:f>IF(OR($AH101&lt;&gt;"Valid",$AI101&lt;&gt;"Valid"),"",INT($D101-$C101))</x:f>
        <x:v>0</x:v>
      </x:c>
      <x:c r="AA101" s="86" t="str">
        <x:f>IF($AH101&lt;&gt;"Valid","",TEXT($C101,"mmmm"))</x:f>
        <x:v>January</x:v>
      </x:c>
      <x:c r="AB101" s="82" t="n">
        <x:f>IF($AH101&lt;&gt;"Valid","",YEAR($C101))</x:f>
        <x:v>2025</x:v>
      </x:c>
      <x:c r="AC101" s="80" t="str">
        <x:v>Consistent</x:v>
      </x:c>
      <x:c r="AD101" s="80" t="str">
        <x:v>Eligible</x:v>
      </x:c>
      <x:c r="AE101" s="80" t="str">
        <x:f>IF(OR($AH101&lt;&gt;"Valid",$AI101&lt;&gt;"Valid",$AJ101&lt;&gt;"Valid",LEFT($AM101,7)="Invalid",IFERROR(ABS($AQ101)&gt;0.01,FALSE),IFERROR(ABS($AR101)&gt;0.01,FALSE),COUNTIF($AS101,"*Conflicting duplicate*")&gt;0,COUNTIF($AS101,"*Completed order not paid*")&gt;0),"Invalid",IF(OR($H101="Unknown",$N101="Unknown",$AM101="Missing discount imputed as 0"),"Warning","Clean"))</x:f>
        <x:v>Clean</x:v>
      </x:c>
      <x:c r="AF101" s="80" t="str">
        <x:v>Pass</x:v>
      </x:c>
      <x:c r="AG101" s="80" t="str">
        <x:v>No text cleanup required</x:v>
      </x:c>
      <x:c r="AH101" s="12" t="str">
        <x:f>IF(C101="","Missing date",IF(ISNUMBER(C101),"Valid","Unrecognized/invalid date"))</x:f>
        <x:v>Valid</x:v>
      </x:c>
      <x:c r="AI101" s="12" t="str">
        <x:f>IF(D101="","Missing date",IF(ISNUMBER(D101),"Valid","Unrecognized/invalid date"))</x:f>
        <x:v>Valid</x:v>
      </x:c>
      <x:c r="AJ101" s="12" t="str">
        <x:v>Valid</x:v>
      </x:c>
      <x:c r="AK101" s="12" t="str">
        <x:v>Pass</x:v>
      </x:c>
      <x:c r="AL101" s="12" t="str">
        <x:v>None</x:v>
      </x:c>
      <x:c r="AM101" s="12" t="str">
        <x:v>Valid</x:v>
      </x:c>
      <x:c r="AN101" s="12" t="str">
        <x:v>Include in completed sales</x:v>
      </x:c>
      <x:c r="AO101" s="12" t="str">
        <x:v>Not a refunded record</x:v>
      </x:c>
      <x:c r="AP101" s="37" t="n">
        <x:f>IF(LEFT($AM101,7)="Invalid","",IF($AM101="Missing discount imputed as 0",IF(AND(COUNT($O101,$P101,$R101,$S101)=4,$O101&gt;0,$P101&gt;=0,$R101&gt;=0,$S101&gt;=0),0,""),IF(AND(ISNUMBER($Q101),$Q101&gt;=0,$Q101&lt;=0.5),$Q101,"")))</x:f>
        <x:v>0</x:v>
      </x:c>
      <x:c r="AQ101" s="152" t="n">
        <x:f>IF(OR($W101="",NOT(ISNUMBER($R101))),"",ROUND($R101-$W101,2))</x:f>
        <x:v>0</x:v>
      </x:c>
      <x:c r="AR101" s="152" t="n">
        <x:f>IF(OR($X101="",NOT(ISNUMBER($T101))),"",ROUND($T101-$X101,2))</x:f>
        <x:v>0</x:v>
      </x:c>
      <x:c r="AS101" s="14" t="str">
        <x:v>OK</x:v>
      </x:c>
    </x:row>
    <x:row r="102">
      <x:c r="A102" s="80" t="n">
        <x:v>102</x:v>
      </x:c>
      <x:c r="B102" s="80" t="str">
        <x:v>ORD-2025-10101</x:v>
      </x:c>
      <x:c r="C102" s="81" t="n">
        <x:v>45912</x:v>
      </x:c>
      <x:c r="D102" s="81" t="n">
        <x:v>45918</x:v>
      </x:c>
      <x:c r="E102" s="80" t="str">
        <x:v>CUST-6015</x:v>
      </x:c>
      <x:c r="F102" s="80" t="str">
        <x:v>Aarav Sharma</x:v>
      </x:c>
      <x:c r="G102" s="80" t="str">
        <x:v>Home Office</x:v>
      </x:c>
      <x:c r="H102" s="80" t="str">
        <x:v>South</x:v>
      </x:c>
      <x:c r="I102" s="80" t="str">
        <x:v>Kerala</x:v>
      </x:c>
      <x:c r="J102" s="80" t="str">
        <x:v>Kochi</x:v>
      </x:c>
      <x:c r="K102" s="80" t="str">
        <x:v>Office Supplies</x:v>
      </x:c>
      <x:c r="L102" s="80" t="str">
        <x:v>Storage</x:v>
      </x:c>
      <x:c r="M102" s="80" t="str">
        <x:v>Eco Storage 936</x:v>
      </x:c>
      <x:c r="N102" s="80" t="str">
        <x:v>Standard Class</x:v>
      </x:c>
      <x:c r="O102" s="82" t="n">
        <x:v>6</x:v>
      </x:c>
      <x:c r="P102" s="83" t="n">
        <x:v>1673.8</x:v>
      </x:c>
      <x:c r="Q102" s="84" t="n">
        <x:v>0.05</x:v>
      </x:c>
      <x:c r="R102" s="83" t="n">
        <x:v>9540.66</x:v>
      </x:c>
      <x:c r="S102" s="83" t="n">
        <x:v>5561.49</x:v>
      </x:c>
      <x:c r="T102" s="83" t="n">
        <x:v>3979.17</x:v>
      </x:c>
      <x:c r="U102" s="83" t="str">
        <x:v>Paid</x:v>
      </x:c>
      <x:c r="V102" s="83" t="str">
        <x:v>Completed</x:v>
      </x:c>
      <x:c r="W102" s="151" t="n">
        <x:f>IF(OR(NOT(ISNUMBER($AP102)),COUNT($O102,$P102)&lt;2,$O102&lt;=0,$P102&lt;0),"",ROUND($O102*$P102*(1-$AP102),2))</x:f>
        <x:v>9540.66</x:v>
      </x:c>
      <x:c r="X102" s="151" t="n">
        <x:f>IF(OR(NOT(ISNUMBER($W102)),NOT(ISNUMBER($S102))),"",ROUND($W102-$S102,2))</x:f>
        <x:v>3979.17</x:v>
      </x:c>
      <x:c r="Y102" s="85" t="n">
        <x:f>IF(OR(NOT(ISNUMBER($W102)),NOT(ISNUMBER($X102)),$W102=0),"",ROUND($X102/$W102,4))</x:f>
        <x:v>0.4171</x:v>
      </x:c>
      <x:c r="Z102" s="82" t="n">
        <x:f>IF(OR($AH102&lt;&gt;"Valid",$AI102&lt;&gt;"Valid"),"",INT($D102-$C102))</x:f>
        <x:v>6</x:v>
      </x:c>
      <x:c r="AA102" s="86" t="str">
        <x:f>IF($AH102&lt;&gt;"Valid","",TEXT($C102,"mmmm"))</x:f>
        <x:v>September</x:v>
      </x:c>
      <x:c r="AB102" s="82" t="n">
        <x:f>IF($AH102&lt;&gt;"Valid","",YEAR($C102))</x:f>
        <x:v>2025</x:v>
      </x:c>
      <x:c r="AC102" s="80" t="str">
        <x:v>Consistent</x:v>
      </x:c>
      <x:c r="AD102" s="80" t="str">
        <x:v>Eligible</x:v>
      </x:c>
      <x:c r="AE102" s="80" t="str">
        <x:f>IF(OR($AH102&lt;&gt;"Valid",$AI102&lt;&gt;"Valid",$AJ102&lt;&gt;"Valid",LEFT($AM102,7)="Invalid",IFERROR(ABS($AQ102)&gt;0.01,FALSE),IFERROR(ABS($AR102)&gt;0.01,FALSE),COUNTIF($AS102,"*Conflicting duplicate*")&gt;0,COUNTIF($AS102,"*Completed order not paid*")&gt;0),"Invalid",IF(OR($H102="Unknown",$N102="Unknown",$AM102="Missing discount imputed as 0"),"Warning","Clean"))</x:f>
        <x:v>Clean</x:v>
      </x:c>
      <x:c r="AF102" s="80" t="str">
        <x:v>Pass</x:v>
      </x:c>
      <x:c r="AG102" s="80" t="str">
        <x:v>No text cleanup required</x:v>
      </x:c>
      <x:c r="AH102" s="12" t="str">
        <x:f>IF(C102="","Missing date",IF(ISNUMBER(C102),"Valid","Unrecognized/invalid date"))</x:f>
        <x:v>Valid</x:v>
      </x:c>
      <x:c r="AI102" s="12" t="str">
        <x:f>IF(D102="","Missing date",IF(ISNUMBER(D102),"Valid","Unrecognized/invalid date"))</x:f>
        <x:v>Valid</x:v>
      </x:c>
      <x:c r="AJ102" s="12" t="str">
        <x:v>Valid</x:v>
      </x:c>
      <x:c r="AK102" s="12" t="str">
        <x:v>Pass</x:v>
      </x:c>
      <x:c r="AL102" s="12" t="str">
        <x:v>None</x:v>
      </x:c>
      <x:c r="AM102" s="12" t="str">
        <x:v>Valid</x:v>
      </x:c>
      <x:c r="AN102" s="12" t="str">
        <x:v>Include in completed sales</x:v>
      </x:c>
      <x:c r="AO102" s="12" t="str">
        <x:v>Not a refunded record</x:v>
      </x:c>
      <x:c r="AP102" s="37" t="n">
        <x:f>IF(LEFT($AM102,7)="Invalid","",IF($AM102="Missing discount imputed as 0",IF(AND(COUNT($O102,$P102,$R102,$S102)=4,$O102&gt;0,$P102&gt;=0,$R102&gt;=0,$S102&gt;=0),0,""),IF(AND(ISNUMBER($Q102),$Q102&gt;=0,$Q102&lt;=0.5),$Q102,"")))</x:f>
        <x:v>0.05</x:v>
      </x:c>
      <x:c r="AQ102" s="152" t="n">
        <x:f>IF(OR($W102="",NOT(ISNUMBER($R102))),"",ROUND($R102-$W102,2))</x:f>
        <x:v>0</x:v>
      </x:c>
      <x:c r="AR102" s="152" t="n">
        <x:f>IF(OR($X102="",NOT(ISNUMBER($T102))),"",ROUND($T102-$X102,2))</x:f>
        <x:v>0</x:v>
      </x:c>
      <x:c r="AS102" s="14" t="str">
        <x:v>OK</x:v>
      </x:c>
    </x:row>
    <x:row r="103">
      <x:c r="A103" s="80" t="n">
        <x:v>103</x:v>
      </x:c>
      <x:c r="B103" s="80" t="str">
        <x:v>ORD-2024-10102</x:v>
      </x:c>
      <x:c r="C103" s="81" t="n">
        <x:v>45465</x:v>
      </x:c>
      <x:c r="D103" s="81" t="n">
        <x:v>45469</x:v>
      </x:c>
      <x:c r="E103" s="80" t="str">
        <x:v>CUST-7909</x:v>
      </x:c>
      <x:c r="F103" s="80" t="str">
        <x:v>Rohan Mehta</x:v>
      </x:c>
      <x:c r="G103" s="80" t="str">
        <x:v>Home Office</x:v>
      </x:c>
      <x:c r="H103" s="80" t="str">
        <x:v>East</x:v>
      </x:c>
      <x:c r="I103" s="80" t="str">
        <x:v>Bihar</x:v>
      </x:c>
      <x:c r="J103" s="80" t="str">
        <x:v>Patna</x:v>
      </x:c>
      <x:c r="K103" s="80" t="str">
        <x:v>Furniture</x:v>
      </x:c>
      <x:c r="L103" s="80" t="str">
        <x:v>Furnishings</x:v>
      </x:c>
      <x:c r="M103" s="80" t="str">
        <x:v>Classic Furnishings 682</x:v>
      </x:c>
      <x:c r="N103" s="80" t="str">
        <x:v>First Class</x:v>
      </x:c>
      <x:c r="O103" s="82" t="n">
        <x:v>5</x:v>
      </x:c>
      <x:c r="P103" s="83" t="n">
        <x:v>4396.52</x:v>
      </x:c>
      <x:c r="Q103" s="84" t="n">
        <x:v>0.25</x:v>
      </x:c>
      <x:c r="R103" s="83" t="n">
        <x:v>16486.95</x:v>
      </x:c>
      <x:c r="S103" s="83" t="n">
        <x:v>12054.14</x:v>
      </x:c>
      <x:c r="T103" s="83" t="n">
        <x:v>4432.81</x:v>
      </x:c>
      <x:c r="U103" s="83" t="str">
        <x:v>Paid</x:v>
      </x:c>
      <x:c r="V103" s="83" t="str">
        <x:v>Completed</x:v>
      </x:c>
      <x:c r="W103" s="151" t="n">
        <x:f>IF(OR(NOT(ISNUMBER($AP103)),COUNT($O103,$P103)&lt;2,$O103&lt;=0,$P103&lt;0),"",ROUND($O103*$P103*(1-$AP103),2))</x:f>
        <x:v>16486.95</x:v>
      </x:c>
      <x:c r="X103" s="151" t="n">
        <x:f>IF(OR(NOT(ISNUMBER($W103)),NOT(ISNUMBER($S103))),"",ROUND($W103-$S103,2))</x:f>
        <x:v>4432.81</x:v>
      </x:c>
      <x:c r="Y103" s="85" t="n">
        <x:f>IF(OR(NOT(ISNUMBER($W103)),NOT(ISNUMBER($X103)),$W103=0),"",ROUND($X103/$W103,4))</x:f>
        <x:v>0.2689</x:v>
      </x:c>
      <x:c r="Z103" s="82" t="n">
        <x:f>IF(OR($AH103&lt;&gt;"Valid",$AI103&lt;&gt;"Valid"),"",INT($D103-$C103))</x:f>
        <x:v>4</x:v>
      </x:c>
      <x:c r="AA103" s="86" t="str">
        <x:f>IF($AH103&lt;&gt;"Valid","",TEXT($C103,"mmmm"))</x:f>
        <x:v>June</x:v>
      </x:c>
      <x:c r="AB103" s="82" t="n">
        <x:f>IF($AH103&lt;&gt;"Valid","",YEAR($C103))</x:f>
        <x:v>2024</x:v>
      </x:c>
      <x:c r="AC103" s="80" t="str">
        <x:v>Consistent</x:v>
      </x:c>
      <x:c r="AD103" s="80" t="str">
        <x:v>Eligible</x:v>
      </x:c>
      <x:c r="AE103" s="80" t="str">
        <x:f>IF(OR($AH103&lt;&gt;"Valid",$AI103&lt;&gt;"Valid",$AJ103&lt;&gt;"Valid",LEFT($AM103,7)="Invalid",IFERROR(ABS($AQ103)&gt;0.01,FALSE),IFERROR(ABS($AR103)&gt;0.01,FALSE),COUNTIF($AS103,"*Conflicting duplicate*")&gt;0,COUNTIF($AS103,"*Completed order not paid*")&gt;0),"Invalid",IF(OR($H103="Unknown",$N103="Unknown",$AM103="Missing discount imputed as 0"),"Warning","Clean"))</x:f>
        <x:v>Clean</x:v>
      </x:c>
      <x:c r="AF103" s="80" t="str">
        <x:v>Cleaned</x:v>
      </x:c>
      <x:c r="AG103" s="80" t="str">
        <x:v>segment: TRIM/SUBSTITUTE whitespace cleanup</x:v>
      </x:c>
      <x:c r="AH103" s="12" t="str">
        <x:f>IF(C103="","Missing date",IF(ISNUMBER(C103),"Valid","Unrecognized/invalid date"))</x:f>
        <x:v>Valid</x:v>
      </x:c>
      <x:c r="AI103" s="12" t="str">
        <x:f>IF(D103="","Missing date",IF(ISNUMBER(D103),"Valid","Unrecognized/invalid date"))</x:f>
        <x:v>Valid</x:v>
      </x:c>
      <x:c r="AJ103" s="12" t="str">
        <x:v>Valid</x:v>
      </x:c>
      <x:c r="AK103" s="12" t="str">
        <x:v>Pass</x:v>
      </x:c>
      <x:c r="AL103" s="12" t="str">
        <x:v>None</x:v>
      </x:c>
      <x:c r="AM103" s="12" t="str">
        <x:v>Valid</x:v>
      </x:c>
      <x:c r="AN103" s="12" t="str">
        <x:v>Include in completed sales</x:v>
      </x:c>
      <x:c r="AO103" s="12" t="str">
        <x:v>Not a refunded record</x:v>
      </x:c>
      <x:c r="AP103" s="37" t="n">
        <x:f>IF(LEFT($AM103,7)="Invalid","",IF($AM103="Missing discount imputed as 0",IF(AND(COUNT($O103,$P103,$R103,$S103)=4,$O103&gt;0,$P103&gt;=0,$R103&gt;=0,$S103&gt;=0),0,""),IF(AND(ISNUMBER($Q103),$Q103&gt;=0,$Q103&lt;=0.5),$Q103,"")))</x:f>
        <x:v>0.25</x:v>
      </x:c>
      <x:c r="AQ103" s="152" t="n">
        <x:f>IF(OR($W103="",NOT(ISNUMBER($R103))),"",ROUND($R103-$W103,2))</x:f>
        <x:v>0</x:v>
      </x:c>
      <x:c r="AR103" s="152" t="n">
        <x:f>IF(OR($X103="",NOT(ISNUMBER($T103))),"",ROUND($T103-$X103,2))</x:f>
        <x:v>0</x:v>
      </x:c>
      <x:c r="AS103" s="14" t="str">
        <x:v>OK</x:v>
      </x:c>
    </x:row>
    <x:row r="104">
      <x:c r="A104" s="80" t="n">
        <x:v>104</x:v>
      </x:c>
      <x:c r="B104" s="80" t="str">
        <x:v>ORD-2025-10103</x:v>
      </x:c>
      <x:c r="C104" s="81" t="n">
        <x:v>45850</x:v>
      </x:c>
      <x:c r="D104" s="81" t="n">
        <x:v>45854</x:v>
      </x:c>
      <x:c r="E104" s="80" t="str">
        <x:v>CUST-9603</x:v>
      </x:c>
      <x:c r="F104" s="80" t="str">
        <x:v>Vikram Iyer</x:v>
      </x:c>
      <x:c r="G104" s="80" t="str">
        <x:v>Consumer</x:v>
      </x:c>
      <x:c r="H104" s="80" t="str">
        <x:v>South</x:v>
      </x:c>
      <x:c r="I104" s="80" t="str">
        <x:v>Karnataka</x:v>
      </x:c>
      <x:c r="J104" s="80" t="str">
        <x:v>Bengaluru</x:v>
      </x:c>
      <x:c r="K104" s="80" t="str">
        <x:v>Furniture</x:v>
      </x:c>
      <x:c r="L104" s="80" t="str">
        <x:v>Chairs</x:v>
      </x:c>
      <x:c r="M104" s="80" t="str">
        <x:v>Classic Chairs 604</x:v>
      </x:c>
      <x:c r="N104" s="80" t="str">
        <x:v>First Class</x:v>
      </x:c>
      <x:c r="O104" s="82" t="n">
        <x:v>4</x:v>
      </x:c>
      <x:c r="P104" s="83" t="n">
        <x:v>2865.71</x:v>
      </x:c>
      <x:c r="Q104" s="84" t="n">
        <x:v>0</x:v>
      </x:c>
      <x:c r="R104" s="83" t="n">
        <x:v>11462.84</x:v>
      </x:c>
      <x:c r="S104" s="83" t="n">
        <x:v>8979.78</x:v>
      </x:c>
      <x:c r="T104" s="83" t="n">
        <x:v>2483.06</x:v>
      </x:c>
      <x:c r="U104" s="83" t="str">
        <x:v>Refunded</x:v>
      </x:c>
      <x:c r="V104" s="83" t="str">
        <x:v>Cancelled</x:v>
      </x:c>
      <x:c r="W104" s="151" t="n">
        <x:f>IF(OR(NOT(ISNUMBER($AP104)),COUNT($O104,$P104)&lt;2,$O104&lt;=0,$P104&lt;0),"",ROUND($O104*$P104*(1-$AP104),2))</x:f>
        <x:v>11462.84</x:v>
      </x:c>
      <x:c r="X104" s="151" t="n">
        <x:f>IF(OR(NOT(ISNUMBER($W104)),NOT(ISNUMBER($S104))),"",ROUND($W104-$S104,2))</x:f>
        <x:v>2483.06</x:v>
      </x:c>
      <x:c r="Y104" s="85" t="n">
        <x:f>IF(OR(NOT(ISNUMBER($W104)),NOT(ISNUMBER($X104)),$W104=0),"",ROUND($X104/$W104,4))</x:f>
        <x:v>0.2166</x:v>
      </x:c>
      <x:c r="Z104" s="82" t="n">
        <x:f>IF(OR($AH104&lt;&gt;"Valid",$AI104&lt;&gt;"Valid"),"",INT($D104-$C104))</x:f>
        <x:v>4</x:v>
      </x:c>
      <x:c r="AA104" s="86" t="str">
        <x:f>IF($AH104&lt;&gt;"Valid","",TEXT($C104,"mmmm"))</x:f>
        <x:v>July</x:v>
      </x:c>
      <x:c r="AB104" s="82" t="n">
        <x:f>IF($AH104&lt;&gt;"Valid","",YEAR($C104))</x:f>
        <x:v>2025</x:v>
      </x:c>
      <x:c r="AC104" s="80" t="str">
        <x:v>Cancelled (excluded from completed-sales summary)</x:v>
      </x:c>
      <x:c r="AD104" s="80" t="str">
        <x:v>Excluded</x:v>
      </x:c>
      <x:c r="AE104" s="80" t="str">
        <x:f>IF(OR($AH104&lt;&gt;"Valid",$AI104&lt;&gt;"Valid",$AJ104&lt;&gt;"Valid",LEFT($AM104,7)="Invalid",IFERROR(ABS($AQ104)&gt;0.01,FALSE),IFERROR(ABS($AR104)&gt;0.01,FALSE),COUNTIF($AS104,"*Conflicting duplicate*")&gt;0,COUNTIF($AS104,"*Completed order not paid*")&gt;0),"Invalid",IF(OR($H104="Unknown",$N104="Unknown",$AM104="Missing discount imputed as 0"),"Warning","Clean"))</x:f>
        <x:v>Clean</x:v>
      </x:c>
      <x:c r="AF104" s="80" t="str">
        <x:v>Pass</x:v>
      </x:c>
      <x:c r="AG104" s="80" t="str">
        <x:v>No text cleanup required</x:v>
      </x:c>
      <x:c r="AH104" s="12" t="str">
        <x:f>IF(C104="","Missing date",IF(ISNUMBER(C104),"Valid","Unrecognized/invalid date"))</x:f>
        <x:v>Valid</x:v>
      </x:c>
      <x:c r="AI104" s="12" t="str">
        <x:f>IF(D104="","Missing date",IF(ISNUMBER(D104),"Valid","Unrecognized/invalid date"))</x:f>
        <x:v>Valid</x:v>
      </x:c>
      <x:c r="AJ104" s="12" t="str">
        <x:v>Valid</x:v>
      </x:c>
      <x:c r="AK104" s="12" t="str">
        <x:v>Pass</x:v>
      </x:c>
      <x:c r="AL104" s="12" t="str">
        <x:v>Cancelled order – excluded from completed sales; Refunded payment – separately summarized</x:v>
      </x:c>
      <x:c r="AM104" s="12" t="str">
        <x:v>Valid</x:v>
      </x:c>
      <x:c r="AN104" s="12" t="str">
        <x:v>Exclude from completed sales</x:v>
      </x:c>
      <x:c r="AO104" s="12" t="str">
        <x:v>Include in refunded summary</x:v>
      </x:c>
      <x:c r="AP104" s="37" t="n">
        <x:f>IF(LEFT($AM104,7)="Invalid","",IF($AM104="Missing discount imputed as 0",IF(AND(COUNT($O104,$P104,$R104,$S104)=4,$O104&gt;0,$P104&gt;=0,$R104&gt;=0,$S104&gt;=0),0,""),IF(AND(ISNUMBER($Q104),$Q104&gt;=0,$Q104&lt;=0.5),$Q104,"")))</x:f>
        <x:v>0</x:v>
      </x:c>
      <x:c r="AQ104" s="152" t="n">
        <x:f>IF(OR($W104="",NOT(ISNUMBER($R104))),"",ROUND($R104-$W104,2))</x:f>
        <x:v>0</x:v>
      </x:c>
      <x:c r="AR104" s="152" t="n">
        <x:f>IF(OR($X104="",NOT(ISNUMBER($T104))),"",ROUND($T104-$X104,2))</x:f>
        <x:v>0</x:v>
      </x:c>
      <x:c r="AS104" s="14" t="str">
        <x:v>OK</x:v>
      </x:c>
    </x:row>
    <x:row r="105">
      <x:c r="A105" s="80" t="n">
        <x:v>105</x:v>
      </x:c>
      <x:c r="B105" s="80" t="str">
        <x:v>ORD-2025-10104</x:v>
      </x:c>
      <x:c r="C105" s="81" t="n">
        <x:v>45779</x:v>
      </x:c>
      <x:c r="D105" s="81" t="n">
        <x:v>45787</x:v>
      </x:c>
      <x:c r="E105" s="80" t="str">
        <x:v>CUST-6263</x:v>
      </x:c>
      <x:c r="F105" s="80" t="str">
        <x:v>Kabir Singh</x:v>
      </x:c>
      <x:c r="G105" s="80" t="str">
        <x:v>Corporate</x:v>
      </x:c>
      <x:c r="H105" s="80" t="str">
        <x:v>West</x:v>
      </x:c>
      <x:c r="I105" s="80" t="str">
        <x:v>Maharashtra</x:v>
      </x:c>
      <x:c r="J105" s="80" t="str">
        <x:v>Mumbai</x:v>
      </x:c>
      <x:c r="K105" s="80" t="str">
        <x:v>Furniture</x:v>
      </x:c>
      <x:c r="L105" s="80" t="str">
        <x:v>Tables</x:v>
      </x:c>
      <x:c r="M105" s="80" t="str">
        <x:v>Prime Tables 377</x:v>
      </x:c>
      <x:c r="N105" s="80" t="str">
        <x:v>First Class</x:v>
      </x:c>
      <x:c r="O105" s="82" t="n">
        <x:v>4</x:v>
      </x:c>
      <x:c r="P105" s="83" t="n">
        <x:v>2440.34</x:v>
      </x:c>
      <x:c r="Q105" s="84" t="n">
        <x:v>0.2</x:v>
      </x:c>
      <x:c r="R105" s="83" t="n">
        <x:v>7809.09</x:v>
      </x:c>
      <x:c r="S105" s="83" t="n">
        <x:v>6657.75</x:v>
      </x:c>
      <x:c r="T105" s="83" t="n">
        <x:v>1151.34</x:v>
      </x:c>
      <x:c r="U105" s="83" t="str">
        <x:v>Paid</x:v>
      </x:c>
      <x:c r="V105" s="83" t="str">
        <x:v>Completed</x:v>
      </x:c>
      <x:c r="W105" s="151" t="n">
        <x:f>IF(OR(NOT(ISNUMBER($AP105)),COUNT($O105,$P105)&lt;2,$O105&lt;=0,$P105&lt;0),"",ROUND($O105*$P105*(1-$AP105),2))</x:f>
        <x:v>7809.09</x:v>
      </x:c>
      <x:c r="X105" s="151" t="n">
        <x:f>IF(OR(NOT(ISNUMBER($W105)),NOT(ISNUMBER($S105))),"",ROUND($W105-$S105,2))</x:f>
        <x:v>1151.34</x:v>
      </x:c>
      <x:c r="Y105" s="85" t="n">
        <x:f>IF(OR(NOT(ISNUMBER($W105)),NOT(ISNUMBER($X105)),$W105=0),"",ROUND($X105/$W105,4))</x:f>
        <x:v>0.1474</x:v>
      </x:c>
      <x:c r="Z105" s="82" t="n">
        <x:f>IF(OR($AH105&lt;&gt;"Valid",$AI105&lt;&gt;"Valid"),"",INT($D105-$C105))</x:f>
        <x:v>8</x:v>
      </x:c>
      <x:c r="AA105" s="86" t="str">
        <x:f>IF($AH105&lt;&gt;"Valid","",TEXT($C105,"mmmm"))</x:f>
        <x:v>May</x:v>
      </x:c>
      <x:c r="AB105" s="82" t="n">
        <x:f>IF($AH105&lt;&gt;"Valid","",YEAR($C105))</x:f>
        <x:v>2025</x:v>
      </x:c>
      <x:c r="AC105" s="80" t="str">
        <x:v>Consistent</x:v>
      </x:c>
      <x:c r="AD105" s="80" t="str">
        <x:v>Eligible</x:v>
      </x:c>
      <x:c r="AE105" s="80" t="str">
        <x:f>IF(OR($AH105&lt;&gt;"Valid",$AI105&lt;&gt;"Valid",$AJ105&lt;&gt;"Valid",LEFT($AM105,7)="Invalid",IFERROR(ABS($AQ105)&gt;0.01,FALSE),IFERROR(ABS($AR105)&gt;0.01,FALSE),COUNTIF($AS105,"*Conflicting duplicate*")&gt;0,COUNTIF($AS105,"*Completed order not paid*")&gt;0),"Invalid",IF(OR($H105="Unknown",$N105="Unknown",$AM105="Missing discount imputed as 0"),"Warning","Clean"))</x:f>
        <x:v>Clean</x:v>
      </x:c>
      <x:c r="AF105" s="80" t="str">
        <x:v>Pass</x:v>
      </x:c>
      <x:c r="AG105" s="80" t="str">
        <x:v>No text cleanup required</x:v>
      </x:c>
      <x:c r="AH105" s="12" t="str">
        <x:f>IF(C105="","Missing date",IF(ISNUMBER(C105),"Valid","Unrecognized/invalid date"))</x:f>
        <x:v>Valid</x:v>
      </x:c>
      <x:c r="AI105" s="12" t="str">
        <x:f>IF(D105="","Missing date",IF(ISNUMBER(D105),"Valid","Unrecognized/invalid date"))</x:f>
        <x:v>Valid</x:v>
      </x:c>
      <x:c r="AJ105" s="12" t="str">
        <x:v>Valid</x:v>
      </x:c>
      <x:c r="AK105" s="12" t="str">
        <x:v>Pass</x:v>
      </x:c>
      <x:c r="AL105" s="12" t="str">
        <x:v>None</x:v>
      </x:c>
      <x:c r="AM105" s="12" t="str">
        <x:v>Valid</x:v>
      </x:c>
      <x:c r="AN105" s="12" t="str">
        <x:v>Include in completed sales</x:v>
      </x:c>
      <x:c r="AO105" s="12" t="str">
        <x:v>Not a refunded record</x:v>
      </x:c>
      <x:c r="AP105" s="37" t="n">
        <x:f>IF(LEFT($AM105,7)="Invalid","",IF($AM105="Missing discount imputed as 0",IF(AND(COUNT($O105,$P105,$R105,$S105)=4,$O105&gt;0,$P105&gt;=0,$R105&gt;=0,$S105&gt;=0),0,""),IF(AND(ISNUMBER($Q105),$Q105&gt;=0,$Q105&lt;=0.5),$Q105,"")))</x:f>
        <x:v>0.2</x:v>
      </x:c>
      <x:c r="AQ105" s="152" t="n">
        <x:f>IF(OR($W105="",NOT(ISNUMBER($R105))),"",ROUND($R105-$W105,2))</x:f>
        <x:v>0</x:v>
      </x:c>
      <x:c r="AR105" s="152" t="n">
        <x:f>IF(OR($X105="",NOT(ISNUMBER($T105))),"",ROUND($T105-$X105,2))</x:f>
        <x:v>0</x:v>
      </x:c>
      <x:c r="AS105" s="14" t="str">
        <x:v>OK</x:v>
      </x:c>
    </x:row>
    <x:row r="106">
      <x:c r="A106" s="80" t="n">
        <x:v>106</x:v>
      </x:c>
      <x:c r="B106" s="80" t="str">
        <x:v>ORD-2025-10105</x:v>
      </x:c>
      <x:c r="C106" s="81" t="n">
        <x:v>45689</x:v>
      </x:c>
      <x:c r="D106" s="81" t="n">
        <x:v>45696</x:v>
      </x:c>
      <x:c r="E106" s="80" t="str">
        <x:v>CUST-1576</x:v>
      </x:c>
      <x:c r="F106" s="80" t="str">
        <x:v>Ananya Rao</x:v>
      </x:c>
      <x:c r="G106" s="80" t="str">
        <x:v>Consumer</x:v>
      </x:c>
      <x:c r="H106" s="80" t="str">
        <x:v>South</x:v>
      </x:c>
      <x:c r="I106" s="80" t="str">
        <x:v>Karnataka</x:v>
      </x:c>
      <x:c r="J106" s="80" t="str">
        <x:v>Bengaluru</x:v>
      </x:c>
      <x:c r="K106" s="80" t="str">
        <x:v>Office Supplies</x:v>
      </x:c>
      <x:c r="L106" s="80" t="str">
        <x:v>Labels</x:v>
      </x:c>
      <x:c r="M106" s="80" t="str">
        <x:v>Prime Labels 807</x:v>
      </x:c>
      <x:c r="N106" s="80" t="str">
        <x:v>Same Day</x:v>
      </x:c>
      <x:c r="O106" s="82" t="n">
        <x:v>5</x:v>
      </x:c>
      <x:c r="P106" s="83" t="n">
        <x:v>2112.54</x:v>
      </x:c>
      <x:c r="Q106" s="84" t="n">
        <x:v>0.25</x:v>
      </x:c>
      <x:c r="R106" s="83" t="n">
        <x:v>8260.46</x:v>
      </x:c>
      <x:c r="S106" s="83" t="n">
        <x:v>5619.95</x:v>
      </x:c>
      <x:c r="T106" s="83" t="n">
        <x:v>2302.08</x:v>
      </x:c>
      <x:c r="U106" s="83" t="str">
        <x:v>Paid</x:v>
      </x:c>
      <x:c r="V106" s="83" t="str">
        <x:v>Cancelled</x:v>
      </x:c>
      <x:c r="W106" s="151" t="n">
        <x:f>IF(OR(NOT(ISNUMBER($AP106)),COUNT($O106,$P106)&lt;2,$O106&lt;=0,$P106&lt;0),"",ROUND($O106*$P106*(1-$AP106),2))</x:f>
        <x:v>7922.03</x:v>
      </x:c>
      <x:c r="X106" s="151" t="n">
        <x:f>IF(OR(NOT(ISNUMBER($W106)),NOT(ISNUMBER($S106))),"",ROUND($W106-$S106,2))</x:f>
        <x:v>2302.08</x:v>
      </x:c>
      <x:c r="Y106" s="85" t="n">
        <x:f>IF(OR(NOT(ISNUMBER($W106)),NOT(ISNUMBER($X106)),$W106=0),"",ROUND($X106/$W106,4))</x:f>
        <x:v>0.2906</x:v>
      </x:c>
      <x:c r="Z106" s="82" t="n">
        <x:f>IF(OR($AH106&lt;&gt;"Valid",$AI106&lt;&gt;"Valid"),"",INT($D106-$C106))</x:f>
        <x:v>7</x:v>
      </x:c>
      <x:c r="AA106" s="86" t="str">
        <x:f>IF($AH106&lt;&gt;"Valid","",TEXT($C106,"mmmm"))</x:f>
        <x:v>February</x:v>
      </x:c>
      <x:c r="AB106" s="82" t="n">
        <x:f>IF($AH106&lt;&gt;"Valid","",YEAR($C106))</x:f>
        <x:v>2025</x:v>
      </x:c>
      <x:c r="AC106" s="80" t="str">
        <x:v>Cancelled (excluded from completed-sales summary)</x:v>
      </x:c>
      <x:c r="AD106" s="80" t="str">
        <x:v>Excluded</x:v>
      </x:c>
      <x:c r="AE106" s="80" t="str">
        <x:f>IF(OR($AH106&lt;&gt;"Valid",$AI106&lt;&gt;"Valid",$AJ106&lt;&gt;"Valid",LEFT($AM106,7)="Invalid",IFERROR(ABS($AQ106)&gt;0.01,FALSE),IFERROR(ABS($AR106)&gt;0.01,FALSE),COUNTIF($AS106,"*Conflicting duplicate*")&gt;0,COUNTIF($AS106,"*Completed order not paid*")&gt;0),"Invalid",IF(OR($H106="Unknown",$N106="Unknown",$AM106="Missing discount imputed as 0"),"Warning","Clean"))</x:f>
        <x:v>Invalid</x:v>
      </x:c>
      <x:c r="AF106" s="80" t="str">
        <x:v>Review</x:v>
      </x:c>
      <x:c r="AG106" s="80" t="str">
        <x:v>No text cleanup required</x:v>
      </x:c>
      <x:c r="AH106" s="12" t="str">
        <x:f>IF(C106="","Missing date",IF(ISNUMBER(C106),"Valid","Unrecognized/invalid date"))</x:f>
        <x:v>Valid</x:v>
      </x:c>
      <x:c r="AI106" s="12" t="str">
        <x:f>IF(D106="","Missing date",IF(ISNUMBER(D106),"Valid","Unrecognized/invalid date"))</x:f>
        <x:v>Valid</x:v>
      </x:c>
      <x:c r="AJ106" s="12" t="str">
        <x:v>Valid</x:v>
      </x:c>
      <x:c r="AK106" s="12" t="str">
        <x:v>Pass</x:v>
      </x:c>
      <x:c r="AL106" s="12" t="str">
        <x:v>Cancelled order – excluded from completed sales</x:v>
      </x:c>
      <x:c r="AM106" s="12" t="str">
        <x:v>Valid</x:v>
      </x:c>
      <x:c r="AN106" s="12" t="str">
        <x:v>Exclude from completed sales</x:v>
      </x:c>
      <x:c r="AO106" s="12" t="str">
        <x:v>Not a refunded record</x:v>
      </x:c>
      <x:c r="AP106" s="37" t="n">
        <x:f>IF(LEFT($AM106,7)="Invalid","",IF($AM106="Missing discount imputed as 0",IF(AND(COUNT($O106,$P106,$R106,$S106)=4,$O106&gt;0,$P106&gt;=0,$R106&gt;=0,$S106&gt;=0),0,""),IF(AND(ISNUMBER($Q106),$Q106&gt;=0,$Q106&lt;=0.5),$Q106,"")))</x:f>
        <x:v>0.25</x:v>
      </x:c>
      <x:c r="AQ106" s="152" t="n">
        <x:f>IF(OR($W106="",NOT(ISNUMBER($R106))),"",ROUND($R106-$W106,2))</x:f>
        <x:v>338.43</x:v>
      </x:c>
      <x:c r="AR106" s="152" t="n">
        <x:f>IF(OR($X106="",NOT(ISNUMBER($T106))),"",ROUND($T106-$X106,2))</x:f>
        <x:v>0</x:v>
      </x:c>
      <x:c r="AS106" s="14" t="str">
        <x:v>Sales calculation mismatch; Profit calculation mismatch</x:v>
      </x:c>
    </x:row>
    <x:row r="107">
      <x:c r="A107" s="80" t="n">
        <x:v>107</x:v>
      </x:c>
      <x:c r="B107" s="80" t="str">
        <x:v>ORD-2024-10106</x:v>
      </x:c>
      <x:c r="C107" s="81" t="n">
        <x:v>45467</x:v>
      </x:c>
      <x:c r="D107" s="81" t="n">
        <x:v>45472</x:v>
      </x:c>
      <x:c r="E107" s="80" t="str">
        <x:v>CUST-6540</x:v>
      </x:c>
      <x:c r="F107" s="80" t="str">
        <x:v>Mira Das</x:v>
      </x:c>
      <x:c r="G107" s="80" t="str">
        <x:v>Home Office</x:v>
      </x:c>
      <x:c r="H107" s="80" t="str">
        <x:v>East</x:v>
      </x:c>
      <x:c r="I107" s="80" t="str">
        <x:v>West Bengal</x:v>
      </x:c>
      <x:c r="J107" s="80" t="str">
        <x:v>Kolkata</x:v>
      </x:c>
      <x:c r="K107" s="80" t="str">
        <x:v>Furniture</x:v>
      </x:c>
      <x:c r="L107" s="80" t="str">
        <x:v>Tables</x:v>
      </x:c>
      <x:c r="M107" s="80" t="str">
        <x:v>Eco Tables 575</x:v>
      </x:c>
      <x:c r="N107" s="80" t="str">
        <x:v>Second Class</x:v>
      </x:c>
      <x:c r="O107" s="82" t="n">
        <x:v>2</x:v>
      </x:c>
      <x:c r="P107" s="83" t="n">
        <x:v>685</x:v>
      </x:c>
      <x:c r="Q107" s="84" t="n">
        <x:v>0.1</x:v>
      </x:c>
      <x:c r="R107" s="83" t="n">
        <x:v>1233</x:v>
      </x:c>
      <x:c r="S107" s="83" t="n">
        <x:v>1006.9</x:v>
      </x:c>
      <x:c r="T107" s="83" t="n">
        <x:v>226.1</x:v>
      </x:c>
      <x:c r="U107" s="83" t="str">
        <x:v>Paid</x:v>
      </x:c>
      <x:c r="V107" s="83" t="str">
        <x:v>Completed</x:v>
      </x:c>
      <x:c r="W107" s="151" t="n">
        <x:f>IF(OR(NOT(ISNUMBER($AP107)),COUNT($O107,$P107)&lt;2,$O107&lt;=0,$P107&lt;0),"",ROUND($O107*$P107*(1-$AP107),2))</x:f>
        <x:v>1233</x:v>
      </x:c>
      <x:c r="X107" s="151" t="n">
        <x:f>IF(OR(NOT(ISNUMBER($W107)),NOT(ISNUMBER($S107))),"",ROUND($W107-$S107,2))</x:f>
        <x:v>226.1</x:v>
      </x:c>
      <x:c r="Y107" s="85" t="n">
        <x:f>IF(OR(NOT(ISNUMBER($W107)),NOT(ISNUMBER($X107)),$W107=0),"",ROUND($X107/$W107,4))</x:f>
        <x:v>0.1834</x:v>
      </x:c>
      <x:c r="Z107" s="82" t="n">
        <x:f>IF(OR($AH107&lt;&gt;"Valid",$AI107&lt;&gt;"Valid"),"",INT($D107-$C107))</x:f>
        <x:v>5</x:v>
      </x:c>
      <x:c r="AA107" s="86" t="str">
        <x:f>IF($AH107&lt;&gt;"Valid","",TEXT($C107,"mmmm"))</x:f>
        <x:v>June</x:v>
      </x:c>
      <x:c r="AB107" s="82" t="n">
        <x:f>IF($AH107&lt;&gt;"Valid","",YEAR($C107))</x:f>
        <x:v>2024</x:v>
      </x:c>
      <x:c r="AC107" s="80" t="str">
        <x:v>Consistent</x:v>
      </x:c>
      <x:c r="AD107" s="80" t="str">
        <x:v>Eligible</x:v>
      </x:c>
      <x:c r="AE107" s="80" t="str">
        <x:f>IF(OR($AH107&lt;&gt;"Valid",$AI107&lt;&gt;"Valid",$AJ107&lt;&gt;"Valid",LEFT($AM107,7)="Invalid",IFERROR(ABS($AQ107)&gt;0.01,FALSE),IFERROR(ABS($AR107)&gt;0.01,FALSE),COUNTIF($AS107,"*Conflicting duplicate*")&gt;0,COUNTIF($AS107,"*Completed order not paid*")&gt;0),"Invalid",IF(OR($H107="Unknown",$N107="Unknown",$AM107="Missing discount imputed as 0"),"Warning","Clean"))</x:f>
        <x:v>Clean</x:v>
      </x:c>
      <x:c r="AF107" s="80" t="str">
        <x:v>Pass</x:v>
      </x:c>
      <x:c r="AG107" s="80" t="str">
        <x:v>No text cleanup required</x:v>
      </x:c>
      <x:c r="AH107" s="12" t="str">
        <x:f>IF(C107="","Missing date",IF(ISNUMBER(C107),"Valid","Unrecognized/invalid date"))</x:f>
        <x:v>Valid</x:v>
      </x:c>
      <x:c r="AI107" s="12" t="str">
        <x:f>IF(D107="","Missing date",IF(ISNUMBER(D107),"Valid","Unrecognized/invalid date"))</x:f>
        <x:v>Valid</x:v>
      </x:c>
      <x:c r="AJ107" s="12" t="str">
        <x:v>Valid</x:v>
      </x:c>
      <x:c r="AK107" s="12" t="str">
        <x:v>Pass</x:v>
      </x:c>
      <x:c r="AL107" s="12" t="str">
        <x:v>None</x:v>
      </x:c>
      <x:c r="AM107" s="12" t="str">
        <x:v>Valid</x:v>
      </x:c>
      <x:c r="AN107" s="12" t="str">
        <x:v>Include in completed sales</x:v>
      </x:c>
      <x:c r="AO107" s="12" t="str">
        <x:v>Not a refunded record</x:v>
      </x:c>
      <x:c r="AP107" s="37" t="n">
        <x:f>IF(LEFT($AM107,7)="Invalid","",IF($AM107="Missing discount imputed as 0",IF(AND(COUNT($O107,$P107,$R107,$S107)=4,$O107&gt;0,$P107&gt;=0,$R107&gt;=0,$S107&gt;=0),0,""),IF(AND(ISNUMBER($Q107),$Q107&gt;=0,$Q107&lt;=0.5),$Q107,"")))</x:f>
        <x:v>0.1</x:v>
      </x:c>
      <x:c r="AQ107" s="152" t="n">
        <x:f>IF(OR($W107="",NOT(ISNUMBER($R107))),"",ROUND($R107-$W107,2))</x:f>
        <x:v>0</x:v>
      </x:c>
      <x:c r="AR107" s="152" t="n">
        <x:f>IF(OR($X107="",NOT(ISNUMBER($T107))),"",ROUND($T107-$X107,2))</x:f>
        <x:v>0</x:v>
      </x:c>
      <x:c r="AS107" s="14" t="str">
        <x:v>OK</x:v>
      </x:c>
    </x:row>
    <x:row r="108">
      <x:c r="A108" s="80" t="n">
        <x:v>108</x:v>
      </x:c>
      <x:c r="B108" s="80" t="str">
        <x:v>ORD-2024-10107</x:v>
      </x:c>
      <x:c r="C108" s="81" t="n">
        <x:v>45342</x:v>
      </x:c>
      <x:c r="D108" s="81" t="n">
        <x:v>45350</x:v>
      </x:c>
      <x:c r="E108" s="80" t="str">
        <x:v>CUST-4008</x:v>
      </x:c>
      <x:c r="F108" s="80" t="str">
        <x:v>Arjun Bose</x:v>
      </x:c>
      <x:c r="G108" s="80" t="str">
        <x:v>Home Office</x:v>
      </x:c>
      <x:c r="H108" s="80" t="str">
        <x:v>East</x:v>
      </x:c>
      <x:c r="I108" s="80" t="str">
        <x:v>West Bengal</x:v>
      </x:c>
      <x:c r="J108" s="80" t="str">
        <x:v>Kolkata</x:v>
      </x:c>
      <x:c r="K108" s="80" t="str">
        <x:v>Office Supplies</x:v>
      </x:c>
      <x:c r="L108" s="80" t="str">
        <x:v>Paper</x:v>
      </x:c>
      <x:c r="M108" s="80" t="str">
        <x:v>Eco Paper 918</x:v>
      </x:c>
      <x:c r="N108" s="80" t="str">
        <x:v>Standard Class</x:v>
      </x:c>
      <x:c r="O108" s="82" t="n">
        <x:v>2</x:v>
      </x:c>
      <x:c r="P108" s="83" t="n">
        <x:v>4004.04</x:v>
      </x:c>
      <x:c r="Q108" s="84" t="n">
        <x:v>0</x:v>
      </x:c>
      <x:c r="R108" s="83" t="n">
        <x:v>7207.27</x:v>
      </x:c>
      <x:c r="S108" s="83" t="n">
        <x:v>5709.39</x:v>
      </x:c>
      <x:c r="T108" s="83" t="n">
        <x:v>1497.88</x:v>
      </x:c>
      <x:c r="U108" s="83" t="str">
        <x:v>Paid</x:v>
      </x:c>
      <x:c r="V108" s="83" t="str">
        <x:v>Cancelled</x:v>
      </x:c>
      <x:c r="W108" s="151" t="n">
        <x:f>IF(OR(NOT(ISNUMBER($AP108)),COUNT($O108,$P108)&lt;2,$O108&lt;=0,$P108&lt;0),"",ROUND($O108*$P108*(1-$AP108),2))</x:f>
        <x:v>8008.08</x:v>
      </x:c>
      <x:c r="X108" s="151" t="n">
        <x:f>IF(OR(NOT(ISNUMBER($W108)),NOT(ISNUMBER($S108))),"",ROUND($W108-$S108,2))</x:f>
        <x:v>2298.69</x:v>
      </x:c>
      <x:c r="Y108" s="85" t="n">
        <x:f>IF(OR(NOT(ISNUMBER($W108)),NOT(ISNUMBER($X108)),$W108=0),"",ROUND($X108/$W108,4))</x:f>
        <x:v>0.287</x:v>
      </x:c>
      <x:c r="Z108" s="82" t="n">
        <x:f>IF(OR($AH108&lt;&gt;"Valid",$AI108&lt;&gt;"Valid"),"",INT($D108-$C108))</x:f>
        <x:v>8</x:v>
      </x:c>
      <x:c r="AA108" s="86" t="str">
        <x:f>IF($AH108&lt;&gt;"Valid","",TEXT($C108,"mmmm"))</x:f>
        <x:v>February</x:v>
      </x:c>
      <x:c r="AB108" s="82" t="n">
        <x:f>IF($AH108&lt;&gt;"Valid","",YEAR($C108))</x:f>
        <x:v>2024</x:v>
      </x:c>
      <x:c r="AC108" s="80" t="str">
        <x:v>Cancelled (excluded from completed-sales summary)</x:v>
      </x:c>
      <x:c r="AD108" s="80" t="str">
        <x:v>Excluded</x:v>
      </x:c>
      <x:c r="AE108" s="80" t="str">
        <x:f>IF(OR($AH108&lt;&gt;"Valid",$AI108&lt;&gt;"Valid",$AJ108&lt;&gt;"Valid",LEFT($AM108,7)="Invalid",IFERROR(ABS($AQ108)&gt;0.01,FALSE),IFERROR(ABS($AR108)&gt;0.01,FALSE),COUNTIF($AS108,"*Conflicting duplicate*")&gt;0,COUNTIF($AS108,"*Completed order not paid*")&gt;0),"Invalid",IF(OR($H108="Unknown",$N108="Unknown",$AM108="Missing discount imputed as 0"),"Warning","Clean"))</x:f>
        <x:v>Invalid</x:v>
      </x:c>
      <x:c r="AF108" s="80" t="str">
        <x:v>Review</x:v>
      </x:c>
      <x:c r="AG108" s="80" t="str">
        <x:v>discount: Imputed 0; discount: Missing value set to 0 after sales-field validation</x:v>
      </x:c>
      <x:c r="AH108" s="12" t="str">
        <x:f>IF(C108="","Missing date",IF(ISNUMBER(C108),"Valid","Unrecognized/invalid date"))</x:f>
        <x:v>Valid</x:v>
      </x:c>
      <x:c r="AI108" s="12" t="str">
        <x:f>IF(D108="","Missing date",IF(ISNUMBER(D108),"Valid","Unrecognized/invalid date"))</x:f>
        <x:v>Valid</x:v>
      </x:c>
      <x:c r="AJ108" s="12" t="str">
        <x:v>Valid</x:v>
      </x:c>
      <x:c r="AK108" s="12" t="str">
        <x:v>Pass</x:v>
      </x:c>
      <x:c r="AL108" s="12" t="str">
        <x:v>Missing discount imputed as 0; Cancelled order – excluded from completed sales</x:v>
      </x:c>
      <x:c r="AM108" s="12" t="str">
        <x:v>Missing discount imputed as 0</x:v>
      </x:c>
      <x:c r="AN108" s="12" t="str">
        <x:v>Exclude from completed sales</x:v>
      </x:c>
      <x:c r="AO108" s="12" t="str">
        <x:v>Not a refunded record</x:v>
      </x:c>
      <x:c r="AP108" s="37" t="n">
        <x:f>IF(LEFT($AM108,7)="Invalid","",IF($AM108="Missing discount imputed as 0",IF(AND(COUNT($O108,$P108,$R108,$S108)=4,$O108&gt;0,$P108&gt;=0,$R108&gt;=0,$S108&gt;=0),0,""),IF(AND(ISNUMBER($Q108),$Q108&gt;=0,$Q108&lt;=0.5),$Q108,"")))</x:f>
        <x:v>0</x:v>
      </x:c>
      <x:c r="AQ108" s="152" t="n">
        <x:f>IF(OR($W108="",NOT(ISNUMBER($R108))),"",ROUND($R108-$W108,2))</x:f>
        <x:v>-800.81</x:v>
      </x:c>
      <x:c r="AR108" s="152" t="n">
        <x:f>IF(OR($X108="",NOT(ISNUMBER($T108))),"",ROUND($T108-$X108,2))</x:f>
        <x:v>-800.81</x:v>
      </x:c>
      <x:c r="AS108" s="14" t="str">
        <x:v>Sales calculation mismatch</x:v>
      </x:c>
    </x:row>
    <x:row r="109">
      <x:c r="A109" s="80" t="n">
        <x:v>109</x:v>
      </x:c>
      <x:c r="B109" s="80" t="str">
        <x:v>ORD-2024-10108</x:v>
      </x:c>
      <x:c r="C109" s="81" t="n">
        <x:v>45594</x:v>
      </x:c>
      <x:c r="D109" s="81" t="n">
        <x:v>45600</x:v>
      </x:c>
      <x:c r="E109" s="80" t="str">
        <x:v>CUST-6604</x:v>
      </x:c>
      <x:c r="F109" s="80" t="str">
        <x:v>Rohan Mehta</x:v>
      </x:c>
      <x:c r="G109" s="80" t="str">
        <x:v>Home Office</x:v>
      </x:c>
      <x:c r="H109" s="80" t="str">
        <x:v>East</x:v>
      </x:c>
      <x:c r="I109" s="80" t="str">
        <x:v>West Bengal</x:v>
      </x:c>
      <x:c r="J109" s="80" t="str">
        <x:v>Kolkata</x:v>
      </x:c>
      <x:c r="K109" s="80" t="str">
        <x:v>Furniture</x:v>
      </x:c>
      <x:c r="L109" s="80" t="str">
        <x:v>Furnishings</x:v>
      </x:c>
      <x:c r="M109" s="80" t="str">
        <x:v>Prime Furnishings 952</x:v>
      </x:c>
      <x:c r="N109" s="80" t="str">
        <x:v>First Class</x:v>
      </x:c>
      <x:c r="O109" s="82" t="n">
        <x:v>3</x:v>
      </x:c>
      <x:c r="P109" s="83" t="n">
        <x:v>4302.89</x:v>
      </x:c>
      <x:c r="Q109" s="84" t="n">
        <x:v>0.05</x:v>
      </x:c>
      <x:c r="R109" s="83" t="n">
        <x:v>12263.24</x:v>
      </x:c>
      <x:c r="S109" s="83" t="n">
        <x:v>8925.57</x:v>
      </x:c>
      <x:c r="T109" s="83" t="n">
        <x:v>3337.67</x:v>
      </x:c>
      <x:c r="U109" s="83" t="str">
        <x:v>Paid</x:v>
      </x:c>
      <x:c r="V109" s="83" t="str">
        <x:v>Completed</x:v>
      </x:c>
      <x:c r="W109" s="151" t="n">
        <x:f>IF(OR(NOT(ISNUMBER($AP109)),COUNT($O109,$P109)&lt;2,$O109&lt;=0,$P109&lt;0),"",ROUND($O109*$P109*(1-$AP109),2))</x:f>
        <x:v>12263.24</x:v>
      </x:c>
      <x:c r="X109" s="151" t="n">
        <x:f>IF(OR(NOT(ISNUMBER($W109)),NOT(ISNUMBER($S109))),"",ROUND($W109-$S109,2))</x:f>
        <x:v>3337.67</x:v>
      </x:c>
      <x:c r="Y109" s="85" t="n">
        <x:f>IF(OR(NOT(ISNUMBER($W109)),NOT(ISNUMBER($X109)),$W109=0),"",ROUND($X109/$W109,4))</x:f>
        <x:v>0.2722</x:v>
      </x:c>
      <x:c r="Z109" s="82" t="n">
        <x:f>IF(OR($AH109&lt;&gt;"Valid",$AI109&lt;&gt;"Valid"),"",INT($D109-$C109))</x:f>
        <x:v>6</x:v>
      </x:c>
      <x:c r="AA109" s="86" t="str">
        <x:f>IF($AH109&lt;&gt;"Valid","",TEXT($C109,"mmmm"))</x:f>
        <x:v>October</x:v>
      </x:c>
      <x:c r="AB109" s="82" t="n">
        <x:f>IF($AH109&lt;&gt;"Valid","",YEAR($C109))</x:f>
        <x:v>2024</x:v>
      </x:c>
      <x:c r="AC109" s="80" t="str">
        <x:v>Consistent</x:v>
      </x:c>
      <x:c r="AD109" s="80" t="str">
        <x:v>Eligible</x:v>
      </x:c>
      <x:c r="AE109" s="80" t="str">
        <x:f>IF(OR($AH109&lt;&gt;"Valid",$AI109&lt;&gt;"Valid",$AJ109&lt;&gt;"Valid",LEFT($AM109,7)="Invalid",IFERROR(ABS($AQ109)&gt;0.01,FALSE),IFERROR(ABS($AR109)&gt;0.01,FALSE),COUNTIF($AS109,"*Conflicting duplicate*")&gt;0,COUNTIF($AS109,"*Completed order not paid*")&gt;0),"Invalid",IF(OR($H109="Unknown",$N109="Unknown",$AM109="Missing discount imputed as 0"),"Warning","Clean"))</x:f>
        <x:v>Clean</x:v>
      </x:c>
      <x:c r="AF109" s="80" t="str">
        <x:v>Pass</x:v>
      </x:c>
      <x:c r="AG109" s="80" t="str">
        <x:v>No text cleanup required</x:v>
      </x:c>
      <x:c r="AH109" s="12" t="str">
        <x:f>IF(C109="","Missing date",IF(ISNUMBER(C109),"Valid","Unrecognized/invalid date"))</x:f>
        <x:v>Valid</x:v>
      </x:c>
      <x:c r="AI109" s="12" t="str">
        <x:f>IF(D109="","Missing date",IF(ISNUMBER(D109),"Valid","Unrecognized/invalid date"))</x:f>
        <x:v>Valid</x:v>
      </x:c>
      <x:c r="AJ109" s="12" t="str">
        <x:v>Valid</x:v>
      </x:c>
      <x:c r="AK109" s="12" t="str">
        <x:v>Pass</x:v>
      </x:c>
      <x:c r="AL109" s="12" t="str">
        <x:v>None</x:v>
      </x:c>
      <x:c r="AM109" s="12" t="str">
        <x:v>Valid</x:v>
      </x:c>
      <x:c r="AN109" s="12" t="str">
        <x:v>Include in completed sales</x:v>
      </x:c>
      <x:c r="AO109" s="12" t="str">
        <x:v>Not a refunded record</x:v>
      </x:c>
      <x:c r="AP109" s="37" t="n">
        <x:f>IF(LEFT($AM109,7)="Invalid","",IF($AM109="Missing discount imputed as 0",IF(AND(COUNT($O109,$P109,$R109,$S109)=4,$O109&gt;0,$P109&gt;=0,$R109&gt;=0,$S109&gt;=0),0,""),IF(AND(ISNUMBER($Q109),$Q109&gt;=0,$Q109&lt;=0.5),$Q109,"")))</x:f>
        <x:v>0.05</x:v>
      </x:c>
      <x:c r="AQ109" s="152" t="n">
        <x:f>IF(OR($W109="",NOT(ISNUMBER($R109))),"",ROUND($R109-$W109,2))</x:f>
        <x:v>0</x:v>
      </x:c>
      <x:c r="AR109" s="152" t="n">
        <x:f>IF(OR($X109="",NOT(ISNUMBER($T109))),"",ROUND($T109-$X109,2))</x:f>
        <x:v>0</x:v>
      </x:c>
      <x:c r="AS109" s="14" t="str">
        <x:v>OK</x:v>
      </x:c>
    </x:row>
    <x:row r="110">
      <x:c r="A110" s="80" t="n">
        <x:v>110</x:v>
      </x:c>
      <x:c r="B110" s="80" t="str">
        <x:v>ORD-2024-10109</x:v>
      </x:c>
      <x:c r="C110" s="81" t="n">
        <x:v>45519</x:v>
      </x:c>
      <x:c r="D110" s="81" t="n">
        <x:v>45527</x:v>
      </x:c>
      <x:c r="E110" s="80" t="str">
        <x:v>CUST-4337</x:v>
      </x:c>
      <x:c r="F110" s="80" t="str">
        <x:v>Aditi Sen</x:v>
      </x:c>
      <x:c r="G110" s="80" t="str">
        <x:v>Small Business</x:v>
      </x:c>
      <x:c r="H110" s="80" t="str">
        <x:v>East</x:v>
      </x:c>
      <x:c r="I110" s="80" t="str">
        <x:v>Odisha</x:v>
      </x:c>
      <x:c r="J110" s="80" t="str">
        <x:v>Bhubaneswar</x:v>
      </x:c>
      <x:c r="K110" s="80" t="str">
        <x:v>Furniture</x:v>
      </x:c>
      <x:c r="L110" s="80" t="str">
        <x:v>Bookcases</x:v>
      </x:c>
      <x:c r="M110" s="80" t="str">
        <x:v>Prime Bookcases 631</x:v>
      </x:c>
      <x:c r="N110" s="80" t="str">
        <x:v>Same Day</x:v>
      </x:c>
      <x:c r="O110" s="82" t="n">
        <x:v>2</x:v>
      </x:c>
      <x:c r="P110" s="83" t="n">
        <x:v>537.54</x:v>
      </x:c>
      <x:c r="Q110" s="84" t="n">
        <x:v>0.25</x:v>
      </x:c>
      <x:c r="R110" s="83" t="n">
        <x:v>806.31</x:v>
      </x:c>
      <x:c r="S110" s="83" t="n">
        <x:v>498.5</x:v>
      </x:c>
      <x:c r="T110" s="83" t="n">
        <x:v>307.81</x:v>
      </x:c>
      <x:c r="U110" s="83" t="str">
        <x:v>Paid</x:v>
      </x:c>
      <x:c r="V110" s="83" t="str">
        <x:v>Completed</x:v>
      </x:c>
      <x:c r="W110" s="151" t="n">
        <x:f>IF(OR(NOT(ISNUMBER($AP110)),COUNT($O110,$P110)&lt;2,$O110&lt;=0,$P110&lt;0),"",ROUND($O110*$P110*(1-$AP110),2))</x:f>
        <x:v>806.31</x:v>
      </x:c>
      <x:c r="X110" s="151" t="n">
        <x:f>IF(OR(NOT(ISNUMBER($W110)),NOT(ISNUMBER($S110))),"",ROUND($W110-$S110,2))</x:f>
        <x:v>307.81</x:v>
      </x:c>
      <x:c r="Y110" s="85" t="n">
        <x:f>IF(OR(NOT(ISNUMBER($W110)),NOT(ISNUMBER($X110)),$W110=0),"",ROUND($X110/$W110,4))</x:f>
        <x:v>0.3818</x:v>
      </x:c>
      <x:c r="Z110" s="82" t="n">
        <x:f>IF(OR($AH110&lt;&gt;"Valid",$AI110&lt;&gt;"Valid"),"",INT($D110-$C110))</x:f>
        <x:v>8</x:v>
      </x:c>
      <x:c r="AA110" s="86" t="str">
        <x:f>IF($AH110&lt;&gt;"Valid","",TEXT($C110,"mmmm"))</x:f>
        <x:v>August</x:v>
      </x:c>
      <x:c r="AB110" s="82" t="n">
        <x:f>IF($AH110&lt;&gt;"Valid","",YEAR($C110))</x:f>
        <x:v>2024</x:v>
      </x:c>
      <x:c r="AC110" s="80" t="str">
        <x:v>Consistent</x:v>
      </x:c>
      <x:c r="AD110" s="80" t="str">
        <x:v>Eligible</x:v>
      </x:c>
      <x:c r="AE110" s="80" t="str">
        <x:f>IF(OR($AH110&lt;&gt;"Valid",$AI110&lt;&gt;"Valid",$AJ110&lt;&gt;"Valid",LEFT($AM110,7)="Invalid",IFERROR(ABS($AQ110)&gt;0.01,FALSE),IFERROR(ABS($AR110)&gt;0.01,FALSE),COUNTIF($AS110,"*Conflicting duplicate*")&gt;0,COUNTIF($AS110,"*Completed order not paid*")&gt;0),"Invalid",IF(OR($H110="Unknown",$N110="Unknown",$AM110="Missing discount imputed as 0"),"Warning","Clean"))</x:f>
        <x:v>Clean</x:v>
      </x:c>
      <x:c r="AF110" s="80" t="str">
        <x:v>Pass</x:v>
      </x:c>
      <x:c r="AG110" s="80" t="str">
        <x:v>No text cleanup required</x:v>
      </x:c>
      <x:c r="AH110" s="12" t="str">
        <x:f>IF(C110="","Missing date",IF(ISNUMBER(C110),"Valid","Unrecognized/invalid date"))</x:f>
        <x:v>Valid</x:v>
      </x:c>
      <x:c r="AI110" s="12" t="str">
        <x:f>IF(D110="","Missing date",IF(ISNUMBER(D110),"Valid","Unrecognized/invalid date"))</x:f>
        <x:v>Valid</x:v>
      </x:c>
      <x:c r="AJ110" s="12" t="str">
        <x:v>Valid</x:v>
      </x:c>
      <x:c r="AK110" s="12" t="str">
        <x:v>Pass</x:v>
      </x:c>
      <x:c r="AL110" s="12" t="str">
        <x:v>None</x:v>
      </x:c>
      <x:c r="AM110" s="12" t="str">
        <x:v>Valid</x:v>
      </x:c>
      <x:c r="AN110" s="12" t="str">
        <x:v>Include in completed sales</x:v>
      </x:c>
      <x:c r="AO110" s="12" t="str">
        <x:v>Not a refunded record</x:v>
      </x:c>
      <x:c r="AP110" s="37" t="n">
        <x:f>IF(LEFT($AM110,7)="Invalid","",IF($AM110="Missing discount imputed as 0",IF(AND(COUNT($O110,$P110,$R110,$S110)=4,$O110&gt;0,$P110&gt;=0,$R110&gt;=0,$S110&gt;=0),0,""),IF(AND(ISNUMBER($Q110),$Q110&gt;=0,$Q110&lt;=0.5),$Q110,"")))</x:f>
        <x:v>0.25</x:v>
      </x:c>
      <x:c r="AQ110" s="152" t="n">
        <x:f>IF(OR($W110="",NOT(ISNUMBER($R110))),"",ROUND($R110-$W110,2))</x:f>
        <x:v>0</x:v>
      </x:c>
      <x:c r="AR110" s="152" t="n">
        <x:f>IF(OR($X110="",NOT(ISNUMBER($T110))),"",ROUND($T110-$X110,2))</x:f>
        <x:v>0</x:v>
      </x:c>
      <x:c r="AS110" s="14" t="str">
        <x:v>OK</x:v>
      </x:c>
    </x:row>
    <x:row r="111">
      <x:c r="A111" s="80" t="n">
        <x:v>111</x:v>
      </x:c>
      <x:c r="B111" s="80" t="str">
        <x:v>ORD-2025-10110</x:v>
      </x:c>
      <x:c r="C111" s="81" t="n">
        <x:v>45892</x:v>
      </x:c>
      <x:c r="D111" s="81" t="n">
        <x:v>45896</x:v>
      </x:c>
      <x:c r="E111" s="80" t="str">
        <x:v>CUST-3740</x:v>
      </x:c>
      <x:c r="F111" s="80" t="str">
        <x:v>Sneha Kapoor</x:v>
      </x:c>
      <x:c r="G111" s="80" t="str">
        <x:v>Consumer</x:v>
      </x:c>
      <x:c r="H111" s="80" t="str">
        <x:v>North</x:v>
      </x:c>
      <x:c r="I111" s="80" t="str">
        <x:v>Delhi</x:v>
      </x:c>
      <x:c r="J111" s="80" t="str">
        <x:v>New Delhi</x:v>
      </x:c>
      <x:c r="K111" s="80" t="str">
        <x:v>Office Supplies</x:v>
      </x:c>
      <x:c r="L111" s="80" t="str">
        <x:v>Binders</x:v>
      </x:c>
      <x:c r="M111" s="80" t="str">
        <x:v>Classic Binders 660</x:v>
      </x:c>
      <x:c r="N111" s="80" t="str">
        <x:v>Second Class</x:v>
      </x:c>
      <x:c r="O111" s="82" t="n">
        <x:v>1</x:v>
      </x:c>
      <x:c r="P111" s="83" t="n">
        <x:v>2788.62</x:v>
      </x:c>
      <x:c r="Q111" s="84" t="n">
        <x:v>0.25</x:v>
      </x:c>
      <x:c r="R111" s="83" t="n">
        <x:v>2091.47</x:v>
      </x:c>
      <x:c r="S111" s="83" t="n">
        <x:v>1317.22</x:v>
      </x:c>
      <x:c r="T111" s="83" t="n">
        <x:v>774.25</x:v>
      </x:c>
      <x:c r="U111" s="83" t="str">
        <x:v>Paid</x:v>
      </x:c>
      <x:c r="V111" s="83" t="str">
        <x:v>Completed</x:v>
      </x:c>
      <x:c r="W111" s="151" t="n">
        <x:f>IF(OR(NOT(ISNUMBER($AP111)),COUNT($O111,$P111)&lt;2,$O111&lt;=0,$P111&lt;0),"",ROUND($O111*$P111*(1-$AP111),2))</x:f>
        <x:v>2091.47</x:v>
      </x:c>
      <x:c r="X111" s="151" t="n">
        <x:f>IF(OR(NOT(ISNUMBER($W111)),NOT(ISNUMBER($S111))),"",ROUND($W111-$S111,2))</x:f>
        <x:v>774.25</x:v>
      </x:c>
      <x:c r="Y111" s="85" t="n">
        <x:f>IF(OR(NOT(ISNUMBER($W111)),NOT(ISNUMBER($X111)),$W111=0),"",ROUND($X111/$W111,4))</x:f>
        <x:v>0.3702</x:v>
      </x:c>
      <x:c r="Z111" s="82" t="n">
        <x:f>IF(OR($AH111&lt;&gt;"Valid",$AI111&lt;&gt;"Valid"),"",INT($D111-$C111))</x:f>
        <x:v>4</x:v>
      </x:c>
      <x:c r="AA111" s="86" t="str">
        <x:f>IF($AH111&lt;&gt;"Valid","",TEXT($C111,"mmmm"))</x:f>
        <x:v>August</x:v>
      </x:c>
      <x:c r="AB111" s="82" t="n">
        <x:f>IF($AH111&lt;&gt;"Valid","",YEAR($C111))</x:f>
        <x:v>2025</x:v>
      </x:c>
      <x:c r="AC111" s="80" t="str">
        <x:v>Consistent</x:v>
      </x:c>
      <x:c r="AD111" s="80" t="str">
        <x:v>Eligible</x:v>
      </x:c>
      <x:c r="AE111" s="80" t="str">
        <x:f>IF(OR($AH111&lt;&gt;"Valid",$AI111&lt;&gt;"Valid",$AJ111&lt;&gt;"Valid",LEFT($AM111,7)="Invalid",IFERROR(ABS($AQ111)&gt;0.01,FALSE),IFERROR(ABS($AR111)&gt;0.01,FALSE),COUNTIF($AS111,"*Conflicting duplicate*")&gt;0,COUNTIF($AS111,"*Completed order not paid*")&gt;0),"Invalid",IF(OR($H111="Unknown",$N111="Unknown",$AM111="Missing discount imputed as 0"),"Warning","Clean"))</x:f>
        <x:v>Clean</x:v>
      </x:c>
      <x:c r="AF111" s="80" t="str">
        <x:v>Pass</x:v>
      </x:c>
      <x:c r="AG111" s="80" t="str">
        <x:v>No text cleanup required</x:v>
      </x:c>
      <x:c r="AH111" s="12" t="str">
        <x:f>IF(C111="","Missing date",IF(ISNUMBER(C111),"Valid","Unrecognized/invalid date"))</x:f>
        <x:v>Valid</x:v>
      </x:c>
      <x:c r="AI111" s="12" t="str">
        <x:f>IF(D111="","Missing date",IF(ISNUMBER(D111),"Valid","Unrecognized/invalid date"))</x:f>
        <x:v>Valid</x:v>
      </x:c>
      <x:c r="AJ111" s="12" t="str">
        <x:v>Valid</x:v>
      </x:c>
      <x:c r="AK111" s="12" t="str">
        <x:v>Pass</x:v>
      </x:c>
      <x:c r="AL111" s="12" t="str">
        <x:v>None</x:v>
      </x:c>
      <x:c r="AM111" s="12" t="str">
        <x:v>Valid</x:v>
      </x:c>
      <x:c r="AN111" s="12" t="str">
        <x:v>Include in completed sales</x:v>
      </x:c>
      <x:c r="AO111" s="12" t="str">
        <x:v>Not a refunded record</x:v>
      </x:c>
      <x:c r="AP111" s="37" t="n">
        <x:f>IF(LEFT($AM111,7)="Invalid","",IF($AM111="Missing discount imputed as 0",IF(AND(COUNT($O111,$P111,$R111,$S111)=4,$O111&gt;0,$P111&gt;=0,$R111&gt;=0,$S111&gt;=0),0,""),IF(AND(ISNUMBER($Q111),$Q111&gt;=0,$Q111&lt;=0.5),$Q111,"")))</x:f>
        <x:v>0.25</x:v>
      </x:c>
      <x:c r="AQ111" s="152" t="n">
        <x:f>IF(OR($W111="",NOT(ISNUMBER($R111))),"",ROUND($R111-$W111,2))</x:f>
        <x:v>0</x:v>
      </x:c>
      <x:c r="AR111" s="152" t="n">
        <x:f>IF(OR($X111="",NOT(ISNUMBER($T111))),"",ROUND($T111-$X111,2))</x:f>
        <x:v>0</x:v>
      </x:c>
      <x:c r="AS111" s="14" t="str">
        <x:v>OK</x:v>
      </x:c>
    </x:row>
    <x:row r="112">
      <x:c r="A112" s="80" t="n">
        <x:v>112</x:v>
      </x:c>
      <x:c r="B112" s="80" t="str">
        <x:v>ORD-2024-10111</x:v>
      </x:c>
      <x:c r="C112" s="81" t="n">
        <x:v>45583</x:v>
      </x:c>
      <x:c r="D112" s="81" t="n">
        <x:v>45589</x:v>
      </x:c>
      <x:c r="E112" s="80" t="str">
        <x:v>CUST-7128</x:v>
      </x:c>
      <x:c r="F112" s="80" t="str">
        <x:v>Vikram Iyer</x:v>
      </x:c>
      <x:c r="G112" s="80" t="str">
        <x:v>Corporate</x:v>
      </x:c>
      <x:c r="H112" s="80" t="str">
        <x:v>South</x:v>
      </x:c>
      <x:c r="I112" s="80" t="str">
        <x:v>Kerala</x:v>
      </x:c>
      <x:c r="J112" s="80" t="str">
        <x:v>Kochi</x:v>
      </x:c>
      <x:c r="K112" s="80" t="str">
        <x:v>Office Supplies</x:v>
      </x:c>
      <x:c r="L112" s="80" t="str">
        <x:v>Labels</x:v>
      </x:c>
      <x:c r="M112" s="80" t="str">
        <x:v>Pro Labels 255</x:v>
      </x:c>
      <x:c r="N112" s="80" t="str">
        <x:v>First Class</x:v>
      </x:c>
      <x:c r="O112" s="82" t="n">
        <x:v>2</x:v>
      </x:c>
      <x:c r="P112" s="83" t="n">
        <x:v>2250.47</x:v>
      </x:c>
      <x:c r="Q112" s="84" t="n">
        <x:v>0</x:v>
      </x:c>
      <x:c r="R112" s="83" t="n">
        <x:v>4500.94</x:v>
      </x:c>
      <x:c r="S112" s="83" t="n">
        <x:v>2607.73</x:v>
      </x:c>
      <x:c r="T112" s="83" t="n">
        <x:v>1893.21</x:v>
      </x:c>
      <x:c r="U112" s="83" t="str">
        <x:v>Refunded</x:v>
      </x:c>
      <x:c r="V112" s="83" t="str">
        <x:v>Cancelled</x:v>
      </x:c>
      <x:c r="W112" s="151" t="n">
        <x:f>IF(OR(NOT(ISNUMBER($AP112)),COUNT($O112,$P112)&lt;2,$O112&lt;=0,$P112&lt;0),"",ROUND($O112*$P112*(1-$AP112),2))</x:f>
        <x:v>4500.94</x:v>
      </x:c>
      <x:c r="X112" s="151" t="n">
        <x:f>IF(OR(NOT(ISNUMBER($W112)),NOT(ISNUMBER($S112))),"",ROUND($W112-$S112,2))</x:f>
        <x:v>1893.21</x:v>
      </x:c>
      <x:c r="Y112" s="85" t="n">
        <x:f>IF(OR(NOT(ISNUMBER($W112)),NOT(ISNUMBER($X112)),$W112=0),"",ROUND($X112/$W112,4))</x:f>
        <x:v>0.4206</x:v>
      </x:c>
      <x:c r="Z112" s="82" t="n">
        <x:f>IF(OR($AH112&lt;&gt;"Valid",$AI112&lt;&gt;"Valid"),"",INT($D112-$C112))</x:f>
        <x:v>6</x:v>
      </x:c>
      <x:c r="AA112" s="86" t="str">
        <x:f>IF($AH112&lt;&gt;"Valid","",TEXT($C112,"mmmm"))</x:f>
        <x:v>October</x:v>
      </x:c>
      <x:c r="AB112" s="82" t="n">
        <x:f>IF($AH112&lt;&gt;"Valid","",YEAR($C112))</x:f>
        <x:v>2024</x:v>
      </x:c>
      <x:c r="AC112" s="80" t="str">
        <x:v>Cancelled (excluded from completed-sales summary)</x:v>
      </x:c>
      <x:c r="AD112" s="80" t="str">
        <x:v>Excluded</x:v>
      </x:c>
      <x:c r="AE112" s="80" t="str">
        <x:f>IF(OR($AH112&lt;&gt;"Valid",$AI112&lt;&gt;"Valid",$AJ112&lt;&gt;"Valid",LEFT($AM112,7)="Invalid",IFERROR(ABS($AQ112)&gt;0.01,FALSE),IFERROR(ABS($AR112)&gt;0.01,FALSE),COUNTIF($AS112,"*Conflicting duplicate*")&gt;0,COUNTIF($AS112,"*Completed order not paid*")&gt;0),"Invalid",IF(OR($H112="Unknown",$N112="Unknown",$AM112="Missing discount imputed as 0"),"Warning","Clean"))</x:f>
        <x:v>Clean</x:v>
      </x:c>
      <x:c r="AF112" s="80" t="str">
        <x:v>Pass</x:v>
      </x:c>
      <x:c r="AG112" s="80" t="str">
        <x:v>No text cleanup required</x:v>
      </x:c>
      <x:c r="AH112" s="12" t="str">
        <x:f>IF(C112="","Missing date",IF(ISNUMBER(C112),"Valid","Unrecognized/invalid date"))</x:f>
        <x:v>Valid</x:v>
      </x:c>
      <x:c r="AI112" s="12" t="str">
        <x:f>IF(D112="","Missing date",IF(ISNUMBER(D112),"Valid","Unrecognized/invalid date"))</x:f>
        <x:v>Valid</x:v>
      </x:c>
      <x:c r="AJ112" s="12" t="str">
        <x:v>Valid</x:v>
      </x:c>
      <x:c r="AK112" s="12" t="str">
        <x:v>Pass</x:v>
      </x:c>
      <x:c r="AL112" s="12" t="str">
        <x:v>Cancelled order – excluded from completed sales; Refunded payment – separately summarized</x:v>
      </x:c>
      <x:c r="AM112" s="12" t="str">
        <x:v>Valid</x:v>
      </x:c>
      <x:c r="AN112" s="12" t="str">
        <x:v>Exclude from completed sales</x:v>
      </x:c>
      <x:c r="AO112" s="12" t="str">
        <x:v>Include in refunded summary</x:v>
      </x:c>
      <x:c r="AP112" s="37" t="n">
        <x:f>IF(LEFT($AM112,7)="Invalid","",IF($AM112="Missing discount imputed as 0",IF(AND(COUNT($O112,$P112,$R112,$S112)=4,$O112&gt;0,$P112&gt;=0,$R112&gt;=0,$S112&gt;=0),0,""),IF(AND(ISNUMBER($Q112),$Q112&gt;=0,$Q112&lt;=0.5),$Q112,"")))</x:f>
        <x:v>0</x:v>
      </x:c>
      <x:c r="AQ112" s="152" t="n">
        <x:f>IF(OR($W112="",NOT(ISNUMBER($R112))),"",ROUND($R112-$W112,2))</x:f>
        <x:v>0</x:v>
      </x:c>
      <x:c r="AR112" s="152" t="n">
        <x:f>IF(OR($X112="",NOT(ISNUMBER($T112))),"",ROUND($T112-$X112,2))</x:f>
        <x:v>0</x:v>
      </x:c>
      <x:c r="AS112" s="14" t="str">
        <x:v>OK</x:v>
      </x:c>
    </x:row>
    <x:row r="113">
      <x:c r="A113" s="80" t="n">
        <x:v>113</x:v>
      </x:c>
      <x:c r="B113" s="80" t="str">
        <x:v>ORD-2025-10112</x:v>
      </x:c>
      <x:c r="C113" s="81" t="n">
        <x:v>45835</x:v>
      </x:c>
      <x:c r="D113" s="81" t="n">
        <x:v>45838</x:v>
      </x:c>
      <x:c r="E113" s="80" t="str">
        <x:v>CUST-4743</x:v>
      </x:c>
      <x:c r="F113" s="80" t="str">
        <x:v>Neha Gupta</x:v>
      </x:c>
      <x:c r="G113" s="80" t="str">
        <x:v>Corporate</x:v>
      </x:c>
      <x:c r="H113" s="80" t="str">
        <x:v>East</x:v>
      </x:c>
      <x:c r="I113" s="80" t="str">
        <x:v>Bihar</x:v>
      </x:c>
      <x:c r="J113" s="80" t="str">
        <x:v>Patna</x:v>
      </x:c>
      <x:c r="K113" s="80" t="str">
        <x:v>Technology</x:v>
      </x:c>
      <x:c r="L113" s="80" t="str">
        <x:v>Accessories</x:v>
      </x:c>
      <x:c r="M113" s="80" t="str">
        <x:v>Basic Accessories 187</x:v>
      </x:c>
      <x:c r="N113" s="80" t="str">
        <x:v>First Class</x:v>
      </x:c>
      <x:c r="O113" s="82" t="n">
        <x:v>1</x:v>
      </x:c>
      <x:c r="P113" s="83" t="n">
        <x:v>1708.44</x:v>
      </x:c>
      <x:c r="Q113" s="84" t="n">
        <x:v>0.05</x:v>
      </x:c>
      <x:c r="R113" s="83" t="n">
        <x:v>1623.02</x:v>
      </x:c>
      <x:c r="S113" s="83" t="n">
        <x:v>1077.46</x:v>
      </x:c>
      <x:c r="T113" s="83" t="n">
        <x:v>545.56</x:v>
      </x:c>
      <x:c r="U113" s="83" t="str">
        <x:v>Pending</x:v>
      </x:c>
      <x:c r="V113" s="83" t="str">
        <x:v>Cancelled</x:v>
      </x:c>
      <x:c r="W113" s="151" t="n">
        <x:f>IF(OR(NOT(ISNUMBER($AP113)),COUNT($O113,$P113)&lt;2,$O113&lt;=0,$P113&lt;0),"",ROUND($O113*$P113*(1-$AP113),2))</x:f>
        <x:v>1623.02</x:v>
      </x:c>
      <x:c r="X113" s="151" t="n">
        <x:f>IF(OR(NOT(ISNUMBER($W113)),NOT(ISNUMBER($S113))),"",ROUND($W113-$S113,2))</x:f>
        <x:v>545.56</x:v>
      </x:c>
      <x:c r="Y113" s="85" t="n">
        <x:f>IF(OR(NOT(ISNUMBER($W113)),NOT(ISNUMBER($X113)),$W113=0),"",ROUND($X113/$W113,4))</x:f>
        <x:v>0.3361</x:v>
      </x:c>
      <x:c r="Z113" s="82" t="n">
        <x:f>IF(OR($AH113&lt;&gt;"Valid",$AI113&lt;&gt;"Valid"),"",INT($D113-$C113))</x:f>
        <x:v>3</x:v>
      </x:c>
      <x:c r="AA113" s="86" t="str">
        <x:f>IF($AH113&lt;&gt;"Valid","",TEXT($C113,"mmmm"))</x:f>
        <x:v>June</x:v>
      </x:c>
      <x:c r="AB113" s="82" t="n">
        <x:f>IF($AH113&lt;&gt;"Valid","",YEAR($C113))</x:f>
        <x:v>2025</x:v>
      </x:c>
      <x:c r="AC113" s="80" t="str">
        <x:v>Cancelled (excluded from completed-sales summary)</x:v>
      </x:c>
      <x:c r="AD113" s="80" t="str">
        <x:v>Excluded</x:v>
      </x:c>
      <x:c r="AE113" s="80" t="str">
        <x:f>IF(OR($AH113&lt;&gt;"Valid",$AI113&lt;&gt;"Valid",$AJ113&lt;&gt;"Valid",LEFT($AM113,7)="Invalid",IFERROR(ABS($AQ113)&gt;0.01,FALSE),IFERROR(ABS($AR113)&gt;0.01,FALSE),COUNTIF($AS113,"*Conflicting duplicate*")&gt;0,COUNTIF($AS113,"*Completed order not paid*")&gt;0),"Invalid",IF(OR($H113="Unknown",$N113="Unknown",$AM113="Missing discount imputed as 0"),"Warning","Clean"))</x:f>
        <x:v>Clean</x:v>
      </x:c>
      <x:c r="AF113" s="80" t="str">
        <x:v>Pass</x:v>
      </x:c>
      <x:c r="AG113" s="80" t="str">
        <x:v>No text cleanup required</x:v>
      </x:c>
      <x:c r="AH113" s="12" t="str">
        <x:f>IF(C113="","Missing date",IF(ISNUMBER(C113),"Valid","Unrecognized/invalid date"))</x:f>
        <x:v>Valid</x:v>
      </x:c>
      <x:c r="AI113" s="12" t="str">
        <x:f>IF(D113="","Missing date",IF(ISNUMBER(D113),"Valid","Unrecognized/invalid date"))</x:f>
        <x:v>Valid</x:v>
      </x:c>
      <x:c r="AJ113" s="12" t="str">
        <x:v>Valid</x:v>
      </x:c>
      <x:c r="AK113" s="12" t="str">
        <x:v>Pass</x:v>
      </x:c>
      <x:c r="AL113" s="12" t="str">
        <x:v>Cancelled order – excluded from completed sales</x:v>
      </x:c>
      <x:c r="AM113" s="12" t="str">
        <x:v>Valid</x:v>
      </x:c>
      <x:c r="AN113" s="12" t="str">
        <x:v>Exclude from completed sales</x:v>
      </x:c>
      <x:c r="AO113" s="12" t="str">
        <x:v>Not a refunded record</x:v>
      </x:c>
      <x:c r="AP113" s="37" t="n">
        <x:f>IF(LEFT($AM113,7)="Invalid","",IF($AM113="Missing discount imputed as 0",IF(AND(COUNT($O113,$P113,$R113,$S113)=4,$O113&gt;0,$P113&gt;=0,$R113&gt;=0,$S113&gt;=0),0,""),IF(AND(ISNUMBER($Q113),$Q113&gt;=0,$Q113&lt;=0.5),$Q113,"")))</x:f>
        <x:v>0.05</x:v>
      </x:c>
      <x:c r="AQ113" s="152" t="n">
        <x:f>IF(OR($W113="",NOT(ISNUMBER($R113))),"",ROUND($R113-$W113,2))</x:f>
        <x:v>0</x:v>
      </x:c>
      <x:c r="AR113" s="152" t="n">
        <x:f>IF(OR($X113="",NOT(ISNUMBER($T113))),"",ROUND($T113-$X113,2))</x:f>
        <x:v>0</x:v>
      </x:c>
      <x:c r="AS113" s="14" t="str">
        <x:v>OK</x:v>
      </x:c>
    </x:row>
    <x:row r="114">
      <x:c r="A114" s="80" t="n">
        <x:v>114</x:v>
      </x:c>
      <x:c r="B114" s="80" t="str">
        <x:v>ORD-2024-10113</x:v>
      </x:c>
      <x:c r="C114" s="81" t="n">
        <x:v>45301</x:v>
      </x:c>
      <x:c r="D114" s="81" t="n">
        <x:v>45305</x:v>
      </x:c>
      <x:c r="E114" s="80" t="str">
        <x:v>CUST-5213</x:v>
      </x:c>
      <x:c r="F114" s="80" t="str">
        <x:v>Sneha Kapoor</x:v>
      </x:c>
      <x:c r="G114" s="80" t="str">
        <x:v>Consumer</x:v>
      </x:c>
      <x:c r="H114" s="80" t="str">
        <x:v>Unknown</x:v>
      </x:c>
      <x:c r="I114" s="80" t="str">
        <x:v>Gujarat</x:v>
      </x:c>
      <x:c r="J114" s="80" t="str">
        <x:v>Ahmedabad</x:v>
      </x:c>
      <x:c r="K114" s="80" t="str">
        <x:v>Technology</x:v>
      </x:c>
      <x:c r="L114" s="80" t="str">
        <x:v>Accessories</x:v>
      </x:c>
      <x:c r="M114" s="80" t="str">
        <x:v>Max Accessories 451</x:v>
      </x:c>
      <x:c r="N114" s="80" t="str">
        <x:v>Standard Class</x:v>
      </x:c>
      <x:c r="O114" s="82" t="n">
        <x:v>3</x:v>
      </x:c>
      <x:c r="P114" s="83" t="n">
        <x:v>3829.48</x:v>
      </x:c>
      <x:c r="Q114" s="84" t="n">
        <x:v>0.05</x:v>
      </x:c>
      <x:c r="R114" s="83" t="n">
        <x:v>10914.02</x:v>
      </x:c>
      <x:c r="S114" s="83" t="n">
        <x:v>6548.74</x:v>
      </x:c>
      <x:c r="T114" s="83" t="n">
        <x:v>4365.28</x:v>
      </x:c>
      <x:c r="U114" s="83" t="str">
        <x:v>Paid</x:v>
      </x:c>
      <x:c r="V114" s="83" t="str">
        <x:v>Completed</x:v>
      </x:c>
      <x:c r="W114" s="151" t="n">
        <x:f>IF(OR(NOT(ISNUMBER($AP114)),COUNT($O114,$P114)&lt;2,$O114&lt;=0,$P114&lt;0),"",ROUND($O114*$P114*(1-$AP114),2))</x:f>
        <x:v>10914.02</x:v>
      </x:c>
      <x:c r="X114" s="151" t="n">
        <x:f>IF(OR(NOT(ISNUMBER($W114)),NOT(ISNUMBER($S114))),"",ROUND($W114-$S114,2))</x:f>
        <x:v>4365.28</x:v>
      </x:c>
      <x:c r="Y114" s="85" t="n">
        <x:f>IF(OR(NOT(ISNUMBER($W114)),NOT(ISNUMBER($X114)),$W114=0),"",ROUND($X114/$W114,4))</x:f>
        <x:v>0.4</x:v>
      </x:c>
      <x:c r="Z114" s="82" t="n">
        <x:f>IF(OR($AH114&lt;&gt;"Valid",$AI114&lt;&gt;"Valid"),"",INT($D114-$C114))</x:f>
        <x:v>4</x:v>
      </x:c>
      <x:c r="AA114" s="86" t="str">
        <x:f>IF($AH114&lt;&gt;"Valid","",TEXT($C114,"mmmm"))</x:f>
        <x:v>January</x:v>
      </x:c>
      <x:c r="AB114" s="82" t="n">
        <x:f>IF($AH114&lt;&gt;"Valid","",YEAR($C114))</x:f>
        <x:v>2024</x:v>
      </x:c>
      <x:c r="AC114" s="80" t="str">
        <x:v>Consistent</x:v>
      </x:c>
      <x:c r="AD114" s="80" t="str">
        <x:v>Eligible</x:v>
      </x:c>
      <x:c r="AE114" s="80" t="str">
        <x:f>IF(OR($AH114&lt;&gt;"Valid",$AI114&lt;&gt;"Valid",$AJ114&lt;&gt;"Valid",LEFT($AM114,7)="Invalid",IFERROR(ABS($AQ114)&gt;0.01,FALSE),IFERROR(ABS($AR114)&gt;0.01,FALSE),COUNTIF($AS114,"*Conflicting duplicate*")&gt;0,COUNTIF($AS114,"*Completed order not paid*")&gt;0),"Invalid",IF(OR($H114="Unknown",$N114="Unknown",$AM114="Missing discount imputed as 0"),"Warning","Clean"))</x:f>
        <x:v>Warning</x:v>
      </x:c>
      <x:c r="AF114" s="80" t="str">
        <x:v>Cleaned</x:v>
      </x:c>
      <x:c r="AG114" s="80" t="str">
        <x:v>segment: TRIM/SUBSTITUTE whitespace cleanup; region: Missing value filled as Unknown</x:v>
      </x:c>
      <x:c r="AH114" s="12" t="str">
        <x:f>IF(C114="","Missing date",IF(ISNUMBER(C114),"Valid","Unrecognized/invalid date"))</x:f>
        <x:v>Valid</x:v>
      </x:c>
      <x:c r="AI114" s="12" t="str">
        <x:f>IF(D114="","Missing date",IF(ISNUMBER(D114),"Valid","Unrecognized/invalid date"))</x:f>
        <x:v>Valid</x:v>
      </x:c>
      <x:c r="AJ114" s="12" t="str">
        <x:v>Valid</x:v>
      </x:c>
      <x:c r="AK114" s="12" t="str">
        <x:v>Pass</x:v>
      </x:c>
      <x:c r="AL114" s="12" t="str">
        <x:v>Missing region filled as Unknown</x:v>
      </x:c>
      <x:c r="AM114" s="12" t="str">
        <x:v>Valid</x:v>
      </x:c>
      <x:c r="AN114" s="12" t="str">
        <x:v>Include in completed sales</x:v>
      </x:c>
      <x:c r="AO114" s="12" t="str">
        <x:v>Not a refunded record</x:v>
      </x:c>
      <x:c r="AP114" s="37" t="n">
        <x:f>IF(LEFT($AM114,7)="Invalid","",IF($AM114="Missing discount imputed as 0",IF(AND(COUNT($O114,$P114,$R114,$S114)=4,$O114&gt;0,$P114&gt;=0,$R114&gt;=0,$S114&gt;=0),0,""),IF(AND(ISNUMBER($Q114),$Q114&gt;=0,$Q114&lt;=0.5),$Q114,"")))</x:f>
        <x:v>0.05</x:v>
      </x:c>
      <x:c r="AQ114" s="152" t="n">
        <x:f>IF(OR($W114="",NOT(ISNUMBER($R114))),"",ROUND($R114-$W114,2))</x:f>
        <x:v>0</x:v>
      </x:c>
      <x:c r="AR114" s="152" t="n">
        <x:f>IF(OR($X114="",NOT(ISNUMBER($T114))),"",ROUND($T114-$X114,2))</x:f>
        <x:v>0</x:v>
      </x:c>
      <x:c r="AS114" s="14" t="str">
        <x:v>OK</x:v>
      </x:c>
    </x:row>
    <x:row r="115">
      <x:c r="A115" s="80" t="n">
        <x:v>115</x:v>
      </x:c>
      <x:c r="B115" s="80" t="str">
        <x:v>ORD-2024-10114</x:v>
      </x:c>
      <x:c r="C115" s="81" t="n">
        <x:v>45334</x:v>
      </x:c>
      <x:c r="D115" s="81" t="n">
        <x:v>45334</x:v>
      </x:c>
      <x:c r="E115" s="80" t="str">
        <x:v>CUST-4989</x:v>
      </x:c>
      <x:c r="F115" s="80" t="str">
        <x:v>Isha Nair</x:v>
      </x:c>
      <x:c r="G115" s="80" t="str">
        <x:v>Home Office</x:v>
      </x:c>
      <x:c r="H115" s="80" t="str">
        <x:v>South</x:v>
      </x:c>
      <x:c r="I115" s="80" t="str">
        <x:v>Tamil Nadu</x:v>
      </x:c>
      <x:c r="J115" s="80" t="str">
        <x:v>Chennai</x:v>
      </x:c>
      <x:c r="K115" s="80" t="str">
        <x:v>Furniture</x:v>
      </x:c>
      <x:c r="L115" s="80" t="str">
        <x:v>Tables</x:v>
      </x:c>
      <x:c r="M115" s="80" t="str">
        <x:v>Classic Tables 752</x:v>
      </x:c>
      <x:c r="N115" s="80" t="str">
        <x:v>Standard Class</x:v>
      </x:c>
      <x:c r="O115" s="82" t="n">
        <x:v>3</x:v>
      </x:c>
      <x:c r="P115" s="83" t="n">
        <x:v>1089.15</x:v>
      </x:c>
      <x:c r="Q115" s="84" t="n">
        <x:v>0.25</x:v>
      </x:c>
      <x:c r="R115" s="83" t="n">
        <x:v>2450.59</x:v>
      </x:c>
      <x:c r="S115" s="83" t="n">
        <x:v>1639.89</x:v>
      </x:c>
      <x:c r="T115" s="83" t="n">
        <x:v>810.7</x:v>
      </x:c>
      <x:c r="U115" s="83" t="str">
        <x:v>Paid</x:v>
      </x:c>
      <x:c r="V115" s="83" t="str">
        <x:v>Completed</x:v>
      </x:c>
      <x:c r="W115" s="151" t="n">
        <x:f>IF(OR(NOT(ISNUMBER($AP115)),COUNT($O115,$P115)&lt;2,$O115&lt;=0,$P115&lt;0),"",ROUND($O115*$P115*(1-$AP115),2))</x:f>
        <x:v>2450.59</x:v>
      </x:c>
      <x:c r="X115" s="151" t="n">
        <x:f>IF(OR(NOT(ISNUMBER($W115)),NOT(ISNUMBER($S115))),"",ROUND($W115-$S115,2))</x:f>
        <x:v>810.7</x:v>
      </x:c>
      <x:c r="Y115" s="85" t="n">
        <x:f>IF(OR(NOT(ISNUMBER($W115)),NOT(ISNUMBER($X115)),$W115=0),"",ROUND($X115/$W115,4))</x:f>
        <x:v>0.3308</x:v>
      </x:c>
      <x:c r="Z115" s="82" t="n">
        <x:f>IF(OR($AH115&lt;&gt;"Valid",$AI115&lt;&gt;"Valid"),"",INT($D115-$C115))</x:f>
        <x:v>0</x:v>
      </x:c>
      <x:c r="AA115" s="86" t="str">
        <x:f>IF($AH115&lt;&gt;"Valid","",TEXT($C115,"mmmm"))</x:f>
        <x:v>February</x:v>
      </x:c>
      <x:c r="AB115" s="82" t="n">
        <x:f>IF($AH115&lt;&gt;"Valid","",YEAR($C115))</x:f>
        <x:v>2024</x:v>
      </x:c>
      <x:c r="AC115" s="80" t="str">
        <x:v>Consistent</x:v>
      </x:c>
      <x:c r="AD115" s="80" t="str">
        <x:v>Eligible</x:v>
      </x:c>
      <x:c r="AE115" s="80" t="str">
        <x:f>IF(OR($AH115&lt;&gt;"Valid",$AI115&lt;&gt;"Valid",$AJ115&lt;&gt;"Valid",LEFT($AM115,7)="Invalid",IFERROR(ABS($AQ115)&gt;0.01,FALSE),IFERROR(ABS($AR115)&gt;0.01,FALSE),COUNTIF($AS115,"*Conflicting duplicate*")&gt;0,COUNTIF($AS115,"*Completed order not paid*")&gt;0),"Invalid",IF(OR($H115="Unknown",$N115="Unknown",$AM115="Missing discount imputed as 0"),"Warning","Clean"))</x:f>
        <x:v>Clean</x:v>
      </x:c>
      <x:c r="AF115" s="80" t="str">
        <x:v>Pass</x:v>
      </x:c>
      <x:c r="AG115" s="80" t="str">
        <x:v>No text cleanup required</x:v>
      </x:c>
      <x:c r="AH115" s="12" t="str">
        <x:f>IF(C115="","Missing date",IF(ISNUMBER(C115),"Valid","Unrecognized/invalid date"))</x:f>
        <x:v>Valid</x:v>
      </x:c>
      <x:c r="AI115" s="12" t="str">
        <x:f>IF(D115="","Missing date",IF(ISNUMBER(D115),"Valid","Unrecognized/invalid date"))</x:f>
        <x:v>Valid</x:v>
      </x:c>
      <x:c r="AJ115" s="12" t="str">
        <x:v>Valid</x:v>
      </x:c>
      <x:c r="AK115" s="12" t="str">
        <x:v>Pass</x:v>
      </x:c>
      <x:c r="AL115" s="12" t="str">
        <x:v>None</x:v>
      </x:c>
      <x:c r="AM115" s="12" t="str">
        <x:v>Valid</x:v>
      </x:c>
      <x:c r="AN115" s="12" t="str">
        <x:v>Include in completed sales</x:v>
      </x:c>
      <x:c r="AO115" s="12" t="str">
        <x:v>Not a refunded record</x:v>
      </x:c>
      <x:c r="AP115" s="37" t="n">
        <x:f>IF(LEFT($AM115,7)="Invalid","",IF($AM115="Missing discount imputed as 0",IF(AND(COUNT($O115,$P115,$R115,$S115)=4,$O115&gt;0,$P115&gt;=0,$R115&gt;=0,$S115&gt;=0),0,""),IF(AND(ISNUMBER($Q115),$Q115&gt;=0,$Q115&lt;=0.5),$Q115,"")))</x:f>
        <x:v>0.25</x:v>
      </x:c>
      <x:c r="AQ115" s="152" t="n">
        <x:f>IF(OR($W115="",NOT(ISNUMBER($R115))),"",ROUND($R115-$W115,2))</x:f>
        <x:v>0</x:v>
      </x:c>
      <x:c r="AR115" s="152" t="n">
        <x:f>IF(OR($X115="",NOT(ISNUMBER($T115))),"",ROUND($T115-$X115,2))</x:f>
        <x:v>0</x:v>
      </x:c>
      <x:c r="AS115" s="14" t="str">
        <x:v>OK</x:v>
      </x:c>
    </x:row>
    <x:row r="116">
      <x:c r="A116" s="80" t="n">
        <x:v>116</x:v>
      </x:c>
      <x:c r="B116" s="80" t="str">
        <x:v>ORD-2024-10115</x:v>
      </x:c>
      <x:c r="C116" s="81" t="n">
        <x:v>45560</x:v>
      </x:c>
      <x:c r="D116" s="81" t="n">
        <x:v>45565</x:v>
      </x:c>
      <x:c r="E116" s="80" t="str">
        <x:v>CUST-2927</x:v>
      </x:c>
      <x:c r="F116" s="80" t="str">
        <x:v>Neha Gupta</x:v>
      </x:c>
      <x:c r="G116" s="80" t="str">
        <x:v>Small Business</x:v>
      </x:c>
      <x:c r="H116" s="80" t="str">
        <x:v>North</x:v>
      </x:c>
      <x:c r="I116" s="80" t="str">
        <x:v>Rajasthan</x:v>
      </x:c>
      <x:c r="J116" s="80" t="str">
        <x:v>Jaipur</x:v>
      </x:c>
      <x:c r="K116" s="80" t="str">
        <x:v>Technology</x:v>
      </x:c>
      <x:c r="L116" s="80" t="str">
        <x:v>Accessories</x:v>
      </x:c>
      <x:c r="M116" s="80" t="str">
        <x:v>Eco Accessories 452</x:v>
      </x:c>
      <x:c r="N116" s="80" t="str">
        <x:v>Second Class</x:v>
      </x:c>
      <x:c r="O116" s="82" t="n">
        <x:v>1</x:v>
      </x:c>
      <x:c r="P116" s="83" t="n">
        <x:v>4388.4</x:v>
      </x:c>
      <x:c r="Q116" s="84" t="n">
        <x:v>0.1</x:v>
      </x:c>
      <x:c r="R116" s="83" t="n">
        <x:v>3949.56</x:v>
      </x:c>
      <x:c r="S116" s="83" t="n">
        <x:v>3186.73</x:v>
      </x:c>
      <x:c r="T116" s="83" t="n">
        <x:v>762.83</x:v>
      </x:c>
      <x:c r="U116" s="83" t="str">
        <x:v>Pending</x:v>
      </x:c>
      <x:c r="V116" s="83" t="str">
        <x:v>Cancelled</x:v>
      </x:c>
      <x:c r="W116" s="151" t="n">
        <x:f>IF(OR(NOT(ISNUMBER($AP116)),COUNT($O116,$P116)&lt;2,$O116&lt;=0,$P116&lt;0),"",ROUND($O116*$P116*(1-$AP116),2))</x:f>
        <x:v>3949.56</x:v>
      </x:c>
      <x:c r="X116" s="151" t="n">
        <x:f>IF(OR(NOT(ISNUMBER($W116)),NOT(ISNUMBER($S116))),"",ROUND($W116-$S116,2))</x:f>
        <x:v>762.83</x:v>
      </x:c>
      <x:c r="Y116" s="85" t="n">
        <x:f>IF(OR(NOT(ISNUMBER($W116)),NOT(ISNUMBER($X116)),$W116=0),"",ROUND($X116/$W116,4))</x:f>
        <x:v>0.1931</x:v>
      </x:c>
      <x:c r="Z116" s="82" t="n">
        <x:f>IF(OR($AH116&lt;&gt;"Valid",$AI116&lt;&gt;"Valid"),"",INT($D116-$C116))</x:f>
        <x:v>5</x:v>
      </x:c>
      <x:c r="AA116" s="86" t="str">
        <x:f>IF($AH116&lt;&gt;"Valid","",TEXT($C116,"mmmm"))</x:f>
        <x:v>September</x:v>
      </x:c>
      <x:c r="AB116" s="82" t="n">
        <x:f>IF($AH116&lt;&gt;"Valid","",YEAR($C116))</x:f>
        <x:v>2024</x:v>
      </x:c>
      <x:c r="AC116" s="80" t="str">
        <x:v>Cancelled (excluded from completed-sales summary)</x:v>
      </x:c>
      <x:c r="AD116" s="80" t="str">
        <x:v>Excluded</x:v>
      </x:c>
      <x:c r="AE116" s="80" t="str">
        <x:f>IF(OR($AH116&lt;&gt;"Valid",$AI116&lt;&gt;"Valid",$AJ116&lt;&gt;"Valid",LEFT($AM116,7)="Invalid",IFERROR(ABS($AQ116)&gt;0.01,FALSE),IFERROR(ABS($AR116)&gt;0.01,FALSE),COUNTIF($AS116,"*Conflicting duplicate*")&gt;0,COUNTIF($AS116,"*Completed order not paid*")&gt;0),"Invalid",IF(OR($H116="Unknown",$N116="Unknown",$AM116="Missing discount imputed as 0"),"Warning","Clean"))</x:f>
        <x:v>Clean</x:v>
      </x:c>
      <x:c r="AF116" s="80" t="str">
        <x:v>Pass</x:v>
      </x:c>
      <x:c r="AG116" s="80" t="str">
        <x:v>No text cleanup required</x:v>
      </x:c>
      <x:c r="AH116" s="12" t="str">
        <x:f>IF(C116="","Missing date",IF(ISNUMBER(C116),"Valid","Unrecognized/invalid date"))</x:f>
        <x:v>Valid</x:v>
      </x:c>
      <x:c r="AI116" s="12" t="str">
        <x:f>IF(D116="","Missing date",IF(ISNUMBER(D116),"Valid","Unrecognized/invalid date"))</x:f>
        <x:v>Valid</x:v>
      </x:c>
      <x:c r="AJ116" s="12" t="str">
        <x:v>Valid</x:v>
      </x:c>
      <x:c r="AK116" s="12" t="str">
        <x:v>Pass</x:v>
      </x:c>
      <x:c r="AL116" s="12" t="str">
        <x:v>Cancelled order – excluded from completed sales</x:v>
      </x:c>
      <x:c r="AM116" s="12" t="str">
        <x:v>Valid</x:v>
      </x:c>
      <x:c r="AN116" s="12" t="str">
        <x:v>Exclude from completed sales</x:v>
      </x:c>
      <x:c r="AO116" s="12" t="str">
        <x:v>Not a refunded record</x:v>
      </x:c>
      <x:c r="AP116" s="37" t="n">
        <x:f>IF(LEFT($AM116,7)="Invalid","",IF($AM116="Missing discount imputed as 0",IF(AND(COUNT($O116,$P116,$R116,$S116)=4,$O116&gt;0,$P116&gt;=0,$R116&gt;=0,$S116&gt;=0),0,""),IF(AND(ISNUMBER($Q116),$Q116&gt;=0,$Q116&lt;=0.5),$Q116,"")))</x:f>
        <x:v>0.1</x:v>
      </x:c>
      <x:c r="AQ116" s="152" t="n">
        <x:f>IF(OR($W116="",NOT(ISNUMBER($R116))),"",ROUND($R116-$W116,2))</x:f>
        <x:v>0</x:v>
      </x:c>
      <x:c r="AR116" s="152" t="n">
        <x:f>IF(OR($X116="",NOT(ISNUMBER($T116))),"",ROUND($T116-$X116,2))</x:f>
        <x:v>0</x:v>
      </x:c>
      <x:c r="AS116" s="14" t="str">
        <x:v>OK</x:v>
      </x:c>
    </x:row>
    <x:row r="117">
      <x:c r="A117" s="80" t="n">
        <x:v>117</x:v>
      </x:c>
      <x:c r="B117" s="80" t="str">
        <x:v>ORD-2024-10116</x:v>
      </x:c>
      <x:c r="C117" s="81" t="n">
        <x:v>45653</x:v>
      </x:c>
      <x:c r="D117" s="81" t="n">
        <x:v>45658</x:v>
      </x:c>
      <x:c r="E117" s="80" t="str">
        <x:v>CUST-7764</x:v>
      </x:c>
      <x:c r="F117" s="80" t="str">
        <x:v>Kabir Singh</x:v>
      </x:c>
      <x:c r="G117" s="80" t="str">
        <x:v>Corporate</x:v>
      </x:c>
      <x:c r="H117" s="80" t="str">
        <x:v>South</x:v>
      </x:c>
      <x:c r="I117" s="80" t="str">
        <x:v>Tamil Nadu</x:v>
      </x:c>
      <x:c r="J117" s="80" t="str">
        <x:v>Chennai</x:v>
      </x:c>
      <x:c r="K117" s="80" t="str">
        <x:v>Office Supplies</x:v>
      </x:c>
      <x:c r="L117" s="80" t="str">
        <x:v>Binders</x:v>
      </x:c>
      <x:c r="M117" s="80" t="str">
        <x:v>Classic Binders 203</x:v>
      </x:c>
      <x:c r="N117" s="80" t="str">
        <x:v>Same Day</x:v>
      </x:c>
      <x:c r="O117" s="82" t="n">
        <x:v>2</x:v>
      </x:c>
      <x:c r="P117" s="83" t="n">
        <x:v>446.34</x:v>
      </x:c>
      <x:c r="Q117" s="84" t="n">
        <x:v>0.15</x:v>
      </x:c>
      <x:c r="R117" s="83" t="n">
        <x:v>758.78</x:v>
      </x:c>
      <x:c r="S117" s="83" t="n">
        <x:v>490.74</x:v>
      </x:c>
      <x:c r="T117" s="83" t="n">
        <x:v>268.04</x:v>
      </x:c>
      <x:c r="U117" s="83" t="str">
        <x:v>Paid</x:v>
      </x:c>
      <x:c r="V117" s="83" t="str">
        <x:v>Cancelled</x:v>
      </x:c>
      <x:c r="W117" s="151" t="n">
        <x:f>IF(OR(NOT(ISNUMBER($AP117)),COUNT($O117,$P117)&lt;2,$O117&lt;=0,$P117&lt;0),"",ROUND($O117*$P117*(1-$AP117),2))</x:f>
        <x:v>758.78</x:v>
      </x:c>
      <x:c r="X117" s="151" t="n">
        <x:f>IF(OR(NOT(ISNUMBER($W117)),NOT(ISNUMBER($S117))),"",ROUND($W117-$S117,2))</x:f>
        <x:v>268.04</x:v>
      </x:c>
      <x:c r="Y117" s="85" t="n">
        <x:f>IF(OR(NOT(ISNUMBER($W117)),NOT(ISNUMBER($X117)),$W117=0),"",ROUND($X117/$W117,4))</x:f>
        <x:v>0.3533</x:v>
      </x:c>
      <x:c r="Z117" s="82" t="n">
        <x:f>IF(OR($AH117&lt;&gt;"Valid",$AI117&lt;&gt;"Valid"),"",INT($D117-$C117))</x:f>
        <x:v>5</x:v>
      </x:c>
      <x:c r="AA117" s="86" t="str">
        <x:f>IF($AH117&lt;&gt;"Valid","",TEXT($C117,"mmmm"))</x:f>
        <x:v>December</x:v>
      </x:c>
      <x:c r="AB117" s="82" t="n">
        <x:f>IF($AH117&lt;&gt;"Valid","",YEAR($C117))</x:f>
        <x:v>2024</x:v>
      </x:c>
      <x:c r="AC117" s="80" t="str">
        <x:v>Cancelled (excluded from completed-sales summary)</x:v>
      </x:c>
      <x:c r="AD117" s="80" t="str">
        <x:v>Excluded</x:v>
      </x:c>
      <x:c r="AE117" s="80" t="str">
        <x:f>IF(OR($AH117&lt;&gt;"Valid",$AI117&lt;&gt;"Valid",$AJ117&lt;&gt;"Valid",LEFT($AM117,7)="Invalid",IFERROR(ABS($AQ117)&gt;0.01,FALSE),IFERROR(ABS($AR117)&gt;0.01,FALSE),COUNTIF($AS117,"*Conflicting duplicate*")&gt;0,COUNTIF($AS117,"*Completed order not paid*")&gt;0),"Invalid",IF(OR($H117="Unknown",$N117="Unknown",$AM117="Missing discount imputed as 0"),"Warning","Clean"))</x:f>
        <x:v>Clean</x:v>
      </x:c>
      <x:c r="AF117" s="80" t="str">
        <x:v>Pass</x:v>
      </x:c>
      <x:c r="AG117" s="80" t="str">
        <x:v>No text cleanup required</x:v>
      </x:c>
      <x:c r="AH117" s="12" t="str">
        <x:f>IF(C117="","Missing date",IF(ISNUMBER(C117),"Valid","Unrecognized/invalid date"))</x:f>
        <x:v>Valid</x:v>
      </x:c>
      <x:c r="AI117" s="12" t="str">
        <x:f>IF(D117="","Missing date",IF(ISNUMBER(D117),"Valid","Unrecognized/invalid date"))</x:f>
        <x:v>Valid</x:v>
      </x:c>
      <x:c r="AJ117" s="12" t="str">
        <x:v>Valid</x:v>
      </x:c>
      <x:c r="AK117" s="12" t="str">
        <x:v>Pass</x:v>
      </x:c>
      <x:c r="AL117" s="12" t="str">
        <x:v>Cancelled order – excluded from completed sales</x:v>
      </x:c>
      <x:c r="AM117" s="12" t="str">
        <x:v>Valid</x:v>
      </x:c>
      <x:c r="AN117" s="12" t="str">
        <x:v>Exclude from completed sales</x:v>
      </x:c>
      <x:c r="AO117" s="12" t="str">
        <x:v>Not a refunded record</x:v>
      </x:c>
      <x:c r="AP117" s="37" t="n">
        <x:f>IF(LEFT($AM117,7)="Invalid","",IF($AM117="Missing discount imputed as 0",IF(AND(COUNT($O117,$P117,$R117,$S117)=4,$O117&gt;0,$P117&gt;=0,$R117&gt;=0,$S117&gt;=0),0,""),IF(AND(ISNUMBER($Q117),$Q117&gt;=0,$Q117&lt;=0.5),$Q117,"")))</x:f>
        <x:v>0.15</x:v>
      </x:c>
      <x:c r="AQ117" s="152" t="n">
        <x:f>IF(OR($W117="",NOT(ISNUMBER($R117))),"",ROUND($R117-$W117,2))</x:f>
        <x:v>0</x:v>
      </x:c>
      <x:c r="AR117" s="152" t="n">
        <x:f>IF(OR($X117="",NOT(ISNUMBER($T117))),"",ROUND($T117-$X117,2))</x:f>
        <x:v>0</x:v>
      </x:c>
      <x:c r="AS117" s="14" t="str">
        <x:v>OK</x:v>
      </x:c>
    </x:row>
    <x:row r="118">
      <x:c r="A118" s="80" t="n">
        <x:v>118</x:v>
      </x:c>
      <x:c r="B118" s="80" t="str">
        <x:v>ORD-2025-10117</x:v>
      </x:c>
      <x:c r="C118" s="81" t="n">
        <x:v>45703</x:v>
      </x:c>
      <x:c r="D118" s="81" t="n">
        <x:v>45707</x:v>
      </x:c>
      <x:c r="E118" s="80" t="str">
        <x:v>CUST-3632</x:v>
      </x:c>
      <x:c r="F118" s="80" t="str">
        <x:v>Ananya Rao</x:v>
      </x:c>
      <x:c r="G118" s="80" t="str">
        <x:v>Small Business</x:v>
      </x:c>
      <x:c r="H118" s="80" t="str">
        <x:v>Unknown</x:v>
      </x:c>
      <x:c r="I118" s="80" t="str">
        <x:v>Madhya Pradesh</x:v>
      </x:c>
      <x:c r="J118" s="80" t="str">
        <x:v>Indore</x:v>
      </x:c>
      <x:c r="K118" s="80" t="str">
        <x:v>Office Supplies</x:v>
      </x:c>
      <x:c r="L118" s="80" t="str">
        <x:v>Binders</x:v>
      </x:c>
      <x:c r="M118" s="80" t="str">
        <x:v>Basic Binders 859</x:v>
      </x:c>
      <x:c r="N118" s="80" t="str">
        <x:v>First Class</x:v>
      </x:c>
      <x:c r="O118" s="82" t="n">
        <x:v>9</x:v>
      </x:c>
      <x:c r="P118" s="83" t="n">
        <x:v>531.99</x:v>
      </x:c>
      <x:c r="Q118" s="84" t="n">
        <x:v>0.25</x:v>
      </x:c>
      <x:c r="R118" s="83" t="n">
        <x:v>3590.93</x:v>
      </x:c>
      <x:c r="S118" s="83" t="n">
        <x:v>3061.39</x:v>
      </x:c>
      <x:c r="T118" s="83" t="n">
        <x:v>529.54</x:v>
      </x:c>
      <x:c r="U118" s="83" t="str">
        <x:v>Failed</x:v>
      </x:c>
      <x:c r="V118" s="83" t="str">
        <x:v>Cancelled</x:v>
      </x:c>
      <x:c r="W118" s="151" t="n">
        <x:f>IF(OR(NOT(ISNUMBER($AP118)),COUNT($O118,$P118)&lt;2,$O118&lt;=0,$P118&lt;0),"",ROUND($O118*$P118*(1-$AP118),2))</x:f>
        <x:v>3590.93</x:v>
      </x:c>
      <x:c r="X118" s="151" t="n">
        <x:f>IF(OR(NOT(ISNUMBER($W118)),NOT(ISNUMBER($S118))),"",ROUND($W118-$S118,2))</x:f>
        <x:v>529.54</x:v>
      </x:c>
      <x:c r="Y118" s="85" t="n">
        <x:f>IF(OR(NOT(ISNUMBER($W118)),NOT(ISNUMBER($X118)),$W118=0),"",ROUND($X118/$W118,4))</x:f>
        <x:v>0.1475</x:v>
      </x:c>
      <x:c r="Z118" s="82" t="n">
        <x:f>IF(OR($AH118&lt;&gt;"Valid",$AI118&lt;&gt;"Valid"),"",INT($D118-$C118))</x:f>
        <x:v>4</x:v>
      </x:c>
      <x:c r="AA118" s="86" t="str">
        <x:f>IF($AH118&lt;&gt;"Valid","",TEXT($C118,"mmmm"))</x:f>
        <x:v>February</x:v>
      </x:c>
      <x:c r="AB118" s="82" t="n">
        <x:f>IF($AH118&lt;&gt;"Valid","",YEAR($C118))</x:f>
        <x:v>2025</x:v>
      </x:c>
      <x:c r="AC118" s="80" t="str">
        <x:v>Cancelled (excluded from completed-sales summary)</x:v>
      </x:c>
      <x:c r="AD118" s="80" t="str">
        <x:v>Excluded</x:v>
      </x:c>
      <x:c r="AE118" s="80" t="str">
        <x:f>IF(OR($AH118&lt;&gt;"Valid",$AI118&lt;&gt;"Valid",$AJ118&lt;&gt;"Valid",LEFT($AM118,7)="Invalid",IFERROR(ABS($AQ118)&gt;0.01,FALSE),IFERROR(ABS($AR118)&gt;0.01,FALSE),COUNTIF($AS118,"*Conflicting duplicate*")&gt;0,COUNTIF($AS118,"*Completed order not paid*")&gt;0),"Invalid",IF(OR($H118="Unknown",$N118="Unknown",$AM118="Missing discount imputed as 0"),"Warning","Clean"))</x:f>
        <x:v>Warning</x:v>
      </x:c>
      <x:c r="AF118" s="80" t="str">
        <x:v>Cleaned</x:v>
      </x:c>
      <x:c r="AG118" s="80" t="str">
        <x:v>region: Missing value filled as Unknown</x:v>
      </x:c>
      <x:c r="AH118" s="12" t="str">
        <x:f>IF(C118="","Missing date",IF(ISNUMBER(C118),"Valid","Unrecognized/invalid date"))</x:f>
        <x:v>Valid</x:v>
      </x:c>
      <x:c r="AI118" s="12" t="str">
        <x:f>IF(D118="","Missing date",IF(ISNUMBER(D118),"Valid","Unrecognized/invalid date"))</x:f>
        <x:v>Valid</x:v>
      </x:c>
      <x:c r="AJ118" s="12" t="str">
        <x:v>Valid</x:v>
      </x:c>
      <x:c r="AK118" s="12" t="str">
        <x:v>Pass</x:v>
      </x:c>
      <x:c r="AL118" s="12" t="str">
        <x:v>Missing region filled as Unknown; Cancelled order – excluded from completed sales; Failed payment – excluded from completed sales</x:v>
      </x:c>
      <x:c r="AM118" s="12" t="str">
        <x:v>Valid</x:v>
      </x:c>
      <x:c r="AN118" s="12" t="str">
        <x:v>Exclude from completed sales</x:v>
      </x:c>
      <x:c r="AO118" s="12" t="str">
        <x:v>Not a refunded record</x:v>
      </x:c>
      <x:c r="AP118" s="37" t="n">
        <x:f>IF(LEFT($AM118,7)="Invalid","",IF($AM118="Missing discount imputed as 0",IF(AND(COUNT($O118,$P118,$R118,$S118)=4,$O118&gt;0,$P118&gt;=0,$R118&gt;=0,$S118&gt;=0),0,""),IF(AND(ISNUMBER($Q118),$Q118&gt;=0,$Q118&lt;=0.5),$Q118,"")))</x:f>
        <x:v>0.25</x:v>
      </x:c>
      <x:c r="AQ118" s="152" t="n">
        <x:f>IF(OR($W118="",NOT(ISNUMBER($R118))),"",ROUND($R118-$W118,2))</x:f>
        <x:v>0</x:v>
      </x:c>
      <x:c r="AR118" s="152" t="n">
        <x:f>IF(OR($X118="",NOT(ISNUMBER($T118))),"",ROUND($T118-$X118,2))</x:f>
        <x:v>0</x:v>
      </x:c>
      <x:c r="AS118" s="14" t="str">
        <x:v>OK</x:v>
      </x:c>
    </x:row>
    <x:row r="119">
      <x:c r="A119" s="80" t="n">
        <x:v>119</x:v>
      </x:c>
      <x:c r="B119" s="80" t="str">
        <x:v>ORD-2024-10118</x:v>
      </x:c>
      <x:c r="C119" s="81" t="n">
        <x:v>45337</x:v>
      </x:c>
      <x:c r="D119" s="81" t="n">
        <x:v>45339</x:v>
      </x:c>
      <x:c r="E119" s="80" t="str">
        <x:v>CUST-9608</x:v>
      </x:c>
      <x:c r="F119" s="80" t="str">
        <x:v>Mira Das</x:v>
      </x:c>
      <x:c r="G119" s="80" t="str">
        <x:v>Home Office</x:v>
      </x:c>
      <x:c r="H119" s="80" t="str">
        <x:v>South</x:v>
      </x:c>
      <x:c r="I119" s="80" t="str">
        <x:v>Tamil Nadu</x:v>
      </x:c>
      <x:c r="J119" s="80" t="str">
        <x:v>Chennai</x:v>
      </x:c>
      <x:c r="K119" s="80" t="str">
        <x:v>Technology</x:v>
      </x:c>
      <x:c r="L119" s="80" t="str">
        <x:v>Machines</x:v>
      </x:c>
      <x:c r="M119" s="80" t="str">
        <x:v>Elite Machines 705</x:v>
      </x:c>
      <x:c r="N119" s="80" t="str">
        <x:v>Standard Class</x:v>
      </x:c>
      <x:c r="O119" s="82" t="n">
        <x:v>9</x:v>
      </x:c>
      <x:c r="P119" s="83" t="n">
        <x:v>3324.55</x:v>
      </x:c>
      <x:c r="Q119" s="84" t="n">
        <x:v>0.7</x:v>
      </x:c>
      <x:c r="R119" s="83" t="n">
        <x:v>25432.81</x:v>
      </x:c>
      <x:c r="S119" s="83" t="n">
        <x:v>20370.16</x:v>
      </x:c>
      <x:c r="T119" s="83" t="n">
        <x:v>5062.65</x:v>
      </x:c>
      <x:c r="U119" s="83" t="str">
        <x:v>Paid</x:v>
      </x:c>
      <x:c r="V119" s="83" t="str">
        <x:v>Completed</x:v>
      </x:c>
      <x:c r="W119" s="151" t="str">
        <x:f>IF(OR(NOT(ISNUMBER($AP119)),COUNT($O119,$P119)&lt;2,$O119&lt;=0,$P119&lt;0),"",ROUND($O119*$P119*(1-$AP119),2))</x:f>
      </x:c>
      <x:c r="X119" s="151" t="str">
        <x:f>IF(OR(NOT(ISNUMBER($W119)),NOT(ISNUMBER($S119))),"",ROUND($W119-$S119,2))</x:f>
      </x:c>
      <x:c r="Y119" s="85" t="str">
        <x:f>IF(OR(NOT(ISNUMBER($W119)),NOT(ISNUMBER($X119)),$W119=0),"",ROUND($X119/$W119,4))</x:f>
      </x:c>
      <x:c r="Z119" s="82" t="n">
        <x:f>IF(OR($AH119&lt;&gt;"Valid",$AI119&lt;&gt;"Valid"),"",INT($D119-$C119))</x:f>
        <x:v>2</x:v>
      </x:c>
      <x:c r="AA119" s="86" t="str">
        <x:f>IF($AH119&lt;&gt;"Valid","",TEXT($C119,"mmmm"))</x:f>
        <x:v>February</x:v>
      </x:c>
      <x:c r="AB119" s="82" t="n">
        <x:f>IF($AH119&lt;&gt;"Valid","",YEAR($C119))</x:f>
        <x:v>2024</x:v>
      </x:c>
      <x:c r="AC119" s="80" t="str">
        <x:v>Consistent</x:v>
      </x:c>
      <x:c r="AD119" s="80" t="str">
        <x:v>Excluded</x:v>
      </x:c>
      <x:c r="AE119" s="80" t="str">
        <x:f>IF(OR($AH119&lt;&gt;"Valid",$AI119&lt;&gt;"Valid",$AJ119&lt;&gt;"Valid",LEFT($AM119,7)="Invalid",IFERROR(ABS($AQ119)&gt;0.01,FALSE),IFERROR(ABS($AR119)&gt;0.01,FALSE),COUNTIF($AS119,"*Conflicting duplicate*")&gt;0,COUNTIF($AS119,"*Completed order not paid*")&gt;0),"Invalid",IF(OR($H119="Unknown",$N119="Unknown",$AM119="Missing discount imputed as 0"),"Warning","Clean"))</x:f>
        <x:v>Invalid</x:v>
      </x:c>
      <x:c r="AF119" s="80" t="str">
        <x:v>Review</x:v>
      </x:c>
      <x:c r="AG119" s="80" t="str">
        <x:v>discount: Percent text converted</x:v>
      </x:c>
      <x:c r="AH119" s="12" t="str">
        <x:f>IF(C119="","Missing date",IF(ISNUMBER(C119),"Valid","Unrecognized/invalid date"))</x:f>
        <x:v>Valid</x:v>
      </x:c>
      <x:c r="AI119" s="12" t="str">
        <x:f>IF(D119="","Missing date",IF(ISNUMBER(D119),"Valid","Unrecognized/invalid date"))</x:f>
        <x:v>Valid</x:v>
      </x:c>
      <x:c r="AJ119" s="12" t="str">
        <x:v>Valid</x:v>
      </x:c>
      <x:c r="AK119" s="12" t="str">
        <x:v>Pass</x:v>
      </x:c>
      <x:c r="AL119" s="12" t="str">
        <x:v>None</x:v>
      </x:c>
      <x:c r="AM119" s="12" t="str">
        <x:v>Invalid discount – above 50% allowed range</x:v>
      </x:c>
      <x:c r="AN119" s="12" t="str">
        <x:v>Exclude from completed sales</x:v>
      </x:c>
      <x:c r="AO119" s="12" t="str">
        <x:v>Not a refunded record</x:v>
      </x:c>
      <x:c r="AP119" s="37" t="str">
        <x:f>IF(LEFT($AM119,7)="Invalid","",IF($AM119="Missing discount imputed as 0",IF(AND(COUNT($O119,$P119,$R119,$S119)=4,$O119&gt;0,$P119&gt;=0,$R119&gt;=0,$S119&gt;=0),0,""),IF(AND(ISNUMBER($Q119),$Q119&gt;=0,$Q119&lt;=0.5),$Q119,"")))</x:f>
      </x:c>
      <x:c r="AQ119" s="152" t="str">
        <x:f>IF(OR($W119="",NOT(ISNUMBER($R119))),"",ROUND($R119-$W119,2))</x:f>
      </x:c>
      <x:c r="AR119" s="152" t="str">
        <x:f>IF(OR($X119="",NOT(ISNUMBER($T119))),"",ROUND($T119-$X119,2))</x:f>
      </x:c>
      <x:c r="AS119" s="14" t="str">
        <x:v>Discount above allowed range (&gt;50%)</x:v>
      </x:c>
    </x:row>
    <x:row r="120">
      <x:c r="A120" s="80" t="n">
        <x:v>120</x:v>
      </x:c>
      <x:c r="B120" s="80" t="str">
        <x:v>ORD-2024-10119</x:v>
      </x:c>
      <x:c r="C120" s="81" t="n">
        <x:v>45453</x:v>
      </x:c>
      <x:c r="D120" s="81" t="n">
        <x:v>45461</x:v>
      </x:c>
      <x:c r="E120" s="80" t="str">
        <x:v>CUST-9135</x:v>
      </x:c>
      <x:c r="F120" s="80" t="str">
        <x:v>Vikram Iyer</x:v>
      </x:c>
      <x:c r="G120" s="80" t="str">
        <x:v>Home Office</x:v>
      </x:c>
      <x:c r="H120" s="80" t="str">
        <x:v>South</x:v>
      </x:c>
      <x:c r="I120" s="80" t="str">
        <x:v>Andhra Pradesh</x:v>
      </x:c>
      <x:c r="J120" s="80" t="str">
        <x:v>Vijayawada</x:v>
      </x:c>
      <x:c r="K120" s="80" t="str">
        <x:v>Technology</x:v>
      </x:c>
      <x:c r="L120" s="80" t="str">
        <x:v>Copiers</x:v>
      </x:c>
      <x:c r="M120" s="80" t="str">
        <x:v>Pro Copiers 208</x:v>
      </x:c>
      <x:c r="N120" s="80" t="str">
        <x:v>Same Day</x:v>
      </x:c>
      <x:c r="O120" s="82" t="n">
        <x:v>5</x:v>
      </x:c>
      <x:c r="P120" s="83" t="n">
        <x:v>1580.27</x:v>
      </x:c>
      <x:c r="Q120" s="84" t="n">
        <x:v>0.2</x:v>
      </x:c>
      <x:c r="R120" s="83" t="n">
        <x:v>6321.08</x:v>
      </x:c>
      <x:c r="S120" s="83" t="n">
        <x:v>4407.22</x:v>
      </x:c>
      <x:c r="T120" s="83" t="n">
        <x:v>1913.86</x:v>
      </x:c>
      <x:c r="U120" s="83" t="str">
        <x:v>Paid</x:v>
      </x:c>
      <x:c r="V120" s="83" t="str">
        <x:v>Completed</x:v>
      </x:c>
      <x:c r="W120" s="151" t="n">
        <x:f>IF(OR(NOT(ISNUMBER($AP120)),COUNT($O120,$P120)&lt;2,$O120&lt;=0,$P120&lt;0),"",ROUND($O120*$P120*(1-$AP120),2))</x:f>
        <x:v>6321.08</x:v>
      </x:c>
      <x:c r="X120" s="151" t="n">
        <x:f>IF(OR(NOT(ISNUMBER($W120)),NOT(ISNUMBER($S120))),"",ROUND($W120-$S120,2))</x:f>
        <x:v>1913.86</x:v>
      </x:c>
      <x:c r="Y120" s="85" t="n">
        <x:f>IF(OR(NOT(ISNUMBER($W120)),NOT(ISNUMBER($X120)),$W120=0),"",ROUND($X120/$W120,4))</x:f>
        <x:v>0.3028</x:v>
      </x:c>
      <x:c r="Z120" s="82" t="n">
        <x:f>IF(OR($AH120&lt;&gt;"Valid",$AI120&lt;&gt;"Valid"),"",INT($D120-$C120))</x:f>
        <x:v>8</x:v>
      </x:c>
      <x:c r="AA120" s="86" t="str">
        <x:f>IF($AH120&lt;&gt;"Valid","",TEXT($C120,"mmmm"))</x:f>
        <x:v>June</x:v>
      </x:c>
      <x:c r="AB120" s="82" t="n">
        <x:f>IF($AH120&lt;&gt;"Valid","",YEAR($C120))</x:f>
        <x:v>2024</x:v>
      </x:c>
      <x:c r="AC120" s="80" t="str">
        <x:v>Consistent</x:v>
      </x:c>
      <x:c r="AD120" s="80" t="str">
        <x:v>Eligible</x:v>
      </x:c>
      <x:c r="AE120" s="80" t="str">
        <x:f>IF(OR($AH120&lt;&gt;"Valid",$AI120&lt;&gt;"Valid",$AJ120&lt;&gt;"Valid",LEFT($AM120,7)="Invalid",IFERROR(ABS($AQ120)&gt;0.01,FALSE),IFERROR(ABS($AR120)&gt;0.01,FALSE),COUNTIF($AS120,"*Conflicting duplicate*")&gt;0,COUNTIF($AS120,"*Completed order not paid*")&gt;0),"Invalid",IF(OR($H120="Unknown",$N120="Unknown",$AM120="Missing discount imputed as 0"),"Warning","Clean"))</x:f>
        <x:v>Clean</x:v>
      </x:c>
      <x:c r="AF120" s="80" t="str">
        <x:v>Cleaned</x:v>
      </x:c>
      <x:c r="AG120" s="80" t="str">
        <x:v>customer_name: TRIM/SUBSTITUTE whitespace cleanup</x:v>
      </x:c>
      <x:c r="AH120" s="12" t="str">
        <x:f>IF(C120="","Missing date",IF(ISNUMBER(C120),"Valid","Unrecognized/invalid date"))</x:f>
        <x:v>Valid</x:v>
      </x:c>
      <x:c r="AI120" s="12" t="str">
        <x:f>IF(D120="","Missing date",IF(ISNUMBER(D120),"Valid","Unrecognized/invalid date"))</x:f>
        <x:v>Valid</x:v>
      </x:c>
      <x:c r="AJ120" s="12" t="str">
        <x:v>Valid</x:v>
      </x:c>
      <x:c r="AK120" s="12" t="str">
        <x:v>Pass</x:v>
      </x:c>
      <x:c r="AL120" s="12" t="str">
        <x:v>None</x:v>
      </x:c>
      <x:c r="AM120" s="12" t="str">
        <x:v>Valid</x:v>
      </x:c>
      <x:c r="AN120" s="12" t="str">
        <x:v>Include in completed sales</x:v>
      </x:c>
      <x:c r="AO120" s="12" t="str">
        <x:v>Not a refunded record</x:v>
      </x:c>
      <x:c r="AP120" s="37" t="n">
        <x:f>IF(LEFT($AM120,7)="Invalid","",IF($AM120="Missing discount imputed as 0",IF(AND(COUNT($O120,$P120,$R120,$S120)=4,$O120&gt;0,$P120&gt;=0,$R120&gt;=0,$S120&gt;=0),0,""),IF(AND(ISNUMBER($Q120),$Q120&gt;=0,$Q120&lt;=0.5),$Q120,"")))</x:f>
        <x:v>0.2</x:v>
      </x:c>
      <x:c r="AQ120" s="152" t="n">
        <x:f>IF(OR($W120="",NOT(ISNUMBER($R120))),"",ROUND($R120-$W120,2))</x:f>
        <x:v>0</x:v>
      </x:c>
      <x:c r="AR120" s="152" t="n">
        <x:f>IF(OR($X120="",NOT(ISNUMBER($T120))),"",ROUND($T120-$X120,2))</x:f>
        <x:v>0</x:v>
      </x:c>
      <x:c r="AS120" s="14" t="str">
        <x:v>OK</x:v>
      </x:c>
    </x:row>
    <x:row r="121">
      <x:c r="A121" s="80" t="n">
        <x:v>121</x:v>
      </x:c>
      <x:c r="B121" s="80" t="str">
        <x:v>ORD-2024-10120</x:v>
      </x:c>
      <x:c r="C121" s="81" t="n">
        <x:v>45455</x:v>
      </x:c>
      <x:c r="D121" s="81" t="n">
        <x:v>45462</x:v>
      </x:c>
      <x:c r="E121" s="80" t="str">
        <x:v>CUST-7861</x:v>
      </x:c>
      <x:c r="F121" s="80" t="str">
        <x:v>Aditi Sen</x:v>
      </x:c>
      <x:c r="G121" s="80" t="str">
        <x:v>Small Business</x:v>
      </x:c>
      <x:c r="H121" s="80" t="str">
        <x:v>South</x:v>
      </x:c>
      <x:c r="I121" s="80" t="str">
        <x:v>Kerala</x:v>
      </x:c>
      <x:c r="J121" s="80" t="str">
        <x:v>Kochi</x:v>
      </x:c>
      <x:c r="K121" s="80" t="str">
        <x:v>Furniture</x:v>
      </x:c>
      <x:c r="L121" s="80" t="str">
        <x:v>Chairs</x:v>
      </x:c>
      <x:c r="M121" s="80" t="str">
        <x:v>Elite Chairs 921</x:v>
      </x:c>
      <x:c r="N121" s="80" t="str">
        <x:v>Standard Class</x:v>
      </x:c>
      <x:c r="O121" s="82" t="n">
        <x:v>8</x:v>
      </x:c>
      <x:c r="P121" s="83" t="n">
        <x:v>314.05</x:v>
      </x:c>
      <x:c r="Q121" s="84" t="n">
        <x:v>0.25</x:v>
      </x:c>
      <x:c r="R121" s="83" t="n">
        <x:v>1884.3</x:v>
      </x:c>
      <x:c r="S121" s="83" t="n">
        <x:v>1517.69</x:v>
      </x:c>
      <x:c r="T121" s="83" t="n">
        <x:v>366.61</x:v>
      </x:c>
      <x:c r="U121" s="83" t="str">
        <x:v>Refunded</x:v>
      </x:c>
      <x:c r="V121" s="83" t="str">
        <x:v>Returned</x:v>
      </x:c>
      <x:c r="W121" s="151" t="n">
        <x:f>IF(OR(NOT(ISNUMBER($AP121)),COUNT($O121,$P121)&lt;2,$O121&lt;=0,$P121&lt;0),"",ROUND($O121*$P121*(1-$AP121),2))</x:f>
        <x:v>1884.3</x:v>
      </x:c>
      <x:c r="X121" s="151" t="n">
        <x:f>IF(OR(NOT(ISNUMBER($W121)),NOT(ISNUMBER($S121))),"",ROUND($W121-$S121,2))</x:f>
        <x:v>366.61</x:v>
      </x:c>
      <x:c r="Y121" s="85" t="n">
        <x:f>IF(OR(NOT(ISNUMBER($W121)),NOT(ISNUMBER($X121)),$W121=0),"",ROUND($X121/$W121,4))</x:f>
        <x:v>0.1946</x:v>
      </x:c>
      <x:c r="Z121" s="82" t="n">
        <x:f>IF(OR($AH121&lt;&gt;"Valid",$AI121&lt;&gt;"Valid"),"",INT($D121-$C121))</x:f>
        <x:v>7</x:v>
      </x:c>
      <x:c r="AA121" s="86" t="str">
        <x:f>IF($AH121&lt;&gt;"Valid","",TEXT($C121,"mmmm"))</x:f>
        <x:v>June</x:v>
      </x:c>
      <x:c r="AB121" s="82" t="n">
        <x:f>IF($AH121&lt;&gt;"Valid","",YEAR($C121))</x:f>
        <x:v>2024</x:v>
      </x:c>
      <x:c r="AC121" s="80" t="str">
        <x:v>Refunded (separately summarized)</x:v>
      </x:c>
      <x:c r="AD121" s="80" t="str">
        <x:v>Excluded</x:v>
      </x:c>
      <x:c r="AE121" s="80" t="str">
        <x:f>IF(OR($AH121&lt;&gt;"Valid",$AI121&lt;&gt;"Valid",$AJ121&lt;&gt;"Valid",LEFT($AM121,7)="Invalid",IFERROR(ABS($AQ121)&gt;0.01,FALSE),IFERROR(ABS($AR121)&gt;0.01,FALSE),COUNTIF($AS121,"*Conflicting duplicate*")&gt;0,COUNTIF($AS121,"*Completed order not paid*")&gt;0),"Invalid",IF(OR($H121="Unknown",$N121="Unknown",$AM121="Missing discount imputed as 0"),"Warning","Clean"))</x:f>
        <x:v>Clean</x:v>
      </x:c>
      <x:c r="AF121" s="80" t="str">
        <x:v>Cleaned</x:v>
      </x:c>
      <x:c r="AG121" s="80" t="str">
        <x:v>segment: TRIM/SUBSTITUTE whitespace cleanup</x:v>
      </x:c>
      <x:c r="AH121" s="12" t="str">
        <x:f>IF(C121="","Missing date",IF(ISNUMBER(C121),"Valid","Unrecognized/invalid date"))</x:f>
        <x:v>Valid</x:v>
      </x:c>
      <x:c r="AI121" s="12" t="str">
        <x:f>IF(D121="","Missing date",IF(ISNUMBER(D121),"Valid","Unrecognized/invalid date"))</x:f>
        <x:v>Valid</x:v>
      </x:c>
      <x:c r="AJ121" s="12" t="str">
        <x:v>Valid</x:v>
      </x:c>
      <x:c r="AK121" s="12" t="str">
        <x:v>Pass</x:v>
      </x:c>
      <x:c r="AL121" s="12" t="str">
        <x:v>Refunded payment – separately summarized</x:v>
      </x:c>
      <x:c r="AM121" s="12" t="str">
        <x:v>Valid</x:v>
      </x:c>
      <x:c r="AN121" s="12" t="str">
        <x:v>Exclude from completed sales</x:v>
      </x:c>
      <x:c r="AO121" s="12" t="str">
        <x:v>Include in refunded summary</x:v>
      </x:c>
      <x:c r="AP121" s="37" t="n">
        <x:f>IF(LEFT($AM121,7)="Invalid","",IF($AM121="Missing discount imputed as 0",IF(AND(COUNT($O121,$P121,$R121,$S121)=4,$O121&gt;0,$P121&gt;=0,$R121&gt;=0,$S121&gt;=0),0,""),IF(AND(ISNUMBER($Q121),$Q121&gt;=0,$Q121&lt;=0.5),$Q121,"")))</x:f>
        <x:v>0.25</x:v>
      </x:c>
      <x:c r="AQ121" s="152" t="n">
        <x:f>IF(OR($W121="",NOT(ISNUMBER($R121))),"",ROUND($R121-$W121,2))</x:f>
        <x:v>0</x:v>
      </x:c>
      <x:c r="AR121" s="152" t="n">
        <x:f>IF(OR($X121="",NOT(ISNUMBER($T121))),"",ROUND($T121-$X121,2))</x:f>
        <x:v>0</x:v>
      </x:c>
      <x:c r="AS121" s="14" t="str">
        <x:v>OK</x:v>
      </x:c>
    </x:row>
    <x:row r="122">
      <x:c r="A122" s="80" t="n">
        <x:v>122</x:v>
      </x:c>
      <x:c r="B122" s="80" t="str">
        <x:v>ORD-2024-10121</x:v>
      </x:c>
      <x:c r="C122" s="81" t="n">
        <x:v>45514</x:v>
      </x:c>
      <x:c r="D122" s="81" t="n">
        <x:v>45522</x:v>
      </x:c>
      <x:c r="E122" s="80" t="str">
        <x:v>CUST-6096</x:v>
      </x:c>
      <x:c r="F122" s="80" t="str">
        <x:v>Sneha Kapoor</x:v>
      </x:c>
      <x:c r="G122" s="80" t="str">
        <x:v>Small Business</x:v>
      </x:c>
      <x:c r="H122" s="80" t="str">
        <x:v>East</x:v>
      </x:c>
      <x:c r="I122" s="80" t="str">
        <x:v>Bihar</x:v>
      </x:c>
      <x:c r="J122" s="80" t="str">
        <x:v>Patna</x:v>
      </x:c>
      <x:c r="K122" s="80" t="str">
        <x:v>Technology</x:v>
      </x:c>
      <x:c r="L122" s="80" t="str">
        <x:v>Phones</x:v>
      </x:c>
      <x:c r="M122" s="80" t="str">
        <x:v>Prime Phones 540</x:v>
      </x:c>
      <x:c r="N122" s="80" t="str">
        <x:v>Standard Class</x:v>
      </x:c>
      <x:c r="O122" s="82" t="n">
        <x:v>1</x:v>
      </x:c>
      <x:c r="P122" s="83" t="n">
        <x:v>1823.67</x:v>
      </x:c>
      <x:c r="Q122" s="84" t="n">
        <x:v>0.2</x:v>
      </x:c>
      <x:c r="R122" s="83" t="n">
        <x:v>1458.94</x:v>
      </x:c>
      <x:c r="S122" s="83" t="n">
        <x:v>893.2</x:v>
      </x:c>
      <x:c r="T122" s="83" t="n">
        <x:v>565.74</x:v>
      </x:c>
      <x:c r="U122" s="83" t="str">
        <x:v>Paid</x:v>
      </x:c>
      <x:c r="V122" s="83" t="str">
        <x:v>Returned</x:v>
      </x:c>
      <x:c r="W122" s="151" t="n">
        <x:f>IF(OR(NOT(ISNUMBER($AP122)),COUNT($O122,$P122)&lt;2,$O122&lt;=0,$P122&lt;0),"",ROUND($O122*$P122*(1-$AP122),2))</x:f>
        <x:v>1458.94</x:v>
      </x:c>
      <x:c r="X122" s="151" t="n">
        <x:f>IF(OR(NOT(ISNUMBER($W122)),NOT(ISNUMBER($S122))),"",ROUND($W122-$S122,2))</x:f>
        <x:v>565.74</x:v>
      </x:c>
      <x:c r="Y122" s="85" t="n">
        <x:f>IF(OR(NOT(ISNUMBER($W122)),NOT(ISNUMBER($X122)),$W122=0),"",ROUND($X122/$W122,4))</x:f>
        <x:v>0.3878</x:v>
      </x:c>
      <x:c r="Z122" s="82" t="n">
        <x:f>IF(OR($AH122&lt;&gt;"Valid",$AI122&lt;&gt;"Valid"),"",INT($D122-$C122))</x:f>
        <x:v>8</x:v>
      </x:c>
      <x:c r="AA122" s="86" t="str">
        <x:f>IF($AH122&lt;&gt;"Valid","",TEXT($C122,"mmmm"))</x:f>
        <x:v>August</x:v>
      </x:c>
      <x:c r="AB122" s="82" t="n">
        <x:f>IF($AH122&lt;&gt;"Valid","",YEAR($C122))</x:f>
        <x:v>2024</x:v>
      </x:c>
      <x:c r="AC122" s="80" t="str">
        <x:v>Consistent</x:v>
      </x:c>
      <x:c r="AD122" s="80" t="str">
        <x:v>Excluded</x:v>
      </x:c>
      <x:c r="AE122" s="80" t="str">
        <x:f>IF(OR($AH122&lt;&gt;"Valid",$AI122&lt;&gt;"Valid",$AJ122&lt;&gt;"Valid",LEFT($AM122,7)="Invalid",IFERROR(ABS($AQ122)&gt;0.01,FALSE),IFERROR(ABS($AR122)&gt;0.01,FALSE),COUNTIF($AS122,"*Conflicting duplicate*")&gt;0,COUNTIF($AS122,"*Completed order not paid*")&gt;0),"Invalid",IF(OR($H122="Unknown",$N122="Unknown",$AM122="Missing discount imputed as 0"),"Warning","Clean"))</x:f>
        <x:v>Clean</x:v>
      </x:c>
      <x:c r="AF122" s="80" t="str">
        <x:v>Pass</x:v>
      </x:c>
      <x:c r="AG122" s="80" t="str">
        <x:v>No text cleanup required</x:v>
      </x:c>
      <x:c r="AH122" s="12" t="str">
        <x:f>IF(C122="","Missing date",IF(ISNUMBER(C122),"Valid","Unrecognized/invalid date"))</x:f>
        <x:v>Valid</x:v>
      </x:c>
      <x:c r="AI122" s="12" t="str">
        <x:f>IF(D122="","Missing date",IF(ISNUMBER(D122),"Valid","Unrecognized/invalid date"))</x:f>
        <x:v>Valid</x:v>
      </x:c>
      <x:c r="AJ122" s="12" t="str">
        <x:v>Valid</x:v>
      </x:c>
      <x:c r="AK122" s="12" t="str">
        <x:v>Pass</x:v>
      </x:c>
      <x:c r="AL122" s="12" t="str">
        <x:v>None</x:v>
      </x:c>
      <x:c r="AM122" s="12" t="str">
        <x:v>Valid</x:v>
      </x:c>
      <x:c r="AN122" s="12" t="str">
        <x:v>Exclude from completed sales</x:v>
      </x:c>
      <x:c r="AO122" s="12" t="str">
        <x:v>Not a refunded record</x:v>
      </x:c>
      <x:c r="AP122" s="37" t="n">
        <x:f>IF(LEFT($AM122,7)="Invalid","",IF($AM122="Missing discount imputed as 0",IF(AND(COUNT($O122,$P122,$R122,$S122)=4,$O122&gt;0,$P122&gt;=0,$R122&gt;=0,$S122&gt;=0),0,""),IF(AND(ISNUMBER($Q122),$Q122&gt;=0,$Q122&lt;=0.5),$Q122,"")))</x:f>
        <x:v>0.2</x:v>
      </x:c>
      <x:c r="AQ122" s="152" t="n">
        <x:f>IF(OR($W122="",NOT(ISNUMBER($R122))),"",ROUND($R122-$W122,2))</x:f>
        <x:v>0</x:v>
      </x:c>
      <x:c r="AR122" s="152" t="n">
        <x:f>IF(OR($X122="",NOT(ISNUMBER($T122))),"",ROUND($T122-$X122,2))</x:f>
        <x:v>0</x:v>
      </x:c>
      <x:c r="AS122" s="14" t="str">
        <x:v>OK</x:v>
      </x:c>
    </x:row>
    <x:row r="123">
      <x:c r="A123" s="80" t="n">
        <x:v>123</x:v>
      </x:c>
      <x:c r="B123" s="80" t="str">
        <x:v>ORD-2025-10122</x:v>
      </x:c>
      <x:c r="C123" s="81" t="n">
        <x:v>45891</x:v>
      </x:c>
      <x:c r="D123" s="81" t="n">
        <x:v>45895</x:v>
      </x:c>
      <x:c r="E123" s="80" t="str">
        <x:v>CUST-2044</x:v>
      </x:c>
      <x:c r="F123" s="80" t="str">
        <x:v>Kabir Singh</x:v>
      </x:c>
      <x:c r="G123" s="80" t="str">
        <x:v>Small Business</x:v>
      </x:c>
      <x:c r="H123" s="80" t="str">
        <x:v>South</x:v>
      </x:c>
      <x:c r="I123" s="80" t="str">
        <x:v>Andhra Pradesh</x:v>
      </x:c>
      <x:c r="J123" s="80" t="str">
        <x:v>Vijayawada</x:v>
      </x:c>
      <x:c r="K123" s="80" t="str">
        <x:v>Technology</x:v>
      </x:c>
      <x:c r="L123" s="80" t="str">
        <x:v>Machines</x:v>
      </x:c>
      <x:c r="M123" s="80" t="str">
        <x:v>Max Machines 948</x:v>
      </x:c>
      <x:c r="N123" s="80" t="str">
        <x:v>Second Class</x:v>
      </x:c>
      <x:c r="O123" s="82" t="n">
        <x:v>5</x:v>
      </x:c>
      <x:c r="P123" s="83" t="n">
        <x:v>3482.92</x:v>
      </x:c>
      <x:c r="Q123" s="84" t="n">
        <x:v>0</x:v>
      </x:c>
      <x:c r="R123" s="83" t="n">
        <x:v>17414.6</x:v>
      </x:c>
      <x:c r="S123" s="83" t="n">
        <x:v>11760.91</x:v>
      </x:c>
      <x:c r="T123" s="83" t="n">
        <x:v>5653.69</x:v>
      </x:c>
      <x:c r="U123" s="83" t="str">
        <x:v>Refunded</x:v>
      </x:c>
      <x:c r="V123" s="83" t="str">
        <x:v>Cancelled</x:v>
      </x:c>
      <x:c r="W123" s="151" t="n">
        <x:f>IF(OR(NOT(ISNUMBER($AP123)),COUNT($O123,$P123)&lt;2,$O123&lt;=0,$P123&lt;0),"",ROUND($O123*$P123*(1-$AP123),2))</x:f>
        <x:v>17414.6</x:v>
      </x:c>
      <x:c r="X123" s="151" t="n">
        <x:f>IF(OR(NOT(ISNUMBER($W123)),NOT(ISNUMBER($S123))),"",ROUND($W123-$S123,2))</x:f>
        <x:v>5653.69</x:v>
      </x:c>
      <x:c r="Y123" s="85" t="n">
        <x:f>IF(OR(NOT(ISNUMBER($W123)),NOT(ISNUMBER($X123)),$W123=0),"",ROUND($X123/$W123,4))</x:f>
        <x:v>0.3247</x:v>
      </x:c>
      <x:c r="Z123" s="82" t="n">
        <x:f>IF(OR($AH123&lt;&gt;"Valid",$AI123&lt;&gt;"Valid"),"",INT($D123-$C123))</x:f>
        <x:v>4</x:v>
      </x:c>
      <x:c r="AA123" s="86" t="str">
        <x:f>IF($AH123&lt;&gt;"Valid","",TEXT($C123,"mmmm"))</x:f>
        <x:v>August</x:v>
      </x:c>
      <x:c r="AB123" s="82" t="n">
        <x:f>IF($AH123&lt;&gt;"Valid","",YEAR($C123))</x:f>
        <x:v>2025</x:v>
      </x:c>
      <x:c r="AC123" s="80" t="str">
        <x:v>Cancelled (excluded from completed-sales summary)</x:v>
      </x:c>
      <x:c r="AD123" s="80" t="str">
        <x:v>Excluded</x:v>
      </x:c>
      <x:c r="AE123" s="80" t="str">
        <x:f>IF(OR($AH123&lt;&gt;"Valid",$AI123&lt;&gt;"Valid",$AJ123&lt;&gt;"Valid",LEFT($AM123,7)="Invalid",IFERROR(ABS($AQ123)&gt;0.01,FALSE),IFERROR(ABS($AR123)&gt;0.01,FALSE),COUNTIF($AS123,"*Conflicting duplicate*")&gt;0,COUNTIF($AS123,"*Completed order not paid*")&gt;0),"Invalid",IF(OR($H123="Unknown",$N123="Unknown",$AM123="Missing discount imputed as 0"),"Warning","Clean"))</x:f>
        <x:v>Clean</x:v>
      </x:c>
      <x:c r="AF123" s="80" t="str">
        <x:v>Cleaned</x:v>
      </x:c>
      <x:c r="AG123" s="80" t="str">
        <x:v>segment: TRIM/SUBSTITUTE whitespace cleanup</x:v>
      </x:c>
      <x:c r="AH123" s="12" t="str">
        <x:f>IF(C123="","Missing date",IF(ISNUMBER(C123),"Valid","Unrecognized/invalid date"))</x:f>
        <x:v>Valid</x:v>
      </x:c>
      <x:c r="AI123" s="12" t="str">
        <x:f>IF(D123="","Missing date",IF(ISNUMBER(D123),"Valid","Unrecognized/invalid date"))</x:f>
        <x:v>Valid</x:v>
      </x:c>
      <x:c r="AJ123" s="12" t="str">
        <x:v>Valid</x:v>
      </x:c>
      <x:c r="AK123" s="12" t="str">
        <x:v>Pass</x:v>
      </x:c>
      <x:c r="AL123" s="12" t="str">
        <x:v>Cancelled order – excluded from completed sales; Refunded payment – separately summarized</x:v>
      </x:c>
      <x:c r="AM123" s="12" t="str">
        <x:v>Valid</x:v>
      </x:c>
      <x:c r="AN123" s="12" t="str">
        <x:v>Exclude from completed sales</x:v>
      </x:c>
      <x:c r="AO123" s="12" t="str">
        <x:v>Include in refunded summary</x:v>
      </x:c>
      <x:c r="AP123" s="37" t="n">
        <x:f>IF(LEFT($AM123,7)="Invalid","",IF($AM123="Missing discount imputed as 0",IF(AND(COUNT($O123,$P123,$R123,$S123)=4,$O123&gt;0,$P123&gt;=0,$R123&gt;=0,$S123&gt;=0),0,""),IF(AND(ISNUMBER($Q123),$Q123&gt;=0,$Q123&lt;=0.5),$Q123,"")))</x:f>
        <x:v>0</x:v>
      </x:c>
      <x:c r="AQ123" s="152" t="n">
        <x:f>IF(OR($W123="",NOT(ISNUMBER($R123))),"",ROUND($R123-$W123,2))</x:f>
        <x:v>0</x:v>
      </x:c>
      <x:c r="AR123" s="152" t="n">
        <x:f>IF(OR($X123="",NOT(ISNUMBER($T123))),"",ROUND($T123-$X123,2))</x:f>
        <x:v>0</x:v>
      </x:c>
      <x:c r="AS123" s="14" t="str">
        <x:v>OK</x:v>
      </x:c>
    </x:row>
    <x:row r="124">
      <x:c r="A124" s="80" t="n">
        <x:v>124</x:v>
      </x:c>
      <x:c r="B124" s="80" t="str">
        <x:v>ORD-2024-10123</x:v>
      </x:c>
      <x:c r="C124" s="81" t="n">
        <x:v>45626</x:v>
      </x:c>
      <x:c r="D124" s="81" t="n">
        <x:v>45630</x:v>
      </x:c>
      <x:c r="E124" s="80" t="str">
        <x:v>CUST-1721</x:v>
      </x:c>
      <x:c r="F124" s="80" t="str">
        <x:v>Ananya Rao</x:v>
      </x:c>
      <x:c r="G124" s="80" t="str">
        <x:v>Small Business</x:v>
      </x:c>
      <x:c r="H124" s="80" t="str">
        <x:v>East</x:v>
      </x:c>
      <x:c r="I124" s="80" t="str">
        <x:v>Assam</x:v>
      </x:c>
      <x:c r="J124" s="80" t="str">
        <x:v>Guwahati</x:v>
      </x:c>
      <x:c r="K124" s="80" t="str">
        <x:v>Furniture</x:v>
      </x:c>
      <x:c r="L124" s="80" t="str">
        <x:v>Chairs</x:v>
      </x:c>
      <x:c r="M124" s="80" t="str">
        <x:v>Max Chairs 786</x:v>
      </x:c>
      <x:c r="N124" s="80" t="str">
        <x:v>Second Class</x:v>
      </x:c>
      <x:c r="O124" s="82" t="n">
        <x:v>3</x:v>
      </x:c>
      <x:c r="P124" s="83" t="n">
        <x:v>170.35</x:v>
      </x:c>
      <x:c r="Q124" s="84" t="n">
        <x:v>0</x:v>
      </x:c>
      <x:c r="R124" s="83" t="n">
        <x:v>511.05</x:v>
      </x:c>
      <x:c r="S124" s="83" t="n">
        <x:v>367.18</x:v>
      </x:c>
      <x:c r="T124" s="83" t="n">
        <x:v>143.87</x:v>
      </x:c>
      <x:c r="U124" s="83" t="str">
        <x:v>Paid</x:v>
      </x:c>
      <x:c r="V124" s="83" t="str">
        <x:v>Completed</x:v>
      </x:c>
      <x:c r="W124" s="151" t="n">
        <x:f>IF(OR(NOT(ISNUMBER($AP124)),COUNT($O124,$P124)&lt;2,$O124&lt;=0,$P124&lt;0),"",ROUND($O124*$P124*(1-$AP124),2))</x:f>
        <x:v>511.05</x:v>
      </x:c>
      <x:c r="X124" s="151" t="n">
        <x:f>IF(OR(NOT(ISNUMBER($W124)),NOT(ISNUMBER($S124))),"",ROUND($W124-$S124,2))</x:f>
        <x:v>143.87</x:v>
      </x:c>
      <x:c r="Y124" s="85" t="n">
        <x:f>IF(OR(NOT(ISNUMBER($W124)),NOT(ISNUMBER($X124)),$W124=0),"",ROUND($X124/$W124,4))</x:f>
        <x:v>0.2815</x:v>
      </x:c>
      <x:c r="Z124" s="82" t="n">
        <x:f>IF(OR($AH124&lt;&gt;"Valid",$AI124&lt;&gt;"Valid"),"",INT($D124-$C124))</x:f>
        <x:v>4</x:v>
      </x:c>
      <x:c r="AA124" s="86" t="str">
        <x:f>IF($AH124&lt;&gt;"Valid","",TEXT($C124,"mmmm"))</x:f>
        <x:v>November</x:v>
      </x:c>
      <x:c r="AB124" s="82" t="n">
        <x:f>IF($AH124&lt;&gt;"Valid","",YEAR($C124))</x:f>
        <x:v>2024</x:v>
      </x:c>
      <x:c r="AC124" s="80" t="str">
        <x:v>Consistent</x:v>
      </x:c>
      <x:c r="AD124" s="80" t="str">
        <x:v>Eligible</x:v>
      </x:c>
      <x:c r="AE124" s="80" t="str">
        <x:f>IF(OR($AH124&lt;&gt;"Valid",$AI124&lt;&gt;"Valid",$AJ124&lt;&gt;"Valid",LEFT($AM124,7)="Invalid",IFERROR(ABS($AQ124)&gt;0.01,FALSE),IFERROR(ABS($AR124)&gt;0.01,FALSE),COUNTIF($AS124,"*Conflicting duplicate*")&gt;0,COUNTIF($AS124,"*Completed order not paid*")&gt;0),"Invalid",IF(OR($H124="Unknown",$N124="Unknown",$AM124="Missing discount imputed as 0"),"Warning","Clean"))</x:f>
        <x:v>Clean</x:v>
      </x:c>
      <x:c r="AF124" s="80" t="str">
        <x:v>Pass</x:v>
      </x:c>
      <x:c r="AG124" s="80" t="str">
        <x:v>No text cleanup required</x:v>
      </x:c>
      <x:c r="AH124" s="12" t="str">
        <x:f>IF(C124="","Missing date",IF(ISNUMBER(C124),"Valid","Unrecognized/invalid date"))</x:f>
        <x:v>Valid</x:v>
      </x:c>
      <x:c r="AI124" s="12" t="str">
        <x:f>IF(D124="","Missing date",IF(ISNUMBER(D124),"Valid","Unrecognized/invalid date"))</x:f>
        <x:v>Valid</x:v>
      </x:c>
      <x:c r="AJ124" s="12" t="str">
        <x:v>Valid</x:v>
      </x:c>
      <x:c r="AK124" s="12" t="str">
        <x:v>Pass</x:v>
      </x:c>
      <x:c r="AL124" s="12" t="str">
        <x:v>None</x:v>
      </x:c>
      <x:c r="AM124" s="12" t="str">
        <x:v>Valid</x:v>
      </x:c>
      <x:c r="AN124" s="12" t="str">
        <x:v>Include in completed sales</x:v>
      </x:c>
      <x:c r="AO124" s="12" t="str">
        <x:v>Not a refunded record</x:v>
      </x:c>
      <x:c r="AP124" s="37" t="n">
        <x:f>IF(LEFT($AM124,7)="Invalid","",IF($AM124="Missing discount imputed as 0",IF(AND(COUNT($O124,$P124,$R124,$S124)=4,$O124&gt;0,$P124&gt;=0,$R124&gt;=0,$S124&gt;=0),0,""),IF(AND(ISNUMBER($Q124),$Q124&gt;=0,$Q124&lt;=0.5),$Q124,"")))</x:f>
        <x:v>0</x:v>
      </x:c>
      <x:c r="AQ124" s="152" t="n">
        <x:f>IF(OR($W124="",NOT(ISNUMBER($R124))),"",ROUND($R124-$W124,2))</x:f>
        <x:v>0</x:v>
      </x:c>
      <x:c r="AR124" s="152" t="n">
        <x:f>IF(OR($X124="",NOT(ISNUMBER($T124))),"",ROUND($T124-$X124,2))</x:f>
        <x:v>0</x:v>
      </x:c>
      <x:c r="AS124" s="14" t="str">
        <x:v>OK</x:v>
      </x:c>
    </x:row>
    <x:row r="125">
      <x:c r="A125" s="80" t="n">
        <x:v>125</x:v>
      </x:c>
      <x:c r="B125" s="80" t="str">
        <x:v>ORD-2024-10124</x:v>
      </x:c>
      <x:c r="C125" s="81" t="n">
        <x:v>45436</x:v>
      </x:c>
      <x:c r="D125" s="81" t="n">
        <x:v>45437</x:v>
      </x:c>
      <x:c r="E125" s="80" t="str">
        <x:v>CUST-1007</x:v>
      </x:c>
      <x:c r="F125" s="80" t="str">
        <x:v>Sneha Kapoor</x:v>
      </x:c>
      <x:c r="G125" s="80" t="str">
        <x:v>Small Business</x:v>
      </x:c>
      <x:c r="H125" s="80" t="str">
        <x:v>North</x:v>
      </x:c>
      <x:c r="I125" s="80" t="str">
        <x:v>Punjab</x:v>
      </x:c>
      <x:c r="J125" s="80" t="str">
        <x:v>Ludhiana</x:v>
      </x:c>
      <x:c r="K125" s="80" t="str">
        <x:v>Technology</x:v>
      </x:c>
      <x:c r="L125" s="80" t="str">
        <x:v>Copiers</x:v>
      </x:c>
      <x:c r="M125" s="80" t="str">
        <x:v>Max Copiers 970</x:v>
      </x:c>
      <x:c r="N125" s="80" t="str">
        <x:v>Same Day</x:v>
      </x:c>
      <x:c r="O125" s="82" t="n">
        <x:v>1</x:v>
      </x:c>
      <x:c r="P125" s="83" t="n">
        <x:v>634.13</x:v>
      </x:c>
      <x:c r="Q125" s="84" t="n">
        <x:v>0</x:v>
      </x:c>
      <x:c r="R125" s="83" t="n">
        <x:v>634.13</x:v>
      </x:c>
      <x:c r="S125" s="83" t="n">
        <x:v>453.35</x:v>
      </x:c>
      <x:c r="T125" s="83" t="n">
        <x:v>180.78</x:v>
      </x:c>
      <x:c r="U125" s="83" t="str">
        <x:v>Refunded</x:v>
      </x:c>
      <x:c r="V125" s="83" t="str">
        <x:v>Cancelled</x:v>
      </x:c>
      <x:c r="W125" s="151" t="n">
        <x:f>IF(OR(NOT(ISNUMBER($AP125)),COUNT($O125,$P125)&lt;2,$O125&lt;=0,$P125&lt;0),"",ROUND($O125*$P125*(1-$AP125),2))</x:f>
        <x:v>634.13</x:v>
      </x:c>
      <x:c r="X125" s="151" t="n">
        <x:f>IF(OR(NOT(ISNUMBER($W125)),NOT(ISNUMBER($S125))),"",ROUND($W125-$S125,2))</x:f>
        <x:v>180.78</x:v>
      </x:c>
      <x:c r="Y125" s="85" t="n">
        <x:f>IF(OR(NOT(ISNUMBER($W125)),NOT(ISNUMBER($X125)),$W125=0),"",ROUND($X125/$W125,4))</x:f>
        <x:v>0.2851</x:v>
      </x:c>
      <x:c r="Z125" s="82" t="n">
        <x:f>IF(OR($AH125&lt;&gt;"Valid",$AI125&lt;&gt;"Valid"),"",INT($D125-$C125))</x:f>
        <x:v>1</x:v>
      </x:c>
      <x:c r="AA125" s="86" t="str">
        <x:f>IF($AH125&lt;&gt;"Valid","",TEXT($C125,"mmmm"))</x:f>
        <x:v>May</x:v>
      </x:c>
      <x:c r="AB125" s="82" t="n">
        <x:f>IF($AH125&lt;&gt;"Valid","",YEAR($C125))</x:f>
        <x:v>2024</x:v>
      </x:c>
      <x:c r="AC125" s="80" t="str">
        <x:v>Cancelled (excluded from completed-sales summary)</x:v>
      </x:c>
      <x:c r="AD125" s="80" t="str">
        <x:v>Excluded</x:v>
      </x:c>
      <x:c r="AE125" s="80" t="str">
        <x:f>IF(OR($AH125&lt;&gt;"Valid",$AI125&lt;&gt;"Valid",$AJ125&lt;&gt;"Valid",LEFT($AM125,7)="Invalid",IFERROR(ABS($AQ125)&gt;0.01,FALSE),IFERROR(ABS($AR125)&gt;0.01,FALSE),COUNTIF($AS125,"*Conflicting duplicate*")&gt;0,COUNTIF($AS125,"*Completed order not paid*")&gt;0),"Invalid",IF(OR($H125="Unknown",$N125="Unknown",$AM125="Missing discount imputed as 0"),"Warning","Clean"))</x:f>
        <x:v>Clean</x:v>
      </x:c>
      <x:c r="AF125" s="80" t="str">
        <x:v>Review</x:v>
      </x:c>
      <x:c r="AG125" s="80" t="str">
        <x:v>region: Case standardization</x:v>
      </x:c>
      <x:c r="AH125" s="12" t="str">
        <x:f>IF(C125="","Missing date",IF(ISNUMBER(C125),"Valid","Unrecognized/invalid date"))</x:f>
        <x:v>Valid</x:v>
      </x:c>
      <x:c r="AI125" s="12" t="str">
        <x:f>IF(D125="","Missing date",IF(ISNUMBER(D125),"Valid","Unrecognized/invalid date"))</x:f>
        <x:v>Valid</x:v>
      </x:c>
      <x:c r="AJ125" s="12" t="str">
        <x:v>Valid</x:v>
      </x:c>
      <x:c r="AK125" s="12" t="str">
        <x:v>Pass</x:v>
      </x:c>
      <x:c r="AL125" s="12" t="str">
        <x:v>Cancelled order – excluded from completed sales; Refunded payment – separately summarized</x:v>
      </x:c>
      <x:c r="AM125" s="12" t="str">
        <x:v>Valid</x:v>
      </x:c>
      <x:c r="AN125" s="12" t="str">
        <x:v>Exclude from completed sales</x:v>
      </x:c>
      <x:c r="AO125" s="12" t="str">
        <x:v>Include in refunded summary</x:v>
      </x:c>
      <x:c r="AP125" s="37" t="n">
        <x:f>IF(LEFT($AM125,7)="Invalid","",IF($AM125="Missing discount imputed as 0",IF(AND(COUNT($O125,$P125,$R125,$S125)=4,$O125&gt;0,$P125&gt;=0,$R125&gt;=0,$S125&gt;=0),0,""),IF(AND(ISNUMBER($Q125),$Q125&gt;=0,$Q125&lt;=0.5),$Q125,"")))</x:f>
        <x:v>0</x:v>
      </x:c>
      <x:c r="AQ125" s="152" t="n">
        <x:f>IF(OR($W125="",NOT(ISNUMBER($R125))),"",ROUND($R125-$W125,2))</x:f>
        <x:v>0</x:v>
      </x:c>
      <x:c r="AR125" s="152" t="n">
        <x:f>IF(OR($X125="",NOT(ISNUMBER($T125))),"",ROUND($T125-$X125,2))</x:f>
        <x:v>0</x:v>
      </x:c>
      <x:c r="AS125" s="14" t="str">
        <x:v>Conflicting duplicate order ID</x:v>
      </x:c>
    </x:row>
    <x:row r="126">
      <x:c r="A126" s="80" t="n">
        <x:v>126</x:v>
      </x:c>
      <x:c r="B126" s="80" t="str">
        <x:v>ORD-2024-10125</x:v>
      </x:c>
      <x:c r="C126" s="81" t="n">
        <x:v>45494</x:v>
      </x:c>
      <x:c r="D126" s="81" t="n">
        <x:v>45497</x:v>
      </x:c>
      <x:c r="E126" s="80" t="str">
        <x:v>CUST-4450</x:v>
      </x:c>
      <x:c r="F126" s="80" t="str">
        <x:v>Isha Nair</x:v>
      </x:c>
      <x:c r="G126" s="80" t="str">
        <x:v>Corporate</x:v>
      </x:c>
      <x:c r="H126" s="80" t="str">
        <x:v>South</x:v>
      </x:c>
      <x:c r="I126" s="80" t="str">
        <x:v>Karnataka</x:v>
      </x:c>
      <x:c r="J126" s="80" t="str">
        <x:v>Bengaluru</x:v>
      </x:c>
      <x:c r="K126" s="80" t="str">
        <x:v>Technology</x:v>
      </x:c>
      <x:c r="L126" s="80" t="str">
        <x:v>Copiers</x:v>
      </x:c>
      <x:c r="M126" s="80" t="str">
        <x:v>Pro Copiers 769</x:v>
      </x:c>
      <x:c r="N126" s="80" t="str">
        <x:v>Standard Class</x:v>
      </x:c>
      <x:c r="O126" s="82" t="n">
        <x:v>9</x:v>
      </x:c>
      <x:c r="P126" s="83" t="n">
        <x:v>465.06</x:v>
      </x:c>
      <x:c r="Q126" s="84" t="n">
        <x:v>-0.15</x:v>
      </x:c>
      <x:c r="R126" s="83" t="n">
        <x:v>4185.54</x:v>
      </x:c>
      <x:c r="S126" s="83" t="n">
        <x:v>3443.74</x:v>
      </x:c>
      <x:c r="T126" s="83" t="n">
        <x:v>741.8</x:v>
      </x:c>
      <x:c r="U126" s="83" t="str">
        <x:v>Paid</x:v>
      </x:c>
      <x:c r="V126" s="83" t="str">
        <x:v>Completed</x:v>
      </x:c>
      <x:c r="W126" s="151" t="str">
        <x:f>IF(OR(NOT(ISNUMBER($AP126)),COUNT($O126,$P126)&lt;2,$O126&lt;=0,$P126&lt;0),"",ROUND($O126*$P126*(1-$AP126),2))</x:f>
      </x:c>
      <x:c r="X126" s="151" t="str">
        <x:f>IF(OR(NOT(ISNUMBER($W126)),NOT(ISNUMBER($S126))),"",ROUND($W126-$S126,2))</x:f>
      </x:c>
      <x:c r="Y126" s="85" t="str">
        <x:f>IF(OR(NOT(ISNUMBER($W126)),NOT(ISNUMBER($X126)),$W126=0),"",ROUND($X126/$W126,4))</x:f>
      </x:c>
      <x:c r="Z126" s="82" t="n">
        <x:f>IF(OR($AH126&lt;&gt;"Valid",$AI126&lt;&gt;"Valid"),"",INT($D126-$C126))</x:f>
        <x:v>3</x:v>
      </x:c>
      <x:c r="AA126" s="86" t="str">
        <x:f>IF($AH126&lt;&gt;"Valid","",TEXT($C126,"mmmm"))</x:f>
        <x:v>July</x:v>
      </x:c>
      <x:c r="AB126" s="82" t="n">
        <x:f>IF($AH126&lt;&gt;"Valid","",YEAR($C126))</x:f>
        <x:v>2024</x:v>
      </x:c>
      <x:c r="AC126" s="80" t="str">
        <x:v>Consistent</x:v>
      </x:c>
      <x:c r="AD126" s="80" t="str">
        <x:v>Excluded</x:v>
      </x:c>
      <x:c r="AE126" s="80" t="str">
        <x:f>IF(OR($AH126&lt;&gt;"Valid",$AI126&lt;&gt;"Valid",$AJ126&lt;&gt;"Valid",LEFT($AM126,7)="Invalid",IFERROR(ABS($AQ126)&gt;0.01,FALSE),IFERROR(ABS($AR126)&gt;0.01,FALSE),COUNTIF($AS126,"*Conflicting duplicate*")&gt;0,COUNTIF($AS126,"*Completed order not paid*")&gt;0),"Invalid",IF(OR($H126="Unknown",$N126="Unknown",$AM126="Missing discount imputed as 0"),"Warning","Clean"))</x:f>
        <x:v>Invalid</x:v>
      </x:c>
      <x:c r="AF126" s="80" t="str">
        <x:v>Review</x:v>
      </x:c>
      <x:c r="AG126" s="80" t="str">
        <x:v>order_status: TRIM/SUBSTITUTE whitespace cleanup</x:v>
      </x:c>
      <x:c r="AH126" s="12" t="str">
        <x:f>IF(C126="","Missing date",IF(ISNUMBER(C126),"Valid","Unrecognized/invalid date"))</x:f>
        <x:v>Valid</x:v>
      </x:c>
      <x:c r="AI126" s="12" t="str">
        <x:f>IF(D126="","Missing date",IF(ISNUMBER(D126),"Valid","Unrecognized/invalid date"))</x:f>
        <x:v>Valid</x:v>
      </x:c>
      <x:c r="AJ126" s="12" t="str">
        <x:v>Valid</x:v>
      </x:c>
      <x:c r="AK126" s="12" t="str">
        <x:v>Pass</x:v>
      </x:c>
      <x:c r="AL126" s="12" t="str">
        <x:v>None</x:v>
      </x:c>
      <x:c r="AM126" s="12" t="str">
        <x:v>Invalid discount – negative</x:v>
      </x:c>
      <x:c r="AN126" s="12" t="str">
        <x:v>Exclude from completed sales</x:v>
      </x:c>
      <x:c r="AO126" s="12" t="str">
        <x:v>Not a refunded record</x:v>
      </x:c>
      <x:c r="AP126" s="37" t="str">
        <x:f>IF(LEFT($AM126,7)="Invalid","",IF($AM126="Missing discount imputed as 0",IF(AND(COUNT($O126,$P126,$R126,$S126)=4,$O126&gt;0,$P126&gt;=0,$R126&gt;=0,$S126&gt;=0),0,""),IF(AND(ISNUMBER($Q126),$Q126&gt;=0,$Q126&lt;=0.5),$Q126,"")))</x:f>
      </x:c>
      <x:c r="AQ126" s="152" t="str">
        <x:f>IF(OR($W126="",NOT(ISNUMBER($R126))),"",ROUND($R126-$W126,2))</x:f>
      </x:c>
      <x:c r="AR126" s="152" t="str">
        <x:f>IF(OR($X126="",NOT(ISNUMBER($T126))),"",ROUND($T126-$X126,2))</x:f>
      </x:c>
      <x:c r="AS126" s="14" t="str">
        <x:v>Negative discount</x:v>
      </x:c>
    </x:row>
    <x:row r="127">
      <x:c r="A127" s="80" t="n">
        <x:v>127</x:v>
      </x:c>
      <x:c r="B127" s="80" t="str">
        <x:v>ORD-2025-10126</x:v>
      </x:c>
      <x:c r="C127" s="81" t="n">
        <x:v>45855</x:v>
      </x:c>
      <x:c r="D127" s="81" t="n">
        <x:v>45856</x:v>
      </x:c>
      <x:c r="E127" s="80" t="str">
        <x:v>CUST-7924</x:v>
      </x:c>
      <x:c r="F127" s="80" t="str">
        <x:v>Neha Gupta</x:v>
      </x:c>
      <x:c r="G127" s="80" t="str">
        <x:v>Small Business</x:v>
      </x:c>
      <x:c r="H127" s="80" t="str">
        <x:v>West</x:v>
      </x:c>
      <x:c r="I127" s="80" t="str">
        <x:v>Rajasthan</x:v>
      </x:c>
      <x:c r="J127" s="80" t="str">
        <x:v>Udaipur</x:v>
      </x:c>
      <x:c r="K127" s="80" t="str">
        <x:v>Furniture</x:v>
      </x:c>
      <x:c r="L127" s="80" t="str">
        <x:v>Tables</x:v>
      </x:c>
      <x:c r="M127" s="80" t="str">
        <x:v>Basic Tables 753</x:v>
      </x:c>
      <x:c r="N127" s="80" t="str">
        <x:v>Same Day</x:v>
      </x:c>
      <x:c r="O127" s="82" t="n">
        <x:v>6</x:v>
      </x:c>
      <x:c r="P127" s="83" t="n">
        <x:v>3235.27</x:v>
      </x:c>
      <x:c r="Q127" s="84" t="n">
        <x:v>0.25</x:v>
      </x:c>
      <x:c r="R127" s="83" t="n">
        <x:v>14558.72</x:v>
      </x:c>
      <x:c r="S127" s="83" t="n">
        <x:v>9591.48</x:v>
      </x:c>
      <x:c r="T127" s="83" t="n">
        <x:v>4967.24</x:v>
      </x:c>
      <x:c r="U127" s="83" t="str">
        <x:v>Refunded</x:v>
      </x:c>
      <x:c r="V127" s="83" t="str">
        <x:v>Returned</x:v>
      </x:c>
      <x:c r="W127" s="151" t="n">
        <x:f>IF(OR(NOT(ISNUMBER($AP127)),COUNT($O127,$P127)&lt;2,$O127&lt;=0,$P127&lt;0),"",ROUND($O127*$P127*(1-$AP127),2))</x:f>
        <x:v>14558.72</x:v>
      </x:c>
      <x:c r="X127" s="151" t="n">
        <x:f>IF(OR(NOT(ISNUMBER($W127)),NOT(ISNUMBER($S127))),"",ROUND($W127-$S127,2))</x:f>
        <x:v>4967.24</x:v>
      </x:c>
      <x:c r="Y127" s="85" t="n">
        <x:f>IF(OR(NOT(ISNUMBER($W127)),NOT(ISNUMBER($X127)),$W127=0),"",ROUND($X127/$W127,4))</x:f>
        <x:v>0.3412</x:v>
      </x:c>
      <x:c r="Z127" s="82" t="n">
        <x:f>IF(OR($AH127&lt;&gt;"Valid",$AI127&lt;&gt;"Valid"),"",INT($D127-$C127))</x:f>
        <x:v>1</x:v>
      </x:c>
      <x:c r="AA127" s="86" t="str">
        <x:f>IF($AH127&lt;&gt;"Valid","",TEXT($C127,"mmmm"))</x:f>
        <x:v>July</x:v>
      </x:c>
      <x:c r="AB127" s="82" t="n">
        <x:f>IF($AH127&lt;&gt;"Valid","",YEAR($C127))</x:f>
        <x:v>2025</x:v>
      </x:c>
      <x:c r="AC127" s="80" t="str">
        <x:v>Refunded (separately summarized)</x:v>
      </x:c>
      <x:c r="AD127" s="80" t="str">
        <x:v>Excluded</x:v>
      </x:c>
      <x:c r="AE127" s="80" t="str">
        <x:f>IF(OR($AH127&lt;&gt;"Valid",$AI127&lt;&gt;"Valid",$AJ127&lt;&gt;"Valid",LEFT($AM127,7)="Invalid",IFERROR(ABS($AQ127)&gt;0.01,FALSE),IFERROR(ABS($AR127)&gt;0.01,FALSE),COUNTIF($AS127,"*Conflicting duplicate*")&gt;0,COUNTIF($AS127,"*Completed order not paid*")&gt;0),"Invalid",IF(OR($H127="Unknown",$N127="Unknown",$AM127="Missing discount imputed as 0"),"Warning","Clean"))</x:f>
        <x:v>Clean</x:v>
      </x:c>
      <x:c r="AF127" s="80" t="str">
        <x:v>Pass</x:v>
      </x:c>
      <x:c r="AG127" s="80" t="str">
        <x:v>No text cleanup required</x:v>
      </x:c>
      <x:c r="AH127" s="12" t="str">
        <x:f>IF(C127="","Missing date",IF(ISNUMBER(C127),"Valid","Unrecognized/invalid date"))</x:f>
        <x:v>Valid</x:v>
      </x:c>
      <x:c r="AI127" s="12" t="str">
        <x:f>IF(D127="","Missing date",IF(ISNUMBER(D127),"Valid","Unrecognized/invalid date"))</x:f>
        <x:v>Valid</x:v>
      </x:c>
      <x:c r="AJ127" s="12" t="str">
        <x:v>Valid</x:v>
      </x:c>
      <x:c r="AK127" s="12" t="str">
        <x:v>Pass</x:v>
      </x:c>
      <x:c r="AL127" s="12" t="str">
        <x:v>Refunded payment – separately summarized</x:v>
      </x:c>
      <x:c r="AM127" s="12" t="str">
        <x:v>Valid</x:v>
      </x:c>
      <x:c r="AN127" s="12" t="str">
        <x:v>Exclude from completed sales</x:v>
      </x:c>
      <x:c r="AO127" s="12" t="str">
        <x:v>Include in refunded summary</x:v>
      </x:c>
      <x:c r="AP127" s="37" t="n">
        <x:f>IF(LEFT($AM127,7)="Invalid","",IF($AM127="Missing discount imputed as 0",IF(AND(COUNT($O127,$P127,$R127,$S127)=4,$O127&gt;0,$P127&gt;=0,$R127&gt;=0,$S127&gt;=0),0,""),IF(AND(ISNUMBER($Q127),$Q127&gt;=0,$Q127&lt;=0.5),$Q127,"")))</x:f>
        <x:v>0.25</x:v>
      </x:c>
      <x:c r="AQ127" s="152" t="n">
        <x:f>IF(OR($W127="",NOT(ISNUMBER($R127))),"",ROUND($R127-$W127,2))</x:f>
        <x:v>0</x:v>
      </x:c>
      <x:c r="AR127" s="152" t="n">
        <x:f>IF(OR($X127="",NOT(ISNUMBER($T127))),"",ROUND($T127-$X127,2))</x:f>
        <x:v>0</x:v>
      </x:c>
      <x:c r="AS127" s="14" t="str">
        <x:v>OK</x:v>
      </x:c>
    </x:row>
    <x:row r="128">
      <x:c r="A128" s="80" t="n">
        <x:v>128</x:v>
      </x:c>
      <x:c r="B128" s="80" t="str">
        <x:v>ORD-2025-10127</x:v>
      </x:c>
      <x:c r="C128" s="81" t="n">
        <x:v>45924</x:v>
      </x:c>
      <x:c r="D128" s="81" t="n">
        <x:v>45926</x:v>
      </x:c>
      <x:c r="E128" s="80" t="str">
        <x:v>CUST-1715</x:v>
      </x:c>
      <x:c r="F128" s="80" t="str">
        <x:v>Priya Menon</x:v>
      </x:c>
      <x:c r="G128" s="80" t="str">
        <x:v>Corporate</x:v>
      </x:c>
      <x:c r="H128" s="80" t="str">
        <x:v>North</x:v>
      </x:c>
      <x:c r="I128" s="80" t="str">
        <x:v>Delhi</x:v>
      </x:c>
      <x:c r="J128" s="80" t="str">
        <x:v>New Delhi</x:v>
      </x:c>
      <x:c r="K128" s="80" t="str">
        <x:v>Technology</x:v>
      </x:c>
      <x:c r="L128" s="80" t="str">
        <x:v>Copiers</x:v>
      </x:c>
      <x:c r="M128" s="80" t="str">
        <x:v>Prime Copiers 651</x:v>
      </x:c>
      <x:c r="N128" s="80" t="str">
        <x:v>Standard Class</x:v>
      </x:c>
      <x:c r="O128" s="82" t="n">
        <x:v>3</x:v>
      </x:c>
      <x:c r="P128" s="83" t="n">
        <x:v>1593.86</x:v>
      </x:c>
      <x:c r="Q128" s="84" t="n">
        <x:v>0.1</x:v>
      </x:c>
      <x:c r="R128" s="83" t="n">
        <x:v>4303.42</x:v>
      </x:c>
      <x:c r="S128" s="83" t="n">
        <x:v>2568.57</x:v>
      </x:c>
      <x:c r="T128" s="83" t="n">
        <x:v>1734.85</x:v>
      </x:c>
      <x:c r="U128" s="83" t="str">
        <x:v>Paid</x:v>
      </x:c>
      <x:c r="V128" s="83" t="str">
        <x:v>Completed</x:v>
      </x:c>
      <x:c r="W128" s="151" t="n">
        <x:f>IF(OR(NOT(ISNUMBER($AP128)),COUNT($O128,$P128)&lt;2,$O128&lt;=0,$P128&lt;0),"",ROUND($O128*$P128*(1-$AP128),2))</x:f>
        <x:v>4303.42</x:v>
      </x:c>
      <x:c r="X128" s="151" t="n">
        <x:f>IF(OR(NOT(ISNUMBER($W128)),NOT(ISNUMBER($S128))),"",ROUND($W128-$S128,2))</x:f>
        <x:v>1734.85</x:v>
      </x:c>
      <x:c r="Y128" s="85" t="n">
        <x:f>IF(OR(NOT(ISNUMBER($W128)),NOT(ISNUMBER($X128)),$W128=0),"",ROUND($X128/$W128,4))</x:f>
        <x:v>0.4031</x:v>
      </x:c>
      <x:c r="Z128" s="82" t="n">
        <x:f>IF(OR($AH128&lt;&gt;"Valid",$AI128&lt;&gt;"Valid"),"",INT($D128-$C128))</x:f>
        <x:v>2</x:v>
      </x:c>
      <x:c r="AA128" s="86" t="str">
        <x:f>IF($AH128&lt;&gt;"Valid","",TEXT($C128,"mmmm"))</x:f>
        <x:v>September</x:v>
      </x:c>
      <x:c r="AB128" s="82" t="n">
        <x:f>IF($AH128&lt;&gt;"Valid","",YEAR($C128))</x:f>
        <x:v>2025</x:v>
      </x:c>
      <x:c r="AC128" s="80" t="str">
        <x:v>Consistent</x:v>
      </x:c>
      <x:c r="AD128" s="80" t="str">
        <x:v>Eligible</x:v>
      </x:c>
      <x:c r="AE128" s="80" t="str">
        <x:f>IF(OR($AH128&lt;&gt;"Valid",$AI128&lt;&gt;"Valid",$AJ128&lt;&gt;"Valid",LEFT($AM128,7)="Invalid",IFERROR(ABS($AQ128)&gt;0.01,FALSE),IFERROR(ABS($AR128)&gt;0.01,FALSE),COUNTIF($AS128,"*Conflicting duplicate*")&gt;0,COUNTIF($AS128,"*Completed order not paid*")&gt;0),"Invalid",IF(OR($H128="Unknown",$N128="Unknown",$AM128="Missing discount imputed as 0"),"Warning","Clean"))</x:f>
        <x:v>Clean</x:v>
      </x:c>
      <x:c r="AF128" s="80" t="str">
        <x:v>Pass</x:v>
      </x:c>
      <x:c r="AG128" s="80" t="str">
        <x:v>No text cleanup required</x:v>
      </x:c>
      <x:c r="AH128" s="12" t="str">
        <x:f>IF(C128="","Missing date",IF(ISNUMBER(C128),"Valid","Unrecognized/invalid date"))</x:f>
        <x:v>Valid</x:v>
      </x:c>
      <x:c r="AI128" s="12" t="str">
        <x:f>IF(D128="","Missing date",IF(ISNUMBER(D128),"Valid","Unrecognized/invalid date"))</x:f>
        <x:v>Valid</x:v>
      </x:c>
      <x:c r="AJ128" s="12" t="str">
        <x:v>Valid</x:v>
      </x:c>
      <x:c r="AK128" s="12" t="str">
        <x:v>Pass</x:v>
      </x:c>
      <x:c r="AL128" s="12" t="str">
        <x:v>None</x:v>
      </x:c>
      <x:c r="AM128" s="12" t="str">
        <x:v>Valid</x:v>
      </x:c>
      <x:c r="AN128" s="12" t="str">
        <x:v>Include in completed sales</x:v>
      </x:c>
      <x:c r="AO128" s="12" t="str">
        <x:v>Not a refunded record</x:v>
      </x:c>
      <x:c r="AP128" s="37" t="n">
        <x:f>IF(LEFT($AM128,7)="Invalid","",IF($AM128="Missing discount imputed as 0",IF(AND(COUNT($O128,$P128,$R128,$S128)=4,$O128&gt;0,$P128&gt;=0,$R128&gt;=0,$S128&gt;=0),0,""),IF(AND(ISNUMBER($Q128),$Q128&gt;=0,$Q128&lt;=0.5),$Q128,"")))</x:f>
        <x:v>0.1</x:v>
      </x:c>
      <x:c r="AQ128" s="152" t="n">
        <x:f>IF(OR($W128="",NOT(ISNUMBER($R128))),"",ROUND($R128-$W128,2))</x:f>
        <x:v>0</x:v>
      </x:c>
      <x:c r="AR128" s="152" t="n">
        <x:f>IF(OR($X128="",NOT(ISNUMBER($T128))),"",ROUND($T128-$X128,2))</x:f>
        <x:v>0</x:v>
      </x:c>
      <x:c r="AS128" s="14" t="str">
        <x:v>OK</x:v>
      </x:c>
    </x:row>
    <x:row r="129">
      <x:c r="A129" s="80" t="n">
        <x:v>129</x:v>
      </x:c>
      <x:c r="B129" s="80" t="str">
        <x:v>ORD-2025-10128</x:v>
      </x:c>
      <x:c r="C129" s="81" t="n">
        <x:v>45687</x:v>
      </x:c>
      <x:c r="D129" s="81" t="n">
        <x:v>45683</x:v>
      </x:c>
      <x:c r="E129" s="80" t="str">
        <x:v>CUST-6802</x:v>
      </x:c>
      <x:c r="F129" s="80" t="str">
        <x:v>Priya Menon</x:v>
      </x:c>
      <x:c r="G129" s="80" t="str">
        <x:v>Corporate</x:v>
      </x:c>
      <x:c r="H129" s="80" t="str">
        <x:v>West</x:v>
      </x:c>
      <x:c r="I129" s="80" t="str">
        <x:v>Madhya Pradesh</x:v>
      </x:c>
      <x:c r="J129" s="80" t="str">
        <x:v>Indore</x:v>
      </x:c>
      <x:c r="K129" s="80" t="str">
        <x:v>Office Supplies</x:v>
      </x:c>
      <x:c r="L129" s="80" t="str">
        <x:v>Storage</x:v>
      </x:c>
      <x:c r="M129" s="80" t="str">
        <x:v>Basic Storage 321</x:v>
      </x:c>
      <x:c r="N129" s="80" t="str">
        <x:v>Second Class</x:v>
      </x:c>
      <x:c r="O129" s="82" t="n">
        <x:v>2</x:v>
      </x:c>
      <x:c r="P129" s="83" t="n">
        <x:v>3039.3</x:v>
      </x:c>
      <x:c r="Q129" s="84" t="n">
        <x:v>0.05</x:v>
      </x:c>
      <x:c r="R129" s="83" t="n">
        <x:v>5774.67</x:v>
      </x:c>
      <x:c r="S129" s="83" t="n">
        <x:v>3518.36</x:v>
      </x:c>
      <x:c r="T129" s="83" t="n">
        <x:v>2256.31</x:v>
      </x:c>
      <x:c r="U129" s="83" t="str">
        <x:v>Paid</x:v>
      </x:c>
      <x:c r="V129" s="83" t="str">
        <x:v>Completed</x:v>
      </x:c>
      <x:c r="W129" s="151" t="n">
        <x:f>IF(OR(NOT(ISNUMBER($AP129)),COUNT($O129,$P129)&lt;2,$O129&lt;=0,$P129&lt;0),"",ROUND($O129*$P129*(1-$AP129),2))</x:f>
        <x:v>5774.67</x:v>
      </x:c>
      <x:c r="X129" s="151" t="n">
        <x:f>IF(OR(NOT(ISNUMBER($W129)),NOT(ISNUMBER($S129))),"",ROUND($W129-$S129,2))</x:f>
        <x:v>2256.31</x:v>
      </x:c>
      <x:c r="Y129" s="85" t="n">
        <x:f>IF(OR(NOT(ISNUMBER($W129)),NOT(ISNUMBER($X129)),$W129=0),"",ROUND($X129/$W129,4))</x:f>
        <x:v>0.3907</x:v>
      </x:c>
      <x:c r="Z129" s="82" t="n">
        <x:f>IF(OR($AH129&lt;&gt;"Valid",$AI129&lt;&gt;"Valid"),"",INT($D129-$C129))</x:f>
        <x:v>-4</x:v>
      </x:c>
      <x:c r="AA129" s="86" t="str">
        <x:f>IF($AH129&lt;&gt;"Valid","",TEXT($C129,"mmmm"))</x:f>
        <x:v>January</x:v>
      </x:c>
      <x:c r="AB129" s="82" t="n">
        <x:f>IF($AH129&lt;&gt;"Valid","",YEAR($C129))</x:f>
        <x:v>2025</x:v>
      </x:c>
      <x:c r="AC129" s="80" t="str">
        <x:v>Consistent</x:v>
      </x:c>
      <x:c r="AD129" s="80" t="str">
        <x:v>Excluded</x:v>
      </x:c>
      <x:c r="AE129" s="80" t="str">
        <x:f>IF(OR($AH129&lt;&gt;"Valid",$AI129&lt;&gt;"Valid",$AJ129&lt;&gt;"Valid",LEFT($AM129,7)="Invalid",IFERROR(ABS($AQ129)&gt;0.01,FALSE),IFERROR(ABS($AR129)&gt;0.01,FALSE),COUNTIF($AS129,"*Conflicting duplicate*")&gt;0,COUNTIF($AS129,"*Completed order not paid*")&gt;0),"Invalid",IF(OR($H129="Unknown",$N129="Unknown",$AM129="Missing discount imputed as 0"),"Warning","Clean"))</x:f>
        <x:v>Invalid</x:v>
      </x:c>
      <x:c r="AF129" s="80" t="str">
        <x:v>Review</x:v>
      </x:c>
      <x:c r="AG129" s="80" t="str">
        <x:v>No text cleanup required</x:v>
      </x:c>
      <x:c r="AH129" s="12" t="str">
        <x:f>IF(C129="","Missing date",IF(ISNUMBER(C129),"Valid","Unrecognized/invalid date"))</x:f>
        <x:v>Valid</x:v>
      </x:c>
      <x:c r="AI129" s="12" t="str">
        <x:f>IF(D129="","Missing date",IF(ISNUMBER(D129),"Valid","Unrecognized/invalid date"))</x:f>
        <x:v>Valid</x:v>
      </x:c>
      <x:c r="AJ129" s="12" t="str">
        <x:v>Invalid</x:v>
      </x:c>
      <x:c r="AK129" s="12" t="str">
        <x:v>Ship date is earlier than order date</x:v>
      </x:c>
      <x:c r="AL129" s="12" t="str">
        <x:v>None</x:v>
      </x:c>
      <x:c r="AM129" s="12" t="str">
        <x:v>Valid</x:v>
      </x:c>
      <x:c r="AN129" s="12" t="str">
        <x:v>Exclude from completed sales</x:v>
      </x:c>
      <x:c r="AO129" s="12" t="str">
        <x:v>Not a refunded record</x:v>
      </x:c>
      <x:c r="AP129" s="37" t="n">
        <x:f>IF(LEFT($AM129,7)="Invalid","",IF($AM129="Missing discount imputed as 0",IF(AND(COUNT($O129,$P129,$R129,$S129)=4,$O129&gt;0,$P129&gt;=0,$R129&gt;=0,$S129&gt;=0),0,""),IF(AND(ISNUMBER($Q129),$Q129&gt;=0,$Q129&lt;=0.5),$Q129,"")))</x:f>
        <x:v>0.05</x:v>
      </x:c>
      <x:c r="AQ129" s="152" t="n">
        <x:f>IF(OR($W129="",NOT(ISNUMBER($R129))),"",ROUND($R129-$W129,2))</x:f>
        <x:v>0</x:v>
      </x:c>
      <x:c r="AR129" s="152" t="n">
        <x:f>IF(OR($X129="",NOT(ISNUMBER($T129))),"",ROUND($T129-$X129,2))</x:f>
        <x:v>0</x:v>
      </x:c>
      <x:c r="AS129" s="14" t="str">
        <x:v>Ship date earlier than order date</x:v>
      </x:c>
    </x:row>
    <x:row r="130">
      <x:c r="A130" s="80" t="n">
        <x:v>130</x:v>
      </x:c>
      <x:c r="B130" s="80" t="str">
        <x:v>ORD-2024-10129</x:v>
      </x:c>
      <x:c r="C130" s="81" t="n">
        <x:v>45639</x:v>
      </x:c>
      <x:c r="D130" s="81" t="n">
        <x:v>45642</x:v>
      </x:c>
      <x:c r="E130" s="80" t="str">
        <x:v>CUST-9328</x:v>
      </x:c>
      <x:c r="F130" s="80" t="str">
        <x:v>Neha Gupta</x:v>
      </x:c>
      <x:c r="G130" s="80" t="str">
        <x:v>Small Business</x:v>
      </x:c>
      <x:c r="H130" s="80" t="str">
        <x:v>East</x:v>
      </x:c>
      <x:c r="I130" s="80" t="str">
        <x:v>Odisha</x:v>
      </x:c>
      <x:c r="J130" s="80" t="str">
        <x:v>Bhubaneswar</x:v>
      </x:c>
      <x:c r="K130" s="80" t="str">
        <x:v>Furniture</x:v>
      </x:c>
      <x:c r="L130" s="80" t="str">
        <x:v>Furnishings</x:v>
      </x:c>
      <x:c r="M130" s="80" t="str">
        <x:v>Prime Furnishings 710</x:v>
      </x:c>
      <x:c r="N130" s="80" t="str">
        <x:v>Standard Class</x:v>
      </x:c>
      <x:c r="O130" s="82" t="n">
        <x:v>5</x:v>
      </x:c>
      <x:c r="P130" s="83" t="n">
        <x:v>923.45</x:v>
      </x:c>
      <x:c r="Q130" s="84" t="n">
        <x:v>0.05</x:v>
      </x:c>
      <x:c r="R130" s="83" t="n">
        <x:v>4386.39</x:v>
      </x:c>
      <x:c r="S130" s="83" t="n">
        <x:v>3366.88</x:v>
      </x:c>
      <x:c r="T130" s="83" t="n">
        <x:v>1019.51</x:v>
      </x:c>
      <x:c r="U130" s="83" t="str">
        <x:v>Paid</x:v>
      </x:c>
      <x:c r="V130" s="83" t="str">
        <x:v>Returned</x:v>
      </x:c>
      <x:c r="W130" s="151" t="n">
        <x:f>IF(OR(NOT(ISNUMBER($AP130)),COUNT($O130,$P130)&lt;2,$O130&lt;=0,$P130&lt;0),"",ROUND($O130*$P130*(1-$AP130),2))</x:f>
        <x:v>4386.39</x:v>
      </x:c>
      <x:c r="X130" s="151" t="n">
        <x:f>IF(OR(NOT(ISNUMBER($W130)),NOT(ISNUMBER($S130))),"",ROUND($W130-$S130,2))</x:f>
        <x:v>1019.51</x:v>
      </x:c>
      <x:c r="Y130" s="85" t="n">
        <x:f>IF(OR(NOT(ISNUMBER($W130)),NOT(ISNUMBER($X130)),$W130=0),"",ROUND($X130/$W130,4))</x:f>
        <x:v>0.2324</x:v>
      </x:c>
      <x:c r="Z130" s="82" t="n">
        <x:f>IF(OR($AH130&lt;&gt;"Valid",$AI130&lt;&gt;"Valid"),"",INT($D130-$C130))</x:f>
        <x:v>3</x:v>
      </x:c>
      <x:c r="AA130" s="86" t="str">
        <x:f>IF($AH130&lt;&gt;"Valid","",TEXT($C130,"mmmm"))</x:f>
        <x:v>December</x:v>
      </x:c>
      <x:c r="AB130" s="82" t="n">
        <x:f>IF($AH130&lt;&gt;"Valid","",YEAR($C130))</x:f>
        <x:v>2024</x:v>
      </x:c>
      <x:c r="AC130" s="80" t="str">
        <x:v>Consistent</x:v>
      </x:c>
      <x:c r="AD130" s="80" t="str">
        <x:v>Excluded</x:v>
      </x:c>
      <x:c r="AE130" s="80" t="str">
        <x:f>IF(OR($AH130&lt;&gt;"Valid",$AI130&lt;&gt;"Valid",$AJ130&lt;&gt;"Valid",LEFT($AM130,7)="Invalid",IFERROR(ABS($AQ130)&gt;0.01,FALSE),IFERROR(ABS($AR130)&gt;0.01,FALSE),COUNTIF($AS130,"*Conflicting duplicate*")&gt;0,COUNTIF($AS130,"*Completed order not paid*")&gt;0),"Invalid",IF(OR($H130="Unknown",$N130="Unknown",$AM130="Missing discount imputed as 0"),"Warning","Clean"))</x:f>
        <x:v>Clean</x:v>
      </x:c>
      <x:c r="AF130" s="80" t="str">
        <x:v>Pass</x:v>
      </x:c>
      <x:c r="AG130" s="80" t="str">
        <x:v>No text cleanup required</x:v>
      </x:c>
      <x:c r="AH130" s="12" t="str">
        <x:f>IF(C130="","Missing date",IF(ISNUMBER(C130),"Valid","Unrecognized/invalid date"))</x:f>
        <x:v>Valid</x:v>
      </x:c>
      <x:c r="AI130" s="12" t="str">
        <x:f>IF(D130="","Missing date",IF(ISNUMBER(D130),"Valid","Unrecognized/invalid date"))</x:f>
        <x:v>Valid</x:v>
      </x:c>
      <x:c r="AJ130" s="12" t="str">
        <x:v>Valid</x:v>
      </x:c>
      <x:c r="AK130" s="12" t="str">
        <x:v>Pass</x:v>
      </x:c>
      <x:c r="AL130" s="12" t="str">
        <x:v>None</x:v>
      </x:c>
      <x:c r="AM130" s="12" t="str">
        <x:v>Valid</x:v>
      </x:c>
      <x:c r="AN130" s="12" t="str">
        <x:v>Exclude from completed sales</x:v>
      </x:c>
      <x:c r="AO130" s="12" t="str">
        <x:v>Not a refunded record</x:v>
      </x:c>
      <x:c r="AP130" s="37" t="n">
        <x:f>IF(LEFT($AM130,7)="Invalid","",IF($AM130="Missing discount imputed as 0",IF(AND(COUNT($O130,$P130,$R130,$S130)=4,$O130&gt;0,$P130&gt;=0,$R130&gt;=0,$S130&gt;=0),0,""),IF(AND(ISNUMBER($Q130),$Q130&gt;=0,$Q130&lt;=0.5),$Q130,"")))</x:f>
        <x:v>0.05</x:v>
      </x:c>
      <x:c r="AQ130" s="152" t="n">
        <x:f>IF(OR($W130="",NOT(ISNUMBER($R130))),"",ROUND($R130-$W130,2))</x:f>
        <x:v>0</x:v>
      </x:c>
      <x:c r="AR130" s="152" t="n">
        <x:f>IF(OR($X130="",NOT(ISNUMBER($T130))),"",ROUND($T130-$X130,2))</x:f>
        <x:v>0</x:v>
      </x:c>
      <x:c r="AS130" s="14" t="str">
        <x:v>OK</x:v>
      </x:c>
    </x:row>
    <x:row r="131">
      <x:c r="A131" s="80" t="n">
        <x:v>131</x:v>
      </x:c>
      <x:c r="B131" s="80" t="str">
        <x:v>ORD-2024-10130</x:v>
      </x:c>
      <x:c r="C131" s="81" t="n">
        <x:v>45492</x:v>
      </x:c>
      <x:c r="D131" s="81" t="n">
        <x:v>45498</x:v>
      </x:c>
      <x:c r="E131" s="80" t="str">
        <x:v>CUST-2588</x:v>
      </x:c>
      <x:c r="F131" s="80" t="str">
        <x:v>Isha Nair</x:v>
      </x:c>
      <x:c r="G131" s="80" t="str">
        <x:v>Small Business</x:v>
      </x:c>
      <x:c r="H131" s="80" t="str">
        <x:v>West</x:v>
      </x:c>
      <x:c r="I131" s="80" t="str">
        <x:v>Goa</x:v>
      </x:c>
      <x:c r="J131" s="80" t="str">
        <x:v>Panaji</x:v>
      </x:c>
      <x:c r="K131" s="80" t="str">
        <x:v>Office Supplies</x:v>
      </x:c>
      <x:c r="L131" s="80" t="str">
        <x:v>Binders</x:v>
      </x:c>
      <x:c r="M131" s="80" t="str">
        <x:v>Elite Binders 723</x:v>
      </x:c>
      <x:c r="N131" s="80" t="str">
        <x:v>Standard Class</x:v>
      </x:c>
      <x:c r="O131" s="82" t="n">
        <x:v>7</x:v>
      </x:c>
      <x:c r="P131" s="83" t="n">
        <x:v>2741.29</x:v>
      </x:c>
      <x:c r="Q131" s="84" t="n">
        <x:v>0.05</x:v>
      </x:c>
      <x:c r="R131" s="83" t="n">
        <x:v>18229.58</x:v>
      </x:c>
      <x:c r="S131" s="83" t="n">
        <x:v>15139.15</x:v>
      </x:c>
      <x:c r="T131" s="83" t="n">
        <x:v>3090.43</x:v>
      </x:c>
      <x:c r="U131" s="83" t="str">
        <x:v>Paid</x:v>
      </x:c>
      <x:c r="V131" s="83" t="str">
        <x:v>Completed</x:v>
      </x:c>
      <x:c r="W131" s="151" t="n">
        <x:f>IF(OR(NOT(ISNUMBER($AP131)),COUNT($O131,$P131)&lt;2,$O131&lt;=0,$P131&lt;0),"",ROUND($O131*$P131*(1-$AP131),2))</x:f>
        <x:v>18229.58</x:v>
      </x:c>
      <x:c r="X131" s="151" t="n">
        <x:f>IF(OR(NOT(ISNUMBER($W131)),NOT(ISNUMBER($S131))),"",ROUND($W131-$S131,2))</x:f>
        <x:v>3090.43</x:v>
      </x:c>
      <x:c r="Y131" s="85" t="n">
        <x:f>IF(OR(NOT(ISNUMBER($W131)),NOT(ISNUMBER($X131)),$W131=0),"",ROUND($X131/$W131,4))</x:f>
        <x:v>0.1695</x:v>
      </x:c>
      <x:c r="Z131" s="82" t="n">
        <x:f>IF(OR($AH131&lt;&gt;"Valid",$AI131&lt;&gt;"Valid"),"",INT($D131-$C131))</x:f>
        <x:v>6</x:v>
      </x:c>
      <x:c r="AA131" s="86" t="str">
        <x:f>IF($AH131&lt;&gt;"Valid","",TEXT($C131,"mmmm"))</x:f>
        <x:v>July</x:v>
      </x:c>
      <x:c r="AB131" s="82" t="n">
        <x:f>IF($AH131&lt;&gt;"Valid","",YEAR($C131))</x:f>
        <x:v>2024</x:v>
      </x:c>
      <x:c r="AC131" s="80" t="str">
        <x:v>Consistent</x:v>
      </x:c>
      <x:c r="AD131" s="80" t="str">
        <x:v>Eligible</x:v>
      </x:c>
      <x:c r="AE131" s="80" t="str">
        <x:f>IF(OR($AH131&lt;&gt;"Valid",$AI131&lt;&gt;"Valid",$AJ131&lt;&gt;"Valid",LEFT($AM131,7)="Invalid",IFERROR(ABS($AQ131)&gt;0.01,FALSE),IFERROR(ABS($AR131)&gt;0.01,FALSE),COUNTIF($AS131,"*Conflicting duplicate*")&gt;0,COUNTIF($AS131,"*Completed order not paid*")&gt;0),"Invalid",IF(OR($H131="Unknown",$N131="Unknown",$AM131="Missing discount imputed as 0"),"Warning","Clean"))</x:f>
        <x:v>Clean</x:v>
      </x:c>
      <x:c r="AF131" s="80" t="str">
        <x:v>Pass</x:v>
      </x:c>
      <x:c r="AG131" s="80" t="str">
        <x:v>No text cleanup required</x:v>
      </x:c>
      <x:c r="AH131" s="12" t="str">
        <x:f>IF(C131="","Missing date",IF(ISNUMBER(C131),"Valid","Unrecognized/invalid date"))</x:f>
        <x:v>Valid</x:v>
      </x:c>
      <x:c r="AI131" s="12" t="str">
        <x:f>IF(D131="","Missing date",IF(ISNUMBER(D131),"Valid","Unrecognized/invalid date"))</x:f>
        <x:v>Valid</x:v>
      </x:c>
      <x:c r="AJ131" s="12" t="str">
        <x:v>Valid</x:v>
      </x:c>
      <x:c r="AK131" s="12" t="str">
        <x:v>Pass</x:v>
      </x:c>
      <x:c r="AL131" s="12" t="str">
        <x:v>None</x:v>
      </x:c>
      <x:c r="AM131" s="12" t="str">
        <x:v>Valid</x:v>
      </x:c>
      <x:c r="AN131" s="12" t="str">
        <x:v>Include in completed sales</x:v>
      </x:c>
      <x:c r="AO131" s="12" t="str">
        <x:v>Not a refunded record</x:v>
      </x:c>
      <x:c r="AP131" s="37" t="n">
        <x:f>IF(LEFT($AM131,7)="Invalid","",IF($AM131="Missing discount imputed as 0",IF(AND(COUNT($O131,$P131,$R131,$S131)=4,$O131&gt;0,$P131&gt;=0,$R131&gt;=0,$S131&gt;=0),0,""),IF(AND(ISNUMBER($Q131),$Q131&gt;=0,$Q131&lt;=0.5),$Q131,"")))</x:f>
        <x:v>0.05</x:v>
      </x:c>
      <x:c r="AQ131" s="152" t="n">
        <x:f>IF(OR($W131="",NOT(ISNUMBER($R131))),"",ROUND($R131-$W131,2))</x:f>
        <x:v>0</x:v>
      </x:c>
      <x:c r="AR131" s="152" t="n">
        <x:f>IF(OR($X131="",NOT(ISNUMBER($T131))),"",ROUND($T131-$X131,2))</x:f>
        <x:v>0</x:v>
      </x:c>
      <x:c r="AS131" s="14" t="str">
        <x:v>OK</x:v>
      </x:c>
    </x:row>
    <x:row r="132">
      <x:c r="A132" s="80" t="n">
        <x:v>132</x:v>
      </x:c>
      <x:c r="B132" s="80" t="str">
        <x:v>ORD-2024-10131</x:v>
      </x:c>
      <x:c r="C132" s="81" t="n">
        <x:v>45318</x:v>
      </x:c>
      <x:c r="D132" s="81" t="n">
        <x:v>45324</x:v>
      </x:c>
      <x:c r="E132" s="80" t="str">
        <x:v>CUST-5435</x:v>
      </x:c>
      <x:c r="F132" s="80" t="str">
        <x:v>Arjun Bose</x:v>
      </x:c>
      <x:c r="G132" s="80" t="str">
        <x:v>Consumer</x:v>
      </x:c>
      <x:c r="H132" s="80" t="str">
        <x:v>West</x:v>
      </x:c>
      <x:c r="I132" s="80" t="str">
        <x:v>Gujarat</x:v>
      </x:c>
      <x:c r="J132" s="80" t="str">
        <x:v>Ahmedabad</x:v>
      </x:c>
      <x:c r="K132" s="80" t="str">
        <x:v>Office Supplies</x:v>
      </x:c>
      <x:c r="L132" s="80" t="str">
        <x:v>Labels</x:v>
      </x:c>
      <x:c r="M132" s="80" t="str">
        <x:v>Smart Labels 878</x:v>
      </x:c>
      <x:c r="N132" s="80" t="str">
        <x:v>Same Day</x:v>
      </x:c>
      <x:c r="O132" s="82" t="n">
        <x:v>5</x:v>
      </x:c>
      <x:c r="P132" s="83" t="n">
        <x:v>218.42</x:v>
      </x:c>
      <x:c r="Q132" s="84" t="n">
        <x:v>0.2</x:v>
      </x:c>
      <x:c r="R132" s="83" t="n">
        <x:v>873.68</x:v>
      </x:c>
      <x:c r="S132" s="83" t="n">
        <x:v>661.72</x:v>
      </x:c>
      <x:c r="T132" s="83" t="n">
        <x:v>211.96</x:v>
      </x:c>
      <x:c r="U132" s="83" t="str">
        <x:v>Pending</x:v>
      </x:c>
      <x:c r="V132" s="83" t="str">
        <x:v>Cancelled</x:v>
      </x:c>
      <x:c r="W132" s="151" t="n">
        <x:f>IF(OR(NOT(ISNUMBER($AP132)),COUNT($O132,$P132)&lt;2,$O132&lt;=0,$P132&lt;0),"",ROUND($O132*$P132*(1-$AP132),2))</x:f>
        <x:v>873.68</x:v>
      </x:c>
      <x:c r="X132" s="151" t="n">
        <x:f>IF(OR(NOT(ISNUMBER($W132)),NOT(ISNUMBER($S132))),"",ROUND($W132-$S132,2))</x:f>
        <x:v>211.96</x:v>
      </x:c>
      <x:c r="Y132" s="85" t="n">
        <x:f>IF(OR(NOT(ISNUMBER($W132)),NOT(ISNUMBER($X132)),$W132=0),"",ROUND($X132/$W132,4))</x:f>
        <x:v>0.2426</x:v>
      </x:c>
      <x:c r="Z132" s="82" t="n">
        <x:f>IF(OR($AH132&lt;&gt;"Valid",$AI132&lt;&gt;"Valid"),"",INT($D132-$C132))</x:f>
        <x:v>6</x:v>
      </x:c>
      <x:c r="AA132" s="86" t="str">
        <x:f>IF($AH132&lt;&gt;"Valid","",TEXT($C132,"mmmm"))</x:f>
        <x:v>January</x:v>
      </x:c>
      <x:c r="AB132" s="82" t="n">
        <x:f>IF($AH132&lt;&gt;"Valid","",YEAR($C132))</x:f>
        <x:v>2024</x:v>
      </x:c>
      <x:c r="AC132" s="80" t="str">
        <x:v>Cancelled (excluded from completed-sales summary)</x:v>
      </x:c>
      <x:c r="AD132" s="80" t="str">
        <x:v>Excluded</x:v>
      </x:c>
      <x:c r="AE132" s="80" t="str">
        <x:f>IF(OR($AH132&lt;&gt;"Valid",$AI132&lt;&gt;"Valid",$AJ132&lt;&gt;"Valid",LEFT($AM132,7)="Invalid",IFERROR(ABS($AQ132)&gt;0.01,FALSE),IFERROR(ABS($AR132)&gt;0.01,FALSE),COUNTIF($AS132,"*Conflicting duplicate*")&gt;0,COUNTIF($AS132,"*Completed order not paid*")&gt;0),"Invalid",IF(OR($H132="Unknown",$N132="Unknown",$AM132="Missing discount imputed as 0"),"Warning","Clean"))</x:f>
        <x:v>Clean</x:v>
      </x:c>
      <x:c r="AF132" s="80" t="str">
        <x:v>Pass</x:v>
      </x:c>
      <x:c r="AG132" s="80" t="str">
        <x:v>No text cleanup required</x:v>
      </x:c>
      <x:c r="AH132" s="12" t="str">
        <x:f>IF(C132="","Missing date",IF(ISNUMBER(C132),"Valid","Unrecognized/invalid date"))</x:f>
        <x:v>Valid</x:v>
      </x:c>
      <x:c r="AI132" s="12" t="str">
        <x:f>IF(D132="","Missing date",IF(ISNUMBER(D132),"Valid","Unrecognized/invalid date"))</x:f>
        <x:v>Valid</x:v>
      </x:c>
      <x:c r="AJ132" s="12" t="str">
        <x:v>Valid</x:v>
      </x:c>
      <x:c r="AK132" s="12" t="str">
        <x:v>Pass</x:v>
      </x:c>
      <x:c r="AL132" s="12" t="str">
        <x:v>Cancelled order – excluded from completed sales</x:v>
      </x:c>
      <x:c r="AM132" s="12" t="str">
        <x:v>Valid</x:v>
      </x:c>
      <x:c r="AN132" s="12" t="str">
        <x:v>Exclude from completed sales</x:v>
      </x:c>
      <x:c r="AO132" s="12" t="str">
        <x:v>Not a refunded record</x:v>
      </x:c>
      <x:c r="AP132" s="37" t="n">
        <x:f>IF(LEFT($AM132,7)="Invalid","",IF($AM132="Missing discount imputed as 0",IF(AND(COUNT($O132,$P132,$R132,$S132)=4,$O132&gt;0,$P132&gt;=0,$R132&gt;=0,$S132&gt;=0),0,""),IF(AND(ISNUMBER($Q132),$Q132&gt;=0,$Q132&lt;=0.5),$Q132,"")))</x:f>
        <x:v>0.2</x:v>
      </x:c>
      <x:c r="AQ132" s="152" t="n">
        <x:f>IF(OR($W132="",NOT(ISNUMBER($R132))),"",ROUND($R132-$W132,2))</x:f>
        <x:v>0</x:v>
      </x:c>
      <x:c r="AR132" s="152" t="n">
        <x:f>IF(OR($X132="",NOT(ISNUMBER($T132))),"",ROUND($T132-$X132,2))</x:f>
        <x:v>0</x:v>
      </x:c>
      <x:c r="AS132" s="14" t="str">
        <x:v>OK</x:v>
      </x:c>
    </x:row>
    <x:row r="133">
      <x:c r="A133" s="80" t="n">
        <x:v>133</x:v>
      </x:c>
      <x:c r="B133" s="80" t="str">
        <x:v>ORD-2025-10132</x:v>
      </x:c>
      <x:c r="C133" s="81" t="n">
        <x:v>45929</x:v>
      </x:c>
      <x:c r="D133" s="81" t="n">
        <x:v>45934</x:v>
      </x:c>
      <x:c r="E133" s="80" t="str">
        <x:v>CUST-7637</x:v>
      </x:c>
      <x:c r="F133" s="80" t="str">
        <x:v>Ananya Rao</x:v>
      </x:c>
      <x:c r="G133" s="80" t="str">
        <x:v>Home Office</x:v>
      </x:c>
      <x:c r="H133" s="80" t="str">
        <x:v>East</x:v>
      </x:c>
      <x:c r="I133" s="80" t="str">
        <x:v>Jharkhand</x:v>
      </x:c>
      <x:c r="J133" s="80" t="str">
        <x:v>Ranchi</x:v>
      </x:c>
      <x:c r="K133" s="80" t="str">
        <x:v>Office Supplies</x:v>
      </x:c>
      <x:c r="L133" s="80" t="str">
        <x:v>Paper</x:v>
      </x:c>
      <x:c r="M133" s="80" t="str">
        <x:v>Pro Paper 934</x:v>
      </x:c>
      <x:c r="N133" s="80" t="str">
        <x:v>Same Day</x:v>
      </x:c>
      <x:c r="O133" s="82" t="n">
        <x:v>9</x:v>
      </x:c>
      <x:c r="P133" s="83" t="n">
        <x:v>373.91</x:v>
      </x:c>
      <x:c r="Q133" s="84" t="n">
        <x:v>0.2</x:v>
      </x:c>
      <x:c r="R133" s="83" t="n">
        <x:v>2692.15</x:v>
      </x:c>
      <x:c r="S133" s="83" t="n">
        <x:v>2044.49</x:v>
      </x:c>
      <x:c r="T133" s="83" t="n">
        <x:v>647.66</x:v>
      </x:c>
      <x:c r="U133" s="83" t="str">
        <x:v>Paid</x:v>
      </x:c>
      <x:c r="V133" s="83" t="str">
        <x:v>Completed</x:v>
      </x:c>
      <x:c r="W133" s="151" t="n">
        <x:f>IF(OR(NOT(ISNUMBER($AP133)),COUNT($O133,$P133)&lt;2,$O133&lt;=0,$P133&lt;0),"",ROUND($O133*$P133*(1-$AP133),2))</x:f>
        <x:v>2692.15</x:v>
      </x:c>
      <x:c r="X133" s="151" t="n">
        <x:f>IF(OR(NOT(ISNUMBER($W133)),NOT(ISNUMBER($S133))),"",ROUND($W133-$S133,2))</x:f>
        <x:v>647.66</x:v>
      </x:c>
      <x:c r="Y133" s="85" t="n">
        <x:f>IF(OR(NOT(ISNUMBER($W133)),NOT(ISNUMBER($X133)),$W133=0),"",ROUND($X133/$W133,4))</x:f>
        <x:v>0.2406</x:v>
      </x:c>
      <x:c r="Z133" s="82" t="n">
        <x:f>IF(OR($AH133&lt;&gt;"Valid",$AI133&lt;&gt;"Valid"),"",INT($D133-$C133))</x:f>
        <x:v>5</x:v>
      </x:c>
      <x:c r="AA133" s="86" t="str">
        <x:f>IF($AH133&lt;&gt;"Valid","",TEXT($C133,"mmmm"))</x:f>
        <x:v>September</x:v>
      </x:c>
      <x:c r="AB133" s="82" t="n">
        <x:f>IF($AH133&lt;&gt;"Valid","",YEAR($C133))</x:f>
        <x:v>2025</x:v>
      </x:c>
      <x:c r="AC133" s="80" t="str">
        <x:v>Consistent</x:v>
      </x:c>
      <x:c r="AD133" s="80" t="str">
        <x:v>Eligible</x:v>
      </x:c>
      <x:c r="AE133" s="80" t="str">
        <x:f>IF(OR($AH133&lt;&gt;"Valid",$AI133&lt;&gt;"Valid",$AJ133&lt;&gt;"Valid",LEFT($AM133,7)="Invalid",IFERROR(ABS($AQ133)&gt;0.01,FALSE),IFERROR(ABS($AR133)&gt;0.01,FALSE),COUNTIF($AS133,"*Conflicting duplicate*")&gt;0,COUNTIF($AS133,"*Completed order not paid*")&gt;0),"Invalid",IF(OR($H133="Unknown",$N133="Unknown",$AM133="Missing discount imputed as 0"),"Warning","Clean"))</x:f>
        <x:v>Clean</x:v>
      </x:c>
      <x:c r="AF133" s="80" t="str">
        <x:v>Pass</x:v>
      </x:c>
      <x:c r="AG133" s="80" t="str">
        <x:v>No text cleanup required</x:v>
      </x:c>
      <x:c r="AH133" s="12" t="str">
        <x:f>IF(C133="","Missing date",IF(ISNUMBER(C133),"Valid","Unrecognized/invalid date"))</x:f>
        <x:v>Valid</x:v>
      </x:c>
      <x:c r="AI133" s="12" t="str">
        <x:f>IF(D133="","Missing date",IF(ISNUMBER(D133),"Valid","Unrecognized/invalid date"))</x:f>
        <x:v>Valid</x:v>
      </x:c>
      <x:c r="AJ133" s="12" t="str">
        <x:v>Valid</x:v>
      </x:c>
      <x:c r="AK133" s="12" t="str">
        <x:v>Pass</x:v>
      </x:c>
      <x:c r="AL133" s="12" t="str">
        <x:v>None</x:v>
      </x:c>
      <x:c r="AM133" s="12" t="str">
        <x:v>Valid</x:v>
      </x:c>
      <x:c r="AN133" s="12" t="str">
        <x:v>Include in completed sales</x:v>
      </x:c>
      <x:c r="AO133" s="12" t="str">
        <x:v>Not a refunded record</x:v>
      </x:c>
      <x:c r="AP133" s="37" t="n">
        <x:f>IF(LEFT($AM133,7)="Invalid","",IF($AM133="Missing discount imputed as 0",IF(AND(COUNT($O133,$P133,$R133,$S133)=4,$O133&gt;0,$P133&gt;=0,$R133&gt;=0,$S133&gt;=0),0,""),IF(AND(ISNUMBER($Q133),$Q133&gt;=0,$Q133&lt;=0.5),$Q133,"")))</x:f>
        <x:v>0.2</x:v>
      </x:c>
      <x:c r="AQ133" s="152" t="n">
        <x:f>IF(OR($W133="",NOT(ISNUMBER($R133))),"",ROUND($R133-$W133,2))</x:f>
        <x:v>0</x:v>
      </x:c>
      <x:c r="AR133" s="152" t="n">
        <x:f>IF(OR($X133="",NOT(ISNUMBER($T133))),"",ROUND($T133-$X133,2))</x:f>
        <x:v>0</x:v>
      </x:c>
      <x:c r="AS133" s="14" t="str">
        <x:v>OK</x:v>
      </x:c>
    </x:row>
    <x:row r="134">
      <x:c r="A134" s="80" t="n">
        <x:v>134</x:v>
      </x:c>
      <x:c r="B134" s="80" t="str">
        <x:v>ORD-2024-10133</x:v>
      </x:c>
      <x:c r="C134" s="81" t="n">
        <x:v>45600</x:v>
      </x:c>
      <x:c r="D134" s="81" t="n">
        <x:v>45600</x:v>
      </x:c>
      <x:c r="E134" s="80" t="str">
        <x:v>CUST-3602</x:v>
      </x:c>
      <x:c r="F134" s="80" t="str">
        <x:v>Kabir Singh</x:v>
      </x:c>
      <x:c r="G134" s="80" t="str">
        <x:v>Corporate</x:v>
      </x:c>
      <x:c r="H134" s="80" t="str">
        <x:v>East</x:v>
      </x:c>
      <x:c r="I134" s="80" t="str">
        <x:v>Assam</x:v>
      </x:c>
      <x:c r="J134" s="80" t="str">
        <x:v>Guwahati</x:v>
      </x:c>
      <x:c r="K134" s="80" t="str">
        <x:v>Technology</x:v>
      </x:c>
      <x:c r="L134" s="80" t="str">
        <x:v>Machines</x:v>
      </x:c>
      <x:c r="M134" s="80" t="str">
        <x:v>Classic Machines 886</x:v>
      </x:c>
      <x:c r="N134" s="80" t="str">
        <x:v>First Class</x:v>
      </x:c>
      <x:c r="O134" s="82" t="n">
        <x:v>2</x:v>
      </x:c>
      <x:c r="P134" s="83" t="n">
        <x:v>533.08</x:v>
      </x:c>
      <x:c r="Q134" s="84" t="n">
        <x:v>0</x:v>
      </x:c>
      <x:c r="R134" s="83" t="n">
        <x:v>1066.16</x:v>
      </x:c>
      <x:c r="S134" s="83" t="n">
        <x:v>656.3</x:v>
      </x:c>
      <x:c r="T134" s="83" t="n">
        <x:v>409.86</x:v>
      </x:c>
      <x:c r="U134" s="83" t="str">
        <x:v>Failed</x:v>
      </x:c>
      <x:c r="V134" s="83" t="str">
        <x:v>Cancelled</x:v>
      </x:c>
      <x:c r="W134" s="151" t="n">
        <x:f>IF(OR(NOT(ISNUMBER($AP134)),COUNT($O134,$P134)&lt;2,$O134&lt;=0,$P134&lt;0),"",ROUND($O134*$P134*(1-$AP134),2))</x:f>
        <x:v>1066.16</x:v>
      </x:c>
      <x:c r="X134" s="151" t="n">
        <x:f>IF(OR(NOT(ISNUMBER($W134)),NOT(ISNUMBER($S134))),"",ROUND($W134-$S134,2))</x:f>
        <x:v>409.86</x:v>
      </x:c>
      <x:c r="Y134" s="85" t="n">
        <x:f>IF(OR(NOT(ISNUMBER($W134)),NOT(ISNUMBER($X134)),$W134=0),"",ROUND($X134/$W134,4))</x:f>
        <x:v>0.3844</x:v>
      </x:c>
      <x:c r="Z134" s="82" t="n">
        <x:f>IF(OR($AH134&lt;&gt;"Valid",$AI134&lt;&gt;"Valid"),"",INT($D134-$C134))</x:f>
        <x:v>0</x:v>
      </x:c>
      <x:c r="AA134" s="86" t="str">
        <x:f>IF($AH134&lt;&gt;"Valid","",TEXT($C134,"mmmm"))</x:f>
        <x:v>November</x:v>
      </x:c>
      <x:c r="AB134" s="82" t="n">
        <x:f>IF($AH134&lt;&gt;"Valid","",YEAR($C134))</x:f>
        <x:v>2024</x:v>
      </x:c>
      <x:c r="AC134" s="80" t="str">
        <x:v>Cancelled (excluded from completed-sales summary)</x:v>
      </x:c>
      <x:c r="AD134" s="80" t="str">
        <x:v>Excluded</x:v>
      </x:c>
      <x:c r="AE134" s="80" t="str">
        <x:f>IF(OR($AH134&lt;&gt;"Valid",$AI134&lt;&gt;"Valid",$AJ134&lt;&gt;"Valid",LEFT($AM134,7)="Invalid",IFERROR(ABS($AQ134)&gt;0.01,FALSE),IFERROR(ABS($AR134)&gt;0.01,FALSE),COUNTIF($AS134,"*Conflicting duplicate*")&gt;0,COUNTIF($AS134,"*Completed order not paid*")&gt;0),"Invalid",IF(OR($H134="Unknown",$N134="Unknown",$AM134="Missing discount imputed as 0"),"Warning","Clean"))</x:f>
        <x:v>Clean</x:v>
      </x:c>
      <x:c r="AF134" s="80" t="str">
        <x:v>Pass</x:v>
      </x:c>
      <x:c r="AG134" s="80" t="str">
        <x:v>No text cleanup required</x:v>
      </x:c>
      <x:c r="AH134" s="12" t="str">
        <x:f>IF(C134="","Missing date",IF(ISNUMBER(C134),"Valid","Unrecognized/invalid date"))</x:f>
        <x:v>Valid</x:v>
      </x:c>
      <x:c r="AI134" s="12" t="str">
        <x:f>IF(D134="","Missing date",IF(ISNUMBER(D134),"Valid","Unrecognized/invalid date"))</x:f>
        <x:v>Valid</x:v>
      </x:c>
      <x:c r="AJ134" s="12" t="str">
        <x:v>Valid</x:v>
      </x:c>
      <x:c r="AK134" s="12" t="str">
        <x:v>Pass</x:v>
      </x:c>
      <x:c r="AL134" s="12" t="str">
        <x:v>Cancelled order – excluded from completed sales; Failed payment – excluded from completed sales</x:v>
      </x:c>
      <x:c r="AM134" s="12" t="str">
        <x:v>Valid</x:v>
      </x:c>
      <x:c r="AN134" s="12" t="str">
        <x:v>Exclude from completed sales</x:v>
      </x:c>
      <x:c r="AO134" s="12" t="str">
        <x:v>Not a refunded record</x:v>
      </x:c>
      <x:c r="AP134" s="37" t="n">
        <x:f>IF(LEFT($AM134,7)="Invalid","",IF($AM134="Missing discount imputed as 0",IF(AND(COUNT($O134,$P134,$R134,$S134)=4,$O134&gt;0,$P134&gt;=0,$R134&gt;=0,$S134&gt;=0),0,""),IF(AND(ISNUMBER($Q134),$Q134&gt;=0,$Q134&lt;=0.5),$Q134,"")))</x:f>
        <x:v>0</x:v>
      </x:c>
      <x:c r="AQ134" s="152" t="n">
        <x:f>IF(OR($W134="",NOT(ISNUMBER($R134))),"",ROUND($R134-$W134,2))</x:f>
        <x:v>0</x:v>
      </x:c>
      <x:c r="AR134" s="152" t="n">
        <x:f>IF(OR($X134="",NOT(ISNUMBER($T134))),"",ROUND($T134-$X134,2))</x:f>
        <x:v>0</x:v>
      </x:c>
      <x:c r="AS134" s="14" t="str">
        <x:v>OK</x:v>
      </x:c>
    </x:row>
    <x:row r="135">
      <x:c r="A135" s="80" t="n">
        <x:v>135</x:v>
      </x:c>
      <x:c r="B135" s="80" t="str">
        <x:v>ORD-2024-10134</x:v>
      </x:c>
      <x:c r="C135" s="81" t="n">
        <x:v>45639</x:v>
      </x:c>
      <x:c r="D135" s="81" t="n">
        <x:v>45644</x:v>
      </x:c>
      <x:c r="E135" s="80" t="str">
        <x:v>CUST-9441</x:v>
      </x:c>
      <x:c r="F135" s="80" t="str">
        <x:v>Karan Malhotra</x:v>
      </x:c>
      <x:c r="G135" s="80" t="str">
        <x:v>Consumer</x:v>
      </x:c>
      <x:c r="H135" s="80" t="str">
        <x:v>West</x:v>
      </x:c>
      <x:c r="I135" s="80" t="str">
        <x:v>Goa</x:v>
      </x:c>
      <x:c r="J135" s="80" t="str">
        <x:v>Panaji</x:v>
      </x:c>
      <x:c r="K135" s="80" t="str">
        <x:v>Technology</x:v>
      </x:c>
      <x:c r="L135" s="80" t="str">
        <x:v>Phones</x:v>
      </x:c>
      <x:c r="M135" s="80" t="str">
        <x:v>Prime Phones 419</x:v>
      </x:c>
      <x:c r="N135" s="80" t="str">
        <x:v>Second Class</x:v>
      </x:c>
      <x:c r="O135" s="82" t="n">
        <x:v>8</x:v>
      </x:c>
      <x:c r="P135" s="83" t="n">
        <x:v>3372.15</x:v>
      </x:c>
      <x:c r="Q135" s="84" t="n">
        <x:v>0.15</x:v>
      </x:c>
      <x:c r="R135" s="83" t="n">
        <x:v>22930.62</x:v>
      </x:c>
      <x:c r="S135" s="83" t="n">
        <x:v>16875.55</x:v>
      </x:c>
      <x:c r="T135" s="83" t="n">
        <x:v>6055.07</x:v>
      </x:c>
      <x:c r="U135" s="83" t="str">
        <x:v>Paid</x:v>
      </x:c>
      <x:c r="V135" s="83" t="str">
        <x:v>Completed</x:v>
      </x:c>
      <x:c r="W135" s="151" t="n">
        <x:f>IF(OR(NOT(ISNUMBER($AP135)),COUNT($O135,$P135)&lt;2,$O135&lt;=0,$P135&lt;0),"",ROUND($O135*$P135*(1-$AP135),2))</x:f>
        <x:v>22930.62</x:v>
      </x:c>
      <x:c r="X135" s="151" t="n">
        <x:f>IF(OR(NOT(ISNUMBER($W135)),NOT(ISNUMBER($S135))),"",ROUND($W135-$S135,2))</x:f>
        <x:v>6055.07</x:v>
      </x:c>
      <x:c r="Y135" s="85" t="n">
        <x:f>IF(OR(NOT(ISNUMBER($W135)),NOT(ISNUMBER($X135)),$W135=0),"",ROUND($X135/$W135,4))</x:f>
        <x:v>0.2641</x:v>
      </x:c>
      <x:c r="Z135" s="82" t="n">
        <x:f>IF(OR($AH135&lt;&gt;"Valid",$AI135&lt;&gt;"Valid"),"",INT($D135-$C135))</x:f>
        <x:v>5</x:v>
      </x:c>
      <x:c r="AA135" s="86" t="str">
        <x:f>IF($AH135&lt;&gt;"Valid","",TEXT($C135,"mmmm"))</x:f>
        <x:v>December</x:v>
      </x:c>
      <x:c r="AB135" s="82" t="n">
        <x:f>IF($AH135&lt;&gt;"Valid","",YEAR($C135))</x:f>
        <x:v>2024</x:v>
      </x:c>
      <x:c r="AC135" s="80" t="str">
        <x:v>Consistent</x:v>
      </x:c>
      <x:c r="AD135" s="80" t="str">
        <x:v>Eligible</x:v>
      </x:c>
      <x:c r="AE135" s="80" t="str">
        <x:f>IF(OR($AH135&lt;&gt;"Valid",$AI135&lt;&gt;"Valid",$AJ135&lt;&gt;"Valid",LEFT($AM135,7)="Invalid",IFERROR(ABS($AQ135)&gt;0.01,FALSE),IFERROR(ABS($AR135)&gt;0.01,FALSE),COUNTIF($AS135,"*Conflicting duplicate*")&gt;0,COUNTIF($AS135,"*Completed order not paid*")&gt;0),"Invalid",IF(OR($H135="Unknown",$N135="Unknown",$AM135="Missing discount imputed as 0"),"Warning","Clean"))</x:f>
        <x:v>Clean</x:v>
      </x:c>
      <x:c r="AF135" s="80" t="str">
        <x:v>Pass</x:v>
      </x:c>
      <x:c r="AG135" s="80" t="str">
        <x:v>No text cleanup required</x:v>
      </x:c>
      <x:c r="AH135" s="12" t="str">
        <x:f>IF(C135="","Missing date",IF(ISNUMBER(C135),"Valid","Unrecognized/invalid date"))</x:f>
        <x:v>Valid</x:v>
      </x:c>
      <x:c r="AI135" s="12" t="str">
        <x:f>IF(D135="","Missing date",IF(ISNUMBER(D135),"Valid","Unrecognized/invalid date"))</x:f>
        <x:v>Valid</x:v>
      </x:c>
      <x:c r="AJ135" s="12" t="str">
        <x:v>Valid</x:v>
      </x:c>
      <x:c r="AK135" s="12" t="str">
        <x:v>Pass</x:v>
      </x:c>
      <x:c r="AL135" s="12" t="str">
        <x:v>None</x:v>
      </x:c>
      <x:c r="AM135" s="12" t="str">
        <x:v>Valid</x:v>
      </x:c>
      <x:c r="AN135" s="12" t="str">
        <x:v>Include in completed sales</x:v>
      </x:c>
      <x:c r="AO135" s="12" t="str">
        <x:v>Not a refunded record</x:v>
      </x:c>
      <x:c r="AP135" s="37" t="n">
        <x:f>IF(LEFT($AM135,7)="Invalid","",IF($AM135="Missing discount imputed as 0",IF(AND(COUNT($O135,$P135,$R135,$S135)=4,$O135&gt;0,$P135&gt;=0,$R135&gt;=0,$S135&gt;=0),0,""),IF(AND(ISNUMBER($Q135),$Q135&gt;=0,$Q135&lt;=0.5),$Q135,"")))</x:f>
        <x:v>0.15</x:v>
      </x:c>
      <x:c r="AQ135" s="152" t="n">
        <x:f>IF(OR($W135="",NOT(ISNUMBER($R135))),"",ROUND($R135-$W135,2))</x:f>
        <x:v>0</x:v>
      </x:c>
      <x:c r="AR135" s="152" t="n">
        <x:f>IF(OR($X135="",NOT(ISNUMBER($T135))),"",ROUND($T135-$X135,2))</x:f>
        <x:v>0</x:v>
      </x:c>
      <x:c r="AS135" s="14" t="str">
        <x:v>OK</x:v>
      </x:c>
    </x:row>
    <x:row r="136">
      <x:c r="A136" s="80" t="n">
        <x:v>136</x:v>
      </x:c>
      <x:c r="B136" s="80" t="str">
        <x:v>ORD-2025-10135</x:v>
      </x:c>
      <x:c r="C136" s="81" t="n">
        <x:v>45852</x:v>
      </x:c>
      <x:c r="D136" s="81" t="n">
        <x:v>45852</x:v>
      </x:c>
      <x:c r="E136" s="80" t="str">
        <x:v>CUST-7361</x:v>
      </x:c>
      <x:c r="F136" s="80" t="str">
        <x:v>Vikram Iyer</x:v>
      </x:c>
      <x:c r="G136" s="80" t="str">
        <x:v>Home Office</x:v>
      </x:c>
      <x:c r="H136" s="80" t="str">
        <x:v>East</x:v>
      </x:c>
      <x:c r="I136" s="80" t="str">
        <x:v>West Bengal</x:v>
      </x:c>
      <x:c r="J136" s="80" t="str">
        <x:v>Kolkata</x:v>
      </x:c>
      <x:c r="K136" s="80" t="str">
        <x:v>Furniture</x:v>
      </x:c>
      <x:c r="L136" s="80" t="str">
        <x:v>Bookcases</x:v>
      </x:c>
      <x:c r="M136" s="80" t="str">
        <x:v>Elite Bookcases 266</x:v>
      </x:c>
      <x:c r="N136" s="80" t="str">
        <x:v>Unknown</x:v>
      </x:c>
      <x:c r="O136" s="82" t="n">
        <x:v>5</x:v>
      </x:c>
      <x:c r="P136" s="83" t="n">
        <x:v>383.1</x:v>
      </x:c>
      <x:c r="Q136" s="84" t="n">
        <x:v>0.25</x:v>
      </x:c>
      <x:c r="R136" s="83" t="n">
        <x:v>1436.62</x:v>
      </x:c>
      <x:c r="S136" s="83" t="n">
        <x:v>912.52</x:v>
      </x:c>
      <x:c r="T136" s="83" t="n">
        <x:v>524.1</x:v>
      </x:c>
      <x:c r="U136" s="83" t="str">
        <x:v>Pending</x:v>
      </x:c>
      <x:c r="V136" s="83" t="str">
        <x:v>Cancelled</x:v>
      </x:c>
      <x:c r="W136" s="151" t="n">
        <x:f>IF(OR(NOT(ISNUMBER($AP136)),COUNT($O136,$P136)&lt;2,$O136&lt;=0,$P136&lt;0),"",ROUND($O136*$P136*(1-$AP136),2))</x:f>
        <x:v>1436.63</x:v>
      </x:c>
      <x:c r="X136" s="151" t="n">
        <x:f>IF(OR(NOT(ISNUMBER($W136)),NOT(ISNUMBER($S136))),"",ROUND($W136-$S136,2))</x:f>
        <x:v>524.11</x:v>
      </x:c>
      <x:c r="Y136" s="85" t="n">
        <x:f>IF(OR(NOT(ISNUMBER($W136)),NOT(ISNUMBER($X136)),$W136=0),"",ROUND($X136/$W136,4))</x:f>
        <x:v>0.3648</x:v>
      </x:c>
      <x:c r="Z136" s="82" t="n">
        <x:f>IF(OR($AH136&lt;&gt;"Valid",$AI136&lt;&gt;"Valid"),"",INT($D136-$C136))</x:f>
        <x:v>0</x:v>
      </x:c>
      <x:c r="AA136" s="86" t="str">
        <x:f>IF($AH136&lt;&gt;"Valid","",TEXT($C136,"mmmm"))</x:f>
        <x:v>July</x:v>
      </x:c>
      <x:c r="AB136" s="82" t="n">
        <x:f>IF($AH136&lt;&gt;"Valid","",YEAR($C136))</x:f>
        <x:v>2025</x:v>
      </x:c>
      <x:c r="AC136" s="80" t="str">
        <x:v>Cancelled (excluded from completed-sales summary)</x:v>
      </x:c>
      <x:c r="AD136" s="80" t="str">
        <x:v>Excluded</x:v>
      </x:c>
      <x:c r="AE136" s="80" t="str">
        <x:f>IF(OR($AH136&lt;&gt;"Valid",$AI136&lt;&gt;"Valid",$AJ136&lt;&gt;"Valid",LEFT($AM136,7)="Invalid",IFERROR(ABS($AQ136)&gt;0.01,FALSE),IFERROR(ABS($AR136)&gt;0.01,FALSE),COUNTIF($AS136,"*Conflicting duplicate*")&gt;0,COUNTIF($AS136,"*Completed order not paid*")&gt;0),"Invalid",IF(OR($H136="Unknown",$N136="Unknown",$AM136="Missing discount imputed as 0"),"Warning","Clean"))</x:f>
        <x:v>Warning</x:v>
      </x:c>
      <x:c r="AF136" s="80" t="str">
        <x:v>Cleaned</x:v>
      </x:c>
      <x:c r="AG136" s="80" t="str">
        <x:v>ship_mode: Missing value filled as Unknown</x:v>
      </x:c>
      <x:c r="AH136" s="12" t="str">
        <x:f>IF(C136="","Missing date",IF(ISNUMBER(C136),"Valid","Unrecognized/invalid date"))</x:f>
        <x:v>Valid</x:v>
      </x:c>
      <x:c r="AI136" s="12" t="str">
        <x:f>IF(D136="","Missing date",IF(ISNUMBER(D136),"Valid","Unrecognized/invalid date"))</x:f>
        <x:v>Valid</x:v>
      </x:c>
      <x:c r="AJ136" s="12" t="str">
        <x:v>Valid</x:v>
      </x:c>
      <x:c r="AK136" s="12" t="str">
        <x:v>Pass</x:v>
      </x:c>
      <x:c r="AL136" s="12" t="str">
        <x:v>Missing ship_mode filled as Unknown; Cancelled order – excluded from completed sales</x:v>
      </x:c>
      <x:c r="AM136" s="12" t="str">
        <x:v>Valid</x:v>
      </x:c>
      <x:c r="AN136" s="12" t="str">
        <x:v>Exclude from completed sales</x:v>
      </x:c>
      <x:c r="AO136" s="12" t="str">
        <x:v>Not a refunded record</x:v>
      </x:c>
      <x:c r="AP136" s="37" t="n">
        <x:f>IF(LEFT($AM136,7)="Invalid","",IF($AM136="Missing discount imputed as 0",IF(AND(COUNT($O136,$P136,$R136,$S136)=4,$O136&gt;0,$P136&gt;=0,$R136&gt;=0,$S136&gt;=0),0,""),IF(AND(ISNUMBER($Q136),$Q136&gt;=0,$Q136&lt;=0.5),$Q136,"")))</x:f>
        <x:v>0.25</x:v>
      </x:c>
      <x:c r="AQ136" s="152" t="n">
        <x:f>IF(OR($W136="",NOT(ISNUMBER($R136))),"",ROUND($R136-$W136,2))</x:f>
        <x:v>-0.01</x:v>
      </x:c>
      <x:c r="AR136" s="152" t="n">
        <x:f>IF(OR($X136="",NOT(ISNUMBER($T136))),"",ROUND($T136-$X136,2))</x:f>
        <x:v>-0.01</x:v>
      </x:c>
      <x:c r="AS136" s="14" t="str">
        <x:v>OK</x:v>
      </x:c>
    </x:row>
    <x:row r="137">
      <x:c r="A137" s="80" t="n">
        <x:v>137</x:v>
      </x:c>
      <x:c r="B137" s="80" t="str">
        <x:v>ORD-2025-10136</x:v>
      </x:c>
      <x:c r="C137" s="81" t="n">
        <x:v>45893</x:v>
      </x:c>
      <x:c r="D137" s="81" t="n">
        <x:v>45893</x:v>
      </x:c>
      <x:c r="E137" s="80" t="str">
        <x:v>CUST-1148</x:v>
      </x:c>
      <x:c r="F137" s="80" t="str">
        <x:v>Diya Patel</x:v>
      </x:c>
      <x:c r="G137" s="80" t="str">
        <x:v>Small Business</x:v>
      </x:c>
      <x:c r="H137" s="80" t="str">
        <x:v>South</x:v>
      </x:c>
      <x:c r="I137" s="80" t="str">
        <x:v>Kerala</x:v>
      </x:c>
      <x:c r="J137" s="80" t="str">
        <x:v>Kochi</x:v>
      </x:c>
      <x:c r="K137" s="80" t="str">
        <x:v>Furniture</x:v>
      </x:c>
      <x:c r="L137" s="80" t="str">
        <x:v>Bookcases</x:v>
      </x:c>
      <x:c r="M137" s="80" t="str">
        <x:v>Prime Bookcases 954</x:v>
      </x:c>
      <x:c r="N137" s="80" t="str">
        <x:v>Standard Class</x:v>
      </x:c>
      <x:c r="O137" s="82" t="n">
        <x:v>1</x:v>
      </x:c>
      <x:c r="P137" s="83" t="n">
        <x:v>3424.78</x:v>
      </x:c>
      <x:c r="Q137" s="84" t="n">
        <x:v>0</x:v>
      </x:c>
      <x:c r="R137" s="83" t="n">
        <x:v>3424.78</x:v>
      </x:c>
      <x:c r="S137" s="83" t="n">
        <x:v>1951.45</x:v>
      </x:c>
      <x:c r="T137" s="83" t="n">
        <x:v>1473.33</x:v>
      </x:c>
      <x:c r="U137" s="83" t="str">
        <x:v>Paid</x:v>
      </x:c>
      <x:c r="V137" s="83" t="str">
        <x:v>Completed</x:v>
      </x:c>
      <x:c r="W137" s="151" t="n">
        <x:f>IF(OR(NOT(ISNUMBER($AP137)),COUNT($O137,$P137)&lt;2,$O137&lt;=0,$P137&lt;0),"",ROUND($O137*$P137*(1-$AP137),2))</x:f>
        <x:v>3424.78</x:v>
      </x:c>
      <x:c r="X137" s="151" t="n">
        <x:f>IF(OR(NOT(ISNUMBER($W137)),NOT(ISNUMBER($S137))),"",ROUND($W137-$S137,2))</x:f>
        <x:v>1473.33</x:v>
      </x:c>
      <x:c r="Y137" s="85" t="n">
        <x:f>IF(OR(NOT(ISNUMBER($W137)),NOT(ISNUMBER($X137)),$W137=0),"",ROUND($X137/$W137,4))</x:f>
        <x:v>0.4302</x:v>
      </x:c>
      <x:c r="Z137" s="82" t="n">
        <x:f>IF(OR($AH137&lt;&gt;"Valid",$AI137&lt;&gt;"Valid"),"",INT($D137-$C137))</x:f>
        <x:v>0</x:v>
      </x:c>
      <x:c r="AA137" s="86" t="str">
        <x:f>IF($AH137&lt;&gt;"Valid","",TEXT($C137,"mmmm"))</x:f>
        <x:v>August</x:v>
      </x:c>
      <x:c r="AB137" s="82" t="n">
        <x:f>IF($AH137&lt;&gt;"Valid","",YEAR($C137))</x:f>
        <x:v>2025</x:v>
      </x:c>
      <x:c r="AC137" s="80" t="str">
        <x:v>Consistent</x:v>
      </x:c>
      <x:c r="AD137" s="80" t="str">
        <x:v>Eligible</x:v>
      </x:c>
      <x:c r="AE137" s="80" t="str">
        <x:f>IF(OR($AH137&lt;&gt;"Valid",$AI137&lt;&gt;"Valid",$AJ137&lt;&gt;"Valid",LEFT($AM137,7)="Invalid",IFERROR(ABS($AQ137)&gt;0.01,FALSE),IFERROR(ABS($AR137)&gt;0.01,FALSE),COUNTIF($AS137,"*Conflicting duplicate*")&gt;0,COUNTIF($AS137,"*Completed order not paid*")&gt;0),"Invalid",IF(OR($H137="Unknown",$N137="Unknown",$AM137="Missing discount imputed as 0"),"Warning","Clean"))</x:f>
        <x:v>Clean</x:v>
      </x:c>
      <x:c r="AF137" s="80" t="str">
        <x:v>Cleaned</x:v>
      </x:c>
      <x:c r="AG137" s="80" t="str">
        <x:v>category: TRIM/SUBSTITUTE whitespace cleanup</x:v>
      </x:c>
      <x:c r="AH137" s="12" t="str">
        <x:f>IF(C137="","Missing date",IF(ISNUMBER(C137),"Valid","Unrecognized/invalid date"))</x:f>
        <x:v>Valid</x:v>
      </x:c>
      <x:c r="AI137" s="12" t="str">
        <x:f>IF(D137="","Missing date",IF(ISNUMBER(D137),"Valid","Unrecognized/invalid date"))</x:f>
        <x:v>Valid</x:v>
      </x:c>
      <x:c r="AJ137" s="12" t="str">
        <x:v>Valid</x:v>
      </x:c>
      <x:c r="AK137" s="12" t="str">
        <x:v>Pass</x:v>
      </x:c>
      <x:c r="AL137" s="12" t="str">
        <x:v>None</x:v>
      </x:c>
      <x:c r="AM137" s="12" t="str">
        <x:v>Valid</x:v>
      </x:c>
      <x:c r="AN137" s="12" t="str">
        <x:v>Include in completed sales</x:v>
      </x:c>
      <x:c r="AO137" s="12" t="str">
        <x:v>Not a refunded record</x:v>
      </x:c>
      <x:c r="AP137" s="37" t="n">
        <x:f>IF(LEFT($AM137,7)="Invalid","",IF($AM137="Missing discount imputed as 0",IF(AND(COUNT($O137,$P137,$R137,$S137)=4,$O137&gt;0,$P137&gt;=0,$R137&gt;=0,$S137&gt;=0),0,""),IF(AND(ISNUMBER($Q137),$Q137&gt;=0,$Q137&lt;=0.5),$Q137,"")))</x:f>
        <x:v>0</x:v>
      </x:c>
      <x:c r="AQ137" s="152" t="n">
        <x:f>IF(OR($W137="",NOT(ISNUMBER($R137))),"",ROUND($R137-$W137,2))</x:f>
        <x:v>0</x:v>
      </x:c>
      <x:c r="AR137" s="152" t="n">
        <x:f>IF(OR($X137="",NOT(ISNUMBER($T137))),"",ROUND($T137-$X137,2))</x:f>
        <x:v>0</x:v>
      </x:c>
      <x:c r="AS137" s="14" t="str">
        <x:v>OK</x:v>
      </x:c>
    </x:row>
    <x:row r="138">
      <x:c r="A138" s="80" t="n">
        <x:v>138</x:v>
      </x:c>
      <x:c r="B138" s="80" t="str">
        <x:v>ORD-2025-10137</x:v>
      </x:c>
      <x:c r="C138" s="81" t="n">
        <x:v>45697</x:v>
      </x:c>
      <x:c r="D138" s="81" t="n">
        <x:v>45703</x:v>
      </x:c>
      <x:c r="E138" s="80" t="str">
        <x:v>CUST-3350</x:v>
      </x:c>
      <x:c r="F138" s="80" t="str">
        <x:v>Mira Das</x:v>
      </x:c>
      <x:c r="G138" s="80" t="str">
        <x:v>Home Office</x:v>
      </x:c>
      <x:c r="H138" s="80" t="str">
        <x:v>East</x:v>
      </x:c>
      <x:c r="I138" s="80" t="str">
        <x:v>Jharkhand</x:v>
      </x:c>
      <x:c r="J138" s="80" t="str">
        <x:v>Ranchi</x:v>
      </x:c>
      <x:c r="K138" s="80" t="str">
        <x:v>Office Supplies</x:v>
      </x:c>
      <x:c r="L138" s="80" t="str">
        <x:v>Binders</x:v>
      </x:c>
      <x:c r="M138" s="80" t="str">
        <x:v>Max Binders 362</x:v>
      </x:c>
      <x:c r="N138" s="80" t="str">
        <x:v>Standard Class</x:v>
      </x:c>
      <x:c r="O138" s="82" t="n">
        <x:v>9</x:v>
      </x:c>
      <x:c r="P138" s="83" t="n">
        <x:v>4330.33</x:v>
      </x:c>
      <x:c r="Q138" s="84" t="n">
        <x:v>0.2</x:v>
      </x:c>
      <x:c r="R138" s="83" t="n">
        <x:v>31178.38</x:v>
      </x:c>
      <x:c r="S138" s="83" t="n">
        <x:v>21421.09</x:v>
      </x:c>
      <x:c r="T138" s="83" t="n">
        <x:v>9757.29</x:v>
      </x:c>
      <x:c r="U138" s="83" t="str">
        <x:v>Paid</x:v>
      </x:c>
      <x:c r="V138" s="83" t="str">
        <x:v>Completed</x:v>
      </x:c>
      <x:c r="W138" s="151" t="n">
        <x:f>IF(OR(NOT(ISNUMBER($AP138)),COUNT($O138,$P138)&lt;2,$O138&lt;=0,$P138&lt;0),"",ROUND($O138*$P138*(1-$AP138),2))</x:f>
        <x:v>31178.38</x:v>
      </x:c>
      <x:c r="X138" s="151" t="n">
        <x:f>IF(OR(NOT(ISNUMBER($W138)),NOT(ISNUMBER($S138))),"",ROUND($W138-$S138,2))</x:f>
        <x:v>9757.29</x:v>
      </x:c>
      <x:c r="Y138" s="85" t="n">
        <x:f>IF(OR(NOT(ISNUMBER($W138)),NOT(ISNUMBER($X138)),$W138=0),"",ROUND($X138/$W138,4))</x:f>
        <x:v>0.313</x:v>
      </x:c>
      <x:c r="Z138" s="82" t="n">
        <x:f>IF(OR($AH138&lt;&gt;"Valid",$AI138&lt;&gt;"Valid"),"",INT($D138-$C138))</x:f>
        <x:v>6</x:v>
      </x:c>
      <x:c r="AA138" s="86" t="str">
        <x:f>IF($AH138&lt;&gt;"Valid","",TEXT($C138,"mmmm"))</x:f>
        <x:v>February</x:v>
      </x:c>
      <x:c r="AB138" s="82" t="n">
        <x:f>IF($AH138&lt;&gt;"Valid","",YEAR($C138))</x:f>
        <x:v>2025</x:v>
      </x:c>
      <x:c r="AC138" s="80" t="str">
        <x:v>Consistent</x:v>
      </x:c>
      <x:c r="AD138" s="80" t="str">
        <x:v>Eligible</x:v>
      </x:c>
      <x:c r="AE138" s="80" t="str">
        <x:f>IF(OR($AH138&lt;&gt;"Valid",$AI138&lt;&gt;"Valid",$AJ138&lt;&gt;"Valid",LEFT($AM138,7)="Invalid",IFERROR(ABS($AQ138)&gt;0.01,FALSE),IFERROR(ABS($AR138)&gt;0.01,FALSE),COUNTIF($AS138,"*Conflicting duplicate*")&gt;0,COUNTIF($AS138,"*Completed order not paid*")&gt;0),"Invalid",IF(OR($H138="Unknown",$N138="Unknown",$AM138="Missing discount imputed as 0"),"Warning","Clean"))</x:f>
        <x:v>Clean</x:v>
      </x:c>
      <x:c r="AF138" s="80" t="str">
        <x:v>Cleaned</x:v>
      </x:c>
      <x:c r="AG138" s="80" t="str">
        <x:v>ship_mode: TRIM/SUBSTITUTE whitespace cleanup</x:v>
      </x:c>
      <x:c r="AH138" s="12" t="str">
        <x:f>IF(C138="","Missing date",IF(ISNUMBER(C138),"Valid","Unrecognized/invalid date"))</x:f>
        <x:v>Valid</x:v>
      </x:c>
      <x:c r="AI138" s="12" t="str">
        <x:f>IF(D138="","Missing date",IF(ISNUMBER(D138),"Valid","Unrecognized/invalid date"))</x:f>
        <x:v>Valid</x:v>
      </x:c>
      <x:c r="AJ138" s="12" t="str">
        <x:v>Valid</x:v>
      </x:c>
      <x:c r="AK138" s="12" t="str">
        <x:v>Pass</x:v>
      </x:c>
      <x:c r="AL138" s="12" t="str">
        <x:v>None</x:v>
      </x:c>
      <x:c r="AM138" s="12" t="str">
        <x:v>Valid</x:v>
      </x:c>
      <x:c r="AN138" s="12" t="str">
        <x:v>Include in completed sales</x:v>
      </x:c>
      <x:c r="AO138" s="12" t="str">
        <x:v>Not a refunded record</x:v>
      </x:c>
      <x:c r="AP138" s="37" t="n">
        <x:f>IF(LEFT($AM138,7)="Invalid","",IF($AM138="Missing discount imputed as 0",IF(AND(COUNT($O138,$P138,$R138,$S138)=4,$O138&gt;0,$P138&gt;=0,$R138&gt;=0,$S138&gt;=0),0,""),IF(AND(ISNUMBER($Q138),$Q138&gt;=0,$Q138&lt;=0.5),$Q138,"")))</x:f>
        <x:v>0.2</x:v>
      </x:c>
      <x:c r="AQ138" s="152" t="n">
        <x:f>IF(OR($W138="",NOT(ISNUMBER($R138))),"",ROUND($R138-$W138,2))</x:f>
        <x:v>0</x:v>
      </x:c>
      <x:c r="AR138" s="152" t="n">
        <x:f>IF(OR($X138="",NOT(ISNUMBER($T138))),"",ROUND($T138-$X138,2))</x:f>
        <x:v>0</x:v>
      </x:c>
      <x:c r="AS138" s="14" t="str">
        <x:v>OK</x:v>
      </x:c>
    </x:row>
    <x:row r="139">
      <x:c r="A139" s="80" t="n">
        <x:v>139</x:v>
      </x:c>
      <x:c r="B139" s="80" t="str">
        <x:v>ORD-2025-10138</x:v>
      </x:c>
      <x:c r="C139" s="81" t="n">
        <x:v>45666</x:v>
      </x:c>
      <x:c r="D139" s="81" t="n">
        <x:v>45666</x:v>
      </x:c>
      <x:c r="E139" s="80" t="str">
        <x:v>CUST-7932</x:v>
      </x:c>
      <x:c r="F139" s="80" t="str">
        <x:v>Sneha Kapoor</x:v>
      </x:c>
      <x:c r="G139" s="80" t="str">
        <x:v>Small Business</x:v>
      </x:c>
      <x:c r="H139" s="80" t="str">
        <x:v>North</x:v>
      </x:c>
      <x:c r="I139" s="80" t="str">
        <x:v>Rajasthan</x:v>
      </x:c>
      <x:c r="J139" s="80" t="str">
        <x:v>Jaipur</x:v>
      </x:c>
      <x:c r="K139" s="80" t="str">
        <x:v>Furniture</x:v>
      </x:c>
      <x:c r="L139" s="80" t="str">
        <x:v>Chairs</x:v>
      </x:c>
      <x:c r="M139" s="80" t="str">
        <x:v>Prime Chairs 261</x:v>
      </x:c>
      <x:c r="N139" s="80" t="str">
        <x:v>Same Day</x:v>
      </x:c>
      <x:c r="O139" s="82" t="n">
        <x:v>8</x:v>
      </x:c>
      <x:c r="P139" s="83" t="n">
        <x:v>2667.07</x:v>
      </x:c>
      <x:c r="Q139" s="84" t="n">
        <x:v>0.1</x:v>
      </x:c>
      <x:c r="R139" s="83" t="n">
        <x:v>19202.9</x:v>
      </x:c>
      <x:c r="S139" s="83" t="n">
        <x:v>15526.62</x:v>
      </x:c>
      <x:c r="T139" s="83" t="n">
        <x:v>3676.28</x:v>
      </x:c>
      <x:c r="U139" s="83" t="str">
        <x:v>Paid</x:v>
      </x:c>
      <x:c r="V139" s="83" t="str">
        <x:v>Completed</x:v>
      </x:c>
      <x:c r="W139" s="151" t="n">
        <x:f>IF(OR(NOT(ISNUMBER($AP139)),COUNT($O139,$P139)&lt;2,$O139&lt;=0,$P139&lt;0),"",ROUND($O139*$P139*(1-$AP139),2))</x:f>
        <x:v>19202.9</x:v>
      </x:c>
      <x:c r="X139" s="151" t="n">
        <x:f>IF(OR(NOT(ISNUMBER($W139)),NOT(ISNUMBER($S139))),"",ROUND($W139-$S139,2))</x:f>
        <x:v>3676.28</x:v>
      </x:c>
      <x:c r="Y139" s="85" t="n">
        <x:f>IF(OR(NOT(ISNUMBER($W139)),NOT(ISNUMBER($X139)),$W139=0),"",ROUND($X139/$W139,4))</x:f>
        <x:v>0.1914</x:v>
      </x:c>
      <x:c r="Z139" s="82" t="n">
        <x:f>IF(OR($AH139&lt;&gt;"Valid",$AI139&lt;&gt;"Valid"),"",INT($D139-$C139))</x:f>
        <x:v>0</x:v>
      </x:c>
      <x:c r="AA139" s="86" t="str">
        <x:f>IF($AH139&lt;&gt;"Valid","",TEXT($C139,"mmmm"))</x:f>
        <x:v>January</x:v>
      </x:c>
      <x:c r="AB139" s="82" t="n">
        <x:f>IF($AH139&lt;&gt;"Valid","",YEAR($C139))</x:f>
        <x:v>2025</x:v>
      </x:c>
      <x:c r="AC139" s="80" t="str">
        <x:v>Consistent</x:v>
      </x:c>
      <x:c r="AD139" s="80" t="str">
        <x:v>Eligible</x:v>
      </x:c>
      <x:c r="AE139" s="80" t="str">
        <x:f>IF(OR($AH139&lt;&gt;"Valid",$AI139&lt;&gt;"Valid",$AJ139&lt;&gt;"Valid",LEFT($AM139,7)="Invalid",IFERROR(ABS($AQ139)&gt;0.01,FALSE),IFERROR(ABS($AR139)&gt;0.01,FALSE),COUNTIF($AS139,"*Conflicting duplicate*")&gt;0,COUNTIF($AS139,"*Completed order not paid*")&gt;0),"Invalid",IF(OR($H139="Unknown",$N139="Unknown",$AM139="Missing discount imputed as 0"),"Warning","Clean"))</x:f>
        <x:v>Clean</x:v>
      </x:c>
      <x:c r="AF139" s="80" t="str">
        <x:v>Pass</x:v>
      </x:c>
      <x:c r="AG139" s="80" t="str">
        <x:v>No text cleanup required</x:v>
      </x:c>
      <x:c r="AH139" s="12" t="str">
        <x:f>IF(C139="","Missing date",IF(ISNUMBER(C139),"Valid","Unrecognized/invalid date"))</x:f>
        <x:v>Valid</x:v>
      </x:c>
      <x:c r="AI139" s="12" t="str">
        <x:f>IF(D139="","Missing date",IF(ISNUMBER(D139),"Valid","Unrecognized/invalid date"))</x:f>
        <x:v>Valid</x:v>
      </x:c>
      <x:c r="AJ139" s="12" t="str">
        <x:v>Valid</x:v>
      </x:c>
      <x:c r="AK139" s="12" t="str">
        <x:v>Pass</x:v>
      </x:c>
      <x:c r="AL139" s="12" t="str">
        <x:v>None</x:v>
      </x:c>
      <x:c r="AM139" s="12" t="str">
        <x:v>Valid</x:v>
      </x:c>
      <x:c r="AN139" s="12" t="str">
        <x:v>Include in completed sales</x:v>
      </x:c>
      <x:c r="AO139" s="12" t="str">
        <x:v>Not a refunded record</x:v>
      </x:c>
      <x:c r="AP139" s="37" t="n">
        <x:f>IF(LEFT($AM139,7)="Invalid","",IF($AM139="Missing discount imputed as 0",IF(AND(COUNT($O139,$P139,$R139,$S139)=4,$O139&gt;0,$P139&gt;=0,$R139&gt;=0,$S139&gt;=0),0,""),IF(AND(ISNUMBER($Q139),$Q139&gt;=0,$Q139&lt;=0.5),$Q139,"")))</x:f>
        <x:v>0.1</x:v>
      </x:c>
      <x:c r="AQ139" s="152" t="n">
        <x:f>IF(OR($W139="",NOT(ISNUMBER($R139))),"",ROUND($R139-$W139,2))</x:f>
        <x:v>0</x:v>
      </x:c>
      <x:c r="AR139" s="152" t="n">
        <x:f>IF(OR($X139="",NOT(ISNUMBER($T139))),"",ROUND($T139-$X139,2))</x:f>
        <x:v>0</x:v>
      </x:c>
      <x:c r="AS139" s="14" t="str">
        <x:v>OK</x:v>
      </x:c>
    </x:row>
    <x:row r="140">
      <x:c r="A140" s="80" t="n">
        <x:v>140</x:v>
      </x:c>
      <x:c r="B140" s="80" t="str">
        <x:v>ORD-2024-10139</x:v>
      </x:c>
      <x:c r="C140" s="81" t="n">
        <x:v>45311</x:v>
      </x:c>
      <x:c r="D140" s="81" t="n">
        <x:v>45317</x:v>
      </x:c>
      <x:c r="E140" s="80" t="str">
        <x:v>CUST-7173</x:v>
      </x:c>
      <x:c r="F140" s="80" t="str">
        <x:v>Diya Patel</x:v>
      </x:c>
      <x:c r="G140" s="80" t="str">
        <x:v>Home Office</x:v>
      </x:c>
      <x:c r="H140" s="80" t="str">
        <x:v>East</x:v>
      </x:c>
      <x:c r="I140" s="80" t="str">
        <x:v>Jharkhand</x:v>
      </x:c>
      <x:c r="J140" s="80" t="str">
        <x:v>Ranchi</x:v>
      </x:c>
      <x:c r="K140" s="80" t="str">
        <x:v>Technology</x:v>
      </x:c>
      <x:c r="L140" s="80" t="str">
        <x:v>Machines</x:v>
      </x:c>
      <x:c r="M140" s="80" t="str">
        <x:v>Basic Machines 185</x:v>
      </x:c>
      <x:c r="N140" s="80" t="str">
        <x:v>Standard Class</x:v>
      </x:c>
      <x:c r="O140" s="82" t="n">
        <x:v>8</x:v>
      </x:c>
      <x:c r="P140" s="83" t="n">
        <x:v>4003.05</x:v>
      </x:c>
      <x:c r="Q140" s="84" t="n">
        <x:v>0.25</x:v>
      </x:c>
      <x:c r="R140" s="83" t="n">
        <x:v>24018.3</x:v>
      </x:c>
      <x:c r="S140" s="83" t="n">
        <x:v>14070.78</x:v>
      </x:c>
      <x:c r="T140" s="83" t="n">
        <x:v>9947.52</x:v>
      </x:c>
      <x:c r="U140" s="83" t="str">
        <x:v>Paid</x:v>
      </x:c>
      <x:c r="V140" s="83" t="str">
        <x:v>Completed</x:v>
      </x:c>
      <x:c r="W140" s="151" t="n">
        <x:f>IF(OR(NOT(ISNUMBER($AP140)),COUNT($O140,$P140)&lt;2,$O140&lt;=0,$P140&lt;0),"",ROUND($O140*$P140*(1-$AP140),2))</x:f>
        <x:v>24018.3</x:v>
      </x:c>
      <x:c r="X140" s="151" t="n">
        <x:f>IF(OR(NOT(ISNUMBER($W140)),NOT(ISNUMBER($S140))),"",ROUND($W140-$S140,2))</x:f>
        <x:v>9947.52</x:v>
      </x:c>
      <x:c r="Y140" s="85" t="n">
        <x:f>IF(OR(NOT(ISNUMBER($W140)),NOT(ISNUMBER($X140)),$W140=0),"",ROUND($X140/$W140,4))</x:f>
        <x:v>0.4142</x:v>
      </x:c>
      <x:c r="Z140" s="82" t="n">
        <x:f>IF(OR($AH140&lt;&gt;"Valid",$AI140&lt;&gt;"Valid"),"",INT($D140-$C140))</x:f>
        <x:v>6</x:v>
      </x:c>
      <x:c r="AA140" s="86" t="str">
        <x:f>IF($AH140&lt;&gt;"Valid","",TEXT($C140,"mmmm"))</x:f>
        <x:v>January</x:v>
      </x:c>
      <x:c r="AB140" s="82" t="n">
        <x:f>IF($AH140&lt;&gt;"Valid","",YEAR($C140))</x:f>
        <x:v>2024</x:v>
      </x:c>
      <x:c r="AC140" s="80" t="str">
        <x:v>Consistent</x:v>
      </x:c>
      <x:c r="AD140" s="80" t="str">
        <x:v>Eligible</x:v>
      </x:c>
      <x:c r="AE140" s="80" t="str">
        <x:f>IF(OR($AH140&lt;&gt;"Valid",$AI140&lt;&gt;"Valid",$AJ140&lt;&gt;"Valid",LEFT($AM140,7)="Invalid",IFERROR(ABS($AQ140)&gt;0.01,FALSE),IFERROR(ABS($AR140)&gt;0.01,FALSE),COUNTIF($AS140,"*Conflicting duplicate*")&gt;0,COUNTIF($AS140,"*Completed order not paid*")&gt;0),"Invalid",IF(OR($H140="Unknown",$N140="Unknown",$AM140="Missing discount imputed as 0"),"Warning","Clean"))</x:f>
        <x:v>Clean</x:v>
      </x:c>
      <x:c r="AF140" s="80" t="str">
        <x:v>Pass</x:v>
      </x:c>
      <x:c r="AG140" s="80" t="str">
        <x:v>No text cleanup required</x:v>
      </x:c>
      <x:c r="AH140" s="12" t="str">
        <x:f>IF(C140="","Missing date",IF(ISNUMBER(C140),"Valid","Unrecognized/invalid date"))</x:f>
        <x:v>Valid</x:v>
      </x:c>
      <x:c r="AI140" s="12" t="str">
        <x:f>IF(D140="","Missing date",IF(ISNUMBER(D140),"Valid","Unrecognized/invalid date"))</x:f>
        <x:v>Valid</x:v>
      </x:c>
      <x:c r="AJ140" s="12" t="str">
        <x:v>Valid</x:v>
      </x:c>
      <x:c r="AK140" s="12" t="str">
        <x:v>Pass</x:v>
      </x:c>
      <x:c r="AL140" s="12" t="str">
        <x:v>None</x:v>
      </x:c>
      <x:c r="AM140" s="12" t="str">
        <x:v>Valid</x:v>
      </x:c>
      <x:c r="AN140" s="12" t="str">
        <x:v>Include in completed sales</x:v>
      </x:c>
      <x:c r="AO140" s="12" t="str">
        <x:v>Not a refunded record</x:v>
      </x:c>
      <x:c r="AP140" s="37" t="n">
        <x:f>IF(LEFT($AM140,7)="Invalid","",IF($AM140="Missing discount imputed as 0",IF(AND(COUNT($O140,$P140,$R140,$S140)=4,$O140&gt;0,$P140&gt;=0,$R140&gt;=0,$S140&gt;=0),0,""),IF(AND(ISNUMBER($Q140),$Q140&gt;=0,$Q140&lt;=0.5),$Q140,"")))</x:f>
        <x:v>0.25</x:v>
      </x:c>
      <x:c r="AQ140" s="152" t="n">
        <x:f>IF(OR($W140="",NOT(ISNUMBER($R140))),"",ROUND($R140-$W140,2))</x:f>
        <x:v>0</x:v>
      </x:c>
      <x:c r="AR140" s="152" t="n">
        <x:f>IF(OR($X140="",NOT(ISNUMBER($T140))),"",ROUND($T140-$X140,2))</x:f>
        <x:v>0</x:v>
      </x:c>
      <x:c r="AS140" s="14" t="str">
        <x:v>OK</x:v>
      </x:c>
    </x:row>
    <x:row r="141">
      <x:c r="A141" s="80" t="n">
        <x:v>141</x:v>
      </x:c>
      <x:c r="B141" s="80" t="str">
        <x:v>ORD-2025-10140</x:v>
      </x:c>
      <x:c r="C141" s="81" t="n">
        <x:v>45718</x:v>
      </x:c>
      <x:c r="D141" s="81" t="n">
        <x:v>45723</x:v>
      </x:c>
      <x:c r="E141" s="80" t="str">
        <x:v>CUST-4225</x:v>
      </x:c>
      <x:c r="F141" s="80" t="str">
        <x:v>Neha Gupta</x:v>
      </x:c>
      <x:c r="G141" s="80" t="str">
        <x:v>Home Office</x:v>
      </x:c>
      <x:c r="H141" s="80" t="str">
        <x:v>South</x:v>
      </x:c>
      <x:c r="I141" s="80" t="str">
        <x:v>Karnataka</x:v>
      </x:c>
      <x:c r="J141" s="80" t="str">
        <x:v>Bengaluru</x:v>
      </x:c>
      <x:c r="K141" s="80" t="str">
        <x:v>Office Supplies</x:v>
      </x:c>
      <x:c r="L141" s="80" t="str">
        <x:v>Labels</x:v>
      </x:c>
      <x:c r="M141" s="80" t="str">
        <x:v>Basic Labels 509</x:v>
      </x:c>
      <x:c r="N141" s="80" t="str">
        <x:v>Standard Class</x:v>
      </x:c>
      <x:c r="O141" s="82" t="n">
        <x:v>8</x:v>
      </x:c>
      <x:c r="P141" s="83" t="n">
        <x:v>1287.63</x:v>
      </x:c>
      <x:c r="Q141" s="84" t="n">
        <x:v>0</x:v>
      </x:c>
      <x:c r="R141" s="83" t="n">
        <x:v>10301.04</x:v>
      </x:c>
      <x:c r="S141" s="83" t="n">
        <x:v>6564.06</x:v>
      </x:c>
      <x:c r="T141" s="83" t="n">
        <x:v>3736.98</x:v>
      </x:c>
      <x:c r="U141" s="83" t="str">
        <x:v>Paid</x:v>
      </x:c>
      <x:c r="V141" s="83" t="str">
        <x:v>Completed</x:v>
      </x:c>
      <x:c r="W141" s="151" t="n">
        <x:f>IF(OR(NOT(ISNUMBER($AP141)),COUNT($O141,$P141)&lt;2,$O141&lt;=0,$P141&lt;0),"",ROUND($O141*$P141*(1-$AP141),2))</x:f>
        <x:v>10301.04</x:v>
      </x:c>
      <x:c r="X141" s="151" t="n">
        <x:f>IF(OR(NOT(ISNUMBER($W141)),NOT(ISNUMBER($S141))),"",ROUND($W141-$S141,2))</x:f>
        <x:v>3736.98</x:v>
      </x:c>
      <x:c r="Y141" s="85" t="n">
        <x:f>IF(OR(NOT(ISNUMBER($W141)),NOT(ISNUMBER($X141)),$W141=0),"",ROUND($X141/$W141,4))</x:f>
        <x:v>0.3628</x:v>
      </x:c>
      <x:c r="Z141" s="82" t="n">
        <x:f>IF(OR($AH141&lt;&gt;"Valid",$AI141&lt;&gt;"Valid"),"",INT($D141-$C141))</x:f>
        <x:v>5</x:v>
      </x:c>
      <x:c r="AA141" s="86" t="str">
        <x:f>IF($AH141&lt;&gt;"Valid","",TEXT($C141,"mmmm"))</x:f>
        <x:v>March</x:v>
      </x:c>
      <x:c r="AB141" s="82" t="n">
        <x:f>IF($AH141&lt;&gt;"Valid","",YEAR($C141))</x:f>
        <x:v>2025</x:v>
      </x:c>
      <x:c r="AC141" s="80" t="str">
        <x:v>Consistent</x:v>
      </x:c>
      <x:c r="AD141" s="80" t="str">
        <x:v>Eligible</x:v>
      </x:c>
      <x:c r="AE141" s="80" t="str">
        <x:f>IF(OR($AH141&lt;&gt;"Valid",$AI141&lt;&gt;"Valid",$AJ141&lt;&gt;"Valid",LEFT($AM141,7)="Invalid",IFERROR(ABS($AQ141)&gt;0.01,FALSE),IFERROR(ABS($AR141)&gt;0.01,FALSE),COUNTIF($AS141,"*Conflicting duplicate*")&gt;0,COUNTIF($AS141,"*Completed order not paid*")&gt;0),"Invalid",IF(OR($H141="Unknown",$N141="Unknown",$AM141="Missing discount imputed as 0"),"Warning","Clean"))</x:f>
        <x:v>Clean</x:v>
      </x:c>
      <x:c r="AF141" s="80" t="str">
        <x:v>Pass</x:v>
      </x:c>
      <x:c r="AG141" s="80" t="str">
        <x:v>No text cleanup required</x:v>
      </x:c>
      <x:c r="AH141" s="12" t="str">
        <x:f>IF(C141="","Missing date",IF(ISNUMBER(C141),"Valid","Unrecognized/invalid date"))</x:f>
        <x:v>Valid</x:v>
      </x:c>
      <x:c r="AI141" s="12" t="str">
        <x:f>IF(D141="","Missing date",IF(ISNUMBER(D141),"Valid","Unrecognized/invalid date"))</x:f>
        <x:v>Valid</x:v>
      </x:c>
      <x:c r="AJ141" s="12" t="str">
        <x:v>Valid</x:v>
      </x:c>
      <x:c r="AK141" s="12" t="str">
        <x:v>Pass</x:v>
      </x:c>
      <x:c r="AL141" s="12" t="str">
        <x:v>None</x:v>
      </x:c>
      <x:c r="AM141" s="12" t="str">
        <x:v>Valid</x:v>
      </x:c>
      <x:c r="AN141" s="12" t="str">
        <x:v>Include in completed sales</x:v>
      </x:c>
      <x:c r="AO141" s="12" t="str">
        <x:v>Not a refunded record</x:v>
      </x:c>
      <x:c r="AP141" s="37" t="n">
        <x:f>IF(LEFT($AM141,7)="Invalid","",IF($AM141="Missing discount imputed as 0",IF(AND(COUNT($O141,$P141,$R141,$S141)=4,$O141&gt;0,$P141&gt;=0,$R141&gt;=0,$S141&gt;=0),0,""),IF(AND(ISNUMBER($Q141),$Q141&gt;=0,$Q141&lt;=0.5),$Q141,"")))</x:f>
        <x:v>0</x:v>
      </x:c>
      <x:c r="AQ141" s="152" t="n">
        <x:f>IF(OR($W141="",NOT(ISNUMBER($R141))),"",ROUND($R141-$W141,2))</x:f>
        <x:v>0</x:v>
      </x:c>
      <x:c r="AR141" s="152" t="n">
        <x:f>IF(OR($X141="",NOT(ISNUMBER($T141))),"",ROUND($T141-$X141,2))</x:f>
        <x:v>0</x:v>
      </x:c>
      <x:c r="AS141" s="14" t="str">
        <x:v>OK</x:v>
      </x:c>
    </x:row>
    <x:row r="142">
      <x:c r="A142" s="80" t="n">
        <x:v>142</x:v>
      </x:c>
      <x:c r="B142" s="80" t="str">
        <x:v>ORD-2024-10141</x:v>
      </x:c>
      <x:c r="C142" s="81" t="n">
        <x:v>45443</x:v>
      </x:c>
      <x:c r="D142" s="81" t="n">
        <x:v>45444</x:v>
      </x:c>
      <x:c r="E142" s="80" t="str">
        <x:v>CUST-2149</x:v>
      </x:c>
      <x:c r="F142" s="80" t="str">
        <x:v>Mira Das</x:v>
      </x:c>
      <x:c r="G142" s="80" t="str">
        <x:v>Corporate</x:v>
      </x:c>
      <x:c r="H142" s="80" t="str">
        <x:v>South</x:v>
      </x:c>
      <x:c r="I142" s="80" t="str">
        <x:v>Karnataka</x:v>
      </x:c>
      <x:c r="J142" s="80" t="str">
        <x:v>Bengaluru</x:v>
      </x:c>
      <x:c r="K142" s="80" t="str">
        <x:v>Furniture</x:v>
      </x:c>
      <x:c r="L142" s="80" t="str">
        <x:v>Bookcases</x:v>
      </x:c>
      <x:c r="M142" s="80" t="str">
        <x:v>Elite Bookcases 696</x:v>
      </x:c>
      <x:c r="N142" s="80" t="str">
        <x:v>Same Day</x:v>
      </x:c>
      <x:c r="O142" s="82" t="n">
        <x:v>3</x:v>
      </x:c>
      <x:c r="P142" s="83" t="n">
        <x:v>2914.55</x:v>
      </x:c>
      <x:c r="Q142" s="84" t="n">
        <x:v>0</x:v>
      </x:c>
      <x:c r="R142" s="83" t="n">
        <x:v>8743.65</x:v>
      </x:c>
      <x:c r="S142" s="83" t="n">
        <x:v>6603.76</x:v>
      </x:c>
      <x:c r="T142" s="83" t="n">
        <x:v>2139.89</x:v>
      </x:c>
      <x:c r="U142" s="83" t="str">
        <x:v>Paid</x:v>
      </x:c>
      <x:c r="V142" s="83" t="str">
        <x:v>Completed</x:v>
      </x:c>
      <x:c r="W142" s="151" t="n">
        <x:f>IF(OR(NOT(ISNUMBER($AP142)),COUNT($O142,$P142)&lt;2,$O142&lt;=0,$P142&lt;0),"",ROUND($O142*$P142*(1-$AP142),2))</x:f>
        <x:v>8743.65</x:v>
      </x:c>
      <x:c r="X142" s="151" t="n">
        <x:f>IF(OR(NOT(ISNUMBER($W142)),NOT(ISNUMBER($S142))),"",ROUND($W142-$S142,2))</x:f>
        <x:v>2139.89</x:v>
      </x:c>
      <x:c r="Y142" s="85" t="n">
        <x:f>IF(OR(NOT(ISNUMBER($W142)),NOT(ISNUMBER($X142)),$W142=0),"",ROUND($X142/$W142,4))</x:f>
        <x:v>0.2447</x:v>
      </x:c>
      <x:c r="Z142" s="82" t="n">
        <x:f>IF(OR($AH142&lt;&gt;"Valid",$AI142&lt;&gt;"Valid"),"",INT($D142-$C142))</x:f>
        <x:v>1</x:v>
      </x:c>
      <x:c r="AA142" s="86" t="str">
        <x:f>IF($AH142&lt;&gt;"Valid","",TEXT($C142,"mmmm"))</x:f>
        <x:v>May</x:v>
      </x:c>
      <x:c r="AB142" s="82" t="n">
        <x:f>IF($AH142&lt;&gt;"Valid","",YEAR($C142))</x:f>
        <x:v>2024</x:v>
      </x:c>
      <x:c r="AC142" s="80" t="str">
        <x:v>Consistent</x:v>
      </x:c>
      <x:c r="AD142" s="80" t="str">
        <x:v>Eligible</x:v>
      </x:c>
      <x:c r="AE142" s="80" t="str">
        <x:f>IF(OR($AH142&lt;&gt;"Valid",$AI142&lt;&gt;"Valid",$AJ142&lt;&gt;"Valid",LEFT($AM142,7)="Invalid",IFERROR(ABS($AQ142)&gt;0.01,FALSE),IFERROR(ABS($AR142)&gt;0.01,FALSE),COUNTIF($AS142,"*Conflicting duplicate*")&gt;0,COUNTIF($AS142,"*Completed order not paid*")&gt;0),"Invalid",IF(OR($H142="Unknown",$N142="Unknown",$AM142="Missing discount imputed as 0"),"Warning","Clean"))</x:f>
        <x:v>Clean</x:v>
      </x:c>
      <x:c r="AF142" s="80" t="str">
        <x:v>Pass</x:v>
      </x:c>
      <x:c r="AG142" s="80" t="str">
        <x:v>No text cleanup required</x:v>
      </x:c>
      <x:c r="AH142" s="12" t="str">
        <x:f>IF(C142="","Missing date",IF(ISNUMBER(C142),"Valid","Unrecognized/invalid date"))</x:f>
        <x:v>Valid</x:v>
      </x:c>
      <x:c r="AI142" s="12" t="str">
        <x:f>IF(D142="","Missing date",IF(ISNUMBER(D142),"Valid","Unrecognized/invalid date"))</x:f>
        <x:v>Valid</x:v>
      </x:c>
      <x:c r="AJ142" s="12" t="str">
        <x:v>Valid</x:v>
      </x:c>
      <x:c r="AK142" s="12" t="str">
        <x:v>Pass</x:v>
      </x:c>
      <x:c r="AL142" s="12" t="str">
        <x:v>None</x:v>
      </x:c>
      <x:c r="AM142" s="12" t="str">
        <x:v>Valid</x:v>
      </x:c>
      <x:c r="AN142" s="12" t="str">
        <x:v>Include in completed sales</x:v>
      </x:c>
      <x:c r="AO142" s="12" t="str">
        <x:v>Not a refunded record</x:v>
      </x:c>
      <x:c r="AP142" s="37" t="n">
        <x:f>IF(LEFT($AM142,7)="Invalid","",IF($AM142="Missing discount imputed as 0",IF(AND(COUNT($O142,$P142,$R142,$S142)=4,$O142&gt;0,$P142&gt;=0,$R142&gt;=0,$S142&gt;=0),0,""),IF(AND(ISNUMBER($Q142),$Q142&gt;=0,$Q142&lt;=0.5),$Q142,"")))</x:f>
        <x:v>0</x:v>
      </x:c>
      <x:c r="AQ142" s="152" t="n">
        <x:f>IF(OR($W142="",NOT(ISNUMBER($R142))),"",ROUND($R142-$W142,2))</x:f>
        <x:v>0</x:v>
      </x:c>
      <x:c r="AR142" s="152" t="n">
        <x:f>IF(OR($X142="",NOT(ISNUMBER($T142))),"",ROUND($T142-$X142,2))</x:f>
        <x:v>0</x:v>
      </x:c>
      <x:c r="AS142" s="14" t="str">
        <x:v>OK</x:v>
      </x:c>
    </x:row>
    <x:row r="143">
      <x:c r="A143" s="80" t="n">
        <x:v>143</x:v>
      </x:c>
      <x:c r="B143" s="80" t="str">
        <x:v>ORD-2024-10142</x:v>
      </x:c>
      <x:c r="C143" s="81" t="n">
        <x:v>45374</x:v>
      </x:c>
      <x:c r="D143" s="81" t="n">
        <x:v>45380</x:v>
      </x:c>
      <x:c r="E143" s="80" t="str">
        <x:v>CUST-3314</x:v>
      </x:c>
      <x:c r="F143" s="80" t="str">
        <x:v>Priya Menon</x:v>
      </x:c>
      <x:c r="G143" s="80" t="str">
        <x:v>Corporate</x:v>
      </x:c>
      <x:c r="H143" s="80" t="str">
        <x:v>North</x:v>
      </x:c>
      <x:c r="I143" s="80" t="str">
        <x:v>Delhi</x:v>
      </x:c>
      <x:c r="J143" s="80" t="str">
        <x:v>New Delhi</x:v>
      </x:c>
      <x:c r="K143" s="80" t="str">
        <x:v>Furniture</x:v>
      </x:c>
      <x:c r="L143" s="80" t="str">
        <x:v>Bookcases</x:v>
      </x:c>
      <x:c r="M143" s="80" t="str">
        <x:v>Elite Bookcases 772</x:v>
      </x:c>
      <x:c r="N143" s="80" t="str">
        <x:v>Same Day</x:v>
      </x:c>
      <x:c r="O143" s="82" t="n">
        <x:v>7</x:v>
      </x:c>
      <x:c r="P143" s="83" t="n">
        <x:v>634.29</x:v>
      </x:c>
      <x:c r="Q143" s="84" t="n">
        <x:v>0.1</x:v>
      </x:c>
      <x:c r="R143" s="83" t="n">
        <x:v>3996.03</x:v>
      </x:c>
      <x:c r="S143" s="83" t="n">
        <x:v>2859.51</x:v>
      </x:c>
      <x:c r="T143" s="83" t="n">
        <x:v>1136.52</x:v>
      </x:c>
      <x:c r="U143" s="83" t="str">
        <x:v>Paid</x:v>
      </x:c>
      <x:c r="V143" s="83" t="str">
        <x:v>Returned</x:v>
      </x:c>
      <x:c r="W143" s="151" t="n">
        <x:f>IF(OR(NOT(ISNUMBER($AP143)),COUNT($O143,$P143)&lt;2,$O143&lt;=0,$P143&lt;0),"",ROUND($O143*$P143*(1-$AP143),2))</x:f>
        <x:v>3996.03</x:v>
      </x:c>
      <x:c r="X143" s="151" t="n">
        <x:f>IF(OR(NOT(ISNUMBER($W143)),NOT(ISNUMBER($S143))),"",ROUND($W143-$S143,2))</x:f>
        <x:v>1136.52</x:v>
      </x:c>
      <x:c r="Y143" s="85" t="n">
        <x:f>IF(OR(NOT(ISNUMBER($W143)),NOT(ISNUMBER($X143)),$W143=0),"",ROUND($X143/$W143,4))</x:f>
        <x:v>0.2844</x:v>
      </x:c>
      <x:c r="Z143" s="82" t="n">
        <x:f>IF(OR($AH143&lt;&gt;"Valid",$AI143&lt;&gt;"Valid"),"",INT($D143-$C143))</x:f>
        <x:v>6</x:v>
      </x:c>
      <x:c r="AA143" s="86" t="str">
        <x:f>IF($AH143&lt;&gt;"Valid","",TEXT($C143,"mmmm"))</x:f>
        <x:v>March</x:v>
      </x:c>
      <x:c r="AB143" s="82" t="n">
        <x:f>IF($AH143&lt;&gt;"Valid","",YEAR($C143))</x:f>
        <x:v>2024</x:v>
      </x:c>
      <x:c r="AC143" s="80" t="str">
        <x:v>Consistent</x:v>
      </x:c>
      <x:c r="AD143" s="80" t="str">
        <x:v>Excluded</x:v>
      </x:c>
      <x:c r="AE143" s="80" t="str">
        <x:f>IF(OR($AH143&lt;&gt;"Valid",$AI143&lt;&gt;"Valid",$AJ143&lt;&gt;"Valid",LEFT($AM143,7)="Invalid",IFERROR(ABS($AQ143)&gt;0.01,FALSE),IFERROR(ABS($AR143)&gt;0.01,FALSE),COUNTIF($AS143,"*Conflicting duplicate*")&gt;0,COUNTIF($AS143,"*Completed order not paid*")&gt;0),"Invalid",IF(OR($H143="Unknown",$N143="Unknown",$AM143="Missing discount imputed as 0"),"Warning","Clean"))</x:f>
        <x:v>Clean</x:v>
      </x:c>
      <x:c r="AF143" s="80" t="str">
        <x:v>Pass</x:v>
      </x:c>
      <x:c r="AG143" s="80" t="str">
        <x:v>No text cleanup required</x:v>
      </x:c>
      <x:c r="AH143" s="12" t="str">
        <x:f>IF(C143="","Missing date",IF(ISNUMBER(C143),"Valid","Unrecognized/invalid date"))</x:f>
        <x:v>Valid</x:v>
      </x:c>
      <x:c r="AI143" s="12" t="str">
        <x:f>IF(D143="","Missing date",IF(ISNUMBER(D143),"Valid","Unrecognized/invalid date"))</x:f>
        <x:v>Valid</x:v>
      </x:c>
      <x:c r="AJ143" s="12" t="str">
        <x:v>Valid</x:v>
      </x:c>
      <x:c r="AK143" s="12" t="str">
        <x:v>Pass</x:v>
      </x:c>
      <x:c r="AL143" s="12" t="str">
        <x:v>None</x:v>
      </x:c>
      <x:c r="AM143" s="12" t="str">
        <x:v>Valid</x:v>
      </x:c>
      <x:c r="AN143" s="12" t="str">
        <x:v>Exclude from completed sales</x:v>
      </x:c>
      <x:c r="AO143" s="12" t="str">
        <x:v>Not a refunded record</x:v>
      </x:c>
      <x:c r="AP143" s="37" t="n">
        <x:f>IF(LEFT($AM143,7)="Invalid","",IF($AM143="Missing discount imputed as 0",IF(AND(COUNT($O143,$P143,$R143,$S143)=4,$O143&gt;0,$P143&gt;=0,$R143&gt;=0,$S143&gt;=0),0,""),IF(AND(ISNUMBER($Q143),$Q143&gt;=0,$Q143&lt;=0.5),$Q143,"")))</x:f>
        <x:v>0.1</x:v>
      </x:c>
      <x:c r="AQ143" s="152" t="n">
        <x:f>IF(OR($W143="",NOT(ISNUMBER($R143))),"",ROUND($R143-$W143,2))</x:f>
        <x:v>0</x:v>
      </x:c>
      <x:c r="AR143" s="152" t="n">
        <x:f>IF(OR($X143="",NOT(ISNUMBER($T143))),"",ROUND($T143-$X143,2))</x:f>
        <x:v>0</x:v>
      </x:c>
      <x:c r="AS143" s="14" t="str">
        <x:v>OK</x:v>
      </x:c>
    </x:row>
    <x:row r="144">
      <x:c r="A144" s="80" t="n">
        <x:v>144</x:v>
      </x:c>
      <x:c r="B144" s="80" t="str">
        <x:v>ORD-2024-10143</x:v>
      </x:c>
      <x:c r="C144" s="81" t="n">
        <x:v>45381</x:v>
      </x:c>
      <x:c r="D144" s="81" t="n">
        <x:v>45377</x:v>
      </x:c>
      <x:c r="E144" s="80" t="str">
        <x:v>CUST-8944</x:v>
      </x:c>
      <x:c r="F144" s="80" t="str">
        <x:v>Aditi Sen</x:v>
      </x:c>
      <x:c r="G144" s="80" t="str">
        <x:v>Home Office</x:v>
      </x:c>
      <x:c r="H144" s="80" t="str">
        <x:v>North</x:v>
      </x:c>
      <x:c r="I144" s="80" t="str">
        <x:v>Rajasthan</x:v>
      </x:c>
      <x:c r="J144" s="80" t="str">
        <x:v>Jaipur</x:v>
      </x:c>
      <x:c r="K144" s="80" t="str">
        <x:v>Technology</x:v>
      </x:c>
      <x:c r="L144" s="80" t="str">
        <x:v>Phones</x:v>
      </x:c>
      <x:c r="M144" s="80" t="str">
        <x:v>Classic Phones 142</x:v>
      </x:c>
      <x:c r="N144" s="80" t="str">
        <x:v>Second Class</x:v>
      </x:c>
      <x:c r="O144" s="82" t="n">
        <x:v>5</x:v>
      </x:c>
      <x:c r="P144" s="83" t="n">
        <x:v>907.54</x:v>
      </x:c>
      <x:c r="Q144" s="84" t="n">
        <x:v>0.15</x:v>
      </x:c>
      <x:c r="R144" s="83" t="n">
        <x:v>3857.04</x:v>
      </x:c>
      <x:c r="S144" s="83" t="n">
        <x:v>2769.26</x:v>
      </x:c>
      <x:c r="T144" s="83" t="n">
        <x:v>1087.78</x:v>
      </x:c>
      <x:c r="U144" s="83" t="str">
        <x:v>Paid</x:v>
      </x:c>
      <x:c r="V144" s="83" t="str">
        <x:v>Completed</x:v>
      </x:c>
      <x:c r="W144" s="151" t="n">
        <x:f>IF(OR(NOT(ISNUMBER($AP144)),COUNT($O144,$P144)&lt;2,$O144&lt;=0,$P144&lt;0),"",ROUND($O144*$P144*(1-$AP144),2))</x:f>
        <x:v>3857.04</x:v>
      </x:c>
      <x:c r="X144" s="151" t="n">
        <x:f>IF(OR(NOT(ISNUMBER($W144)),NOT(ISNUMBER($S144))),"",ROUND($W144-$S144,2))</x:f>
        <x:v>1087.78</x:v>
      </x:c>
      <x:c r="Y144" s="85" t="n">
        <x:f>IF(OR(NOT(ISNUMBER($W144)),NOT(ISNUMBER($X144)),$W144=0),"",ROUND($X144/$W144,4))</x:f>
        <x:v>0.282</x:v>
      </x:c>
      <x:c r="Z144" s="82" t="n">
        <x:f>IF(OR($AH144&lt;&gt;"Valid",$AI144&lt;&gt;"Valid"),"",INT($D144-$C144))</x:f>
        <x:v>-4</x:v>
      </x:c>
      <x:c r="AA144" s="86" t="str">
        <x:f>IF($AH144&lt;&gt;"Valid","",TEXT($C144,"mmmm"))</x:f>
        <x:v>March</x:v>
      </x:c>
      <x:c r="AB144" s="82" t="n">
        <x:f>IF($AH144&lt;&gt;"Valid","",YEAR($C144))</x:f>
        <x:v>2024</x:v>
      </x:c>
      <x:c r="AC144" s="80" t="str">
        <x:v>Consistent</x:v>
      </x:c>
      <x:c r="AD144" s="80" t="str">
        <x:v>Excluded</x:v>
      </x:c>
      <x:c r="AE144" s="80" t="str">
        <x:f>IF(OR($AH144&lt;&gt;"Valid",$AI144&lt;&gt;"Valid",$AJ144&lt;&gt;"Valid",LEFT($AM144,7)="Invalid",IFERROR(ABS($AQ144)&gt;0.01,FALSE),IFERROR(ABS($AR144)&gt;0.01,FALSE),COUNTIF($AS144,"*Conflicting duplicate*")&gt;0,COUNTIF($AS144,"*Completed order not paid*")&gt;0),"Invalid",IF(OR($H144="Unknown",$N144="Unknown",$AM144="Missing discount imputed as 0"),"Warning","Clean"))</x:f>
        <x:v>Invalid</x:v>
      </x:c>
      <x:c r="AF144" s="80" t="str">
        <x:v>Review</x:v>
      </x:c>
      <x:c r="AG144" s="80" t="str">
        <x:v>No text cleanup required</x:v>
      </x:c>
      <x:c r="AH144" s="12" t="str">
        <x:f>IF(C144="","Missing date",IF(ISNUMBER(C144),"Valid","Unrecognized/invalid date"))</x:f>
        <x:v>Valid</x:v>
      </x:c>
      <x:c r="AI144" s="12" t="str">
        <x:f>IF(D144="","Missing date",IF(ISNUMBER(D144),"Valid","Unrecognized/invalid date"))</x:f>
        <x:v>Valid</x:v>
      </x:c>
      <x:c r="AJ144" s="12" t="str">
        <x:v>Invalid</x:v>
      </x:c>
      <x:c r="AK144" s="12" t="str">
        <x:v>Ship date is earlier than order date</x:v>
      </x:c>
      <x:c r="AL144" s="12" t="str">
        <x:v>None</x:v>
      </x:c>
      <x:c r="AM144" s="12" t="str">
        <x:v>Valid</x:v>
      </x:c>
      <x:c r="AN144" s="12" t="str">
        <x:v>Exclude from completed sales</x:v>
      </x:c>
      <x:c r="AO144" s="12" t="str">
        <x:v>Not a refunded record</x:v>
      </x:c>
      <x:c r="AP144" s="37" t="n">
        <x:f>IF(LEFT($AM144,7)="Invalid","",IF($AM144="Missing discount imputed as 0",IF(AND(COUNT($O144,$P144,$R144,$S144)=4,$O144&gt;0,$P144&gt;=0,$R144&gt;=0,$S144&gt;=0),0,""),IF(AND(ISNUMBER($Q144),$Q144&gt;=0,$Q144&lt;=0.5),$Q144,"")))</x:f>
        <x:v>0.15</x:v>
      </x:c>
      <x:c r="AQ144" s="152" t="n">
        <x:f>IF(OR($W144="",NOT(ISNUMBER($R144))),"",ROUND($R144-$W144,2))</x:f>
        <x:v>0</x:v>
      </x:c>
      <x:c r="AR144" s="152" t="n">
        <x:f>IF(OR($X144="",NOT(ISNUMBER($T144))),"",ROUND($T144-$X144,2))</x:f>
        <x:v>0</x:v>
      </x:c>
      <x:c r="AS144" s="14" t="str">
        <x:v>Ship date earlier than order date; Conflicting duplicate order ID</x:v>
      </x:c>
    </x:row>
    <x:row r="145">
      <x:c r="A145" s="80" t="n">
        <x:v>145</x:v>
      </x:c>
      <x:c r="B145" s="80" t="str">
        <x:v>ORD-2024-10144</x:v>
      </x:c>
      <x:c r="C145" s="81" t="n">
        <x:v>45375</x:v>
      </x:c>
      <x:c r="D145" s="81" t="n">
        <x:v>45377</x:v>
      </x:c>
      <x:c r="E145" s="80" t="str">
        <x:v>CUST-3144</x:v>
      </x:c>
      <x:c r="F145" s="80" t="str">
        <x:v>Priya Menon</x:v>
      </x:c>
      <x:c r="G145" s="80" t="str">
        <x:v>Consumer</x:v>
      </x:c>
      <x:c r="H145" s="80" t="str">
        <x:v>West</x:v>
      </x:c>
      <x:c r="I145" s="80" t="str">
        <x:v>Gujarat</x:v>
      </x:c>
      <x:c r="J145" s="80" t="str">
        <x:v>Ahmedabad</x:v>
      </x:c>
      <x:c r="K145" s="80" t="str">
        <x:v>Office Supplies</x:v>
      </x:c>
      <x:c r="L145" s="80" t="str">
        <x:v>Paper</x:v>
      </x:c>
      <x:c r="M145" s="80" t="str">
        <x:v>Pro Paper 575</x:v>
      </x:c>
      <x:c r="N145" s="80" t="str">
        <x:v>Second Class</x:v>
      </x:c>
      <x:c r="O145" s="82" t="n">
        <x:v>1</x:v>
      </x:c>
      <x:c r="P145" s="83" t="n">
        <x:v>3409.5</x:v>
      </x:c>
      <x:c r="Q145" s="84" t="n">
        <x:v>0.1</x:v>
      </x:c>
      <x:c r="R145" s="83" t="n">
        <x:v>3068.55</x:v>
      </x:c>
      <x:c r="S145" s="83" t="n">
        <x:v>1916.16</x:v>
      </x:c>
      <x:c r="T145" s="83" t="n">
        <x:v>1152.39</x:v>
      </x:c>
      <x:c r="U145" s="83" t="str">
        <x:v>Paid</x:v>
      </x:c>
      <x:c r="V145" s="83" t="str">
        <x:v>Returned</x:v>
      </x:c>
      <x:c r="W145" s="151" t="n">
        <x:f>IF(OR(NOT(ISNUMBER($AP145)),COUNT($O145,$P145)&lt;2,$O145&lt;=0,$P145&lt;0),"",ROUND($O145*$P145*(1-$AP145),2))</x:f>
        <x:v>3068.55</x:v>
      </x:c>
      <x:c r="X145" s="151" t="n">
        <x:f>IF(OR(NOT(ISNUMBER($W145)),NOT(ISNUMBER($S145))),"",ROUND($W145-$S145,2))</x:f>
        <x:v>1152.39</x:v>
      </x:c>
      <x:c r="Y145" s="85" t="n">
        <x:f>IF(OR(NOT(ISNUMBER($W145)),NOT(ISNUMBER($X145)),$W145=0),"",ROUND($X145/$W145,4))</x:f>
        <x:v>0.3755</x:v>
      </x:c>
      <x:c r="Z145" s="82" t="n">
        <x:f>IF(OR($AH145&lt;&gt;"Valid",$AI145&lt;&gt;"Valid"),"",INT($D145-$C145))</x:f>
        <x:v>2</x:v>
      </x:c>
      <x:c r="AA145" s="86" t="str">
        <x:f>IF($AH145&lt;&gt;"Valid","",TEXT($C145,"mmmm"))</x:f>
        <x:v>March</x:v>
      </x:c>
      <x:c r="AB145" s="82" t="n">
        <x:f>IF($AH145&lt;&gt;"Valid","",YEAR($C145))</x:f>
        <x:v>2024</x:v>
      </x:c>
      <x:c r="AC145" s="80" t="str">
        <x:v>Consistent</x:v>
      </x:c>
      <x:c r="AD145" s="80" t="str">
        <x:v>Excluded</x:v>
      </x:c>
      <x:c r="AE145" s="80" t="str">
        <x:f>IF(OR($AH145&lt;&gt;"Valid",$AI145&lt;&gt;"Valid",$AJ145&lt;&gt;"Valid",LEFT($AM145,7)="Invalid",IFERROR(ABS($AQ145)&gt;0.01,FALSE),IFERROR(ABS($AR145)&gt;0.01,FALSE),COUNTIF($AS145,"*Conflicting duplicate*")&gt;0,COUNTIF($AS145,"*Completed order not paid*")&gt;0),"Invalid",IF(OR($H145="Unknown",$N145="Unknown",$AM145="Missing discount imputed as 0"),"Warning","Clean"))</x:f>
        <x:v>Clean</x:v>
      </x:c>
      <x:c r="AF145" s="80" t="str">
        <x:v>Pass</x:v>
      </x:c>
      <x:c r="AG145" s="80" t="str">
        <x:v>No text cleanup required</x:v>
      </x:c>
      <x:c r="AH145" s="12" t="str">
        <x:f>IF(C145="","Missing date",IF(ISNUMBER(C145),"Valid","Unrecognized/invalid date"))</x:f>
        <x:v>Valid</x:v>
      </x:c>
      <x:c r="AI145" s="12" t="str">
        <x:f>IF(D145="","Missing date",IF(ISNUMBER(D145),"Valid","Unrecognized/invalid date"))</x:f>
        <x:v>Valid</x:v>
      </x:c>
      <x:c r="AJ145" s="12" t="str">
        <x:v>Valid</x:v>
      </x:c>
      <x:c r="AK145" s="12" t="str">
        <x:v>Pass</x:v>
      </x:c>
      <x:c r="AL145" s="12" t="str">
        <x:v>None</x:v>
      </x:c>
      <x:c r="AM145" s="12" t="str">
        <x:v>Valid</x:v>
      </x:c>
      <x:c r="AN145" s="12" t="str">
        <x:v>Exclude from completed sales</x:v>
      </x:c>
      <x:c r="AO145" s="12" t="str">
        <x:v>Not a refunded record</x:v>
      </x:c>
      <x:c r="AP145" s="37" t="n">
        <x:f>IF(LEFT($AM145,7)="Invalid","",IF($AM145="Missing discount imputed as 0",IF(AND(COUNT($O145,$P145,$R145,$S145)=4,$O145&gt;0,$P145&gt;=0,$R145&gt;=0,$S145&gt;=0),0,""),IF(AND(ISNUMBER($Q145),$Q145&gt;=0,$Q145&lt;=0.5),$Q145,"")))</x:f>
        <x:v>0.1</x:v>
      </x:c>
      <x:c r="AQ145" s="152" t="n">
        <x:f>IF(OR($W145="",NOT(ISNUMBER($R145))),"",ROUND($R145-$W145,2))</x:f>
        <x:v>0</x:v>
      </x:c>
      <x:c r="AR145" s="152" t="n">
        <x:f>IF(OR($X145="",NOT(ISNUMBER($T145))),"",ROUND($T145-$X145,2))</x:f>
        <x:v>0</x:v>
      </x:c>
      <x:c r="AS145" s="14" t="str">
        <x:v>OK</x:v>
      </x:c>
    </x:row>
    <x:row r="146">
      <x:c r="A146" s="80" t="n">
        <x:v>146</x:v>
      </x:c>
      <x:c r="B146" s="80" t="str">
        <x:v>ORD-2024-10145</x:v>
      </x:c>
      <x:c r="C146" s="81" t="n">
        <x:v>45450</x:v>
      </x:c>
      <x:c r="D146" s="81" t="n">
        <x:v>45458</x:v>
      </x:c>
      <x:c r="E146" s="80" t="str">
        <x:v>CUST-6747</x:v>
      </x:c>
      <x:c r="F146" s="80" t="str">
        <x:v>Kabir Singh</x:v>
      </x:c>
      <x:c r="G146" s="80" t="str">
        <x:v>Small Business</x:v>
      </x:c>
      <x:c r="H146" s="80" t="str">
        <x:v>South</x:v>
      </x:c>
      <x:c r="I146" s="80" t="str">
        <x:v>Telangana</x:v>
      </x:c>
      <x:c r="J146" s="80" t="str">
        <x:v>Hyderabad</x:v>
      </x:c>
      <x:c r="K146" s="80" t="str">
        <x:v>Technology</x:v>
      </x:c>
      <x:c r="L146" s="80" t="str">
        <x:v>Accessories</x:v>
      </x:c>
      <x:c r="M146" s="80" t="str">
        <x:v>Elite Accessories 905</x:v>
      </x:c>
      <x:c r="N146" s="80" t="str">
        <x:v>First Class</x:v>
      </x:c>
      <x:c r="O146" s="82" t="n">
        <x:v>7</x:v>
      </x:c>
      <x:c r="P146" s="83" t="n">
        <x:v>2147.99</x:v>
      </x:c>
      <x:c r="Q146" s="84" t="n">
        <x:v>0.25</x:v>
      </x:c>
      <x:c r="R146" s="83" t="n">
        <x:v>11276.95</x:v>
      </x:c>
      <x:c r="S146" s="83" t="n">
        <x:v>6908.76</x:v>
      </x:c>
      <x:c r="T146" s="83" t="n">
        <x:v>4368.19</x:v>
      </x:c>
      <x:c r="U146" s="83" t="str">
        <x:v>Refunded</x:v>
      </x:c>
      <x:c r="V146" s="83" t="str">
        <x:v>Returned</x:v>
      </x:c>
      <x:c r="W146" s="151" t="n">
        <x:f>IF(OR(NOT(ISNUMBER($AP146)),COUNT($O146,$P146)&lt;2,$O146&lt;=0,$P146&lt;0),"",ROUND($O146*$P146*(1-$AP146),2))</x:f>
        <x:v>11276.95</x:v>
      </x:c>
      <x:c r="X146" s="151" t="n">
        <x:f>IF(OR(NOT(ISNUMBER($W146)),NOT(ISNUMBER($S146))),"",ROUND($W146-$S146,2))</x:f>
        <x:v>4368.19</x:v>
      </x:c>
      <x:c r="Y146" s="85" t="n">
        <x:f>IF(OR(NOT(ISNUMBER($W146)),NOT(ISNUMBER($X146)),$W146=0),"",ROUND($X146/$W146,4))</x:f>
        <x:v>0.3874</x:v>
      </x:c>
      <x:c r="Z146" s="82" t="n">
        <x:f>IF(OR($AH146&lt;&gt;"Valid",$AI146&lt;&gt;"Valid"),"",INT($D146-$C146))</x:f>
        <x:v>8</x:v>
      </x:c>
      <x:c r="AA146" s="86" t="str">
        <x:f>IF($AH146&lt;&gt;"Valid","",TEXT($C146,"mmmm"))</x:f>
        <x:v>June</x:v>
      </x:c>
      <x:c r="AB146" s="82" t="n">
        <x:f>IF($AH146&lt;&gt;"Valid","",YEAR($C146))</x:f>
        <x:v>2024</x:v>
      </x:c>
      <x:c r="AC146" s="80" t="str">
        <x:v>Refunded (separately summarized)</x:v>
      </x:c>
      <x:c r="AD146" s="80" t="str">
        <x:v>Excluded</x:v>
      </x:c>
      <x:c r="AE146" s="80" t="str">
        <x:f>IF(OR($AH146&lt;&gt;"Valid",$AI146&lt;&gt;"Valid",$AJ146&lt;&gt;"Valid",LEFT($AM146,7)="Invalid",IFERROR(ABS($AQ146)&gt;0.01,FALSE),IFERROR(ABS($AR146)&gt;0.01,FALSE),COUNTIF($AS146,"*Conflicting duplicate*")&gt;0,COUNTIF($AS146,"*Completed order not paid*")&gt;0),"Invalid",IF(OR($H146="Unknown",$N146="Unknown",$AM146="Missing discount imputed as 0"),"Warning","Clean"))</x:f>
        <x:v>Clean</x:v>
      </x:c>
      <x:c r="AF146" s="80" t="str">
        <x:v>Pass</x:v>
      </x:c>
      <x:c r="AG146" s="80" t="str">
        <x:v>No text cleanup required</x:v>
      </x:c>
      <x:c r="AH146" s="12" t="str">
        <x:f>IF(C146="","Missing date",IF(ISNUMBER(C146),"Valid","Unrecognized/invalid date"))</x:f>
        <x:v>Valid</x:v>
      </x:c>
      <x:c r="AI146" s="12" t="str">
        <x:f>IF(D146="","Missing date",IF(ISNUMBER(D146),"Valid","Unrecognized/invalid date"))</x:f>
        <x:v>Valid</x:v>
      </x:c>
      <x:c r="AJ146" s="12" t="str">
        <x:v>Valid</x:v>
      </x:c>
      <x:c r="AK146" s="12" t="str">
        <x:v>Pass</x:v>
      </x:c>
      <x:c r="AL146" s="12" t="str">
        <x:v>Refunded payment – separately summarized</x:v>
      </x:c>
      <x:c r="AM146" s="12" t="str">
        <x:v>Valid</x:v>
      </x:c>
      <x:c r="AN146" s="12" t="str">
        <x:v>Exclude from completed sales</x:v>
      </x:c>
      <x:c r="AO146" s="12" t="str">
        <x:v>Include in refunded summary</x:v>
      </x:c>
      <x:c r="AP146" s="37" t="n">
        <x:f>IF(LEFT($AM146,7)="Invalid","",IF($AM146="Missing discount imputed as 0",IF(AND(COUNT($O146,$P146,$R146,$S146)=4,$O146&gt;0,$P146&gt;=0,$R146&gt;=0,$S146&gt;=0),0,""),IF(AND(ISNUMBER($Q146),$Q146&gt;=0,$Q146&lt;=0.5),$Q146,"")))</x:f>
        <x:v>0.25</x:v>
      </x:c>
      <x:c r="AQ146" s="152" t="n">
        <x:f>IF(OR($W146="",NOT(ISNUMBER($R146))),"",ROUND($R146-$W146,2))</x:f>
        <x:v>0</x:v>
      </x:c>
      <x:c r="AR146" s="152" t="n">
        <x:f>IF(OR($X146="",NOT(ISNUMBER($T146))),"",ROUND($T146-$X146,2))</x:f>
        <x:v>0</x:v>
      </x:c>
      <x:c r="AS146" s="14" t="str">
        <x:v>OK</x:v>
      </x:c>
    </x:row>
    <x:row r="147">
      <x:c r="A147" s="80" t="n">
        <x:v>147</x:v>
      </x:c>
      <x:c r="B147" s="80" t="str">
        <x:v>ORD-2025-10146</x:v>
      </x:c>
      <x:c r="C147" s="81" t="n">
        <x:v>45758</x:v>
      </x:c>
      <x:c r="D147" s="81" t="n">
        <x:v>45760</x:v>
      </x:c>
      <x:c r="E147" s="80" t="str">
        <x:v>CUST-6161</x:v>
      </x:c>
      <x:c r="F147" s="80" t="str">
        <x:v>Mira Das</x:v>
      </x:c>
      <x:c r="G147" s="80" t="str">
        <x:v>Small Business</x:v>
      </x:c>
      <x:c r="H147" s="80" t="str">
        <x:v>West</x:v>
      </x:c>
      <x:c r="I147" s="80" t="str">
        <x:v>Goa</x:v>
      </x:c>
      <x:c r="J147" s="80" t="str">
        <x:v>Panaji</x:v>
      </x:c>
      <x:c r="K147" s="80" t="str">
        <x:v>Office Supplies</x:v>
      </x:c>
      <x:c r="L147" s="80" t="str">
        <x:v>Paper</x:v>
      </x:c>
      <x:c r="M147" s="80" t="str">
        <x:v>Smart Paper 899</x:v>
      </x:c>
      <x:c r="N147" s="80" t="str">
        <x:v>Standard Class</x:v>
      </x:c>
      <x:c r="O147" s="82" t="n">
        <x:v>4</x:v>
      </x:c>
      <x:c r="P147" s="83" t="n">
        <x:v>4182.15</x:v>
      </x:c>
      <x:c r="Q147" s="84" t="n">
        <x:v>0.1</x:v>
      </x:c>
      <x:c r="R147" s="83" t="n">
        <x:v>15055.74</x:v>
      </x:c>
      <x:c r="S147" s="83" t="n">
        <x:v>9808.83</x:v>
      </x:c>
      <x:c r="T147" s="83" t="n">
        <x:v>5246.91</x:v>
      </x:c>
      <x:c r="U147" s="83" t="str">
        <x:v>Paid</x:v>
      </x:c>
      <x:c r="V147" s="83" t="str">
        <x:v>Completed</x:v>
      </x:c>
      <x:c r="W147" s="151" t="n">
        <x:f>IF(OR(NOT(ISNUMBER($AP147)),COUNT($O147,$P147)&lt;2,$O147&lt;=0,$P147&lt;0),"",ROUND($O147*$P147*(1-$AP147),2))</x:f>
        <x:v>15055.74</x:v>
      </x:c>
      <x:c r="X147" s="151" t="n">
        <x:f>IF(OR(NOT(ISNUMBER($W147)),NOT(ISNUMBER($S147))),"",ROUND($W147-$S147,2))</x:f>
        <x:v>5246.91</x:v>
      </x:c>
      <x:c r="Y147" s="85" t="n">
        <x:f>IF(OR(NOT(ISNUMBER($W147)),NOT(ISNUMBER($X147)),$W147=0),"",ROUND($X147/$W147,4))</x:f>
        <x:v>0.3485</x:v>
      </x:c>
      <x:c r="Z147" s="82" t="n">
        <x:f>IF(OR($AH147&lt;&gt;"Valid",$AI147&lt;&gt;"Valid"),"",INT($D147-$C147))</x:f>
        <x:v>2</x:v>
      </x:c>
      <x:c r="AA147" s="86" t="str">
        <x:f>IF($AH147&lt;&gt;"Valid","",TEXT($C147,"mmmm"))</x:f>
        <x:v>April</x:v>
      </x:c>
      <x:c r="AB147" s="82" t="n">
        <x:f>IF($AH147&lt;&gt;"Valid","",YEAR($C147))</x:f>
        <x:v>2025</x:v>
      </x:c>
      <x:c r="AC147" s="80" t="str">
        <x:v>Consistent</x:v>
      </x:c>
      <x:c r="AD147" s="80" t="str">
        <x:v>Eligible</x:v>
      </x:c>
      <x:c r="AE147" s="80" t="str">
        <x:f>IF(OR($AH147&lt;&gt;"Valid",$AI147&lt;&gt;"Valid",$AJ147&lt;&gt;"Valid",LEFT($AM147,7)="Invalid",IFERROR(ABS($AQ147)&gt;0.01,FALSE),IFERROR(ABS($AR147)&gt;0.01,FALSE),COUNTIF($AS147,"*Conflicting duplicate*")&gt;0,COUNTIF($AS147,"*Completed order not paid*")&gt;0),"Invalid",IF(OR($H147="Unknown",$N147="Unknown",$AM147="Missing discount imputed as 0"),"Warning","Clean"))</x:f>
        <x:v>Clean</x:v>
      </x:c>
      <x:c r="AF147" s="80" t="str">
        <x:v>Pass</x:v>
      </x:c>
      <x:c r="AG147" s="80" t="str">
        <x:v>No text cleanup required</x:v>
      </x:c>
      <x:c r="AH147" s="12" t="str">
        <x:f>IF(C147="","Missing date",IF(ISNUMBER(C147),"Valid","Unrecognized/invalid date"))</x:f>
        <x:v>Valid</x:v>
      </x:c>
      <x:c r="AI147" s="12" t="str">
        <x:f>IF(D147="","Missing date",IF(ISNUMBER(D147),"Valid","Unrecognized/invalid date"))</x:f>
        <x:v>Valid</x:v>
      </x:c>
      <x:c r="AJ147" s="12" t="str">
        <x:v>Valid</x:v>
      </x:c>
      <x:c r="AK147" s="12" t="str">
        <x:v>Pass</x:v>
      </x:c>
      <x:c r="AL147" s="12" t="str">
        <x:v>None</x:v>
      </x:c>
      <x:c r="AM147" s="12" t="str">
        <x:v>Valid</x:v>
      </x:c>
      <x:c r="AN147" s="12" t="str">
        <x:v>Include in completed sales</x:v>
      </x:c>
      <x:c r="AO147" s="12" t="str">
        <x:v>Not a refunded record</x:v>
      </x:c>
      <x:c r="AP147" s="37" t="n">
        <x:f>IF(LEFT($AM147,7)="Invalid","",IF($AM147="Missing discount imputed as 0",IF(AND(COUNT($O147,$P147,$R147,$S147)=4,$O147&gt;0,$P147&gt;=0,$R147&gt;=0,$S147&gt;=0),0,""),IF(AND(ISNUMBER($Q147),$Q147&gt;=0,$Q147&lt;=0.5),$Q147,"")))</x:f>
        <x:v>0.1</x:v>
      </x:c>
      <x:c r="AQ147" s="152" t="n">
        <x:f>IF(OR($W147="",NOT(ISNUMBER($R147))),"",ROUND($R147-$W147,2))</x:f>
        <x:v>0</x:v>
      </x:c>
      <x:c r="AR147" s="152" t="n">
        <x:f>IF(OR($X147="",NOT(ISNUMBER($T147))),"",ROUND($T147-$X147,2))</x:f>
        <x:v>0</x:v>
      </x:c>
      <x:c r="AS147" s="14" t="str">
        <x:v>OK</x:v>
      </x:c>
    </x:row>
    <x:row r="148">
      <x:c r="A148" s="80" t="n">
        <x:v>148</x:v>
      </x:c>
      <x:c r="B148" s="80" t="str">
        <x:v>ORD-2025-10147</x:v>
      </x:c>
      <x:c r="C148" s="81" t="n">
        <x:v>45868</x:v>
      </x:c>
      <x:c r="D148" s="81" t="n">
        <x:v>45870</x:v>
      </x:c>
      <x:c r="E148" s="80" t="str">
        <x:v>CUST-1460</x:v>
      </x:c>
      <x:c r="F148" s="80" t="str">
        <x:v>Sneha Kapoor</x:v>
      </x:c>
      <x:c r="G148" s="80" t="str">
        <x:v>Small Business</x:v>
      </x:c>
      <x:c r="H148" s="80" t="str">
        <x:v>South</x:v>
      </x:c>
      <x:c r="I148" s="80" t="str">
        <x:v>Tamil Nadu</x:v>
      </x:c>
      <x:c r="J148" s="80" t="str">
        <x:v>Chennai</x:v>
      </x:c>
      <x:c r="K148" s="80" t="str">
        <x:v>Office Supplies</x:v>
      </x:c>
      <x:c r="L148" s="80" t="str">
        <x:v>Storage</x:v>
      </x:c>
      <x:c r="M148" s="80" t="str">
        <x:v>Classic Storage 423</x:v>
      </x:c>
      <x:c r="N148" s="80" t="str">
        <x:v>Same Day</x:v>
      </x:c>
      <x:c r="O148" s="82" t="n">
        <x:v>9</x:v>
      </x:c>
      <x:c r="P148" s="83" t="n">
        <x:v>3165.43</x:v>
      </x:c>
      <x:c r="Q148" s="84" t="n">
        <x:v>0.1</x:v>
      </x:c>
      <x:c r="R148" s="83" t="n">
        <x:v>25639.98</x:v>
      </x:c>
      <x:c r="S148" s="83" t="n">
        <x:v>21635.08</x:v>
      </x:c>
      <x:c r="T148" s="83" t="n">
        <x:v>4004.9</x:v>
      </x:c>
      <x:c r="U148" s="83" t="str">
        <x:v>Paid</x:v>
      </x:c>
      <x:c r="V148" s="83" t="str">
        <x:v>Completed</x:v>
      </x:c>
      <x:c r="W148" s="151" t="n">
        <x:f>IF(OR(NOT(ISNUMBER($AP148)),COUNT($O148,$P148)&lt;2,$O148&lt;=0,$P148&lt;0),"",ROUND($O148*$P148*(1-$AP148),2))</x:f>
        <x:v>25639.98</x:v>
      </x:c>
      <x:c r="X148" s="151" t="n">
        <x:f>IF(OR(NOT(ISNUMBER($W148)),NOT(ISNUMBER($S148))),"",ROUND($W148-$S148,2))</x:f>
        <x:v>4004.9</x:v>
      </x:c>
      <x:c r="Y148" s="85" t="n">
        <x:f>IF(OR(NOT(ISNUMBER($W148)),NOT(ISNUMBER($X148)),$W148=0),"",ROUND($X148/$W148,4))</x:f>
        <x:v>0.1562</x:v>
      </x:c>
      <x:c r="Z148" s="82" t="n">
        <x:f>IF(OR($AH148&lt;&gt;"Valid",$AI148&lt;&gt;"Valid"),"",INT($D148-$C148))</x:f>
        <x:v>2</x:v>
      </x:c>
      <x:c r="AA148" s="86" t="str">
        <x:f>IF($AH148&lt;&gt;"Valid","",TEXT($C148,"mmmm"))</x:f>
        <x:v>July</x:v>
      </x:c>
      <x:c r="AB148" s="82" t="n">
        <x:f>IF($AH148&lt;&gt;"Valid","",YEAR($C148))</x:f>
        <x:v>2025</x:v>
      </x:c>
      <x:c r="AC148" s="80" t="str">
        <x:v>Consistent</x:v>
      </x:c>
      <x:c r="AD148" s="80" t="str">
        <x:v>Eligible</x:v>
      </x:c>
      <x:c r="AE148" s="80" t="str">
        <x:f>IF(OR($AH148&lt;&gt;"Valid",$AI148&lt;&gt;"Valid",$AJ148&lt;&gt;"Valid",LEFT($AM148,7)="Invalid",IFERROR(ABS($AQ148)&gt;0.01,FALSE),IFERROR(ABS($AR148)&gt;0.01,FALSE),COUNTIF($AS148,"*Conflicting duplicate*")&gt;0,COUNTIF($AS148,"*Completed order not paid*")&gt;0),"Invalid",IF(OR($H148="Unknown",$N148="Unknown",$AM148="Missing discount imputed as 0"),"Warning","Clean"))</x:f>
        <x:v>Clean</x:v>
      </x:c>
      <x:c r="AF148" s="80" t="str">
        <x:v>Pass</x:v>
      </x:c>
      <x:c r="AG148" s="80" t="str">
        <x:v>No text cleanup required</x:v>
      </x:c>
      <x:c r="AH148" s="12" t="str">
        <x:f>IF(C148="","Missing date",IF(ISNUMBER(C148),"Valid","Unrecognized/invalid date"))</x:f>
        <x:v>Valid</x:v>
      </x:c>
      <x:c r="AI148" s="12" t="str">
        <x:f>IF(D148="","Missing date",IF(ISNUMBER(D148),"Valid","Unrecognized/invalid date"))</x:f>
        <x:v>Valid</x:v>
      </x:c>
      <x:c r="AJ148" s="12" t="str">
        <x:v>Valid</x:v>
      </x:c>
      <x:c r="AK148" s="12" t="str">
        <x:v>Pass</x:v>
      </x:c>
      <x:c r="AL148" s="12" t="str">
        <x:v>None</x:v>
      </x:c>
      <x:c r="AM148" s="12" t="str">
        <x:v>Valid</x:v>
      </x:c>
      <x:c r="AN148" s="12" t="str">
        <x:v>Include in completed sales</x:v>
      </x:c>
      <x:c r="AO148" s="12" t="str">
        <x:v>Not a refunded record</x:v>
      </x:c>
      <x:c r="AP148" s="37" t="n">
        <x:f>IF(LEFT($AM148,7)="Invalid","",IF($AM148="Missing discount imputed as 0",IF(AND(COUNT($O148,$P148,$R148,$S148)=4,$O148&gt;0,$P148&gt;=0,$R148&gt;=0,$S148&gt;=0),0,""),IF(AND(ISNUMBER($Q148),$Q148&gt;=0,$Q148&lt;=0.5),$Q148,"")))</x:f>
        <x:v>0.1</x:v>
      </x:c>
      <x:c r="AQ148" s="152" t="n">
        <x:f>IF(OR($W148="",NOT(ISNUMBER($R148))),"",ROUND($R148-$W148,2))</x:f>
        <x:v>0</x:v>
      </x:c>
      <x:c r="AR148" s="152" t="n">
        <x:f>IF(OR($X148="",NOT(ISNUMBER($T148))),"",ROUND($T148-$X148,2))</x:f>
        <x:v>0</x:v>
      </x:c>
      <x:c r="AS148" s="14" t="str">
        <x:v>OK</x:v>
      </x:c>
    </x:row>
    <x:row r="149">
      <x:c r="A149" s="80" t="n">
        <x:v>149</x:v>
      </x:c>
      <x:c r="B149" s="80" t="str">
        <x:v>ORD-2024-10148</x:v>
      </x:c>
      <x:c r="C149" s="81" t="n">
        <x:v>45649</x:v>
      </x:c>
      <x:c r="D149" s="81" t="n">
        <x:v>45656</x:v>
      </x:c>
      <x:c r="E149" s="80" t="str">
        <x:v>CUST-2692</x:v>
      </x:c>
      <x:c r="F149" s="80" t="str">
        <x:v>Priya Menon</x:v>
      </x:c>
      <x:c r="G149" s="80" t="str">
        <x:v>Home Office</x:v>
      </x:c>
      <x:c r="H149" s="80" t="str">
        <x:v>West</x:v>
      </x:c>
      <x:c r="I149" s="80" t="str">
        <x:v>Goa</x:v>
      </x:c>
      <x:c r="J149" s="80" t="str">
        <x:v>Panaji</x:v>
      </x:c>
      <x:c r="K149" s="80" t="str">
        <x:v>Furniture</x:v>
      </x:c>
      <x:c r="L149" s="80" t="str">
        <x:v>Furnishings</x:v>
      </x:c>
      <x:c r="M149" s="80" t="str">
        <x:v>Classic Furnishings 743</x:v>
      </x:c>
      <x:c r="N149" s="80" t="str">
        <x:v>First Class</x:v>
      </x:c>
      <x:c r="O149" s="82" t="n">
        <x:v>8</x:v>
      </x:c>
      <x:c r="P149" s="83" t="n">
        <x:v>386.1</x:v>
      </x:c>
      <x:c r="Q149" s="84" t="n">
        <x:v>0.1</x:v>
      </x:c>
      <x:c r="R149" s="83" t="n">
        <x:v>2779.92</x:v>
      </x:c>
      <x:c r="S149" s="83" t="n">
        <x:v>1744.05</x:v>
      </x:c>
      <x:c r="T149" s="83" t="n">
        <x:v>1035.87</x:v>
      </x:c>
      <x:c r="U149" s="83" t="str">
        <x:v>Paid</x:v>
      </x:c>
      <x:c r="V149" s="83" t="str">
        <x:v>Completed</x:v>
      </x:c>
      <x:c r="W149" s="151" t="n">
        <x:f>IF(OR(NOT(ISNUMBER($AP149)),COUNT($O149,$P149)&lt;2,$O149&lt;=0,$P149&lt;0),"",ROUND($O149*$P149*(1-$AP149),2))</x:f>
        <x:v>2779.92</x:v>
      </x:c>
      <x:c r="X149" s="151" t="n">
        <x:f>IF(OR(NOT(ISNUMBER($W149)),NOT(ISNUMBER($S149))),"",ROUND($W149-$S149,2))</x:f>
        <x:v>1035.87</x:v>
      </x:c>
      <x:c r="Y149" s="85" t="n">
        <x:f>IF(OR(NOT(ISNUMBER($W149)),NOT(ISNUMBER($X149)),$W149=0),"",ROUND($X149/$W149,4))</x:f>
        <x:v>0.3726</x:v>
      </x:c>
      <x:c r="Z149" s="82" t="n">
        <x:f>IF(OR($AH149&lt;&gt;"Valid",$AI149&lt;&gt;"Valid"),"",INT($D149-$C149))</x:f>
        <x:v>7</x:v>
      </x:c>
      <x:c r="AA149" s="86" t="str">
        <x:f>IF($AH149&lt;&gt;"Valid","",TEXT($C149,"mmmm"))</x:f>
        <x:v>December</x:v>
      </x:c>
      <x:c r="AB149" s="82" t="n">
        <x:f>IF($AH149&lt;&gt;"Valid","",YEAR($C149))</x:f>
        <x:v>2024</x:v>
      </x:c>
      <x:c r="AC149" s="80" t="str">
        <x:v>Consistent</x:v>
      </x:c>
      <x:c r="AD149" s="80" t="str">
        <x:v>Eligible</x:v>
      </x:c>
      <x:c r="AE149" s="80" t="str">
        <x:f>IF(OR($AH149&lt;&gt;"Valid",$AI149&lt;&gt;"Valid",$AJ149&lt;&gt;"Valid",LEFT($AM149,7)="Invalid",IFERROR(ABS($AQ149)&gt;0.01,FALSE),IFERROR(ABS($AR149)&gt;0.01,FALSE),COUNTIF($AS149,"*Conflicting duplicate*")&gt;0,COUNTIF($AS149,"*Completed order not paid*")&gt;0),"Invalid",IF(OR($H149="Unknown",$N149="Unknown",$AM149="Missing discount imputed as 0"),"Warning","Clean"))</x:f>
        <x:v>Clean</x:v>
      </x:c>
      <x:c r="AF149" s="80" t="str">
        <x:v>Pass</x:v>
      </x:c>
      <x:c r="AG149" s="80" t="str">
        <x:v>No text cleanup required</x:v>
      </x:c>
      <x:c r="AH149" s="12" t="str">
        <x:f>IF(C149="","Missing date",IF(ISNUMBER(C149),"Valid","Unrecognized/invalid date"))</x:f>
        <x:v>Valid</x:v>
      </x:c>
      <x:c r="AI149" s="12" t="str">
        <x:f>IF(D149="","Missing date",IF(ISNUMBER(D149),"Valid","Unrecognized/invalid date"))</x:f>
        <x:v>Valid</x:v>
      </x:c>
      <x:c r="AJ149" s="12" t="str">
        <x:v>Valid</x:v>
      </x:c>
      <x:c r="AK149" s="12" t="str">
        <x:v>Pass</x:v>
      </x:c>
      <x:c r="AL149" s="12" t="str">
        <x:v>None</x:v>
      </x:c>
      <x:c r="AM149" s="12" t="str">
        <x:v>Valid</x:v>
      </x:c>
      <x:c r="AN149" s="12" t="str">
        <x:v>Include in completed sales</x:v>
      </x:c>
      <x:c r="AO149" s="12" t="str">
        <x:v>Not a refunded record</x:v>
      </x:c>
      <x:c r="AP149" s="37" t="n">
        <x:f>IF(LEFT($AM149,7)="Invalid","",IF($AM149="Missing discount imputed as 0",IF(AND(COUNT($O149,$P149,$R149,$S149)=4,$O149&gt;0,$P149&gt;=0,$R149&gt;=0,$S149&gt;=0),0,""),IF(AND(ISNUMBER($Q149),$Q149&gt;=0,$Q149&lt;=0.5),$Q149,"")))</x:f>
        <x:v>0.1</x:v>
      </x:c>
      <x:c r="AQ149" s="152" t="n">
        <x:f>IF(OR($W149="",NOT(ISNUMBER($R149))),"",ROUND($R149-$W149,2))</x:f>
        <x:v>0</x:v>
      </x:c>
      <x:c r="AR149" s="152" t="n">
        <x:f>IF(OR($X149="",NOT(ISNUMBER($T149))),"",ROUND($T149-$X149,2))</x:f>
        <x:v>0</x:v>
      </x:c>
      <x:c r="AS149" s="14" t="str">
        <x:v>OK</x:v>
      </x:c>
    </x:row>
    <x:row r="150">
      <x:c r="A150" s="80" t="n">
        <x:v>150</x:v>
      </x:c>
      <x:c r="B150" s="80" t="str">
        <x:v>ORD-2025-10149</x:v>
      </x:c>
      <x:c r="C150" s="81" t="n">
        <x:v>45697</x:v>
      </x:c>
      <x:c r="D150" s="81" t="n">
        <x:v>45701</x:v>
      </x:c>
      <x:c r="E150" s="80" t="str">
        <x:v>CUST-2822</x:v>
      </x:c>
      <x:c r="F150" s="80" t="str">
        <x:v>Mira Das</x:v>
      </x:c>
      <x:c r="G150" s="80" t="str">
        <x:v>Home Office</x:v>
      </x:c>
      <x:c r="H150" s="80" t="str">
        <x:v>West</x:v>
      </x:c>
      <x:c r="I150" s="80" t="str">
        <x:v>Madhya Pradesh</x:v>
      </x:c>
      <x:c r="J150" s="80" t="str">
        <x:v>Indore</x:v>
      </x:c>
      <x:c r="K150" s="80" t="str">
        <x:v>Technology</x:v>
      </x:c>
      <x:c r="L150" s="80" t="str">
        <x:v>Phones</x:v>
      </x:c>
      <x:c r="M150" s="80" t="str">
        <x:v>Smart Phones 336</x:v>
      </x:c>
      <x:c r="N150" s="80" t="str">
        <x:v>Unknown</x:v>
      </x:c>
      <x:c r="O150" s="82" t="n">
        <x:v>8</x:v>
      </x:c>
      <x:c r="P150" s="83" t="n">
        <x:v>1696.07</x:v>
      </x:c>
      <x:c r="Q150" s="84" t="n">
        <x:v>0.25</x:v>
      </x:c>
      <x:c r="R150" s="83" t="n">
        <x:v>10176.42</x:v>
      </x:c>
      <x:c r="S150" s="83" t="n">
        <x:v>7604.47</x:v>
      </x:c>
      <x:c r="T150" s="83" t="n">
        <x:v>2571.95</x:v>
      </x:c>
      <x:c r="U150" s="83" t="str">
        <x:v>Paid</x:v>
      </x:c>
      <x:c r="V150" s="83" t="str">
        <x:v>Completed</x:v>
      </x:c>
      <x:c r="W150" s="151" t="n">
        <x:f>IF(OR(NOT(ISNUMBER($AP150)),COUNT($O150,$P150)&lt;2,$O150&lt;=0,$P150&lt;0),"",ROUND($O150*$P150*(1-$AP150),2))</x:f>
        <x:v>10176.42</x:v>
      </x:c>
      <x:c r="X150" s="151" t="n">
        <x:f>IF(OR(NOT(ISNUMBER($W150)),NOT(ISNUMBER($S150))),"",ROUND($W150-$S150,2))</x:f>
        <x:v>2571.95</x:v>
      </x:c>
      <x:c r="Y150" s="85" t="n">
        <x:f>IF(OR(NOT(ISNUMBER($W150)),NOT(ISNUMBER($X150)),$W150=0),"",ROUND($X150/$W150,4))</x:f>
        <x:v>0.2527</x:v>
      </x:c>
      <x:c r="Z150" s="82" t="n">
        <x:f>IF(OR($AH150&lt;&gt;"Valid",$AI150&lt;&gt;"Valid"),"",INT($D150-$C150))</x:f>
        <x:v>4</x:v>
      </x:c>
      <x:c r="AA150" s="86" t="str">
        <x:f>IF($AH150&lt;&gt;"Valid","",TEXT($C150,"mmmm"))</x:f>
        <x:v>February</x:v>
      </x:c>
      <x:c r="AB150" s="82" t="n">
        <x:f>IF($AH150&lt;&gt;"Valid","",YEAR($C150))</x:f>
        <x:v>2025</x:v>
      </x:c>
      <x:c r="AC150" s="80" t="str">
        <x:v>Consistent</x:v>
      </x:c>
      <x:c r="AD150" s="80" t="str">
        <x:v>Eligible</x:v>
      </x:c>
      <x:c r="AE150" s="80" t="str">
        <x:f>IF(OR($AH150&lt;&gt;"Valid",$AI150&lt;&gt;"Valid",$AJ150&lt;&gt;"Valid",LEFT($AM150,7)="Invalid",IFERROR(ABS($AQ150)&gt;0.01,FALSE),IFERROR(ABS($AR150)&gt;0.01,FALSE),COUNTIF($AS150,"*Conflicting duplicate*")&gt;0,COUNTIF($AS150,"*Completed order not paid*")&gt;0),"Invalid",IF(OR($H150="Unknown",$N150="Unknown",$AM150="Missing discount imputed as 0"),"Warning","Clean"))</x:f>
        <x:v>Warning</x:v>
      </x:c>
      <x:c r="AF150" s="80" t="str">
        <x:v>Cleaned</x:v>
      </x:c>
      <x:c r="AG150" s="80" t="str">
        <x:v>ship_mode: Missing value filled as Unknown</x:v>
      </x:c>
      <x:c r="AH150" s="12" t="str">
        <x:f>IF(C150="","Missing date",IF(ISNUMBER(C150),"Valid","Unrecognized/invalid date"))</x:f>
        <x:v>Valid</x:v>
      </x:c>
      <x:c r="AI150" s="12" t="str">
        <x:f>IF(D150="","Missing date",IF(ISNUMBER(D150),"Valid","Unrecognized/invalid date"))</x:f>
        <x:v>Valid</x:v>
      </x:c>
      <x:c r="AJ150" s="12" t="str">
        <x:v>Valid</x:v>
      </x:c>
      <x:c r="AK150" s="12" t="str">
        <x:v>Pass</x:v>
      </x:c>
      <x:c r="AL150" s="12" t="str">
        <x:v>Missing ship_mode filled as Unknown</x:v>
      </x:c>
      <x:c r="AM150" s="12" t="str">
        <x:v>Valid</x:v>
      </x:c>
      <x:c r="AN150" s="12" t="str">
        <x:v>Include in completed sales</x:v>
      </x:c>
      <x:c r="AO150" s="12" t="str">
        <x:v>Not a refunded record</x:v>
      </x:c>
      <x:c r="AP150" s="37" t="n">
        <x:f>IF(LEFT($AM150,7)="Invalid","",IF($AM150="Missing discount imputed as 0",IF(AND(COUNT($O150,$P150,$R150,$S150)=4,$O150&gt;0,$P150&gt;=0,$R150&gt;=0,$S150&gt;=0),0,""),IF(AND(ISNUMBER($Q150),$Q150&gt;=0,$Q150&lt;=0.5),$Q150,"")))</x:f>
        <x:v>0.25</x:v>
      </x:c>
      <x:c r="AQ150" s="152" t="n">
        <x:f>IF(OR($W150="",NOT(ISNUMBER($R150))),"",ROUND($R150-$W150,2))</x:f>
        <x:v>0</x:v>
      </x:c>
      <x:c r="AR150" s="152" t="n">
        <x:f>IF(OR($X150="",NOT(ISNUMBER($T150))),"",ROUND($T150-$X150,2))</x:f>
        <x:v>0</x:v>
      </x:c>
      <x:c r="AS150" s="14" t="str">
        <x:v>OK</x:v>
      </x:c>
    </x:row>
    <x:row r="151">
      <x:c r="A151" s="80" t="n">
        <x:v>151</x:v>
      </x:c>
      <x:c r="B151" s="80" t="str">
        <x:v>ORD-2024-10150</x:v>
      </x:c>
      <x:c r="C151" s="81" t="n">
        <x:v>45321</x:v>
      </x:c>
      <x:c r="D151" s="81" t="n">
        <x:v>45321</x:v>
      </x:c>
      <x:c r="E151" s="80" t="str">
        <x:v>CUST-5876</x:v>
      </x:c>
      <x:c r="F151" s="80" t="str">
        <x:v>Aarav Sharma</x:v>
      </x:c>
      <x:c r="G151" s="80" t="str">
        <x:v>Small Business</x:v>
      </x:c>
      <x:c r="H151" s="80" t="str">
        <x:v>West</x:v>
      </x:c>
      <x:c r="I151" s="80" t="str">
        <x:v>Rajasthan</x:v>
      </x:c>
      <x:c r="J151" s="80" t="str">
        <x:v>Udaipur</x:v>
      </x:c>
      <x:c r="K151" s="80" t="str">
        <x:v>Technology</x:v>
      </x:c>
      <x:c r="L151" s="80" t="str">
        <x:v>Copiers</x:v>
      </x:c>
      <x:c r="M151" s="80" t="str">
        <x:v>Eco Copiers 381</x:v>
      </x:c>
      <x:c r="N151" s="80" t="str">
        <x:v>Same Day</x:v>
      </x:c>
      <x:c r="O151" s="82" t="n">
        <x:v>7</x:v>
      </x:c>
      <x:c r="P151" s="83" t="n">
        <x:v>2527.61</x:v>
      </x:c>
      <x:c r="Q151" s="84" t="n">
        <x:v>0.25</x:v>
      </x:c>
      <x:c r="R151" s="83" t="n">
        <x:v>13269.95</x:v>
      </x:c>
      <x:c r="S151" s="83" t="n">
        <x:v>8977.1</x:v>
      </x:c>
      <x:c r="T151" s="83" t="n">
        <x:v>4292.85</x:v>
      </x:c>
      <x:c r="U151" s="83" t="str">
        <x:v>Paid</x:v>
      </x:c>
      <x:c r="V151" s="83" t="str">
        <x:v>Completed</x:v>
      </x:c>
      <x:c r="W151" s="151" t="n">
        <x:f>IF(OR(NOT(ISNUMBER($AP151)),COUNT($O151,$P151)&lt;2,$O151&lt;=0,$P151&lt;0),"",ROUND($O151*$P151*(1-$AP151),2))</x:f>
        <x:v>13269.95</x:v>
      </x:c>
      <x:c r="X151" s="151" t="n">
        <x:f>IF(OR(NOT(ISNUMBER($W151)),NOT(ISNUMBER($S151))),"",ROUND($W151-$S151,2))</x:f>
        <x:v>4292.85</x:v>
      </x:c>
      <x:c r="Y151" s="85" t="n">
        <x:f>IF(OR(NOT(ISNUMBER($W151)),NOT(ISNUMBER($X151)),$W151=0),"",ROUND($X151/$W151,4))</x:f>
        <x:v>0.3235</x:v>
      </x:c>
      <x:c r="Z151" s="82" t="n">
        <x:f>IF(OR($AH151&lt;&gt;"Valid",$AI151&lt;&gt;"Valid"),"",INT($D151-$C151))</x:f>
        <x:v>0</x:v>
      </x:c>
      <x:c r="AA151" s="86" t="str">
        <x:f>IF($AH151&lt;&gt;"Valid","",TEXT($C151,"mmmm"))</x:f>
        <x:v>January</x:v>
      </x:c>
      <x:c r="AB151" s="82" t="n">
        <x:f>IF($AH151&lt;&gt;"Valid","",YEAR($C151))</x:f>
        <x:v>2024</x:v>
      </x:c>
      <x:c r="AC151" s="80" t="str">
        <x:v>Consistent</x:v>
      </x:c>
      <x:c r="AD151" s="80" t="str">
        <x:v>Eligible</x:v>
      </x:c>
      <x:c r="AE151" s="80" t="str">
        <x:f>IF(OR($AH151&lt;&gt;"Valid",$AI151&lt;&gt;"Valid",$AJ151&lt;&gt;"Valid",LEFT($AM151,7)="Invalid",IFERROR(ABS($AQ151)&gt;0.01,FALSE),IFERROR(ABS($AR151)&gt;0.01,FALSE),COUNTIF($AS151,"*Conflicting duplicate*")&gt;0,COUNTIF($AS151,"*Completed order not paid*")&gt;0),"Invalid",IF(OR($H151="Unknown",$N151="Unknown",$AM151="Missing discount imputed as 0"),"Warning","Clean"))</x:f>
        <x:v>Clean</x:v>
      </x:c>
      <x:c r="AF151" s="80" t="str">
        <x:v>Cleaned</x:v>
      </x:c>
      <x:c r="AG151" s="80" t="str">
        <x:v>region: Case standardization</x:v>
      </x:c>
      <x:c r="AH151" s="12" t="str">
        <x:f>IF(C151="","Missing date",IF(ISNUMBER(C151),"Valid","Unrecognized/invalid date"))</x:f>
        <x:v>Valid</x:v>
      </x:c>
      <x:c r="AI151" s="12" t="str">
        <x:f>IF(D151="","Missing date",IF(ISNUMBER(D151),"Valid","Unrecognized/invalid date"))</x:f>
        <x:v>Valid</x:v>
      </x:c>
      <x:c r="AJ151" s="12" t="str">
        <x:v>Valid</x:v>
      </x:c>
      <x:c r="AK151" s="12" t="str">
        <x:v>Pass</x:v>
      </x:c>
      <x:c r="AL151" s="12" t="str">
        <x:v>None</x:v>
      </x:c>
      <x:c r="AM151" s="12" t="str">
        <x:v>Valid</x:v>
      </x:c>
      <x:c r="AN151" s="12" t="str">
        <x:v>Include in completed sales</x:v>
      </x:c>
      <x:c r="AO151" s="12" t="str">
        <x:v>Not a refunded record</x:v>
      </x:c>
      <x:c r="AP151" s="37" t="n">
        <x:f>IF(LEFT($AM151,7)="Invalid","",IF($AM151="Missing discount imputed as 0",IF(AND(COUNT($O151,$P151,$R151,$S151)=4,$O151&gt;0,$P151&gt;=0,$R151&gt;=0,$S151&gt;=0),0,""),IF(AND(ISNUMBER($Q151),$Q151&gt;=0,$Q151&lt;=0.5),$Q151,"")))</x:f>
        <x:v>0.25</x:v>
      </x:c>
      <x:c r="AQ151" s="152" t="n">
        <x:f>IF(OR($W151="",NOT(ISNUMBER($R151))),"",ROUND($R151-$W151,2))</x:f>
        <x:v>0</x:v>
      </x:c>
      <x:c r="AR151" s="152" t="n">
        <x:f>IF(OR($X151="",NOT(ISNUMBER($T151))),"",ROUND($T151-$X151,2))</x:f>
        <x:v>0</x:v>
      </x:c>
      <x:c r="AS151" s="14" t="str">
        <x:v>OK</x:v>
      </x:c>
    </x:row>
    <x:row r="152">
      <x:c r="A152" s="80" t="n">
        <x:v>152</x:v>
      </x:c>
      <x:c r="B152" s="80" t="str">
        <x:v>ORD-2024-10151</x:v>
      </x:c>
      <x:c r="C152" s="81" t="n">
        <x:v>45355</x:v>
      </x:c>
      <x:c r="D152" s="81" t="n">
        <x:v>45363</x:v>
      </x:c>
      <x:c r="E152" s="80" t="str">
        <x:v>CUST-4661</x:v>
      </x:c>
      <x:c r="F152" s="80" t="str">
        <x:v>Arjun Bose</x:v>
      </x:c>
      <x:c r="G152" s="80" t="str">
        <x:v>Consumer</x:v>
      </x:c>
      <x:c r="H152" s="80" t="str">
        <x:v>Unknown</x:v>
      </x:c>
      <x:c r="I152" s="80" t="str">
        <x:v>Gujarat</x:v>
      </x:c>
      <x:c r="J152" s="80" t="str">
        <x:v>Ahmedabad</x:v>
      </x:c>
      <x:c r="K152" s="80" t="str">
        <x:v>Furniture</x:v>
      </x:c>
      <x:c r="L152" s="80" t="str">
        <x:v>Bookcases</x:v>
      </x:c>
      <x:c r="M152" s="80" t="str">
        <x:v>Max Bookcases 595</x:v>
      </x:c>
      <x:c r="N152" s="80" t="str">
        <x:v>First Class</x:v>
      </x:c>
      <x:c r="O152" s="82" t="n">
        <x:v>1</x:v>
      </x:c>
      <x:c r="P152" s="83" t="n">
        <x:v>1554.12</x:v>
      </x:c>
      <x:c r="Q152" s="84" t="n">
        <x:v>0.1</x:v>
      </x:c>
      <x:c r="R152" s="83" t="n">
        <x:v>1398.71</x:v>
      </x:c>
      <x:c r="S152" s="83" t="n">
        <x:v>1056.92</x:v>
      </x:c>
      <x:c r="T152" s="83" t="n">
        <x:v>341.79</x:v>
      </x:c>
      <x:c r="U152" s="83" t="str">
        <x:v>Paid</x:v>
      </x:c>
      <x:c r="V152" s="83" t="str">
        <x:v>Completed</x:v>
      </x:c>
      <x:c r="W152" s="151" t="n">
        <x:f>IF(OR(NOT(ISNUMBER($AP152)),COUNT($O152,$P152)&lt;2,$O152&lt;=0,$P152&lt;0),"",ROUND($O152*$P152*(1-$AP152),2))</x:f>
        <x:v>1398.71</x:v>
      </x:c>
      <x:c r="X152" s="151" t="n">
        <x:f>IF(OR(NOT(ISNUMBER($W152)),NOT(ISNUMBER($S152))),"",ROUND($W152-$S152,2))</x:f>
        <x:v>341.79</x:v>
      </x:c>
      <x:c r="Y152" s="85" t="n">
        <x:f>IF(OR(NOT(ISNUMBER($W152)),NOT(ISNUMBER($X152)),$W152=0),"",ROUND($X152/$W152,4))</x:f>
        <x:v>0.2444</x:v>
      </x:c>
      <x:c r="Z152" s="82" t="n">
        <x:f>IF(OR($AH152&lt;&gt;"Valid",$AI152&lt;&gt;"Valid"),"",INT($D152-$C152))</x:f>
        <x:v>8</x:v>
      </x:c>
      <x:c r="AA152" s="86" t="str">
        <x:f>IF($AH152&lt;&gt;"Valid","",TEXT($C152,"mmmm"))</x:f>
        <x:v>March</x:v>
      </x:c>
      <x:c r="AB152" s="82" t="n">
        <x:f>IF($AH152&lt;&gt;"Valid","",YEAR($C152))</x:f>
        <x:v>2024</x:v>
      </x:c>
      <x:c r="AC152" s="80" t="str">
        <x:v>Consistent</x:v>
      </x:c>
      <x:c r="AD152" s="80" t="str">
        <x:v>Eligible</x:v>
      </x:c>
      <x:c r="AE152" s="80" t="str">
        <x:f>IF(OR($AH152&lt;&gt;"Valid",$AI152&lt;&gt;"Valid",$AJ152&lt;&gt;"Valid",LEFT($AM152,7)="Invalid",IFERROR(ABS($AQ152)&gt;0.01,FALSE),IFERROR(ABS($AR152)&gt;0.01,FALSE),COUNTIF($AS152,"*Conflicting duplicate*")&gt;0,COUNTIF($AS152,"*Completed order not paid*")&gt;0),"Invalid",IF(OR($H152="Unknown",$N152="Unknown",$AM152="Missing discount imputed as 0"),"Warning","Clean"))</x:f>
        <x:v>Warning</x:v>
      </x:c>
      <x:c r="AF152" s="80" t="str">
        <x:v>Cleaned</x:v>
      </x:c>
      <x:c r="AG152" s="80" t="str">
        <x:v>region: Missing value filled as Unknown</x:v>
      </x:c>
      <x:c r="AH152" s="12" t="str">
        <x:f>IF(C152="","Missing date",IF(ISNUMBER(C152),"Valid","Unrecognized/invalid date"))</x:f>
        <x:v>Valid</x:v>
      </x:c>
      <x:c r="AI152" s="12" t="str">
        <x:f>IF(D152="","Missing date",IF(ISNUMBER(D152),"Valid","Unrecognized/invalid date"))</x:f>
        <x:v>Valid</x:v>
      </x:c>
      <x:c r="AJ152" s="12" t="str">
        <x:v>Valid</x:v>
      </x:c>
      <x:c r="AK152" s="12" t="str">
        <x:v>Pass</x:v>
      </x:c>
      <x:c r="AL152" s="12" t="str">
        <x:v>Missing region filled as Unknown</x:v>
      </x:c>
      <x:c r="AM152" s="12" t="str">
        <x:v>Valid</x:v>
      </x:c>
      <x:c r="AN152" s="12" t="str">
        <x:v>Include in completed sales</x:v>
      </x:c>
      <x:c r="AO152" s="12" t="str">
        <x:v>Not a refunded record</x:v>
      </x:c>
      <x:c r="AP152" s="37" t="n">
        <x:f>IF(LEFT($AM152,7)="Invalid","",IF($AM152="Missing discount imputed as 0",IF(AND(COUNT($O152,$P152,$R152,$S152)=4,$O152&gt;0,$P152&gt;=0,$R152&gt;=0,$S152&gt;=0),0,""),IF(AND(ISNUMBER($Q152),$Q152&gt;=0,$Q152&lt;=0.5),$Q152,"")))</x:f>
        <x:v>0.1</x:v>
      </x:c>
      <x:c r="AQ152" s="152" t="n">
        <x:f>IF(OR($W152="",NOT(ISNUMBER($R152))),"",ROUND($R152-$W152,2))</x:f>
        <x:v>0</x:v>
      </x:c>
      <x:c r="AR152" s="152" t="n">
        <x:f>IF(OR($X152="",NOT(ISNUMBER($T152))),"",ROUND($T152-$X152,2))</x:f>
        <x:v>0</x:v>
      </x:c>
      <x:c r="AS152" s="14" t="str">
        <x:v>OK</x:v>
      </x:c>
    </x:row>
    <x:row r="153">
      <x:c r="A153" s="80" t="n">
        <x:v>153</x:v>
      </x:c>
      <x:c r="B153" s="80" t="str">
        <x:v>ORD-2024-10152</x:v>
      </x:c>
      <x:c r="C153" s="81" t="n">
        <x:v>45470</x:v>
      </x:c>
      <x:c r="D153" s="81" t="n">
        <x:v>45470</x:v>
      </x:c>
      <x:c r="E153" s="80" t="str">
        <x:v>CUST-6011</x:v>
      </x:c>
      <x:c r="F153" s="80" t="str">
        <x:v>Neha Gupta</x:v>
      </x:c>
      <x:c r="G153" s="80" t="str">
        <x:v>Home Office</x:v>
      </x:c>
      <x:c r="H153" s="80" t="str">
        <x:v>Unknown</x:v>
      </x:c>
      <x:c r="I153" s="80" t="str">
        <x:v>Madhya Pradesh</x:v>
      </x:c>
      <x:c r="J153" s="80" t="str">
        <x:v>Indore</x:v>
      </x:c>
      <x:c r="K153" s="80" t="str">
        <x:v>Technology</x:v>
      </x:c>
      <x:c r="L153" s="80" t="str">
        <x:v>Copiers</x:v>
      </x:c>
      <x:c r="M153" s="80" t="str">
        <x:v>Max Copiers 992</x:v>
      </x:c>
      <x:c r="N153" s="80" t="str">
        <x:v>Standard Class</x:v>
      </x:c>
      <x:c r="O153" s="82" t="n">
        <x:v>2</x:v>
      </x:c>
      <x:c r="P153" s="83" t="n">
        <x:v>3859.11</x:v>
      </x:c>
      <x:c r="Q153" s="84" t="n">
        <x:v>0</x:v>
      </x:c>
      <x:c r="R153" s="83" t="n">
        <x:v>7718.22</x:v>
      </x:c>
      <x:c r="S153" s="83" t="n">
        <x:v>5355.93</x:v>
      </x:c>
      <x:c r="T153" s="83" t="n">
        <x:v>2362.29</x:v>
      </x:c>
      <x:c r="U153" s="83" t="str">
        <x:v>Pending</x:v>
      </x:c>
      <x:c r="V153" s="83" t="str">
        <x:v>Returned</x:v>
      </x:c>
      <x:c r="W153" s="151" t="n">
        <x:f>IF(OR(NOT(ISNUMBER($AP153)),COUNT($O153,$P153)&lt;2,$O153&lt;=0,$P153&lt;0),"",ROUND($O153*$P153*(1-$AP153),2))</x:f>
        <x:v>7718.22</x:v>
      </x:c>
      <x:c r="X153" s="151" t="n">
        <x:f>IF(OR(NOT(ISNUMBER($W153)),NOT(ISNUMBER($S153))),"",ROUND($W153-$S153,2))</x:f>
        <x:v>2362.29</x:v>
      </x:c>
      <x:c r="Y153" s="85" t="n">
        <x:f>IF(OR(NOT(ISNUMBER($W153)),NOT(ISNUMBER($X153)),$W153=0),"",ROUND($X153/$W153,4))</x:f>
        <x:v>0.3061</x:v>
      </x:c>
      <x:c r="Z153" s="82" t="n">
        <x:f>IF(OR($AH153&lt;&gt;"Valid",$AI153&lt;&gt;"Valid"),"",INT($D153-$C153))</x:f>
        <x:v>0</x:v>
      </x:c>
      <x:c r="AA153" s="86" t="str">
        <x:f>IF($AH153&lt;&gt;"Valid","",TEXT($C153,"mmmm"))</x:f>
        <x:v>June</x:v>
      </x:c>
      <x:c r="AB153" s="82" t="n">
        <x:f>IF($AH153&lt;&gt;"Valid","",YEAR($C153))</x:f>
        <x:v>2024</x:v>
      </x:c>
      <x:c r="AC153" s="80" t="str">
        <x:v>Consistent</x:v>
      </x:c>
      <x:c r="AD153" s="80" t="str">
        <x:v>Excluded</x:v>
      </x:c>
      <x:c r="AE153" s="80" t="str">
        <x:f>IF(OR($AH153&lt;&gt;"Valid",$AI153&lt;&gt;"Valid",$AJ153&lt;&gt;"Valid",LEFT($AM153,7)="Invalid",IFERROR(ABS($AQ153)&gt;0.01,FALSE),IFERROR(ABS($AR153)&gt;0.01,FALSE),COUNTIF($AS153,"*Conflicting duplicate*")&gt;0,COUNTIF($AS153,"*Completed order not paid*")&gt;0),"Invalid",IF(OR($H153="Unknown",$N153="Unknown",$AM153="Missing discount imputed as 0"),"Warning","Clean"))</x:f>
        <x:v>Warning</x:v>
      </x:c>
      <x:c r="AF153" s="80" t="str">
        <x:v>Cleaned</x:v>
      </x:c>
      <x:c r="AG153" s="80" t="str">
        <x:v>region: Missing value filled as Unknown</x:v>
      </x:c>
      <x:c r="AH153" s="12" t="str">
        <x:f>IF(C153="","Missing date",IF(ISNUMBER(C153),"Valid","Unrecognized/invalid date"))</x:f>
        <x:v>Valid</x:v>
      </x:c>
      <x:c r="AI153" s="12" t="str">
        <x:f>IF(D153="","Missing date",IF(ISNUMBER(D153),"Valid","Unrecognized/invalid date"))</x:f>
        <x:v>Valid</x:v>
      </x:c>
      <x:c r="AJ153" s="12" t="str">
        <x:v>Valid</x:v>
      </x:c>
      <x:c r="AK153" s="12" t="str">
        <x:v>Pass</x:v>
      </x:c>
      <x:c r="AL153" s="12" t="str">
        <x:v>Missing region filled as Unknown</x:v>
      </x:c>
      <x:c r="AM153" s="12" t="str">
        <x:v>Valid</x:v>
      </x:c>
      <x:c r="AN153" s="12" t="str">
        <x:v>Exclude from completed sales</x:v>
      </x:c>
      <x:c r="AO153" s="12" t="str">
        <x:v>Not a refunded record</x:v>
      </x:c>
      <x:c r="AP153" s="37" t="n">
        <x:f>IF(LEFT($AM153,7)="Invalid","",IF($AM153="Missing discount imputed as 0",IF(AND(COUNT($O153,$P153,$R153,$S153)=4,$O153&gt;0,$P153&gt;=0,$R153&gt;=0,$S153&gt;=0),0,""),IF(AND(ISNUMBER($Q153),$Q153&gt;=0,$Q153&lt;=0.5),$Q153,"")))</x:f>
        <x:v>0</x:v>
      </x:c>
      <x:c r="AQ153" s="152" t="n">
        <x:f>IF(OR($W153="",NOT(ISNUMBER($R153))),"",ROUND($R153-$W153,2))</x:f>
        <x:v>0</x:v>
      </x:c>
      <x:c r="AR153" s="152" t="n">
        <x:f>IF(OR($X153="",NOT(ISNUMBER($T153))),"",ROUND($T153-$X153,2))</x:f>
        <x:v>0</x:v>
      </x:c>
      <x:c r="AS153" s="14" t="str">
        <x:v>OK</x:v>
      </x:c>
    </x:row>
    <x:row r="154">
      <x:c r="A154" s="80" t="n">
        <x:v>154</x:v>
      </x:c>
      <x:c r="B154" s="80" t="str">
        <x:v>ORD-2024-10153</x:v>
      </x:c>
      <x:c r="C154" s="81" t="n">
        <x:v>45457</x:v>
      </x:c>
      <x:c r="D154" s="81" t="n">
        <x:v>45460</x:v>
      </x:c>
      <x:c r="E154" s="80" t="str">
        <x:v>CUST-6160</x:v>
      </x:c>
      <x:c r="F154" s="80" t="str">
        <x:v>Kabir Singh</x:v>
      </x:c>
      <x:c r="G154" s="80" t="str">
        <x:v>Small Business</x:v>
      </x:c>
      <x:c r="H154" s="80" t="str">
        <x:v>South</x:v>
      </x:c>
      <x:c r="I154" s="80" t="str">
        <x:v>Kerala</x:v>
      </x:c>
      <x:c r="J154" s="80" t="str">
        <x:v>Kochi</x:v>
      </x:c>
      <x:c r="K154" s="80" t="str">
        <x:v>Furniture</x:v>
      </x:c>
      <x:c r="L154" s="80" t="str">
        <x:v>Tables</x:v>
      </x:c>
      <x:c r="M154" s="80" t="str">
        <x:v>Pro Tables 407</x:v>
      </x:c>
      <x:c r="N154" s="80" t="str">
        <x:v>Second Class</x:v>
      </x:c>
      <x:c r="O154" s="82" t="n">
        <x:v>6</x:v>
      </x:c>
      <x:c r="P154" s="83" t="n">
        <x:v>1088.04</x:v>
      </x:c>
      <x:c r="Q154" s="84" t="n">
        <x:v>0.1</x:v>
      </x:c>
      <x:c r="R154" s="83" t="n">
        <x:v>5875.42</x:v>
      </x:c>
      <x:c r="S154" s="83" t="n">
        <x:v>4380.55</x:v>
      </x:c>
      <x:c r="T154" s="83" t="n">
        <x:v>1494.87</x:v>
      </x:c>
      <x:c r="U154" s="83" t="str">
        <x:v>Pending</x:v>
      </x:c>
      <x:c r="V154" s="83" t="str">
        <x:v>Returned</x:v>
      </x:c>
      <x:c r="W154" s="151" t="n">
        <x:f>IF(OR(NOT(ISNUMBER($AP154)),COUNT($O154,$P154)&lt;2,$O154&lt;=0,$P154&lt;0),"",ROUND($O154*$P154*(1-$AP154),2))</x:f>
        <x:v>5875.42</x:v>
      </x:c>
      <x:c r="X154" s="151" t="n">
        <x:f>IF(OR(NOT(ISNUMBER($W154)),NOT(ISNUMBER($S154))),"",ROUND($W154-$S154,2))</x:f>
        <x:v>1494.87</x:v>
      </x:c>
      <x:c r="Y154" s="85" t="n">
        <x:f>IF(OR(NOT(ISNUMBER($W154)),NOT(ISNUMBER($X154)),$W154=0),"",ROUND($X154/$W154,4))</x:f>
        <x:v>0.2544</x:v>
      </x:c>
      <x:c r="Z154" s="82" t="n">
        <x:f>IF(OR($AH154&lt;&gt;"Valid",$AI154&lt;&gt;"Valid"),"",INT($D154-$C154))</x:f>
        <x:v>3</x:v>
      </x:c>
      <x:c r="AA154" s="86" t="str">
        <x:f>IF($AH154&lt;&gt;"Valid","",TEXT($C154,"mmmm"))</x:f>
        <x:v>June</x:v>
      </x:c>
      <x:c r="AB154" s="82" t="n">
        <x:f>IF($AH154&lt;&gt;"Valid","",YEAR($C154))</x:f>
        <x:v>2024</x:v>
      </x:c>
      <x:c r="AC154" s="80" t="str">
        <x:v>Consistent</x:v>
      </x:c>
      <x:c r="AD154" s="80" t="str">
        <x:v>Excluded</x:v>
      </x:c>
      <x:c r="AE154" s="80" t="str">
        <x:f>IF(OR($AH154&lt;&gt;"Valid",$AI154&lt;&gt;"Valid",$AJ154&lt;&gt;"Valid",LEFT($AM154,7)="Invalid",IFERROR(ABS($AQ154)&gt;0.01,FALSE),IFERROR(ABS($AR154)&gt;0.01,FALSE),COUNTIF($AS154,"*Conflicting duplicate*")&gt;0,COUNTIF($AS154,"*Completed order not paid*")&gt;0),"Invalid",IF(OR($H154="Unknown",$N154="Unknown",$AM154="Missing discount imputed as 0"),"Warning","Clean"))</x:f>
        <x:v>Clean</x:v>
      </x:c>
      <x:c r="AF154" s="80" t="str">
        <x:v>Pass</x:v>
      </x:c>
      <x:c r="AG154" s="80" t="str">
        <x:v>No text cleanup required</x:v>
      </x:c>
      <x:c r="AH154" s="12" t="str">
        <x:f>IF(C154="","Missing date",IF(ISNUMBER(C154),"Valid","Unrecognized/invalid date"))</x:f>
        <x:v>Valid</x:v>
      </x:c>
      <x:c r="AI154" s="12" t="str">
        <x:f>IF(D154="","Missing date",IF(ISNUMBER(D154),"Valid","Unrecognized/invalid date"))</x:f>
        <x:v>Valid</x:v>
      </x:c>
      <x:c r="AJ154" s="12" t="str">
        <x:v>Valid</x:v>
      </x:c>
      <x:c r="AK154" s="12" t="str">
        <x:v>Pass</x:v>
      </x:c>
      <x:c r="AL154" s="12" t="str">
        <x:v>None</x:v>
      </x:c>
      <x:c r="AM154" s="12" t="str">
        <x:v>Valid</x:v>
      </x:c>
      <x:c r="AN154" s="12" t="str">
        <x:v>Exclude from completed sales</x:v>
      </x:c>
      <x:c r="AO154" s="12" t="str">
        <x:v>Not a refunded record</x:v>
      </x:c>
      <x:c r="AP154" s="37" t="n">
        <x:f>IF(LEFT($AM154,7)="Invalid","",IF($AM154="Missing discount imputed as 0",IF(AND(COUNT($O154,$P154,$R154,$S154)=4,$O154&gt;0,$P154&gt;=0,$R154&gt;=0,$S154&gt;=0),0,""),IF(AND(ISNUMBER($Q154),$Q154&gt;=0,$Q154&lt;=0.5),$Q154,"")))</x:f>
        <x:v>0.1</x:v>
      </x:c>
      <x:c r="AQ154" s="152" t="n">
        <x:f>IF(OR($W154="",NOT(ISNUMBER($R154))),"",ROUND($R154-$W154,2))</x:f>
        <x:v>0</x:v>
      </x:c>
      <x:c r="AR154" s="152" t="n">
        <x:f>IF(OR($X154="",NOT(ISNUMBER($T154))),"",ROUND($T154-$X154,2))</x:f>
        <x:v>0</x:v>
      </x:c>
      <x:c r="AS154" s="14" t="str">
        <x:v>OK</x:v>
      </x:c>
    </x:row>
    <x:row r="155">
      <x:c r="A155" s="80" t="n">
        <x:v>155</x:v>
      </x:c>
      <x:c r="B155" s="80" t="str">
        <x:v>ORD-2025-10154</x:v>
      </x:c>
      <x:c r="C155" s="81" t="n">
        <x:v>45923</x:v>
      </x:c>
      <x:c r="D155" s="81" t="n">
        <x:v>45925</x:v>
      </x:c>
      <x:c r="E155" s="80" t="str">
        <x:v>CUST-6971</x:v>
      </x:c>
      <x:c r="F155" s="80" t="str">
        <x:v>Aditi Sen</x:v>
      </x:c>
      <x:c r="G155" s="80" t="str">
        <x:v>Consumer</x:v>
      </x:c>
      <x:c r="H155" s="80" t="str">
        <x:v>East</x:v>
      </x:c>
      <x:c r="I155" s="80" t="str">
        <x:v>Odisha</x:v>
      </x:c>
      <x:c r="J155" s="80" t="str">
        <x:v>Bhubaneswar</x:v>
      </x:c>
      <x:c r="K155" s="80" t="str">
        <x:v>Office Supplies</x:v>
      </x:c>
      <x:c r="L155" s="80" t="str">
        <x:v>Labels</x:v>
      </x:c>
      <x:c r="M155" s="80" t="str">
        <x:v>Prime Labels 559</x:v>
      </x:c>
      <x:c r="N155" s="80" t="str">
        <x:v>Standard Class</x:v>
      </x:c>
      <x:c r="O155" s="82" t="n">
        <x:v>7</x:v>
      </x:c>
      <x:c r="P155" s="83" t="n">
        <x:v>3280.31</x:v>
      </x:c>
      <x:c r="Q155" s="84" t="n">
        <x:v>0</x:v>
      </x:c>
      <x:c r="R155" s="83" t="n">
        <x:v>22962.17</x:v>
      </x:c>
      <x:c r="S155" s="83" t="n">
        <x:v>15716.5</x:v>
      </x:c>
      <x:c r="T155" s="83" t="n">
        <x:v>7245.67</x:v>
      </x:c>
      <x:c r="U155" s="83" t="str">
        <x:v>Refunded</x:v>
      </x:c>
      <x:c r="V155" s="83" t="str">
        <x:v>Returned</x:v>
      </x:c>
      <x:c r="W155" s="151" t="n">
        <x:f>IF(OR(NOT(ISNUMBER($AP155)),COUNT($O155,$P155)&lt;2,$O155&lt;=0,$P155&lt;0),"",ROUND($O155*$P155*(1-$AP155),2))</x:f>
        <x:v>22962.17</x:v>
      </x:c>
      <x:c r="X155" s="151" t="n">
        <x:f>IF(OR(NOT(ISNUMBER($W155)),NOT(ISNUMBER($S155))),"",ROUND($W155-$S155,2))</x:f>
        <x:v>7245.67</x:v>
      </x:c>
      <x:c r="Y155" s="85" t="n">
        <x:f>IF(OR(NOT(ISNUMBER($W155)),NOT(ISNUMBER($X155)),$W155=0),"",ROUND($X155/$W155,4))</x:f>
        <x:v>0.3155</x:v>
      </x:c>
      <x:c r="Z155" s="82" t="n">
        <x:f>IF(OR($AH155&lt;&gt;"Valid",$AI155&lt;&gt;"Valid"),"",INT($D155-$C155))</x:f>
        <x:v>2</x:v>
      </x:c>
      <x:c r="AA155" s="86" t="str">
        <x:f>IF($AH155&lt;&gt;"Valid","",TEXT($C155,"mmmm"))</x:f>
        <x:v>September</x:v>
      </x:c>
      <x:c r="AB155" s="82" t="n">
        <x:f>IF($AH155&lt;&gt;"Valid","",YEAR($C155))</x:f>
        <x:v>2025</x:v>
      </x:c>
      <x:c r="AC155" s="80" t="str">
        <x:v>Refunded (separately summarized)</x:v>
      </x:c>
      <x:c r="AD155" s="80" t="str">
        <x:v>Excluded</x:v>
      </x:c>
      <x:c r="AE155" s="80" t="str">
        <x:f>IF(OR($AH155&lt;&gt;"Valid",$AI155&lt;&gt;"Valid",$AJ155&lt;&gt;"Valid",LEFT($AM155,7)="Invalid",IFERROR(ABS($AQ155)&gt;0.01,FALSE),IFERROR(ABS($AR155)&gt;0.01,FALSE),COUNTIF($AS155,"*Conflicting duplicate*")&gt;0,COUNTIF($AS155,"*Completed order not paid*")&gt;0),"Invalid",IF(OR($H155="Unknown",$N155="Unknown",$AM155="Missing discount imputed as 0"),"Warning","Clean"))</x:f>
        <x:v>Clean</x:v>
      </x:c>
      <x:c r="AF155" s="80" t="str">
        <x:v>Pass</x:v>
      </x:c>
      <x:c r="AG155" s="80" t="str">
        <x:v>No text cleanup required</x:v>
      </x:c>
      <x:c r="AH155" s="12" t="str">
        <x:f>IF(C155="","Missing date",IF(ISNUMBER(C155),"Valid","Unrecognized/invalid date"))</x:f>
        <x:v>Valid</x:v>
      </x:c>
      <x:c r="AI155" s="12" t="str">
        <x:f>IF(D155="","Missing date",IF(ISNUMBER(D155),"Valid","Unrecognized/invalid date"))</x:f>
        <x:v>Valid</x:v>
      </x:c>
      <x:c r="AJ155" s="12" t="str">
        <x:v>Valid</x:v>
      </x:c>
      <x:c r="AK155" s="12" t="str">
        <x:v>Pass</x:v>
      </x:c>
      <x:c r="AL155" s="12" t="str">
        <x:v>Refunded payment – separately summarized</x:v>
      </x:c>
      <x:c r="AM155" s="12" t="str">
        <x:v>Valid</x:v>
      </x:c>
      <x:c r="AN155" s="12" t="str">
        <x:v>Exclude from completed sales</x:v>
      </x:c>
      <x:c r="AO155" s="12" t="str">
        <x:v>Include in refunded summary</x:v>
      </x:c>
      <x:c r="AP155" s="37" t="n">
        <x:f>IF(LEFT($AM155,7)="Invalid","",IF($AM155="Missing discount imputed as 0",IF(AND(COUNT($O155,$P155,$R155,$S155)=4,$O155&gt;0,$P155&gt;=0,$R155&gt;=0,$S155&gt;=0),0,""),IF(AND(ISNUMBER($Q155),$Q155&gt;=0,$Q155&lt;=0.5),$Q155,"")))</x:f>
        <x:v>0</x:v>
      </x:c>
      <x:c r="AQ155" s="152" t="n">
        <x:f>IF(OR($W155="",NOT(ISNUMBER($R155))),"",ROUND($R155-$W155,2))</x:f>
        <x:v>0</x:v>
      </x:c>
      <x:c r="AR155" s="152" t="n">
        <x:f>IF(OR($X155="",NOT(ISNUMBER($T155))),"",ROUND($T155-$X155,2))</x:f>
        <x:v>0</x:v>
      </x:c>
      <x:c r="AS155" s="14" t="str">
        <x:v>OK</x:v>
      </x:c>
    </x:row>
    <x:row r="156">
      <x:c r="A156" s="80" t="n">
        <x:v>156</x:v>
      </x:c>
      <x:c r="B156" s="80" t="str">
        <x:v>ORD-2024-10155</x:v>
      </x:c>
      <x:c r="C156" s="81" t="n">
        <x:v>45334</x:v>
      </x:c>
      <x:c r="D156" s="81" t="n">
        <x:v>45333</x:v>
      </x:c>
      <x:c r="E156" s="80" t="str">
        <x:v>CUST-7764</x:v>
      </x:c>
      <x:c r="F156" s="80" t="str">
        <x:v>Priya Menon</x:v>
      </x:c>
      <x:c r="G156" s="80" t="str">
        <x:v>Consumer</x:v>
      </x:c>
      <x:c r="H156" s="80" t="str">
        <x:v>South</x:v>
      </x:c>
      <x:c r="I156" s="80" t="str">
        <x:v>Tamil Nadu</x:v>
      </x:c>
      <x:c r="J156" s="80" t="str">
        <x:v>Chennai</x:v>
      </x:c>
      <x:c r="K156" s="80" t="str">
        <x:v>Furniture</x:v>
      </x:c>
      <x:c r="L156" s="80" t="str">
        <x:v>Bookcases</x:v>
      </x:c>
      <x:c r="M156" s="80" t="str">
        <x:v>Classic Bookcases 847</x:v>
      </x:c>
      <x:c r="N156" s="80" t="str">
        <x:v>Same Day</x:v>
      </x:c>
      <x:c r="O156" s="82" t="n">
        <x:v>1</x:v>
      </x:c>
      <x:c r="P156" s="83" t="n">
        <x:v>2599.12</x:v>
      </x:c>
      <x:c r="Q156" s="84" t="n">
        <x:v>0.15</x:v>
      </x:c>
      <x:c r="R156" s="83" t="n">
        <x:v>2209.25</x:v>
      </x:c>
      <x:c r="S156" s="83" t="n">
        <x:v>1523.78</x:v>
      </x:c>
      <x:c r="T156" s="83" t="n">
        <x:v>685.47</x:v>
      </x:c>
      <x:c r="U156" s="83" t="str">
        <x:v>Paid</x:v>
      </x:c>
      <x:c r="V156" s="83" t="str">
        <x:v>Completed</x:v>
      </x:c>
      <x:c r="W156" s="151" t="n">
        <x:f>IF(OR(NOT(ISNUMBER($AP156)),COUNT($O156,$P156)&lt;2,$O156&lt;=0,$P156&lt;0),"",ROUND($O156*$P156*(1-$AP156),2))</x:f>
        <x:v>2209.25</x:v>
      </x:c>
      <x:c r="X156" s="151" t="n">
        <x:f>IF(OR(NOT(ISNUMBER($W156)),NOT(ISNUMBER($S156))),"",ROUND($W156-$S156,2))</x:f>
        <x:v>685.47</x:v>
      </x:c>
      <x:c r="Y156" s="85" t="n">
        <x:f>IF(OR(NOT(ISNUMBER($W156)),NOT(ISNUMBER($X156)),$W156=0),"",ROUND($X156/$W156,4))</x:f>
        <x:v>0.3103</x:v>
      </x:c>
      <x:c r="Z156" s="82" t="n">
        <x:f>IF(OR($AH156&lt;&gt;"Valid",$AI156&lt;&gt;"Valid"),"",INT($D156-$C156))</x:f>
        <x:v>-1</x:v>
      </x:c>
      <x:c r="AA156" s="86" t="str">
        <x:f>IF($AH156&lt;&gt;"Valid","",TEXT($C156,"mmmm"))</x:f>
        <x:v>February</x:v>
      </x:c>
      <x:c r="AB156" s="82" t="n">
        <x:f>IF($AH156&lt;&gt;"Valid","",YEAR($C156))</x:f>
        <x:v>2024</x:v>
      </x:c>
      <x:c r="AC156" s="80" t="str">
        <x:v>Consistent</x:v>
      </x:c>
      <x:c r="AD156" s="80" t="str">
        <x:v>Excluded</x:v>
      </x:c>
      <x:c r="AE156" s="80" t="str">
        <x:f>IF(OR($AH156&lt;&gt;"Valid",$AI156&lt;&gt;"Valid",$AJ156&lt;&gt;"Valid",LEFT($AM156,7)="Invalid",IFERROR(ABS($AQ156)&gt;0.01,FALSE),IFERROR(ABS($AR156)&gt;0.01,FALSE),COUNTIF($AS156,"*Conflicting duplicate*")&gt;0,COUNTIF($AS156,"*Completed order not paid*")&gt;0),"Invalid",IF(OR($H156="Unknown",$N156="Unknown",$AM156="Missing discount imputed as 0"),"Warning","Clean"))</x:f>
        <x:v>Invalid</x:v>
      </x:c>
      <x:c r="AF156" s="80" t="str">
        <x:v>Review</x:v>
      </x:c>
      <x:c r="AG156" s="80" t="str">
        <x:v>No text cleanup required</x:v>
      </x:c>
      <x:c r="AH156" s="12" t="str">
        <x:f>IF(C156="","Missing date",IF(ISNUMBER(C156),"Valid","Unrecognized/invalid date"))</x:f>
        <x:v>Valid</x:v>
      </x:c>
      <x:c r="AI156" s="12" t="str">
        <x:f>IF(D156="","Missing date",IF(ISNUMBER(D156),"Valid","Unrecognized/invalid date"))</x:f>
        <x:v>Valid</x:v>
      </x:c>
      <x:c r="AJ156" s="12" t="str">
        <x:v>Invalid</x:v>
      </x:c>
      <x:c r="AK156" s="12" t="str">
        <x:v>Ship date is earlier than order date</x:v>
      </x:c>
      <x:c r="AL156" s="12" t="str">
        <x:v>None</x:v>
      </x:c>
      <x:c r="AM156" s="12" t="str">
        <x:v>Valid</x:v>
      </x:c>
      <x:c r="AN156" s="12" t="str">
        <x:v>Exclude from completed sales</x:v>
      </x:c>
      <x:c r="AO156" s="12" t="str">
        <x:v>Not a refunded record</x:v>
      </x:c>
      <x:c r="AP156" s="37" t="n">
        <x:f>IF(LEFT($AM156,7)="Invalid","",IF($AM156="Missing discount imputed as 0",IF(AND(COUNT($O156,$P156,$R156,$S156)=4,$O156&gt;0,$P156&gt;=0,$R156&gt;=0,$S156&gt;=0),0,""),IF(AND(ISNUMBER($Q156),$Q156&gt;=0,$Q156&lt;=0.5),$Q156,"")))</x:f>
        <x:v>0.15</x:v>
      </x:c>
      <x:c r="AQ156" s="152" t="n">
        <x:f>IF(OR($W156="",NOT(ISNUMBER($R156))),"",ROUND($R156-$W156,2))</x:f>
        <x:v>0</x:v>
      </x:c>
      <x:c r="AR156" s="152" t="n">
        <x:f>IF(OR($X156="",NOT(ISNUMBER($T156))),"",ROUND($T156-$X156,2))</x:f>
        <x:v>0</x:v>
      </x:c>
      <x:c r="AS156" s="14" t="str">
        <x:v>Ship date earlier than order date</x:v>
      </x:c>
    </x:row>
    <x:row r="157">
      <x:c r="A157" s="80" t="n">
        <x:v>157</x:v>
      </x:c>
      <x:c r="B157" s="80" t="str">
        <x:v>ORD-2025-10156</x:v>
      </x:c>
      <x:c r="C157" s="81" t="n">
        <x:v>45683</x:v>
      </x:c>
      <x:c r="D157" s="81" t="n">
        <x:v>45691</x:v>
      </x:c>
      <x:c r="E157" s="80" t="str">
        <x:v>CUST-8327</x:v>
      </x:c>
      <x:c r="F157" s="80" t="str">
        <x:v>Karan Malhotra</x:v>
      </x:c>
      <x:c r="G157" s="80" t="str">
        <x:v>Corporate</x:v>
      </x:c>
      <x:c r="H157" s="80" t="str">
        <x:v>West</x:v>
      </x:c>
      <x:c r="I157" s="80" t="str">
        <x:v>Rajasthan</x:v>
      </x:c>
      <x:c r="J157" s="80" t="str">
        <x:v>Udaipur</x:v>
      </x:c>
      <x:c r="K157" s="80" t="str">
        <x:v>Furniture</x:v>
      </x:c>
      <x:c r="L157" s="80" t="str">
        <x:v>Furnishings</x:v>
      </x:c>
      <x:c r="M157" s="80" t="str">
        <x:v>Classic Furnishings 655</x:v>
      </x:c>
      <x:c r="N157" s="80" t="str">
        <x:v>Same Day</x:v>
      </x:c>
      <x:c r="O157" s="82" t="n">
        <x:v>3</x:v>
      </x:c>
      <x:c r="P157" s="83" t="n">
        <x:v>2859.32</x:v>
      </x:c>
      <x:c r="Q157" s="84" t="n">
        <x:v>0.1</x:v>
      </x:c>
      <x:c r="R157" s="83" t="n">
        <x:v>7720.16</x:v>
      </x:c>
      <x:c r="S157" s="83" t="n">
        <x:v>5881</x:v>
      </x:c>
      <x:c r="T157" s="83" t="n">
        <x:v>1839.16</x:v>
      </x:c>
      <x:c r="U157" s="83" t="str">
        <x:v>Refunded</x:v>
      </x:c>
      <x:c r="V157" s="83" t="str">
        <x:v>Returned</x:v>
      </x:c>
      <x:c r="W157" s="151" t="n">
        <x:f>IF(OR(NOT(ISNUMBER($AP157)),COUNT($O157,$P157)&lt;2,$O157&lt;=0,$P157&lt;0),"",ROUND($O157*$P157*(1-$AP157),2))</x:f>
        <x:v>7720.16</x:v>
      </x:c>
      <x:c r="X157" s="151" t="n">
        <x:f>IF(OR(NOT(ISNUMBER($W157)),NOT(ISNUMBER($S157))),"",ROUND($W157-$S157,2))</x:f>
        <x:v>1839.16</x:v>
      </x:c>
      <x:c r="Y157" s="85" t="n">
        <x:f>IF(OR(NOT(ISNUMBER($W157)),NOT(ISNUMBER($X157)),$W157=0),"",ROUND($X157/$W157,4))</x:f>
        <x:v>0.2382</x:v>
      </x:c>
      <x:c r="Z157" s="82" t="n">
        <x:f>IF(OR($AH157&lt;&gt;"Valid",$AI157&lt;&gt;"Valid"),"",INT($D157-$C157))</x:f>
        <x:v>8</x:v>
      </x:c>
      <x:c r="AA157" s="86" t="str">
        <x:f>IF($AH157&lt;&gt;"Valid","",TEXT($C157,"mmmm"))</x:f>
        <x:v>January</x:v>
      </x:c>
      <x:c r="AB157" s="82" t="n">
        <x:f>IF($AH157&lt;&gt;"Valid","",YEAR($C157))</x:f>
        <x:v>2025</x:v>
      </x:c>
      <x:c r="AC157" s="80" t="str">
        <x:v>Refunded (separately summarized)</x:v>
      </x:c>
      <x:c r="AD157" s="80" t="str">
        <x:v>Excluded</x:v>
      </x:c>
      <x:c r="AE157" s="80" t="str">
        <x:f>IF(OR($AH157&lt;&gt;"Valid",$AI157&lt;&gt;"Valid",$AJ157&lt;&gt;"Valid",LEFT($AM157,7)="Invalid",IFERROR(ABS($AQ157)&gt;0.01,FALSE),IFERROR(ABS($AR157)&gt;0.01,FALSE),COUNTIF($AS157,"*Conflicting duplicate*")&gt;0,COUNTIF($AS157,"*Completed order not paid*")&gt;0),"Invalid",IF(OR($H157="Unknown",$N157="Unknown",$AM157="Missing discount imputed as 0"),"Warning","Clean"))</x:f>
        <x:v>Clean</x:v>
      </x:c>
      <x:c r="AF157" s="80" t="str">
        <x:v>Pass</x:v>
      </x:c>
      <x:c r="AG157" s="80" t="str">
        <x:v>No text cleanup required</x:v>
      </x:c>
      <x:c r="AH157" s="12" t="str">
        <x:f>IF(C157="","Missing date",IF(ISNUMBER(C157),"Valid","Unrecognized/invalid date"))</x:f>
        <x:v>Valid</x:v>
      </x:c>
      <x:c r="AI157" s="12" t="str">
        <x:f>IF(D157="","Missing date",IF(ISNUMBER(D157),"Valid","Unrecognized/invalid date"))</x:f>
        <x:v>Valid</x:v>
      </x:c>
      <x:c r="AJ157" s="12" t="str">
        <x:v>Valid</x:v>
      </x:c>
      <x:c r="AK157" s="12" t="str">
        <x:v>Pass</x:v>
      </x:c>
      <x:c r="AL157" s="12" t="str">
        <x:v>Refunded payment – separately summarized</x:v>
      </x:c>
      <x:c r="AM157" s="12" t="str">
        <x:v>Valid</x:v>
      </x:c>
      <x:c r="AN157" s="12" t="str">
        <x:v>Exclude from completed sales</x:v>
      </x:c>
      <x:c r="AO157" s="12" t="str">
        <x:v>Include in refunded summary</x:v>
      </x:c>
      <x:c r="AP157" s="37" t="n">
        <x:f>IF(LEFT($AM157,7)="Invalid","",IF($AM157="Missing discount imputed as 0",IF(AND(COUNT($O157,$P157,$R157,$S157)=4,$O157&gt;0,$P157&gt;=0,$R157&gt;=0,$S157&gt;=0),0,""),IF(AND(ISNUMBER($Q157),$Q157&gt;=0,$Q157&lt;=0.5),$Q157,"")))</x:f>
        <x:v>0.1</x:v>
      </x:c>
      <x:c r="AQ157" s="152" t="n">
        <x:f>IF(OR($W157="",NOT(ISNUMBER($R157))),"",ROUND($R157-$W157,2))</x:f>
        <x:v>0</x:v>
      </x:c>
      <x:c r="AR157" s="152" t="n">
        <x:f>IF(OR($X157="",NOT(ISNUMBER($T157))),"",ROUND($T157-$X157,2))</x:f>
        <x:v>0</x:v>
      </x:c>
      <x:c r="AS157" s="14" t="str">
        <x:v>OK</x:v>
      </x:c>
    </x:row>
    <x:row r="158">
      <x:c r="A158" s="80" t="n">
        <x:v>158</x:v>
      </x:c>
      <x:c r="B158" s="80" t="str">
        <x:v>ORD-2025-10157</x:v>
      </x:c>
      <x:c r="C158" s="81" t="n">
        <x:v>45743</x:v>
      </x:c>
      <x:c r="D158" s="81" t="n">
        <x:v>45743</x:v>
      </x:c>
      <x:c r="E158" s="80" t="str">
        <x:v>CUST-4058</x:v>
      </x:c>
      <x:c r="F158" s="80" t="str">
        <x:v>Vikram Iyer</x:v>
      </x:c>
      <x:c r="G158" s="80" t="str">
        <x:v>Small Business</x:v>
      </x:c>
      <x:c r="H158" s="80" t="str">
        <x:v>East</x:v>
      </x:c>
      <x:c r="I158" s="80" t="str">
        <x:v>Bihar</x:v>
      </x:c>
      <x:c r="J158" s="80" t="str">
        <x:v>Patna</x:v>
      </x:c>
      <x:c r="K158" s="80" t="str">
        <x:v>Technology</x:v>
      </x:c>
      <x:c r="L158" s="80" t="str">
        <x:v>Machines</x:v>
      </x:c>
      <x:c r="M158" s="80" t="str">
        <x:v>Eco Machines 657</x:v>
      </x:c>
      <x:c r="N158" s="80" t="str">
        <x:v>Second Class</x:v>
      </x:c>
      <x:c r="O158" s="82" t="n">
        <x:v>7</x:v>
      </x:c>
      <x:c r="P158" s="83" t="n">
        <x:v>2305.37</x:v>
      </x:c>
      <x:c r="Q158" s="84" t="n">
        <x:v>0.25</x:v>
      </x:c>
      <x:c r="R158" s="83" t="n">
        <x:v>12103.19</x:v>
      </x:c>
      <x:c r="S158" s="83" t="n">
        <x:v>6717.87</x:v>
      </x:c>
      <x:c r="T158" s="83" t="n">
        <x:v>5385.32</x:v>
      </x:c>
      <x:c r="U158" s="83" t="str">
        <x:v>Paid</x:v>
      </x:c>
      <x:c r="V158" s="83" t="str">
        <x:v>Completed</x:v>
      </x:c>
      <x:c r="W158" s="151" t="n">
        <x:f>IF(OR(NOT(ISNUMBER($AP158)),COUNT($O158,$P158)&lt;2,$O158&lt;=0,$P158&lt;0),"",ROUND($O158*$P158*(1-$AP158),2))</x:f>
        <x:v>12103.19</x:v>
      </x:c>
      <x:c r="X158" s="151" t="n">
        <x:f>IF(OR(NOT(ISNUMBER($W158)),NOT(ISNUMBER($S158))),"",ROUND($W158-$S158,2))</x:f>
        <x:v>5385.32</x:v>
      </x:c>
      <x:c r="Y158" s="85" t="n">
        <x:f>IF(OR(NOT(ISNUMBER($W158)),NOT(ISNUMBER($X158)),$W158=0),"",ROUND($X158/$W158,4))</x:f>
        <x:v>0.445</x:v>
      </x:c>
      <x:c r="Z158" s="82" t="n">
        <x:f>IF(OR($AH158&lt;&gt;"Valid",$AI158&lt;&gt;"Valid"),"",INT($D158-$C158))</x:f>
        <x:v>0</x:v>
      </x:c>
      <x:c r="AA158" s="86" t="str">
        <x:f>IF($AH158&lt;&gt;"Valid","",TEXT($C158,"mmmm"))</x:f>
        <x:v>March</x:v>
      </x:c>
      <x:c r="AB158" s="82" t="n">
        <x:f>IF($AH158&lt;&gt;"Valid","",YEAR($C158))</x:f>
        <x:v>2025</x:v>
      </x:c>
      <x:c r="AC158" s="80" t="str">
        <x:v>Consistent</x:v>
      </x:c>
      <x:c r="AD158" s="80" t="str">
        <x:v>Eligible</x:v>
      </x:c>
      <x:c r="AE158" s="80" t="str">
        <x:f>IF(OR($AH158&lt;&gt;"Valid",$AI158&lt;&gt;"Valid",$AJ158&lt;&gt;"Valid",LEFT($AM158,7)="Invalid",IFERROR(ABS($AQ158)&gt;0.01,FALSE),IFERROR(ABS($AR158)&gt;0.01,FALSE),COUNTIF($AS158,"*Conflicting duplicate*")&gt;0,COUNTIF($AS158,"*Completed order not paid*")&gt;0),"Invalid",IF(OR($H158="Unknown",$N158="Unknown",$AM158="Missing discount imputed as 0"),"Warning","Clean"))</x:f>
        <x:v>Clean</x:v>
      </x:c>
      <x:c r="AF158" s="80" t="str">
        <x:v>Cleaned</x:v>
      </x:c>
      <x:c r="AG158" s="80" t="str">
        <x:v>order_status: TRIM/SUBSTITUTE whitespace cleanup</x:v>
      </x:c>
      <x:c r="AH158" s="12" t="str">
        <x:f>IF(C158="","Missing date",IF(ISNUMBER(C158),"Valid","Unrecognized/invalid date"))</x:f>
        <x:v>Valid</x:v>
      </x:c>
      <x:c r="AI158" s="12" t="str">
        <x:f>IF(D158="","Missing date",IF(ISNUMBER(D158),"Valid","Unrecognized/invalid date"))</x:f>
        <x:v>Valid</x:v>
      </x:c>
      <x:c r="AJ158" s="12" t="str">
        <x:v>Valid</x:v>
      </x:c>
      <x:c r="AK158" s="12" t="str">
        <x:v>Pass</x:v>
      </x:c>
      <x:c r="AL158" s="12" t="str">
        <x:v>None</x:v>
      </x:c>
      <x:c r="AM158" s="12" t="str">
        <x:v>Valid</x:v>
      </x:c>
      <x:c r="AN158" s="12" t="str">
        <x:v>Include in completed sales</x:v>
      </x:c>
      <x:c r="AO158" s="12" t="str">
        <x:v>Not a refunded record</x:v>
      </x:c>
      <x:c r="AP158" s="37" t="n">
        <x:f>IF(LEFT($AM158,7)="Invalid","",IF($AM158="Missing discount imputed as 0",IF(AND(COUNT($O158,$P158,$R158,$S158)=4,$O158&gt;0,$P158&gt;=0,$R158&gt;=0,$S158&gt;=0),0,""),IF(AND(ISNUMBER($Q158),$Q158&gt;=0,$Q158&lt;=0.5),$Q158,"")))</x:f>
        <x:v>0.25</x:v>
      </x:c>
      <x:c r="AQ158" s="152" t="n">
        <x:f>IF(OR($W158="",NOT(ISNUMBER($R158))),"",ROUND($R158-$W158,2))</x:f>
        <x:v>0</x:v>
      </x:c>
      <x:c r="AR158" s="152" t="n">
        <x:f>IF(OR($X158="",NOT(ISNUMBER($T158))),"",ROUND($T158-$X158,2))</x:f>
        <x:v>0</x:v>
      </x:c>
      <x:c r="AS158" s="14" t="str">
        <x:v>OK</x:v>
      </x:c>
    </x:row>
    <x:row r="159">
      <x:c r="A159" s="80" t="n">
        <x:v>159</x:v>
      </x:c>
      <x:c r="B159" s="80" t="str">
        <x:v>ORD-2024-10158</x:v>
      </x:c>
      <x:c r="C159" s="81" t="n">
        <x:v>45587</x:v>
      </x:c>
      <x:c r="D159" s="81" t="n">
        <x:v>45589</x:v>
      </x:c>
      <x:c r="E159" s="80" t="str">
        <x:v>CUST-1142</x:v>
      </x:c>
      <x:c r="F159" s="80" t="str">
        <x:v>Rohan Mehta</x:v>
      </x:c>
      <x:c r="G159" s="80" t="str">
        <x:v>Small Business</x:v>
      </x:c>
      <x:c r="H159" s="80" t="str">
        <x:v>South</x:v>
      </x:c>
      <x:c r="I159" s="80" t="str">
        <x:v>Andhra Pradesh</x:v>
      </x:c>
      <x:c r="J159" s="80" t="str">
        <x:v>Vijayawada</x:v>
      </x:c>
      <x:c r="K159" s="80" t="str">
        <x:v>Furniture</x:v>
      </x:c>
      <x:c r="L159" s="80" t="str">
        <x:v>Bookcases</x:v>
      </x:c>
      <x:c r="M159" s="80" t="str">
        <x:v>Pro Bookcases 430</x:v>
      </x:c>
      <x:c r="N159" s="80" t="str">
        <x:v>Standard Class</x:v>
      </x:c>
      <x:c r="O159" s="82" t="n">
        <x:v>3</x:v>
      </x:c>
      <x:c r="P159" s="83" t="n">
        <x:v>915.84</x:v>
      </x:c>
      <x:c r="Q159" s="84" t="n">
        <x:v>0.15</x:v>
      </x:c>
      <x:c r="R159" s="83" t="n">
        <x:v>2335.39</x:v>
      </x:c>
      <x:c r="S159" s="83" t="n">
        <x:v>1466.15</x:v>
      </x:c>
      <x:c r="T159" s="83" t="n">
        <x:v>869.24</x:v>
      </x:c>
      <x:c r="U159" s="83" t="str">
        <x:v>Paid</x:v>
      </x:c>
      <x:c r="V159" s="83" t="str">
        <x:v>Completed</x:v>
      </x:c>
      <x:c r="W159" s="151" t="n">
        <x:f>IF(OR(NOT(ISNUMBER($AP159)),COUNT($O159,$P159)&lt;2,$O159&lt;=0,$P159&lt;0),"",ROUND($O159*$P159*(1-$AP159),2))</x:f>
        <x:v>2335.39</x:v>
      </x:c>
      <x:c r="X159" s="151" t="n">
        <x:f>IF(OR(NOT(ISNUMBER($W159)),NOT(ISNUMBER($S159))),"",ROUND($W159-$S159,2))</x:f>
        <x:v>869.24</x:v>
      </x:c>
      <x:c r="Y159" s="85" t="n">
        <x:f>IF(OR(NOT(ISNUMBER($W159)),NOT(ISNUMBER($X159)),$W159=0),"",ROUND($X159/$W159,4))</x:f>
        <x:v>0.3722</x:v>
      </x:c>
      <x:c r="Z159" s="82" t="n">
        <x:f>IF(OR($AH159&lt;&gt;"Valid",$AI159&lt;&gt;"Valid"),"",INT($D159-$C159))</x:f>
        <x:v>2</x:v>
      </x:c>
      <x:c r="AA159" s="86" t="str">
        <x:f>IF($AH159&lt;&gt;"Valid","",TEXT($C159,"mmmm"))</x:f>
        <x:v>October</x:v>
      </x:c>
      <x:c r="AB159" s="82" t="n">
        <x:f>IF($AH159&lt;&gt;"Valid","",YEAR($C159))</x:f>
        <x:v>2024</x:v>
      </x:c>
      <x:c r="AC159" s="80" t="str">
        <x:v>Consistent</x:v>
      </x:c>
      <x:c r="AD159" s="80" t="str">
        <x:v>Eligible</x:v>
      </x:c>
      <x:c r="AE159" s="80" t="str">
        <x:f>IF(OR($AH159&lt;&gt;"Valid",$AI159&lt;&gt;"Valid",$AJ159&lt;&gt;"Valid",LEFT($AM159,7)="Invalid",IFERROR(ABS($AQ159)&gt;0.01,FALSE),IFERROR(ABS($AR159)&gt;0.01,FALSE),COUNTIF($AS159,"*Conflicting duplicate*")&gt;0,COUNTIF($AS159,"*Completed order not paid*")&gt;0),"Invalid",IF(OR($H159="Unknown",$N159="Unknown",$AM159="Missing discount imputed as 0"),"Warning","Clean"))</x:f>
        <x:v>Clean</x:v>
      </x:c>
      <x:c r="AF159" s="80" t="str">
        <x:v>Pass</x:v>
      </x:c>
      <x:c r="AG159" s="80" t="str">
        <x:v>No text cleanup required</x:v>
      </x:c>
      <x:c r="AH159" s="12" t="str">
        <x:f>IF(C159="","Missing date",IF(ISNUMBER(C159),"Valid","Unrecognized/invalid date"))</x:f>
        <x:v>Valid</x:v>
      </x:c>
      <x:c r="AI159" s="12" t="str">
        <x:f>IF(D159="","Missing date",IF(ISNUMBER(D159),"Valid","Unrecognized/invalid date"))</x:f>
        <x:v>Valid</x:v>
      </x:c>
      <x:c r="AJ159" s="12" t="str">
        <x:v>Valid</x:v>
      </x:c>
      <x:c r="AK159" s="12" t="str">
        <x:v>Pass</x:v>
      </x:c>
      <x:c r="AL159" s="12" t="str">
        <x:v>None</x:v>
      </x:c>
      <x:c r="AM159" s="12" t="str">
        <x:v>Valid</x:v>
      </x:c>
      <x:c r="AN159" s="12" t="str">
        <x:v>Include in completed sales</x:v>
      </x:c>
      <x:c r="AO159" s="12" t="str">
        <x:v>Not a refunded record</x:v>
      </x:c>
      <x:c r="AP159" s="37" t="n">
        <x:f>IF(LEFT($AM159,7)="Invalid","",IF($AM159="Missing discount imputed as 0",IF(AND(COUNT($O159,$P159,$R159,$S159)=4,$O159&gt;0,$P159&gt;=0,$R159&gt;=0,$S159&gt;=0),0,""),IF(AND(ISNUMBER($Q159),$Q159&gt;=0,$Q159&lt;=0.5),$Q159,"")))</x:f>
        <x:v>0.15</x:v>
      </x:c>
      <x:c r="AQ159" s="152" t="n">
        <x:f>IF(OR($W159="",NOT(ISNUMBER($R159))),"",ROUND($R159-$W159,2))</x:f>
        <x:v>0</x:v>
      </x:c>
      <x:c r="AR159" s="152" t="n">
        <x:f>IF(OR($X159="",NOT(ISNUMBER($T159))),"",ROUND($T159-$X159,2))</x:f>
        <x:v>0</x:v>
      </x:c>
      <x:c r="AS159" s="14" t="str">
        <x:v>OK</x:v>
      </x:c>
    </x:row>
    <x:row r="160">
      <x:c r="A160" s="80" t="n">
        <x:v>160</x:v>
      </x:c>
      <x:c r="B160" s="80" t="str">
        <x:v>ORD-2024-10159</x:v>
      </x:c>
      <x:c r="C160" s="81" t="n">
        <x:v>45544</x:v>
      </x:c>
      <x:c r="D160" s="81" t="n">
        <x:v>45546</x:v>
      </x:c>
      <x:c r="E160" s="80" t="str">
        <x:v>CUST-2324</x:v>
      </x:c>
      <x:c r="F160" s="80" t="str">
        <x:v>Neha Gupta</x:v>
      </x:c>
      <x:c r="G160" s="80" t="str">
        <x:v>Home Office</x:v>
      </x:c>
      <x:c r="H160" s="80" t="str">
        <x:v>South</x:v>
      </x:c>
      <x:c r="I160" s="80" t="str">
        <x:v>Telangana</x:v>
      </x:c>
      <x:c r="J160" s="80" t="str">
        <x:v>Hyderabad</x:v>
      </x:c>
      <x:c r="K160" s="80" t="str">
        <x:v>Furniture</x:v>
      </x:c>
      <x:c r="L160" s="80" t="str">
        <x:v>Bookcases</x:v>
      </x:c>
      <x:c r="M160" s="80" t="str">
        <x:v>Max Bookcases 881</x:v>
      </x:c>
      <x:c r="N160" s="80" t="str">
        <x:v>First Class</x:v>
      </x:c>
      <x:c r="O160" s="82" t="n">
        <x:v>1</x:v>
      </x:c>
      <x:c r="P160" s="83" t="n">
        <x:v>4199.54</x:v>
      </x:c>
      <x:c r="Q160" s="84" t="n">
        <x:v>0.05</x:v>
      </x:c>
      <x:c r="R160" s="83" t="n">
        <x:v>3989.56</x:v>
      </x:c>
      <x:c r="S160" s="83" t="n">
        <x:v>2381.38</x:v>
      </x:c>
      <x:c r="T160" s="83" t="n">
        <x:v>1608.18</x:v>
      </x:c>
      <x:c r="U160" s="83" t="str">
        <x:v>Paid</x:v>
      </x:c>
      <x:c r="V160" s="83" t="str">
        <x:v>Completed</x:v>
      </x:c>
      <x:c r="W160" s="151" t="n">
        <x:f>IF(OR(NOT(ISNUMBER($AP160)),COUNT($O160,$P160)&lt;2,$O160&lt;=0,$P160&lt;0),"",ROUND($O160*$P160*(1-$AP160),2))</x:f>
        <x:v>3989.56</x:v>
      </x:c>
      <x:c r="X160" s="151" t="n">
        <x:f>IF(OR(NOT(ISNUMBER($W160)),NOT(ISNUMBER($S160))),"",ROUND($W160-$S160,2))</x:f>
        <x:v>1608.18</x:v>
      </x:c>
      <x:c r="Y160" s="85" t="n">
        <x:f>IF(OR(NOT(ISNUMBER($W160)),NOT(ISNUMBER($X160)),$W160=0),"",ROUND($X160/$W160,4))</x:f>
        <x:v>0.4031</x:v>
      </x:c>
      <x:c r="Z160" s="82" t="n">
        <x:f>IF(OR($AH160&lt;&gt;"Valid",$AI160&lt;&gt;"Valid"),"",INT($D160-$C160))</x:f>
        <x:v>2</x:v>
      </x:c>
      <x:c r="AA160" s="86" t="str">
        <x:f>IF($AH160&lt;&gt;"Valid","",TEXT($C160,"mmmm"))</x:f>
        <x:v>September</x:v>
      </x:c>
      <x:c r="AB160" s="82" t="n">
        <x:f>IF($AH160&lt;&gt;"Valid","",YEAR($C160))</x:f>
        <x:v>2024</x:v>
      </x:c>
      <x:c r="AC160" s="80" t="str">
        <x:v>Consistent</x:v>
      </x:c>
      <x:c r="AD160" s="80" t="str">
        <x:v>Eligible</x:v>
      </x:c>
      <x:c r="AE160" s="80" t="str">
        <x:f>IF(OR($AH160&lt;&gt;"Valid",$AI160&lt;&gt;"Valid",$AJ160&lt;&gt;"Valid",LEFT($AM160,7)="Invalid",IFERROR(ABS($AQ160)&gt;0.01,FALSE),IFERROR(ABS($AR160)&gt;0.01,FALSE),COUNTIF($AS160,"*Conflicting duplicate*")&gt;0,COUNTIF($AS160,"*Completed order not paid*")&gt;0),"Invalid",IF(OR($H160="Unknown",$N160="Unknown",$AM160="Missing discount imputed as 0"),"Warning","Clean"))</x:f>
        <x:v>Clean</x:v>
      </x:c>
      <x:c r="AF160" s="80" t="str">
        <x:v>Pass</x:v>
      </x:c>
      <x:c r="AG160" s="80" t="str">
        <x:v>No text cleanup required</x:v>
      </x:c>
      <x:c r="AH160" s="12" t="str">
        <x:f>IF(C160="","Missing date",IF(ISNUMBER(C160),"Valid","Unrecognized/invalid date"))</x:f>
        <x:v>Valid</x:v>
      </x:c>
      <x:c r="AI160" s="12" t="str">
        <x:f>IF(D160="","Missing date",IF(ISNUMBER(D160),"Valid","Unrecognized/invalid date"))</x:f>
        <x:v>Valid</x:v>
      </x:c>
      <x:c r="AJ160" s="12" t="str">
        <x:v>Valid</x:v>
      </x:c>
      <x:c r="AK160" s="12" t="str">
        <x:v>Pass</x:v>
      </x:c>
      <x:c r="AL160" s="12" t="str">
        <x:v>None</x:v>
      </x:c>
      <x:c r="AM160" s="12" t="str">
        <x:v>Valid</x:v>
      </x:c>
      <x:c r="AN160" s="12" t="str">
        <x:v>Include in completed sales</x:v>
      </x:c>
      <x:c r="AO160" s="12" t="str">
        <x:v>Not a refunded record</x:v>
      </x:c>
      <x:c r="AP160" s="37" t="n">
        <x:f>IF(LEFT($AM160,7)="Invalid","",IF($AM160="Missing discount imputed as 0",IF(AND(COUNT($O160,$P160,$R160,$S160)=4,$O160&gt;0,$P160&gt;=0,$R160&gt;=0,$S160&gt;=0),0,""),IF(AND(ISNUMBER($Q160),$Q160&gt;=0,$Q160&lt;=0.5),$Q160,"")))</x:f>
        <x:v>0.05</x:v>
      </x:c>
      <x:c r="AQ160" s="152" t="n">
        <x:f>IF(OR($W160="",NOT(ISNUMBER($R160))),"",ROUND($R160-$W160,2))</x:f>
        <x:v>0</x:v>
      </x:c>
      <x:c r="AR160" s="152" t="n">
        <x:f>IF(OR($X160="",NOT(ISNUMBER($T160))),"",ROUND($T160-$X160,2))</x:f>
        <x:v>0</x:v>
      </x:c>
      <x:c r="AS160" s="14" t="str">
        <x:v>OK</x:v>
      </x:c>
    </x:row>
    <x:row r="161">
      <x:c r="A161" s="80" t="n">
        <x:v>161</x:v>
      </x:c>
      <x:c r="B161" s="80" t="str">
        <x:v>ORD-2025-10160</x:v>
      </x:c>
      <x:c r="C161" s="81" t="n">
        <x:v>45687</x:v>
      </x:c>
      <x:c r="D161" s="81" t="n">
        <x:v>45692</x:v>
      </x:c>
      <x:c r="E161" s="80" t="str">
        <x:v>CUST-7717</x:v>
      </x:c>
      <x:c r="F161" s="80" t="str">
        <x:v>Priya Menon</x:v>
      </x:c>
      <x:c r="G161" s="80" t="str">
        <x:v>Corporate</x:v>
      </x:c>
      <x:c r="H161" s="80" t="str">
        <x:v>North</x:v>
      </x:c>
      <x:c r="I161" s="80" t="str">
        <x:v>Haryana</x:v>
      </x:c>
      <x:c r="J161" s="80" t="str">
        <x:v>Gurugram</x:v>
      </x:c>
      <x:c r="K161" s="80" t="str">
        <x:v>Furniture</x:v>
      </x:c>
      <x:c r="L161" s="80" t="str">
        <x:v>Chairs</x:v>
      </x:c>
      <x:c r="M161" s="80" t="str">
        <x:v>Elite Chairs 998</x:v>
      </x:c>
      <x:c r="N161" s="80" t="str">
        <x:v>Same Day</x:v>
      </x:c>
      <x:c r="O161" s="82" t="n">
        <x:v>9</x:v>
      </x:c>
      <x:c r="P161" s="83" t="n">
        <x:v>4430.5</x:v>
      </x:c>
      <x:c r="Q161" s="84" t="n">
        <x:v>0.15</x:v>
      </x:c>
      <x:c r="R161" s="83" t="n">
        <x:v>33893.32</x:v>
      </x:c>
      <x:c r="S161" s="83" t="n">
        <x:v>25750.35</x:v>
      </x:c>
      <x:c r="T161" s="83" t="n">
        <x:v>8142.97</x:v>
      </x:c>
      <x:c r="U161" s="83" t="str">
        <x:v>Pending</x:v>
      </x:c>
      <x:c r="V161" s="83" t="str">
        <x:v>Cancelled</x:v>
      </x:c>
      <x:c r="W161" s="151" t="n">
        <x:f>IF(OR(NOT(ISNUMBER($AP161)),COUNT($O161,$P161)&lt;2,$O161&lt;=0,$P161&lt;0),"",ROUND($O161*$P161*(1-$AP161),2))</x:f>
        <x:v>33893.32</x:v>
      </x:c>
      <x:c r="X161" s="151" t="n">
        <x:f>IF(OR(NOT(ISNUMBER($W161)),NOT(ISNUMBER($S161))),"",ROUND($W161-$S161,2))</x:f>
        <x:v>8142.97</x:v>
      </x:c>
      <x:c r="Y161" s="85" t="n">
        <x:f>IF(OR(NOT(ISNUMBER($W161)),NOT(ISNUMBER($X161)),$W161=0),"",ROUND($X161/$W161,4))</x:f>
        <x:v>0.2403</x:v>
      </x:c>
      <x:c r="Z161" s="82" t="n">
        <x:f>IF(OR($AH161&lt;&gt;"Valid",$AI161&lt;&gt;"Valid"),"",INT($D161-$C161))</x:f>
        <x:v>5</x:v>
      </x:c>
      <x:c r="AA161" s="86" t="str">
        <x:f>IF($AH161&lt;&gt;"Valid","",TEXT($C161,"mmmm"))</x:f>
        <x:v>January</x:v>
      </x:c>
      <x:c r="AB161" s="82" t="n">
        <x:f>IF($AH161&lt;&gt;"Valid","",YEAR($C161))</x:f>
        <x:v>2025</x:v>
      </x:c>
      <x:c r="AC161" s="80" t="str">
        <x:v>Cancelled (excluded from completed-sales summary)</x:v>
      </x:c>
      <x:c r="AD161" s="80" t="str">
        <x:v>Excluded</x:v>
      </x:c>
      <x:c r="AE161" s="80" t="str">
        <x:f>IF(OR($AH161&lt;&gt;"Valid",$AI161&lt;&gt;"Valid",$AJ161&lt;&gt;"Valid",LEFT($AM161,7)="Invalid",IFERROR(ABS($AQ161)&gt;0.01,FALSE),IFERROR(ABS($AR161)&gt;0.01,FALSE),COUNTIF($AS161,"*Conflicting duplicate*")&gt;0,COUNTIF($AS161,"*Completed order not paid*")&gt;0),"Invalid",IF(OR($H161="Unknown",$N161="Unknown",$AM161="Missing discount imputed as 0"),"Warning","Clean"))</x:f>
        <x:v>Clean</x:v>
      </x:c>
      <x:c r="AF161" s="80" t="str">
        <x:v>Pass</x:v>
      </x:c>
      <x:c r="AG161" s="80" t="str">
        <x:v>No text cleanup required</x:v>
      </x:c>
      <x:c r="AH161" s="12" t="str">
        <x:f>IF(C161="","Missing date",IF(ISNUMBER(C161),"Valid","Unrecognized/invalid date"))</x:f>
        <x:v>Valid</x:v>
      </x:c>
      <x:c r="AI161" s="12" t="str">
        <x:f>IF(D161="","Missing date",IF(ISNUMBER(D161),"Valid","Unrecognized/invalid date"))</x:f>
        <x:v>Valid</x:v>
      </x:c>
      <x:c r="AJ161" s="12" t="str">
        <x:v>Valid</x:v>
      </x:c>
      <x:c r="AK161" s="12" t="str">
        <x:v>Pass</x:v>
      </x:c>
      <x:c r="AL161" s="12" t="str">
        <x:v>Cancelled order – excluded from completed sales</x:v>
      </x:c>
      <x:c r="AM161" s="12" t="str">
        <x:v>Valid</x:v>
      </x:c>
      <x:c r="AN161" s="12" t="str">
        <x:v>Exclude from completed sales</x:v>
      </x:c>
      <x:c r="AO161" s="12" t="str">
        <x:v>Not a refunded record</x:v>
      </x:c>
      <x:c r="AP161" s="37" t="n">
        <x:f>IF(LEFT($AM161,7)="Invalid","",IF($AM161="Missing discount imputed as 0",IF(AND(COUNT($O161,$P161,$R161,$S161)=4,$O161&gt;0,$P161&gt;=0,$R161&gt;=0,$S161&gt;=0),0,""),IF(AND(ISNUMBER($Q161),$Q161&gt;=0,$Q161&lt;=0.5),$Q161,"")))</x:f>
        <x:v>0.15</x:v>
      </x:c>
      <x:c r="AQ161" s="152" t="n">
        <x:f>IF(OR($W161="",NOT(ISNUMBER($R161))),"",ROUND($R161-$W161,2))</x:f>
        <x:v>0</x:v>
      </x:c>
      <x:c r="AR161" s="152" t="n">
        <x:f>IF(OR($X161="",NOT(ISNUMBER($T161))),"",ROUND($T161-$X161,2))</x:f>
        <x:v>0</x:v>
      </x:c>
      <x:c r="AS161" s="14" t="str">
        <x:v>OK</x:v>
      </x:c>
    </x:row>
    <x:row r="162">
      <x:c r="A162" s="80" t="n">
        <x:v>162</x:v>
      </x:c>
      <x:c r="B162" s="80" t="str">
        <x:v>ORD-2025-10161</x:v>
      </x:c>
      <x:c r="C162" s="81" t="n">
        <x:v>45938</x:v>
      </x:c>
      <x:c r="D162" s="81" t="n">
        <x:v>45936</x:v>
      </x:c>
      <x:c r="E162" s="80" t="str">
        <x:v>CUST-4932</x:v>
      </x:c>
      <x:c r="F162" s="80" t="str">
        <x:v>Vikram Iyer</x:v>
      </x:c>
      <x:c r="G162" s="80" t="str">
        <x:v>Small Business</x:v>
      </x:c>
      <x:c r="H162" s="80" t="str">
        <x:v>West</x:v>
      </x:c>
      <x:c r="I162" s="80" t="str">
        <x:v>Maharashtra</x:v>
      </x:c>
      <x:c r="J162" s="80" t="str">
        <x:v>Mumbai</x:v>
      </x:c>
      <x:c r="K162" s="80" t="str">
        <x:v>Office Supplies</x:v>
      </x:c>
      <x:c r="L162" s="80" t="str">
        <x:v>Paper</x:v>
      </x:c>
      <x:c r="M162" s="80" t="str">
        <x:v>Max Paper 113</x:v>
      </x:c>
      <x:c r="N162" s="80" t="str">
        <x:v>Second Class</x:v>
      </x:c>
      <x:c r="O162" s="82" t="n">
        <x:v>4</x:v>
      </x:c>
      <x:c r="P162" s="83" t="n">
        <x:v>1260.42</x:v>
      </x:c>
      <x:c r="Q162" s="84" t="n">
        <x:v>0.05</x:v>
      </x:c>
      <x:c r="R162" s="83" t="n">
        <x:v>4789.6</x:v>
      </x:c>
      <x:c r="S162" s="83" t="n">
        <x:v>4037.64</x:v>
      </x:c>
      <x:c r="T162" s="83" t="n">
        <x:v>751.96</x:v>
      </x:c>
      <x:c r="U162" s="83" t="str">
        <x:v>Pending</x:v>
      </x:c>
      <x:c r="V162" s="83" t="str">
        <x:v>Cancelled</x:v>
      </x:c>
      <x:c r="W162" s="151" t="n">
        <x:f>IF(OR(NOT(ISNUMBER($AP162)),COUNT($O162,$P162)&lt;2,$O162&lt;=0,$P162&lt;0),"",ROUND($O162*$P162*(1-$AP162),2))</x:f>
        <x:v>4789.6</x:v>
      </x:c>
      <x:c r="X162" s="151" t="n">
        <x:f>IF(OR(NOT(ISNUMBER($W162)),NOT(ISNUMBER($S162))),"",ROUND($W162-$S162,2))</x:f>
        <x:v>751.96</x:v>
      </x:c>
      <x:c r="Y162" s="85" t="n">
        <x:f>IF(OR(NOT(ISNUMBER($W162)),NOT(ISNUMBER($X162)),$W162=0),"",ROUND($X162/$W162,4))</x:f>
        <x:v>0.157</x:v>
      </x:c>
      <x:c r="Z162" s="82" t="n">
        <x:f>IF(OR($AH162&lt;&gt;"Valid",$AI162&lt;&gt;"Valid"),"",INT($D162-$C162))</x:f>
        <x:v>-2</x:v>
      </x:c>
      <x:c r="AA162" s="86" t="str">
        <x:f>IF($AH162&lt;&gt;"Valid","",TEXT($C162,"mmmm"))</x:f>
        <x:v>October</x:v>
      </x:c>
      <x:c r="AB162" s="82" t="n">
        <x:f>IF($AH162&lt;&gt;"Valid","",YEAR($C162))</x:f>
        <x:v>2025</x:v>
      </x:c>
      <x:c r="AC162" s="80" t="str">
        <x:v>Cancelled (excluded from completed-sales summary)</x:v>
      </x:c>
      <x:c r="AD162" s="80" t="str">
        <x:v>Excluded</x:v>
      </x:c>
      <x:c r="AE162" s="80" t="str">
        <x:f>IF(OR($AH162&lt;&gt;"Valid",$AI162&lt;&gt;"Valid",$AJ162&lt;&gt;"Valid",LEFT($AM162,7)="Invalid",IFERROR(ABS($AQ162)&gt;0.01,FALSE),IFERROR(ABS($AR162)&gt;0.01,FALSE),COUNTIF($AS162,"*Conflicting duplicate*")&gt;0,COUNTIF($AS162,"*Completed order not paid*")&gt;0),"Invalid",IF(OR($H162="Unknown",$N162="Unknown",$AM162="Missing discount imputed as 0"),"Warning","Clean"))</x:f>
        <x:v>Invalid</x:v>
      </x:c>
      <x:c r="AF162" s="80" t="str">
        <x:v>Review</x:v>
      </x:c>
      <x:c r="AG162" s="80" t="str">
        <x:v>No text cleanup required</x:v>
      </x:c>
      <x:c r="AH162" s="12" t="str">
        <x:f>IF(C162="","Missing date",IF(ISNUMBER(C162),"Valid","Unrecognized/invalid date"))</x:f>
        <x:v>Valid</x:v>
      </x:c>
      <x:c r="AI162" s="12" t="str">
        <x:f>IF(D162="","Missing date",IF(ISNUMBER(D162),"Valid","Unrecognized/invalid date"))</x:f>
        <x:v>Valid</x:v>
      </x:c>
      <x:c r="AJ162" s="12" t="str">
        <x:v>Invalid</x:v>
      </x:c>
      <x:c r="AK162" s="12" t="str">
        <x:v>Ship date is earlier than order date</x:v>
      </x:c>
      <x:c r="AL162" s="12" t="str">
        <x:v>Cancelled order – excluded from completed sales</x:v>
      </x:c>
      <x:c r="AM162" s="12" t="str">
        <x:v>Valid</x:v>
      </x:c>
      <x:c r="AN162" s="12" t="str">
        <x:v>Exclude from completed sales</x:v>
      </x:c>
      <x:c r="AO162" s="12" t="str">
        <x:v>Not a refunded record</x:v>
      </x:c>
      <x:c r="AP162" s="37" t="n">
        <x:f>IF(LEFT($AM162,7)="Invalid","",IF($AM162="Missing discount imputed as 0",IF(AND(COUNT($O162,$P162,$R162,$S162)=4,$O162&gt;0,$P162&gt;=0,$R162&gt;=0,$S162&gt;=0),0,""),IF(AND(ISNUMBER($Q162),$Q162&gt;=0,$Q162&lt;=0.5),$Q162,"")))</x:f>
        <x:v>0.05</x:v>
      </x:c>
      <x:c r="AQ162" s="152" t="n">
        <x:f>IF(OR($W162="",NOT(ISNUMBER($R162))),"",ROUND($R162-$W162,2))</x:f>
        <x:v>0</x:v>
      </x:c>
      <x:c r="AR162" s="152" t="n">
        <x:f>IF(OR($X162="",NOT(ISNUMBER($T162))),"",ROUND($T162-$X162,2))</x:f>
        <x:v>0</x:v>
      </x:c>
      <x:c r="AS162" s="14" t="str">
        <x:v>Ship date earlier than order date</x:v>
      </x:c>
    </x:row>
    <x:row r="163">
      <x:c r="A163" s="80" t="n">
        <x:v>163</x:v>
      </x:c>
      <x:c r="B163" s="80" t="str">
        <x:v>ORD-2025-10162</x:v>
      </x:c>
      <x:c r="C163" s="81" t="n">
        <x:v>45862</x:v>
      </x:c>
      <x:c r="D163" s="81" t="n">
        <x:v>45868</x:v>
      </x:c>
      <x:c r="E163" s="80" t="str">
        <x:v>CUST-2367</x:v>
      </x:c>
      <x:c r="F163" s="80" t="str">
        <x:v>Arjun Bose</x:v>
      </x:c>
      <x:c r="G163" s="80" t="str">
        <x:v>Consumer</x:v>
      </x:c>
      <x:c r="H163" s="80" t="str">
        <x:v>West</x:v>
      </x:c>
      <x:c r="I163" s="80" t="str">
        <x:v>Rajasthan</x:v>
      </x:c>
      <x:c r="J163" s="80" t="str">
        <x:v>Udaipur</x:v>
      </x:c>
      <x:c r="K163" s="80" t="str">
        <x:v>Office Supplies</x:v>
      </x:c>
      <x:c r="L163" s="80" t="str">
        <x:v>Binders</x:v>
      </x:c>
      <x:c r="M163" s="80" t="str">
        <x:v>Smart Binders 267</x:v>
      </x:c>
      <x:c r="N163" s="80" t="str">
        <x:v>Standard Class</x:v>
      </x:c>
      <x:c r="O163" s="82" t="n">
        <x:v>1</x:v>
      </x:c>
      <x:c r="P163" s="83" t="n">
        <x:v>1643.41</x:v>
      </x:c>
      <x:c r="Q163" s="84" t="n">
        <x:v>0</x:v>
      </x:c>
      <x:c r="R163" s="83" t="n">
        <x:v>1643.41</x:v>
      </x:c>
      <x:c r="S163" s="83" t="n">
        <x:v>907.4</x:v>
      </x:c>
      <x:c r="T163" s="83" t="n">
        <x:v>736.01</x:v>
      </x:c>
      <x:c r="U163" s="83" t="str">
        <x:v>Pending</x:v>
      </x:c>
      <x:c r="V163" s="83" t="str">
        <x:v>Cancelled</x:v>
      </x:c>
      <x:c r="W163" s="151" t="n">
        <x:f>IF(OR(NOT(ISNUMBER($AP163)),COUNT($O163,$P163)&lt;2,$O163&lt;=0,$P163&lt;0),"",ROUND($O163*$P163*(1-$AP163),2))</x:f>
        <x:v>1643.41</x:v>
      </x:c>
      <x:c r="X163" s="151" t="n">
        <x:f>IF(OR(NOT(ISNUMBER($W163)),NOT(ISNUMBER($S163))),"",ROUND($W163-$S163,2))</x:f>
        <x:v>736.01</x:v>
      </x:c>
      <x:c r="Y163" s="85" t="n">
        <x:f>IF(OR(NOT(ISNUMBER($W163)),NOT(ISNUMBER($X163)),$W163=0),"",ROUND($X163/$W163,4))</x:f>
        <x:v>0.4479</x:v>
      </x:c>
      <x:c r="Z163" s="82" t="n">
        <x:f>IF(OR($AH163&lt;&gt;"Valid",$AI163&lt;&gt;"Valid"),"",INT($D163-$C163))</x:f>
        <x:v>6</x:v>
      </x:c>
      <x:c r="AA163" s="86" t="str">
        <x:f>IF($AH163&lt;&gt;"Valid","",TEXT($C163,"mmmm"))</x:f>
        <x:v>July</x:v>
      </x:c>
      <x:c r="AB163" s="82" t="n">
        <x:f>IF($AH163&lt;&gt;"Valid","",YEAR($C163))</x:f>
        <x:v>2025</x:v>
      </x:c>
      <x:c r="AC163" s="80" t="str">
        <x:v>Cancelled (excluded from completed-sales summary)</x:v>
      </x:c>
      <x:c r="AD163" s="80" t="str">
        <x:v>Excluded</x:v>
      </x:c>
      <x:c r="AE163" s="80" t="str">
        <x:f>IF(OR($AH163&lt;&gt;"Valid",$AI163&lt;&gt;"Valid",$AJ163&lt;&gt;"Valid",LEFT($AM163,7)="Invalid",IFERROR(ABS($AQ163)&gt;0.01,FALSE),IFERROR(ABS($AR163)&gt;0.01,FALSE),COUNTIF($AS163,"*Conflicting duplicate*")&gt;0,COUNTIF($AS163,"*Completed order not paid*")&gt;0),"Invalid",IF(OR($H163="Unknown",$N163="Unknown",$AM163="Missing discount imputed as 0"),"Warning","Clean"))</x:f>
        <x:v>Clean</x:v>
      </x:c>
      <x:c r="AF163" s="80" t="str">
        <x:v>Cleaned</x:v>
      </x:c>
      <x:c r="AG163" s="80" t="str">
        <x:v>segment: Case standardization</x:v>
      </x:c>
      <x:c r="AH163" s="12" t="str">
        <x:f>IF(C163="","Missing date",IF(ISNUMBER(C163),"Valid","Unrecognized/invalid date"))</x:f>
        <x:v>Valid</x:v>
      </x:c>
      <x:c r="AI163" s="12" t="str">
        <x:f>IF(D163="","Missing date",IF(ISNUMBER(D163),"Valid","Unrecognized/invalid date"))</x:f>
        <x:v>Valid</x:v>
      </x:c>
      <x:c r="AJ163" s="12" t="str">
        <x:v>Valid</x:v>
      </x:c>
      <x:c r="AK163" s="12" t="str">
        <x:v>Pass</x:v>
      </x:c>
      <x:c r="AL163" s="12" t="str">
        <x:v>Cancelled order – excluded from completed sales</x:v>
      </x:c>
      <x:c r="AM163" s="12" t="str">
        <x:v>Valid</x:v>
      </x:c>
      <x:c r="AN163" s="12" t="str">
        <x:v>Exclude from completed sales</x:v>
      </x:c>
      <x:c r="AO163" s="12" t="str">
        <x:v>Not a refunded record</x:v>
      </x:c>
      <x:c r="AP163" s="37" t="n">
        <x:f>IF(LEFT($AM163,7)="Invalid","",IF($AM163="Missing discount imputed as 0",IF(AND(COUNT($O163,$P163,$R163,$S163)=4,$O163&gt;0,$P163&gt;=0,$R163&gt;=0,$S163&gt;=0),0,""),IF(AND(ISNUMBER($Q163),$Q163&gt;=0,$Q163&lt;=0.5),$Q163,"")))</x:f>
        <x:v>0</x:v>
      </x:c>
      <x:c r="AQ163" s="152" t="n">
        <x:f>IF(OR($W163="",NOT(ISNUMBER($R163))),"",ROUND($R163-$W163,2))</x:f>
        <x:v>0</x:v>
      </x:c>
      <x:c r="AR163" s="152" t="n">
        <x:f>IF(OR($X163="",NOT(ISNUMBER($T163))),"",ROUND($T163-$X163,2))</x:f>
        <x:v>0</x:v>
      </x:c>
      <x:c r="AS163" s="14" t="str">
        <x:v>OK</x:v>
      </x:c>
    </x:row>
    <x:row r="164">
      <x:c r="A164" s="80" t="n">
        <x:v>164</x:v>
      </x:c>
      <x:c r="B164" s="80" t="str">
        <x:v>ORD-2024-10163</x:v>
      </x:c>
      <x:c r="C164" s="81" t="n">
        <x:v>45360</x:v>
      </x:c>
      <x:c r="D164" s="81" t="n">
        <x:v>45365</x:v>
      </x:c>
      <x:c r="E164" s="80" t="str">
        <x:v>CUST-4830</x:v>
      </x:c>
      <x:c r="F164" s="80" t="str">
        <x:v>Neha Gupta</x:v>
      </x:c>
      <x:c r="G164" s="80" t="str">
        <x:v>Small Business</x:v>
      </x:c>
      <x:c r="H164" s="80" t="str">
        <x:v>West</x:v>
      </x:c>
      <x:c r="I164" s="80" t="str">
        <x:v>Goa</x:v>
      </x:c>
      <x:c r="J164" s="80" t="str">
        <x:v>Panaji</x:v>
      </x:c>
      <x:c r="K164" s="80" t="str">
        <x:v>Furniture</x:v>
      </x:c>
      <x:c r="L164" s="80" t="str">
        <x:v>Furnishings</x:v>
      </x:c>
      <x:c r="M164" s="80" t="str">
        <x:v>Pro Furnishings 108</x:v>
      </x:c>
      <x:c r="N164" s="80" t="str">
        <x:v>Second Class</x:v>
      </x:c>
      <x:c r="O164" s="82" t="n">
        <x:v>8</x:v>
      </x:c>
      <x:c r="P164" s="83" t="n">
        <x:v>4472.84</x:v>
      </x:c>
      <x:c r="Q164" s="84" t="n">
        <x:v>0</x:v>
      </x:c>
      <x:c r="R164" s="83" t="n">
        <x:v>35997.62</x:v>
      </x:c>
      <x:c r="S164" s="83" t="n">
        <x:v>26424.41</x:v>
      </x:c>
      <x:c r="T164" s="83" t="n">
        <x:v>9358.31</x:v>
      </x:c>
      <x:c r="U164" s="83" t="str">
        <x:v>Pending</x:v>
      </x:c>
      <x:c r="V164" s="83" t="str">
        <x:v>Returned</x:v>
      </x:c>
      <x:c r="W164" s="151" t="n">
        <x:f>IF(OR(NOT(ISNUMBER($AP164)),COUNT($O164,$P164)&lt;2,$O164&lt;=0,$P164&lt;0),"",ROUND($O164*$P164*(1-$AP164),2))</x:f>
        <x:v>35782.72</x:v>
      </x:c>
      <x:c r="X164" s="151" t="n">
        <x:f>IF(OR(NOT(ISNUMBER($W164)),NOT(ISNUMBER($S164))),"",ROUND($W164-$S164,2))</x:f>
        <x:v>9358.31</x:v>
      </x:c>
      <x:c r="Y164" s="85" t="n">
        <x:f>IF(OR(NOT(ISNUMBER($W164)),NOT(ISNUMBER($X164)),$W164=0),"",ROUND($X164/$W164,4))</x:f>
        <x:v>0.2615</x:v>
      </x:c>
      <x:c r="Z164" s="82" t="n">
        <x:f>IF(OR($AH164&lt;&gt;"Valid",$AI164&lt;&gt;"Valid"),"",INT($D164-$C164))</x:f>
        <x:v>5</x:v>
      </x:c>
      <x:c r="AA164" s="86" t="str">
        <x:f>IF($AH164&lt;&gt;"Valid","",TEXT($C164,"mmmm"))</x:f>
        <x:v>March</x:v>
      </x:c>
      <x:c r="AB164" s="82" t="n">
        <x:f>IF($AH164&lt;&gt;"Valid","",YEAR($C164))</x:f>
        <x:v>2024</x:v>
      </x:c>
      <x:c r="AC164" s="80" t="str">
        <x:v>Consistent</x:v>
      </x:c>
      <x:c r="AD164" s="80" t="str">
        <x:v>Excluded</x:v>
      </x:c>
      <x:c r="AE164" s="80" t="str">
        <x:f>IF(OR($AH164&lt;&gt;"Valid",$AI164&lt;&gt;"Valid",$AJ164&lt;&gt;"Valid",LEFT($AM164,7)="Invalid",IFERROR(ABS($AQ164)&gt;0.01,FALSE),IFERROR(ABS($AR164)&gt;0.01,FALSE),COUNTIF($AS164,"*Conflicting duplicate*")&gt;0,COUNTIF($AS164,"*Completed order not paid*")&gt;0),"Invalid",IF(OR($H164="Unknown",$N164="Unknown",$AM164="Missing discount imputed as 0"),"Warning","Clean"))</x:f>
        <x:v>Invalid</x:v>
      </x:c>
      <x:c r="AF164" s="80" t="str">
        <x:v>Review</x:v>
      </x:c>
      <x:c r="AG164" s="80" t="str">
        <x:v>No text cleanup required</x:v>
      </x:c>
      <x:c r="AH164" s="12" t="str">
        <x:f>IF(C164="","Missing date",IF(ISNUMBER(C164),"Valid","Unrecognized/invalid date"))</x:f>
        <x:v>Valid</x:v>
      </x:c>
      <x:c r="AI164" s="12" t="str">
        <x:f>IF(D164="","Missing date",IF(ISNUMBER(D164),"Valid","Unrecognized/invalid date"))</x:f>
        <x:v>Valid</x:v>
      </x:c>
      <x:c r="AJ164" s="12" t="str">
        <x:v>Valid</x:v>
      </x:c>
      <x:c r="AK164" s="12" t="str">
        <x:v>Pass</x:v>
      </x:c>
      <x:c r="AL164" s="12" t="str">
        <x:v>None</x:v>
      </x:c>
      <x:c r="AM164" s="12" t="str">
        <x:v>Valid</x:v>
      </x:c>
      <x:c r="AN164" s="12" t="str">
        <x:v>Exclude from completed sales</x:v>
      </x:c>
      <x:c r="AO164" s="12" t="str">
        <x:v>Not a refunded record</x:v>
      </x:c>
      <x:c r="AP164" s="37" t="n">
        <x:f>IF(LEFT($AM164,7)="Invalid","",IF($AM164="Missing discount imputed as 0",IF(AND(COUNT($O164,$P164,$R164,$S164)=4,$O164&gt;0,$P164&gt;=0,$R164&gt;=0,$S164&gt;=0),0,""),IF(AND(ISNUMBER($Q164),$Q164&gt;=0,$Q164&lt;=0.5),$Q164,"")))</x:f>
        <x:v>0</x:v>
      </x:c>
      <x:c r="AQ164" s="152" t="n">
        <x:f>IF(OR($W164="",NOT(ISNUMBER($R164))),"",ROUND($R164-$W164,2))</x:f>
        <x:v>214.9</x:v>
      </x:c>
      <x:c r="AR164" s="152" t="n">
        <x:f>IF(OR($X164="",NOT(ISNUMBER($T164))),"",ROUND($T164-$X164,2))</x:f>
        <x:v>0</x:v>
      </x:c>
      <x:c r="AS164" s="14" t="str">
        <x:v>Sales calculation mismatch; Profit calculation mismatch</x:v>
      </x:c>
    </x:row>
    <x:row r="165">
      <x:c r="A165" s="80" t="n">
        <x:v>165</x:v>
      </x:c>
      <x:c r="B165" s="80" t="str">
        <x:v>ORD-2025-10164</x:v>
      </x:c>
      <x:c r="C165" s="81" t="n">
        <x:v>45921</x:v>
      </x:c>
      <x:c r="D165" s="81" t="n">
        <x:v>45926</x:v>
      </x:c>
      <x:c r="E165" s="80" t="str">
        <x:v>CUST-2548</x:v>
      </x:c>
      <x:c r="F165" s="80" t="str">
        <x:v>Rohan Mehta</x:v>
      </x:c>
      <x:c r="G165" s="80" t="str">
        <x:v>Home Office</x:v>
      </x:c>
      <x:c r="H165" s="80" t="str">
        <x:v>West</x:v>
      </x:c>
      <x:c r="I165" s="80" t="str">
        <x:v>Gujarat</x:v>
      </x:c>
      <x:c r="J165" s="80" t="str">
        <x:v>Ahmedabad</x:v>
      </x:c>
      <x:c r="K165" s="80" t="str">
        <x:v>Furniture</x:v>
      </x:c>
      <x:c r="L165" s="80" t="str">
        <x:v>Tables</x:v>
      </x:c>
      <x:c r="M165" s="80" t="str">
        <x:v>Elite Tables 389</x:v>
      </x:c>
      <x:c r="N165" s="80" t="str">
        <x:v>Unknown</x:v>
      </x:c>
      <x:c r="O165" s="82" t="n">
        <x:v>6</x:v>
      </x:c>
      <x:c r="P165" s="83" t="n">
        <x:v>2903.58</x:v>
      </x:c>
      <x:c r="Q165" s="84" t="n">
        <x:v>0.1</x:v>
      </x:c>
      <x:c r="R165" s="83" t="n">
        <x:v>15679.33</x:v>
      </x:c>
      <x:c r="S165" s="83" t="n">
        <x:v>12477.82</x:v>
      </x:c>
      <x:c r="T165" s="83" t="n">
        <x:v>3201.51</x:v>
      </x:c>
      <x:c r="U165" s="83" t="str">
        <x:v>Pending</x:v>
      </x:c>
      <x:c r="V165" s="83" t="str">
        <x:v>Returned</x:v>
      </x:c>
      <x:c r="W165" s="151" t="n">
        <x:f>IF(OR(NOT(ISNUMBER($AP165)),COUNT($O165,$P165)&lt;2,$O165&lt;=0,$P165&lt;0),"",ROUND($O165*$P165*(1-$AP165),2))</x:f>
        <x:v>15679.33</x:v>
      </x:c>
      <x:c r="X165" s="151" t="n">
        <x:f>IF(OR(NOT(ISNUMBER($W165)),NOT(ISNUMBER($S165))),"",ROUND($W165-$S165,2))</x:f>
        <x:v>3201.51</x:v>
      </x:c>
      <x:c r="Y165" s="85" t="n">
        <x:f>IF(OR(NOT(ISNUMBER($W165)),NOT(ISNUMBER($X165)),$W165=0),"",ROUND($X165/$W165,4))</x:f>
        <x:v>0.2042</x:v>
      </x:c>
      <x:c r="Z165" s="82" t="n">
        <x:f>IF(OR($AH165&lt;&gt;"Valid",$AI165&lt;&gt;"Valid"),"",INT($D165-$C165))</x:f>
        <x:v>5</x:v>
      </x:c>
      <x:c r="AA165" s="86" t="str">
        <x:f>IF($AH165&lt;&gt;"Valid","",TEXT($C165,"mmmm"))</x:f>
        <x:v>September</x:v>
      </x:c>
      <x:c r="AB165" s="82" t="n">
        <x:f>IF($AH165&lt;&gt;"Valid","",YEAR($C165))</x:f>
        <x:v>2025</x:v>
      </x:c>
      <x:c r="AC165" s="80" t="str">
        <x:v>Consistent</x:v>
      </x:c>
      <x:c r="AD165" s="80" t="str">
        <x:v>Excluded</x:v>
      </x:c>
      <x:c r="AE165" s="80" t="str">
        <x:f>IF(OR($AH165&lt;&gt;"Valid",$AI165&lt;&gt;"Valid",$AJ165&lt;&gt;"Valid",LEFT($AM165,7)="Invalid",IFERROR(ABS($AQ165)&gt;0.01,FALSE),IFERROR(ABS($AR165)&gt;0.01,FALSE),COUNTIF($AS165,"*Conflicting duplicate*")&gt;0,COUNTIF($AS165,"*Completed order not paid*")&gt;0),"Invalid",IF(OR($H165="Unknown",$N165="Unknown",$AM165="Missing discount imputed as 0"),"Warning","Clean"))</x:f>
        <x:v>Warning</x:v>
      </x:c>
      <x:c r="AF165" s="80" t="str">
        <x:v>Cleaned</x:v>
      </x:c>
      <x:c r="AG165" s="80" t="str">
        <x:v>ship_mode: Missing value filled as Unknown</x:v>
      </x:c>
      <x:c r="AH165" s="12" t="str">
        <x:f>IF(C165="","Missing date",IF(ISNUMBER(C165),"Valid","Unrecognized/invalid date"))</x:f>
        <x:v>Valid</x:v>
      </x:c>
      <x:c r="AI165" s="12" t="str">
        <x:f>IF(D165="","Missing date",IF(ISNUMBER(D165),"Valid","Unrecognized/invalid date"))</x:f>
        <x:v>Valid</x:v>
      </x:c>
      <x:c r="AJ165" s="12" t="str">
        <x:v>Valid</x:v>
      </x:c>
      <x:c r="AK165" s="12" t="str">
        <x:v>Pass</x:v>
      </x:c>
      <x:c r="AL165" s="12" t="str">
        <x:v>Missing ship_mode filled as Unknown</x:v>
      </x:c>
      <x:c r="AM165" s="12" t="str">
        <x:v>Valid</x:v>
      </x:c>
      <x:c r="AN165" s="12" t="str">
        <x:v>Exclude from completed sales</x:v>
      </x:c>
      <x:c r="AO165" s="12" t="str">
        <x:v>Not a refunded record</x:v>
      </x:c>
      <x:c r="AP165" s="37" t="n">
        <x:f>IF(LEFT($AM165,7)="Invalid","",IF($AM165="Missing discount imputed as 0",IF(AND(COUNT($O165,$P165,$R165,$S165)=4,$O165&gt;0,$P165&gt;=0,$R165&gt;=0,$S165&gt;=0),0,""),IF(AND(ISNUMBER($Q165),$Q165&gt;=0,$Q165&lt;=0.5),$Q165,"")))</x:f>
        <x:v>0.1</x:v>
      </x:c>
      <x:c r="AQ165" s="152" t="n">
        <x:f>IF(OR($W165="",NOT(ISNUMBER($R165))),"",ROUND($R165-$W165,2))</x:f>
        <x:v>0</x:v>
      </x:c>
      <x:c r="AR165" s="152" t="n">
        <x:f>IF(OR($X165="",NOT(ISNUMBER($T165))),"",ROUND($T165-$X165,2))</x:f>
        <x:v>0</x:v>
      </x:c>
      <x:c r="AS165" s="14" t="str">
        <x:v>OK</x:v>
      </x:c>
    </x:row>
    <x:row r="166">
      <x:c r="A166" s="80" t="n">
        <x:v>166</x:v>
      </x:c>
      <x:c r="B166" s="80" t="str">
        <x:v>ORD-2025-10165</x:v>
      </x:c>
      <x:c r="C166" s="81" t="n">
        <x:v>45909</x:v>
      </x:c>
      <x:c r="D166" s="81" t="n">
        <x:v>45914</x:v>
      </x:c>
      <x:c r="E166" s="80" t="str">
        <x:v>CUST-3833</x:v>
      </x:c>
      <x:c r="F166" s="80" t="str">
        <x:v>Rahul Verma</x:v>
      </x:c>
      <x:c r="G166" s="80" t="str">
        <x:v>Small Business</x:v>
      </x:c>
      <x:c r="H166" s="80" t="str">
        <x:v>East</x:v>
      </x:c>
      <x:c r="I166" s="80" t="str">
        <x:v>West Bengal</x:v>
      </x:c>
      <x:c r="J166" s="80" t="str">
        <x:v>Kolkata</x:v>
      </x:c>
      <x:c r="K166" s="80" t="str">
        <x:v>Furniture</x:v>
      </x:c>
      <x:c r="L166" s="80" t="str">
        <x:v>Bookcases</x:v>
      </x:c>
      <x:c r="M166" s="80" t="str">
        <x:v>Pro Bookcases 595</x:v>
      </x:c>
      <x:c r="N166" s="80" t="str">
        <x:v>Second Class</x:v>
      </x:c>
      <x:c r="O166" s="82" t="n">
        <x:v>1</x:v>
      </x:c>
      <x:c r="P166" s="83" t="n">
        <x:v>3154.42</x:v>
      </x:c>
      <x:c r="Q166" s="84" t="n">
        <x:v>0.25</x:v>
      </x:c>
      <x:c r="R166" s="83" t="n">
        <x:v>2365.82</x:v>
      </x:c>
      <x:c r="S166" s="83" t="n">
        <x:v>1547.99</x:v>
      </x:c>
      <x:c r="T166" s="83" t="n">
        <x:v>817.83</x:v>
      </x:c>
      <x:c r="U166" s="83" t="str">
        <x:v>Paid</x:v>
      </x:c>
      <x:c r="V166" s="83" t="str">
        <x:v>Completed</x:v>
      </x:c>
      <x:c r="W166" s="151" t="n">
        <x:f>IF(OR(NOT(ISNUMBER($AP166)),COUNT($O166,$P166)&lt;2,$O166&lt;=0,$P166&lt;0),"",ROUND($O166*$P166*(1-$AP166),2))</x:f>
        <x:v>2365.82</x:v>
      </x:c>
      <x:c r="X166" s="151" t="n">
        <x:f>IF(OR(NOT(ISNUMBER($W166)),NOT(ISNUMBER($S166))),"",ROUND($W166-$S166,2))</x:f>
        <x:v>817.83</x:v>
      </x:c>
      <x:c r="Y166" s="85" t="n">
        <x:f>IF(OR(NOT(ISNUMBER($W166)),NOT(ISNUMBER($X166)),$W166=0),"",ROUND($X166/$W166,4))</x:f>
        <x:v>0.3457</x:v>
      </x:c>
      <x:c r="Z166" s="82" t="n">
        <x:f>IF(OR($AH166&lt;&gt;"Valid",$AI166&lt;&gt;"Valid"),"",INT($D166-$C166))</x:f>
        <x:v>5</x:v>
      </x:c>
      <x:c r="AA166" s="86" t="str">
        <x:f>IF($AH166&lt;&gt;"Valid","",TEXT($C166,"mmmm"))</x:f>
        <x:v>September</x:v>
      </x:c>
      <x:c r="AB166" s="82" t="n">
        <x:f>IF($AH166&lt;&gt;"Valid","",YEAR($C166))</x:f>
        <x:v>2025</x:v>
      </x:c>
      <x:c r="AC166" s="80" t="str">
        <x:v>Consistent</x:v>
      </x:c>
      <x:c r="AD166" s="80" t="str">
        <x:v>Eligible</x:v>
      </x:c>
      <x:c r="AE166" s="80" t="str">
        <x:f>IF(OR($AH166&lt;&gt;"Valid",$AI166&lt;&gt;"Valid",$AJ166&lt;&gt;"Valid",LEFT($AM166,7)="Invalid",IFERROR(ABS($AQ166)&gt;0.01,FALSE),IFERROR(ABS($AR166)&gt;0.01,FALSE),COUNTIF($AS166,"*Conflicting duplicate*")&gt;0,COUNTIF($AS166,"*Completed order not paid*")&gt;0),"Invalid",IF(OR($H166="Unknown",$N166="Unknown",$AM166="Missing discount imputed as 0"),"Warning","Clean"))</x:f>
        <x:v>Clean</x:v>
      </x:c>
      <x:c r="AF166" s="80" t="str">
        <x:v>Pass</x:v>
      </x:c>
      <x:c r="AG166" s="80" t="str">
        <x:v>No text cleanup required</x:v>
      </x:c>
      <x:c r="AH166" s="12" t="str">
        <x:f>IF(C166="","Missing date",IF(ISNUMBER(C166),"Valid","Unrecognized/invalid date"))</x:f>
        <x:v>Valid</x:v>
      </x:c>
      <x:c r="AI166" s="12" t="str">
        <x:f>IF(D166="","Missing date",IF(ISNUMBER(D166),"Valid","Unrecognized/invalid date"))</x:f>
        <x:v>Valid</x:v>
      </x:c>
      <x:c r="AJ166" s="12" t="str">
        <x:v>Valid</x:v>
      </x:c>
      <x:c r="AK166" s="12" t="str">
        <x:v>Pass</x:v>
      </x:c>
      <x:c r="AL166" s="12" t="str">
        <x:v>None</x:v>
      </x:c>
      <x:c r="AM166" s="12" t="str">
        <x:v>Valid</x:v>
      </x:c>
      <x:c r="AN166" s="12" t="str">
        <x:v>Include in completed sales</x:v>
      </x:c>
      <x:c r="AO166" s="12" t="str">
        <x:v>Not a refunded record</x:v>
      </x:c>
      <x:c r="AP166" s="37" t="n">
        <x:f>IF(LEFT($AM166,7)="Invalid","",IF($AM166="Missing discount imputed as 0",IF(AND(COUNT($O166,$P166,$R166,$S166)=4,$O166&gt;0,$P166&gt;=0,$R166&gt;=0,$S166&gt;=0),0,""),IF(AND(ISNUMBER($Q166),$Q166&gt;=0,$Q166&lt;=0.5),$Q166,"")))</x:f>
        <x:v>0.25</x:v>
      </x:c>
      <x:c r="AQ166" s="152" t="n">
        <x:f>IF(OR($W166="",NOT(ISNUMBER($R166))),"",ROUND($R166-$W166,2))</x:f>
        <x:v>0</x:v>
      </x:c>
      <x:c r="AR166" s="152" t="n">
        <x:f>IF(OR($X166="",NOT(ISNUMBER($T166))),"",ROUND($T166-$X166,2))</x:f>
        <x:v>0</x:v>
      </x:c>
      <x:c r="AS166" s="14" t="str">
        <x:v>OK</x:v>
      </x:c>
    </x:row>
    <x:row r="167">
      <x:c r="A167" s="80" t="n">
        <x:v>167</x:v>
      </x:c>
      <x:c r="B167" s="80" t="str">
        <x:v>ORD-2024-10166</x:v>
      </x:c>
      <x:c r="C167" s="81" t="n">
        <x:v>45618</x:v>
      </x:c>
      <x:c r="D167" s="81" t="n">
        <x:v>45625</x:v>
      </x:c>
      <x:c r="E167" s="80" t="str">
        <x:v>CUST-4598</x:v>
      </x:c>
      <x:c r="F167" s="80" t="str">
        <x:v>Mira Das</x:v>
      </x:c>
      <x:c r="G167" s="80" t="str">
        <x:v>Home Office</x:v>
      </x:c>
      <x:c r="H167" s="80" t="str">
        <x:v>East</x:v>
      </x:c>
      <x:c r="I167" s="80" t="str">
        <x:v>Bihar</x:v>
      </x:c>
      <x:c r="J167" s="80" t="str">
        <x:v>Patna</x:v>
      </x:c>
      <x:c r="K167" s="80" t="str">
        <x:v>Furniture</x:v>
      </x:c>
      <x:c r="L167" s="80" t="str">
        <x:v>Chairs</x:v>
      </x:c>
      <x:c r="M167" s="80" t="str">
        <x:v>Max Chairs 148</x:v>
      </x:c>
      <x:c r="N167" s="80" t="str">
        <x:v>Standard Class</x:v>
      </x:c>
      <x:c r="O167" s="82" t="n">
        <x:v>4</x:v>
      </x:c>
      <x:c r="P167" s="83" t="n">
        <x:v>3422.99</x:v>
      </x:c>
      <x:c r="Q167" s="84" t="n">
        <x:v>0.25</x:v>
      </x:c>
      <x:c r="R167" s="83" t="n">
        <x:v>10268.97</x:v>
      </x:c>
      <x:c r="S167" s="83" t="n">
        <x:v>6470.92</x:v>
      </x:c>
      <x:c r="T167" s="83" t="n">
        <x:v>3798.05</x:v>
      </x:c>
      <x:c r="U167" s="83" t="str">
        <x:v>Paid</x:v>
      </x:c>
      <x:c r="V167" s="83" t="str">
        <x:v>Completed</x:v>
      </x:c>
      <x:c r="W167" s="151" t="n">
        <x:f>IF(OR(NOT(ISNUMBER($AP167)),COUNT($O167,$P167)&lt;2,$O167&lt;=0,$P167&lt;0),"",ROUND($O167*$P167*(1-$AP167),2))</x:f>
        <x:v>10268.97</x:v>
      </x:c>
      <x:c r="X167" s="151" t="n">
        <x:f>IF(OR(NOT(ISNUMBER($W167)),NOT(ISNUMBER($S167))),"",ROUND($W167-$S167,2))</x:f>
        <x:v>3798.05</x:v>
      </x:c>
      <x:c r="Y167" s="85" t="n">
        <x:f>IF(OR(NOT(ISNUMBER($W167)),NOT(ISNUMBER($X167)),$W167=0),"",ROUND($X167/$W167,4))</x:f>
        <x:v>0.3699</x:v>
      </x:c>
      <x:c r="Z167" s="82" t="n">
        <x:f>IF(OR($AH167&lt;&gt;"Valid",$AI167&lt;&gt;"Valid"),"",INT($D167-$C167))</x:f>
        <x:v>7</x:v>
      </x:c>
      <x:c r="AA167" s="86" t="str">
        <x:f>IF($AH167&lt;&gt;"Valid","",TEXT($C167,"mmmm"))</x:f>
        <x:v>November</x:v>
      </x:c>
      <x:c r="AB167" s="82" t="n">
        <x:f>IF($AH167&lt;&gt;"Valid","",YEAR($C167))</x:f>
        <x:v>2024</x:v>
      </x:c>
      <x:c r="AC167" s="80" t="str">
        <x:v>Consistent</x:v>
      </x:c>
      <x:c r="AD167" s="80" t="str">
        <x:v>Eligible</x:v>
      </x:c>
      <x:c r="AE167" s="80" t="str">
        <x:f>IF(OR($AH167&lt;&gt;"Valid",$AI167&lt;&gt;"Valid",$AJ167&lt;&gt;"Valid",LEFT($AM167,7)="Invalid",IFERROR(ABS($AQ167)&gt;0.01,FALSE),IFERROR(ABS($AR167)&gt;0.01,FALSE),COUNTIF($AS167,"*Conflicting duplicate*")&gt;0,COUNTIF($AS167,"*Completed order not paid*")&gt;0),"Invalid",IF(OR($H167="Unknown",$N167="Unknown",$AM167="Missing discount imputed as 0"),"Warning","Clean"))</x:f>
        <x:v>Clean</x:v>
      </x:c>
      <x:c r="AF167" s="80" t="str">
        <x:v>Pass</x:v>
      </x:c>
      <x:c r="AG167" s="80" t="str">
        <x:v>No text cleanup required</x:v>
      </x:c>
      <x:c r="AH167" s="12" t="str">
        <x:f>IF(C167="","Missing date",IF(ISNUMBER(C167),"Valid","Unrecognized/invalid date"))</x:f>
        <x:v>Valid</x:v>
      </x:c>
      <x:c r="AI167" s="12" t="str">
        <x:f>IF(D167="","Missing date",IF(ISNUMBER(D167),"Valid","Unrecognized/invalid date"))</x:f>
        <x:v>Valid</x:v>
      </x:c>
      <x:c r="AJ167" s="12" t="str">
        <x:v>Valid</x:v>
      </x:c>
      <x:c r="AK167" s="12" t="str">
        <x:v>Pass</x:v>
      </x:c>
      <x:c r="AL167" s="12" t="str">
        <x:v>None</x:v>
      </x:c>
      <x:c r="AM167" s="12" t="str">
        <x:v>Valid</x:v>
      </x:c>
      <x:c r="AN167" s="12" t="str">
        <x:v>Include in completed sales</x:v>
      </x:c>
      <x:c r="AO167" s="12" t="str">
        <x:v>Not a refunded record</x:v>
      </x:c>
      <x:c r="AP167" s="37" t="n">
        <x:f>IF(LEFT($AM167,7)="Invalid","",IF($AM167="Missing discount imputed as 0",IF(AND(COUNT($O167,$P167,$R167,$S167)=4,$O167&gt;0,$P167&gt;=0,$R167&gt;=0,$S167&gt;=0),0,""),IF(AND(ISNUMBER($Q167),$Q167&gt;=0,$Q167&lt;=0.5),$Q167,"")))</x:f>
        <x:v>0.25</x:v>
      </x:c>
      <x:c r="AQ167" s="152" t="n">
        <x:f>IF(OR($W167="",NOT(ISNUMBER($R167))),"",ROUND($R167-$W167,2))</x:f>
        <x:v>0</x:v>
      </x:c>
      <x:c r="AR167" s="152" t="n">
        <x:f>IF(OR($X167="",NOT(ISNUMBER($T167))),"",ROUND($T167-$X167,2))</x:f>
        <x:v>0</x:v>
      </x:c>
      <x:c r="AS167" s="14" t="str">
        <x:v>OK</x:v>
      </x:c>
    </x:row>
    <x:row r="168">
      <x:c r="A168" s="80" t="n">
        <x:v>168</x:v>
      </x:c>
      <x:c r="B168" s="80" t="str">
        <x:v>ORD-2025-10167</x:v>
      </x:c>
      <x:c r="C168" s="81" t="n">
        <x:v>45708</x:v>
      </x:c>
      <x:c r="D168" s="81" t="n">
        <x:v>45714</x:v>
      </x:c>
      <x:c r="E168" s="80" t="str">
        <x:v>CUST-7215</x:v>
      </x:c>
      <x:c r="F168" s="80" t="str">
        <x:v>Karan Malhotra</x:v>
      </x:c>
      <x:c r="G168" s="80" t="str">
        <x:v>Small Business</x:v>
      </x:c>
      <x:c r="H168" s="80" t="str">
        <x:v>West</x:v>
      </x:c>
      <x:c r="I168" s="80" t="str">
        <x:v>Gujarat</x:v>
      </x:c>
      <x:c r="J168" s="80" t="str">
        <x:v>Ahmedabad</x:v>
      </x:c>
      <x:c r="K168" s="80" t="str">
        <x:v>Office Supplies</x:v>
      </x:c>
      <x:c r="L168" s="80" t="str">
        <x:v>Labels</x:v>
      </x:c>
      <x:c r="M168" s="80" t="str">
        <x:v>Basic Labels 671</x:v>
      </x:c>
      <x:c r="N168" s="80" t="str">
        <x:v>First Class</x:v>
      </x:c>
      <x:c r="O168" s="82" t="n">
        <x:v>1</x:v>
      </x:c>
      <x:c r="P168" s="83" t="n">
        <x:v>2557.85</x:v>
      </x:c>
      <x:c r="Q168" s="84" t="n">
        <x:v>0.2</x:v>
      </x:c>
      <x:c r="R168" s="83" t="n">
        <x:v>2046.28</x:v>
      </x:c>
      <x:c r="S168" s="83" t="n">
        <x:v>1449.54</x:v>
      </x:c>
      <x:c r="T168" s="83" t="n">
        <x:v>596.74</x:v>
      </x:c>
      <x:c r="U168" s="83" t="str">
        <x:v>Paid</x:v>
      </x:c>
      <x:c r="V168" s="83" t="str">
        <x:v>Completed</x:v>
      </x:c>
      <x:c r="W168" s="151" t="n">
        <x:f>IF(OR(NOT(ISNUMBER($AP168)),COUNT($O168,$P168)&lt;2,$O168&lt;=0,$P168&lt;0),"",ROUND($O168*$P168*(1-$AP168),2))</x:f>
        <x:v>2046.28</x:v>
      </x:c>
      <x:c r="X168" s="151" t="n">
        <x:f>IF(OR(NOT(ISNUMBER($W168)),NOT(ISNUMBER($S168))),"",ROUND($W168-$S168,2))</x:f>
        <x:v>596.74</x:v>
      </x:c>
      <x:c r="Y168" s="85" t="n">
        <x:f>IF(OR(NOT(ISNUMBER($W168)),NOT(ISNUMBER($X168)),$W168=0),"",ROUND($X168/$W168,4))</x:f>
        <x:v>0.2916</x:v>
      </x:c>
      <x:c r="Z168" s="82" t="n">
        <x:f>IF(OR($AH168&lt;&gt;"Valid",$AI168&lt;&gt;"Valid"),"",INT($D168-$C168))</x:f>
        <x:v>6</x:v>
      </x:c>
      <x:c r="AA168" s="86" t="str">
        <x:f>IF($AH168&lt;&gt;"Valid","",TEXT($C168,"mmmm"))</x:f>
        <x:v>February</x:v>
      </x:c>
      <x:c r="AB168" s="82" t="n">
        <x:f>IF($AH168&lt;&gt;"Valid","",YEAR($C168))</x:f>
        <x:v>2025</x:v>
      </x:c>
      <x:c r="AC168" s="80" t="str">
        <x:v>Consistent</x:v>
      </x:c>
      <x:c r="AD168" s="80" t="str">
        <x:v>Eligible</x:v>
      </x:c>
      <x:c r="AE168" s="80" t="str">
        <x:f>IF(OR($AH168&lt;&gt;"Valid",$AI168&lt;&gt;"Valid",$AJ168&lt;&gt;"Valid",LEFT($AM168,7)="Invalid",IFERROR(ABS($AQ168)&gt;0.01,FALSE),IFERROR(ABS($AR168)&gt;0.01,FALSE),COUNTIF($AS168,"*Conflicting duplicate*")&gt;0,COUNTIF($AS168,"*Completed order not paid*")&gt;0),"Invalid",IF(OR($H168="Unknown",$N168="Unknown",$AM168="Missing discount imputed as 0"),"Warning","Clean"))</x:f>
        <x:v>Clean</x:v>
      </x:c>
      <x:c r="AF168" s="80" t="str">
        <x:v>Cleaned</x:v>
      </x:c>
      <x:c r="AG168" s="80" t="str">
        <x:v>category: Case standardization</x:v>
      </x:c>
      <x:c r="AH168" s="12" t="str">
        <x:f>IF(C168="","Missing date",IF(ISNUMBER(C168),"Valid","Unrecognized/invalid date"))</x:f>
        <x:v>Valid</x:v>
      </x:c>
      <x:c r="AI168" s="12" t="str">
        <x:f>IF(D168="","Missing date",IF(ISNUMBER(D168),"Valid","Unrecognized/invalid date"))</x:f>
        <x:v>Valid</x:v>
      </x:c>
      <x:c r="AJ168" s="12" t="str">
        <x:v>Valid</x:v>
      </x:c>
      <x:c r="AK168" s="12" t="str">
        <x:v>Pass</x:v>
      </x:c>
      <x:c r="AL168" s="12" t="str">
        <x:v>None</x:v>
      </x:c>
      <x:c r="AM168" s="12" t="str">
        <x:v>Valid</x:v>
      </x:c>
      <x:c r="AN168" s="12" t="str">
        <x:v>Include in completed sales</x:v>
      </x:c>
      <x:c r="AO168" s="12" t="str">
        <x:v>Not a refunded record</x:v>
      </x:c>
      <x:c r="AP168" s="37" t="n">
        <x:f>IF(LEFT($AM168,7)="Invalid","",IF($AM168="Missing discount imputed as 0",IF(AND(COUNT($O168,$P168,$R168,$S168)=4,$O168&gt;0,$P168&gt;=0,$R168&gt;=0,$S168&gt;=0),0,""),IF(AND(ISNUMBER($Q168),$Q168&gt;=0,$Q168&lt;=0.5),$Q168,"")))</x:f>
        <x:v>0.2</x:v>
      </x:c>
      <x:c r="AQ168" s="152" t="n">
        <x:f>IF(OR($W168="",NOT(ISNUMBER($R168))),"",ROUND($R168-$W168,2))</x:f>
        <x:v>0</x:v>
      </x:c>
      <x:c r="AR168" s="152" t="n">
        <x:f>IF(OR($X168="",NOT(ISNUMBER($T168))),"",ROUND($T168-$X168,2))</x:f>
        <x:v>0</x:v>
      </x:c>
      <x:c r="AS168" s="14" t="str">
        <x:v>OK</x:v>
      </x:c>
    </x:row>
    <x:row r="169">
      <x:c r="A169" s="80" t="n">
        <x:v>169</x:v>
      </x:c>
      <x:c r="B169" s="80" t="str">
        <x:v>ORD-2025-10168</x:v>
      </x:c>
      <x:c r="C169" s="81" t="n">
        <x:v>45887</x:v>
      </x:c>
      <x:c r="D169" s="81" t="n">
        <x:v>45887</x:v>
      </x:c>
      <x:c r="E169" s="80" t="str">
        <x:v>CUST-7770</x:v>
      </x:c>
      <x:c r="F169" s="80" t="str">
        <x:v>Arjun Bose</x:v>
      </x:c>
      <x:c r="G169" s="80" t="str">
        <x:v>Home Office</x:v>
      </x:c>
      <x:c r="H169" s="80" t="str">
        <x:v>South</x:v>
      </x:c>
      <x:c r="I169" s="80" t="str">
        <x:v>Karnataka</x:v>
      </x:c>
      <x:c r="J169" s="80" t="str">
        <x:v>Bengaluru</x:v>
      </x:c>
      <x:c r="K169" s="80" t="str">
        <x:v>Office Supplies</x:v>
      </x:c>
      <x:c r="L169" s="80" t="str">
        <x:v>Storage</x:v>
      </x:c>
      <x:c r="M169" s="80" t="str">
        <x:v>Elite Storage 628</x:v>
      </x:c>
      <x:c r="N169" s="80" t="str">
        <x:v>First Class</x:v>
      </x:c>
      <x:c r="O169" s="82" t="n">
        <x:v>9</x:v>
      </x:c>
      <x:c r="P169" s="83" t="n">
        <x:v>3030.93</x:v>
      </x:c>
      <x:c r="Q169" s="84" t="n">
        <x:v>0.15</x:v>
      </x:c>
      <x:c r="R169" s="83" t="n">
        <x:v>23186.61</x:v>
      </x:c>
      <x:c r="S169" s="83" t="n">
        <x:v>17906.54</x:v>
      </x:c>
      <x:c r="T169" s="83" t="n">
        <x:v>5280.07</x:v>
      </x:c>
      <x:c r="U169" s="83" t="str">
        <x:v>Paid</x:v>
      </x:c>
      <x:c r="V169" s="83" t="str">
        <x:v>Returned</x:v>
      </x:c>
      <x:c r="W169" s="151" t="n">
        <x:f>IF(OR(NOT(ISNUMBER($AP169)),COUNT($O169,$P169)&lt;2,$O169&lt;=0,$P169&lt;0),"",ROUND($O169*$P169*(1-$AP169),2))</x:f>
        <x:v>23186.61</x:v>
      </x:c>
      <x:c r="X169" s="151" t="n">
        <x:f>IF(OR(NOT(ISNUMBER($W169)),NOT(ISNUMBER($S169))),"",ROUND($W169-$S169,2))</x:f>
        <x:v>5280.07</x:v>
      </x:c>
      <x:c r="Y169" s="85" t="n">
        <x:f>IF(OR(NOT(ISNUMBER($W169)),NOT(ISNUMBER($X169)),$W169=0),"",ROUND($X169/$W169,4))</x:f>
        <x:v>0.2277</x:v>
      </x:c>
      <x:c r="Z169" s="82" t="n">
        <x:f>IF(OR($AH169&lt;&gt;"Valid",$AI169&lt;&gt;"Valid"),"",INT($D169-$C169))</x:f>
        <x:v>0</x:v>
      </x:c>
      <x:c r="AA169" s="86" t="str">
        <x:f>IF($AH169&lt;&gt;"Valid","",TEXT($C169,"mmmm"))</x:f>
        <x:v>August</x:v>
      </x:c>
      <x:c r="AB169" s="82" t="n">
        <x:f>IF($AH169&lt;&gt;"Valid","",YEAR($C169))</x:f>
        <x:v>2025</x:v>
      </x:c>
      <x:c r="AC169" s="80" t="str">
        <x:v>Consistent</x:v>
      </x:c>
      <x:c r="AD169" s="80" t="str">
        <x:v>Excluded</x:v>
      </x:c>
      <x:c r="AE169" s="80" t="str">
        <x:f>IF(OR($AH169&lt;&gt;"Valid",$AI169&lt;&gt;"Valid",$AJ169&lt;&gt;"Valid",LEFT($AM169,7)="Invalid",IFERROR(ABS($AQ169)&gt;0.01,FALSE),IFERROR(ABS($AR169)&gt;0.01,FALSE),COUNTIF($AS169,"*Conflicting duplicate*")&gt;0,COUNTIF($AS169,"*Completed order not paid*")&gt;0),"Invalid",IF(OR($H169="Unknown",$N169="Unknown",$AM169="Missing discount imputed as 0"),"Warning","Clean"))</x:f>
        <x:v>Clean</x:v>
      </x:c>
      <x:c r="AF169" s="80" t="str">
        <x:v>Pass</x:v>
      </x:c>
      <x:c r="AG169" s="80" t="str">
        <x:v>No text cleanup required</x:v>
      </x:c>
      <x:c r="AH169" s="12" t="str">
        <x:f>IF(C169="","Missing date",IF(ISNUMBER(C169),"Valid","Unrecognized/invalid date"))</x:f>
        <x:v>Valid</x:v>
      </x:c>
      <x:c r="AI169" s="12" t="str">
        <x:f>IF(D169="","Missing date",IF(ISNUMBER(D169),"Valid","Unrecognized/invalid date"))</x:f>
        <x:v>Valid</x:v>
      </x:c>
      <x:c r="AJ169" s="12" t="str">
        <x:v>Valid</x:v>
      </x:c>
      <x:c r="AK169" s="12" t="str">
        <x:v>Pass</x:v>
      </x:c>
      <x:c r="AL169" s="12" t="str">
        <x:v>None</x:v>
      </x:c>
      <x:c r="AM169" s="12" t="str">
        <x:v>Valid</x:v>
      </x:c>
      <x:c r="AN169" s="12" t="str">
        <x:v>Exclude from completed sales</x:v>
      </x:c>
      <x:c r="AO169" s="12" t="str">
        <x:v>Not a refunded record</x:v>
      </x:c>
      <x:c r="AP169" s="37" t="n">
        <x:f>IF(LEFT($AM169,7)="Invalid","",IF($AM169="Missing discount imputed as 0",IF(AND(COUNT($O169,$P169,$R169,$S169)=4,$O169&gt;0,$P169&gt;=0,$R169&gt;=0,$S169&gt;=0),0,""),IF(AND(ISNUMBER($Q169),$Q169&gt;=0,$Q169&lt;=0.5),$Q169,"")))</x:f>
        <x:v>0.15</x:v>
      </x:c>
      <x:c r="AQ169" s="152" t="n">
        <x:f>IF(OR($W169="",NOT(ISNUMBER($R169))),"",ROUND($R169-$W169,2))</x:f>
        <x:v>0</x:v>
      </x:c>
      <x:c r="AR169" s="152" t="n">
        <x:f>IF(OR($X169="",NOT(ISNUMBER($T169))),"",ROUND($T169-$X169,2))</x:f>
        <x:v>0</x:v>
      </x:c>
      <x:c r="AS169" s="14" t="str">
        <x:v>OK</x:v>
      </x:c>
    </x:row>
    <x:row r="170">
      <x:c r="A170" s="80" t="n">
        <x:v>170</x:v>
      </x:c>
      <x:c r="B170" s="80" t="str">
        <x:v>ORD-2025-10169</x:v>
      </x:c>
      <x:c r="C170" s="81" t="n">
        <x:v>45677</x:v>
      </x:c>
      <x:c r="D170" s="81" t="n">
        <x:v>45680</x:v>
      </x:c>
      <x:c r="E170" s="80" t="str">
        <x:v>CUST-9756</x:v>
      </x:c>
      <x:c r="F170" s="80" t="str">
        <x:v>Kabir Singh</x:v>
      </x:c>
      <x:c r="G170" s="80" t="str">
        <x:v>Consumer</x:v>
      </x:c>
      <x:c r="H170" s="80" t="str">
        <x:v>West</x:v>
      </x:c>
      <x:c r="I170" s="80" t="str">
        <x:v>Maharashtra</x:v>
      </x:c>
      <x:c r="J170" s="80" t="str">
        <x:v>Mumbai</x:v>
      </x:c>
      <x:c r="K170" s="80" t="str">
        <x:v>Technology</x:v>
      </x:c>
      <x:c r="L170" s="80" t="str">
        <x:v>Accessories</x:v>
      </x:c>
      <x:c r="M170" s="80" t="str">
        <x:v>Eco Accessories 590</x:v>
      </x:c>
      <x:c r="N170" s="80" t="str">
        <x:v>Same Day</x:v>
      </x:c>
      <x:c r="O170" s="82" t="n">
        <x:v>5</x:v>
      </x:c>
      <x:c r="P170" s="83" t="n">
        <x:v>639.27</x:v>
      </x:c>
      <x:c r="Q170" s="84" t="n">
        <x:v>0.2</x:v>
      </x:c>
      <x:c r="R170" s="83" t="n">
        <x:v>2557.08</x:v>
      </x:c>
      <x:c r="S170" s="83" t="n">
        <x:v>2025.69</x:v>
      </x:c>
      <x:c r="T170" s="83" t="n">
        <x:v>531.39</x:v>
      </x:c>
      <x:c r="U170" s="83" t="str">
        <x:v>Paid</x:v>
      </x:c>
      <x:c r="V170" s="83" t="str">
        <x:v>Cancelled</x:v>
      </x:c>
      <x:c r="W170" s="151" t="n">
        <x:f>IF(OR(NOT(ISNUMBER($AP170)),COUNT($O170,$P170)&lt;2,$O170&lt;=0,$P170&lt;0),"",ROUND($O170*$P170*(1-$AP170),2))</x:f>
        <x:v>2557.08</x:v>
      </x:c>
      <x:c r="X170" s="151" t="n">
        <x:f>IF(OR(NOT(ISNUMBER($W170)),NOT(ISNUMBER($S170))),"",ROUND($W170-$S170,2))</x:f>
        <x:v>531.39</x:v>
      </x:c>
      <x:c r="Y170" s="85" t="n">
        <x:f>IF(OR(NOT(ISNUMBER($W170)),NOT(ISNUMBER($X170)),$W170=0),"",ROUND($X170/$W170,4))</x:f>
        <x:v>0.2078</x:v>
      </x:c>
      <x:c r="Z170" s="82" t="n">
        <x:f>IF(OR($AH170&lt;&gt;"Valid",$AI170&lt;&gt;"Valid"),"",INT($D170-$C170))</x:f>
        <x:v>3</x:v>
      </x:c>
      <x:c r="AA170" s="86" t="str">
        <x:f>IF($AH170&lt;&gt;"Valid","",TEXT($C170,"mmmm"))</x:f>
        <x:v>January</x:v>
      </x:c>
      <x:c r="AB170" s="82" t="n">
        <x:f>IF($AH170&lt;&gt;"Valid","",YEAR($C170))</x:f>
        <x:v>2025</x:v>
      </x:c>
      <x:c r="AC170" s="80" t="str">
        <x:v>Cancelled (excluded from completed-sales summary)</x:v>
      </x:c>
      <x:c r="AD170" s="80" t="str">
        <x:v>Excluded</x:v>
      </x:c>
      <x:c r="AE170" s="80" t="str">
        <x:f>IF(OR($AH170&lt;&gt;"Valid",$AI170&lt;&gt;"Valid",$AJ170&lt;&gt;"Valid",LEFT($AM170,7)="Invalid",IFERROR(ABS($AQ170)&gt;0.01,FALSE),IFERROR(ABS($AR170)&gt;0.01,FALSE),COUNTIF($AS170,"*Conflicting duplicate*")&gt;0,COUNTIF($AS170,"*Completed order not paid*")&gt;0),"Invalid",IF(OR($H170="Unknown",$N170="Unknown",$AM170="Missing discount imputed as 0"),"Warning","Clean"))</x:f>
        <x:v>Clean</x:v>
      </x:c>
      <x:c r="AF170" s="80" t="str">
        <x:v>Pass</x:v>
      </x:c>
      <x:c r="AG170" s="80" t="str">
        <x:v>No text cleanup required</x:v>
      </x:c>
      <x:c r="AH170" s="12" t="str">
        <x:f>IF(C170="","Missing date",IF(ISNUMBER(C170),"Valid","Unrecognized/invalid date"))</x:f>
        <x:v>Valid</x:v>
      </x:c>
      <x:c r="AI170" s="12" t="str">
        <x:f>IF(D170="","Missing date",IF(ISNUMBER(D170),"Valid","Unrecognized/invalid date"))</x:f>
        <x:v>Valid</x:v>
      </x:c>
      <x:c r="AJ170" s="12" t="str">
        <x:v>Valid</x:v>
      </x:c>
      <x:c r="AK170" s="12" t="str">
        <x:v>Pass</x:v>
      </x:c>
      <x:c r="AL170" s="12" t="str">
        <x:v>Cancelled order – excluded from completed sales</x:v>
      </x:c>
      <x:c r="AM170" s="12" t="str">
        <x:v>Valid</x:v>
      </x:c>
      <x:c r="AN170" s="12" t="str">
        <x:v>Exclude from completed sales</x:v>
      </x:c>
      <x:c r="AO170" s="12" t="str">
        <x:v>Not a refunded record</x:v>
      </x:c>
      <x:c r="AP170" s="37" t="n">
        <x:f>IF(LEFT($AM170,7)="Invalid","",IF($AM170="Missing discount imputed as 0",IF(AND(COUNT($O170,$P170,$R170,$S170)=4,$O170&gt;0,$P170&gt;=0,$R170&gt;=0,$S170&gt;=0),0,""),IF(AND(ISNUMBER($Q170),$Q170&gt;=0,$Q170&lt;=0.5),$Q170,"")))</x:f>
        <x:v>0.2</x:v>
      </x:c>
      <x:c r="AQ170" s="152" t="n">
        <x:f>IF(OR($W170="",NOT(ISNUMBER($R170))),"",ROUND($R170-$W170,2))</x:f>
        <x:v>0</x:v>
      </x:c>
      <x:c r="AR170" s="152" t="n">
        <x:f>IF(OR($X170="",NOT(ISNUMBER($T170))),"",ROUND($T170-$X170,2))</x:f>
        <x:v>0</x:v>
      </x:c>
      <x:c r="AS170" s="14" t="str">
        <x:v>OK</x:v>
      </x:c>
    </x:row>
    <x:row r="171">
      <x:c r="A171" s="80" t="n">
        <x:v>171</x:v>
      </x:c>
      <x:c r="B171" s="80" t="str">
        <x:v>ORD-2025-10170</x:v>
      </x:c>
      <x:c r="C171" s="81" t="n">
        <x:v>45913</x:v>
      </x:c>
      <x:c r="D171" s="81" t="n">
        <x:v>45913</x:v>
      </x:c>
      <x:c r="E171" s="80" t="str">
        <x:v>CUST-2261</x:v>
      </x:c>
      <x:c r="F171" s="80" t="str">
        <x:v>Diya Patel</x:v>
      </x:c>
      <x:c r="G171" s="80" t="str">
        <x:v>Consumer</x:v>
      </x:c>
      <x:c r="H171" s="80" t="str">
        <x:v>East</x:v>
      </x:c>
      <x:c r="I171" s="80" t="str">
        <x:v>Assam</x:v>
      </x:c>
      <x:c r="J171" s="80" t="str">
        <x:v>Guwahati</x:v>
      </x:c>
      <x:c r="K171" s="80" t="str">
        <x:v>Office Supplies</x:v>
      </x:c>
      <x:c r="L171" s="80" t="str">
        <x:v>Art</x:v>
      </x:c>
      <x:c r="M171" s="80" t="str">
        <x:v>Pro Art 734</x:v>
      </x:c>
      <x:c r="N171" s="80" t="str">
        <x:v>Standard Class</x:v>
      </x:c>
      <x:c r="O171" s="82" t="n">
        <x:v>8</x:v>
      </x:c>
      <x:c r="P171" s="83" t="n">
        <x:v>733.9</x:v>
      </x:c>
      <x:c r="Q171" s="84" t="n">
        <x:v>0.05</x:v>
      </x:c>
      <x:c r="R171" s="83" t="n">
        <x:v>5577.64</x:v>
      </x:c>
      <x:c r="S171" s="83" t="n">
        <x:v>3541.29</x:v>
      </x:c>
      <x:c r="T171" s="83" t="n">
        <x:v>2036.35</x:v>
      </x:c>
      <x:c r="U171" s="83" t="str">
        <x:v>Pending</x:v>
      </x:c>
      <x:c r="V171" s="83" t="str">
        <x:v>Returned</x:v>
      </x:c>
      <x:c r="W171" s="151" t="n">
        <x:f>IF(OR(NOT(ISNUMBER($AP171)),COUNT($O171,$P171)&lt;2,$O171&lt;=0,$P171&lt;0),"",ROUND($O171*$P171*(1-$AP171),2))</x:f>
        <x:v>5577.64</x:v>
      </x:c>
      <x:c r="X171" s="151" t="n">
        <x:f>IF(OR(NOT(ISNUMBER($W171)),NOT(ISNUMBER($S171))),"",ROUND($W171-$S171,2))</x:f>
        <x:v>2036.35</x:v>
      </x:c>
      <x:c r="Y171" s="85" t="n">
        <x:f>IF(OR(NOT(ISNUMBER($W171)),NOT(ISNUMBER($X171)),$W171=0),"",ROUND($X171/$W171,4))</x:f>
        <x:v>0.3651</x:v>
      </x:c>
      <x:c r="Z171" s="82" t="n">
        <x:f>IF(OR($AH171&lt;&gt;"Valid",$AI171&lt;&gt;"Valid"),"",INT($D171-$C171))</x:f>
        <x:v>0</x:v>
      </x:c>
      <x:c r="AA171" s="86" t="str">
        <x:f>IF($AH171&lt;&gt;"Valid","",TEXT($C171,"mmmm"))</x:f>
        <x:v>September</x:v>
      </x:c>
      <x:c r="AB171" s="82" t="n">
        <x:f>IF($AH171&lt;&gt;"Valid","",YEAR($C171))</x:f>
        <x:v>2025</x:v>
      </x:c>
      <x:c r="AC171" s="80" t="str">
        <x:v>Consistent</x:v>
      </x:c>
      <x:c r="AD171" s="80" t="str">
        <x:v>Excluded</x:v>
      </x:c>
      <x:c r="AE171" s="80" t="str">
        <x:f>IF(OR($AH171&lt;&gt;"Valid",$AI171&lt;&gt;"Valid",$AJ171&lt;&gt;"Valid",LEFT($AM171,7)="Invalid",IFERROR(ABS($AQ171)&gt;0.01,FALSE),IFERROR(ABS($AR171)&gt;0.01,FALSE),COUNTIF($AS171,"*Conflicting duplicate*")&gt;0,COUNTIF($AS171,"*Completed order not paid*")&gt;0),"Invalid",IF(OR($H171="Unknown",$N171="Unknown",$AM171="Missing discount imputed as 0"),"Warning","Clean"))</x:f>
        <x:v>Clean</x:v>
      </x:c>
      <x:c r="AF171" s="80" t="str">
        <x:v>Pass</x:v>
      </x:c>
      <x:c r="AG171" s="80" t="str">
        <x:v>No text cleanup required</x:v>
      </x:c>
      <x:c r="AH171" s="12" t="str">
        <x:f>IF(C171="","Missing date",IF(ISNUMBER(C171),"Valid","Unrecognized/invalid date"))</x:f>
        <x:v>Valid</x:v>
      </x:c>
      <x:c r="AI171" s="12" t="str">
        <x:f>IF(D171="","Missing date",IF(ISNUMBER(D171),"Valid","Unrecognized/invalid date"))</x:f>
        <x:v>Valid</x:v>
      </x:c>
      <x:c r="AJ171" s="12" t="str">
        <x:v>Valid</x:v>
      </x:c>
      <x:c r="AK171" s="12" t="str">
        <x:v>Pass</x:v>
      </x:c>
      <x:c r="AL171" s="12" t="str">
        <x:v>None</x:v>
      </x:c>
      <x:c r="AM171" s="12" t="str">
        <x:v>Valid</x:v>
      </x:c>
      <x:c r="AN171" s="12" t="str">
        <x:v>Exclude from completed sales</x:v>
      </x:c>
      <x:c r="AO171" s="12" t="str">
        <x:v>Not a refunded record</x:v>
      </x:c>
      <x:c r="AP171" s="37" t="n">
        <x:f>IF(LEFT($AM171,7)="Invalid","",IF($AM171="Missing discount imputed as 0",IF(AND(COUNT($O171,$P171,$R171,$S171)=4,$O171&gt;0,$P171&gt;=0,$R171&gt;=0,$S171&gt;=0),0,""),IF(AND(ISNUMBER($Q171),$Q171&gt;=0,$Q171&lt;=0.5),$Q171,"")))</x:f>
        <x:v>0.05</x:v>
      </x:c>
      <x:c r="AQ171" s="152" t="n">
        <x:f>IF(OR($W171="",NOT(ISNUMBER($R171))),"",ROUND($R171-$W171,2))</x:f>
        <x:v>0</x:v>
      </x:c>
      <x:c r="AR171" s="152" t="n">
        <x:f>IF(OR($X171="",NOT(ISNUMBER($T171))),"",ROUND($T171-$X171,2))</x:f>
        <x:v>0</x:v>
      </x:c>
      <x:c r="AS171" s="14" t="str">
        <x:v>OK</x:v>
      </x:c>
    </x:row>
    <x:row r="172">
      <x:c r="A172" s="80" t="n">
        <x:v>172</x:v>
      </x:c>
      <x:c r="B172" s="80" t="str">
        <x:v>ORD-2025-10171</x:v>
      </x:c>
      <x:c r="C172" s="81" t="n">
        <x:v>45907</x:v>
      </x:c>
      <x:c r="D172" s="81" t="n">
        <x:v>45915</x:v>
      </x:c>
      <x:c r="E172" s="80" t="str">
        <x:v>CUST-3734</x:v>
      </x:c>
      <x:c r="F172" s="80" t="str">
        <x:v>Rohan Mehta</x:v>
      </x:c>
      <x:c r="G172" s="80" t="str">
        <x:v>Corporate</x:v>
      </x:c>
      <x:c r="H172" s="80" t="str">
        <x:v>East</x:v>
      </x:c>
      <x:c r="I172" s="80" t="str">
        <x:v>Bihar</x:v>
      </x:c>
      <x:c r="J172" s="80" t="str">
        <x:v>Patna</x:v>
      </x:c>
      <x:c r="K172" s="80" t="str">
        <x:v>Technology</x:v>
      </x:c>
      <x:c r="L172" s="80" t="str">
        <x:v>Copiers</x:v>
      </x:c>
      <x:c r="M172" s="80" t="str">
        <x:v>Eco Copiers 102</x:v>
      </x:c>
      <x:c r="N172" s="80" t="str">
        <x:v>Standard Class</x:v>
      </x:c>
      <x:c r="O172" s="82" t="n">
        <x:v>3</x:v>
      </x:c>
      <x:c r="P172" s="83" t="n">
        <x:v>1711.32</x:v>
      </x:c>
      <x:c r="Q172" s="84" t="n">
        <x:v>0</x:v>
      </x:c>
      <x:c r="R172" s="83" t="n">
        <x:v>5133.96</x:v>
      </x:c>
      <x:c r="S172" s="83" t="n">
        <x:v>3930</x:v>
      </x:c>
      <x:c r="T172" s="83" t="n">
        <x:v>1203.96</x:v>
      </x:c>
      <x:c r="U172" s="83" t="str">
        <x:v>Paid</x:v>
      </x:c>
      <x:c r="V172" s="83" t="str">
        <x:v>Completed</x:v>
      </x:c>
      <x:c r="W172" s="151" t="n">
        <x:f>IF(OR(NOT(ISNUMBER($AP172)),COUNT($O172,$P172)&lt;2,$O172&lt;=0,$P172&lt;0),"",ROUND($O172*$P172*(1-$AP172),2))</x:f>
        <x:v>5133.96</x:v>
      </x:c>
      <x:c r="X172" s="151" t="n">
        <x:f>IF(OR(NOT(ISNUMBER($W172)),NOT(ISNUMBER($S172))),"",ROUND($W172-$S172,2))</x:f>
        <x:v>1203.96</x:v>
      </x:c>
      <x:c r="Y172" s="85" t="n">
        <x:f>IF(OR(NOT(ISNUMBER($W172)),NOT(ISNUMBER($X172)),$W172=0),"",ROUND($X172/$W172,4))</x:f>
        <x:v>0.2345</x:v>
      </x:c>
      <x:c r="Z172" s="82" t="n">
        <x:f>IF(OR($AH172&lt;&gt;"Valid",$AI172&lt;&gt;"Valid"),"",INT($D172-$C172))</x:f>
        <x:v>8</x:v>
      </x:c>
      <x:c r="AA172" s="86" t="str">
        <x:f>IF($AH172&lt;&gt;"Valid","",TEXT($C172,"mmmm"))</x:f>
        <x:v>September</x:v>
      </x:c>
      <x:c r="AB172" s="82" t="n">
        <x:f>IF($AH172&lt;&gt;"Valid","",YEAR($C172))</x:f>
        <x:v>2025</x:v>
      </x:c>
      <x:c r="AC172" s="80" t="str">
        <x:v>Consistent</x:v>
      </x:c>
      <x:c r="AD172" s="80" t="str">
        <x:v>Excluded</x:v>
      </x:c>
      <x:c r="AE172" s="80" t="str">
        <x:f>IF(OR($AH172&lt;&gt;"Valid",$AI172&lt;&gt;"Valid",$AJ172&lt;&gt;"Valid",LEFT($AM172,7)="Invalid",IFERROR(ABS($AQ172)&gt;0.01,FALSE),IFERROR(ABS($AR172)&gt;0.01,FALSE),COUNTIF($AS172,"*Conflicting duplicate*")&gt;0,COUNTIF($AS172,"*Completed order not paid*")&gt;0),"Invalid",IF(OR($H172="Unknown",$N172="Unknown",$AM172="Missing discount imputed as 0"),"Warning","Clean"))</x:f>
        <x:v>Clean</x:v>
      </x:c>
      <x:c r="AF172" s="80" t="str">
        <x:v>Review</x:v>
      </x:c>
      <x:c r="AG172" s="80" t="str">
        <x:v>No text cleanup required</x:v>
      </x:c>
      <x:c r="AH172" s="12" t="str">
        <x:f>IF(C172="","Missing date",IF(ISNUMBER(C172),"Valid","Unrecognized/invalid date"))</x:f>
        <x:v>Valid</x:v>
      </x:c>
      <x:c r="AI172" s="12" t="str">
        <x:f>IF(D172="","Missing date",IF(ISNUMBER(D172),"Valid","Unrecognized/invalid date"))</x:f>
        <x:v>Valid</x:v>
      </x:c>
      <x:c r="AJ172" s="12" t="str">
        <x:v>Valid</x:v>
      </x:c>
      <x:c r="AK172" s="12" t="str">
        <x:v>Pass</x:v>
      </x:c>
      <x:c r="AL172" s="12" t="str">
        <x:v>None</x:v>
      </x:c>
      <x:c r="AM172" s="12" t="str">
        <x:v>Valid</x:v>
      </x:c>
      <x:c r="AN172" s="12" t="str">
        <x:v>Exclude from completed sales</x:v>
      </x:c>
      <x:c r="AO172" s="12" t="str">
        <x:v>Not a refunded record</x:v>
      </x:c>
      <x:c r="AP172" s="37" t="n">
        <x:f>IF(LEFT($AM172,7)="Invalid","",IF($AM172="Missing discount imputed as 0",IF(AND(COUNT($O172,$P172,$R172,$S172)=4,$O172&gt;0,$P172&gt;=0,$R172&gt;=0,$S172&gt;=0),0,""),IF(AND(ISNUMBER($Q172),$Q172&gt;=0,$Q172&lt;=0.5),$Q172,"")))</x:f>
        <x:v>0</x:v>
      </x:c>
      <x:c r="AQ172" s="152" t="n">
        <x:f>IF(OR($W172="",NOT(ISNUMBER($R172))),"",ROUND($R172-$W172,2))</x:f>
        <x:v>0</x:v>
      </x:c>
      <x:c r="AR172" s="152" t="n">
        <x:f>IF(OR($X172="",NOT(ISNUMBER($T172))),"",ROUND($T172-$X172,2))</x:f>
        <x:v>0</x:v>
      </x:c>
      <x:c r="AS172" s="14" t="str">
        <x:v>Conflicting duplicate order ID</x:v>
      </x:c>
    </x:row>
    <x:row r="173">
      <x:c r="A173" s="80" t="n">
        <x:v>173</x:v>
      </x:c>
      <x:c r="B173" s="80" t="str">
        <x:v>ORD-2025-10172</x:v>
      </x:c>
      <x:c r="C173" s="81" t="n">
        <x:v>45711</x:v>
      </x:c>
      <x:c r="D173" s="81" t="n">
        <x:v>45713</x:v>
      </x:c>
      <x:c r="E173" s="80" t="str">
        <x:v>CUST-3436</x:v>
      </x:c>
      <x:c r="F173" s="80" t="str">
        <x:v>Karan Malhotra</x:v>
      </x:c>
      <x:c r="G173" s="80" t="str">
        <x:v>Corporate</x:v>
      </x:c>
      <x:c r="H173" s="80" t="str">
        <x:v>East</x:v>
      </x:c>
      <x:c r="I173" s="80" t="str">
        <x:v>Bihar</x:v>
      </x:c>
      <x:c r="J173" s="80" t="str">
        <x:v>Patna</x:v>
      </x:c>
      <x:c r="K173" s="80" t="str">
        <x:v>Office Supplies</x:v>
      </x:c>
      <x:c r="L173" s="80" t="str">
        <x:v>Labels</x:v>
      </x:c>
      <x:c r="M173" s="80" t="str">
        <x:v>Basic Labels 876</x:v>
      </x:c>
      <x:c r="N173" s="80" t="str">
        <x:v>Same Day</x:v>
      </x:c>
      <x:c r="O173" s="82" t="n">
        <x:v>5</x:v>
      </x:c>
      <x:c r="P173" s="83" t="n">
        <x:v>4246.27</x:v>
      </x:c>
      <x:c r="Q173" s="84" t="n">
        <x:v>0.25</x:v>
      </x:c>
      <x:c r="R173" s="83" t="n">
        <x:v>15923.51</x:v>
      </x:c>
      <x:c r="S173" s="83" t="n">
        <x:v>11291.8</x:v>
      </x:c>
      <x:c r="T173" s="83" t="n">
        <x:v>4631.71</x:v>
      </x:c>
      <x:c r="U173" s="83" t="str">
        <x:v>Paid</x:v>
      </x:c>
      <x:c r="V173" s="83" t="str">
        <x:v>Completed</x:v>
      </x:c>
      <x:c r="W173" s="151" t="n">
        <x:f>IF(OR(NOT(ISNUMBER($AP173)),COUNT($O173,$P173)&lt;2,$O173&lt;=0,$P173&lt;0),"",ROUND($O173*$P173*(1-$AP173),2))</x:f>
        <x:v>15923.51</x:v>
      </x:c>
      <x:c r="X173" s="151" t="n">
        <x:f>IF(OR(NOT(ISNUMBER($W173)),NOT(ISNUMBER($S173))),"",ROUND($W173-$S173,2))</x:f>
        <x:v>4631.71</x:v>
      </x:c>
      <x:c r="Y173" s="85" t="n">
        <x:f>IF(OR(NOT(ISNUMBER($W173)),NOT(ISNUMBER($X173)),$W173=0),"",ROUND($X173/$W173,4))</x:f>
        <x:v>0.2909</x:v>
      </x:c>
      <x:c r="Z173" s="82" t="n">
        <x:f>IF(OR($AH173&lt;&gt;"Valid",$AI173&lt;&gt;"Valid"),"",INT($D173-$C173))</x:f>
        <x:v>2</x:v>
      </x:c>
      <x:c r="AA173" s="86" t="str">
        <x:f>IF($AH173&lt;&gt;"Valid","",TEXT($C173,"mmmm"))</x:f>
        <x:v>February</x:v>
      </x:c>
      <x:c r="AB173" s="82" t="n">
        <x:f>IF($AH173&lt;&gt;"Valid","",YEAR($C173))</x:f>
        <x:v>2025</x:v>
      </x:c>
      <x:c r="AC173" s="80" t="str">
        <x:v>Consistent</x:v>
      </x:c>
      <x:c r="AD173" s="80" t="str">
        <x:v>Eligible</x:v>
      </x:c>
      <x:c r="AE173" s="80" t="str">
        <x:f>IF(OR($AH173&lt;&gt;"Valid",$AI173&lt;&gt;"Valid",$AJ173&lt;&gt;"Valid",LEFT($AM173,7)="Invalid",IFERROR(ABS($AQ173)&gt;0.01,FALSE),IFERROR(ABS($AR173)&gt;0.01,FALSE),COUNTIF($AS173,"*Conflicting duplicate*")&gt;0,COUNTIF($AS173,"*Completed order not paid*")&gt;0),"Invalid",IF(OR($H173="Unknown",$N173="Unknown",$AM173="Missing discount imputed as 0"),"Warning","Clean"))</x:f>
        <x:v>Clean</x:v>
      </x:c>
      <x:c r="AF173" s="80" t="str">
        <x:v>Pass</x:v>
      </x:c>
      <x:c r="AG173" s="80" t="str">
        <x:v>No text cleanup required</x:v>
      </x:c>
      <x:c r="AH173" s="12" t="str">
        <x:f>IF(C173="","Missing date",IF(ISNUMBER(C173),"Valid","Unrecognized/invalid date"))</x:f>
        <x:v>Valid</x:v>
      </x:c>
      <x:c r="AI173" s="12" t="str">
        <x:f>IF(D173="","Missing date",IF(ISNUMBER(D173),"Valid","Unrecognized/invalid date"))</x:f>
        <x:v>Valid</x:v>
      </x:c>
      <x:c r="AJ173" s="12" t="str">
        <x:v>Valid</x:v>
      </x:c>
      <x:c r="AK173" s="12" t="str">
        <x:v>Pass</x:v>
      </x:c>
      <x:c r="AL173" s="12" t="str">
        <x:v>None</x:v>
      </x:c>
      <x:c r="AM173" s="12" t="str">
        <x:v>Valid</x:v>
      </x:c>
      <x:c r="AN173" s="12" t="str">
        <x:v>Include in completed sales</x:v>
      </x:c>
      <x:c r="AO173" s="12" t="str">
        <x:v>Not a refunded record</x:v>
      </x:c>
      <x:c r="AP173" s="37" t="n">
        <x:f>IF(LEFT($AM173,7)="Invalid","",IF($AM173="Missing discount imputed as 0",IF(AND(COUNT($O173,$P173,$R173,$S173)=4,$O173&gt;0,$P173&gt;=0,$R173&gt;=0,$S173&gt;=0),0,""),IF(AND(ISNUMBER($Q173),$Q173&gt;=0,$Q173&lt;=0.5),$Q173,"")))</x:f>
        <x:v>0.25</x:v>
      </x:c>
      <x:c r="AQ173" s="152" t="n">
        <x:f>IF(OR($W173="",NOT(ISNUMBER($R173))),"",ROUND($R173-$W173,2))</x:f>
        <x:v>0</x:v>
      </x:c>
      <x:c r="AR173" s="152" t="n">
        <x:f>IF(OR($X173="",NOT(ISNUMBER($T173))),"",ROUND($T173-$X173,2))</x:f>
        <x:v>0</x:v>
      </x:c>
      <x:c r="AS173" s="14" t="str">
        <x:v>OK</x:v>
      </x:c>
    </x:row>
    <x:row r="174">
      <x:c r="A174" s="80" t="n">
        <x:v>174</x:v>
      </x:c>
      <x:c r="B174" s="80" t="str">
        <x:v>ORD-2025-10173</x:v>
      </x:c>
      <x:c r="C174" s="81" t="n">
        <x:v>45871</x:v>
      </x:c>
      <x:c r="D174" s="81" t="n">
        <x:v>45879</x:v>
      </x:c>
      <x:c r="E174" s="80" t="str">
        <x:v>CUST-4845</x:v>
      </x:c>
      <x:c r="F174" s="80" t="str">
        <x:v>Karan Malhotra</x:v>
      </x:c>
      <x:c r="G174" s="80" t="str">
        <x:v>Corporate</x:v>
      </x:c>
      <x:c r="H174" s="80" t="str">
        <x:v>North</x:v>
      </x:c>
      <x:c r="I174" s="80" t="str">
        <x:v>Delhi</x:v>
      </x:c>
      <x:c r="J174" s="80" t="str">
        <x:v>New Delhi</x:v>
      </x:c>
      <x:c r="K174" s="80" t="str">
        <x:v>Furniture</x:v>
      </x:c>
      <x:c r="L174" s="80" t="str">
        <x:v>Furnishings</x:v>
      </x:c>
      <x:c r="M174" s="80" t="str">
        <x:v>Prime Furnishings 381</x:v>
      </x:c>
      <x:c r="N174" s="80" t="str">
        <x:v>Same Day</x:v>
      </x:c>
      <x:c r="O174" s="82" t="n">
        <x:v>9</x:v>
      </x:c>
      <x:c r="P174" s="83" t="n">
        <x:v>2962.62</x:v>
      </x:c>
      <x:c r="Q174" s="84" t="n">
        <x:v>0.1</x:v>
      </x:c>
      <x:c r="R174" s="83" t="n">
        <x:v>23997.22</x:v>
      </x:c>
      <x:c r="S174" s="83" t="n">
        <x:v>16134.63</x:v>
      </x:c>
      <x:c r="T174" s="83" t="n">
        <x:v>7862.59</x:v>
      </x:c>
      <x:c r="U174" s="83" t="str">
        <x:v>Refunded</x:v>
      </x:c>
      <x:c r="V174" s="83" t="str">
        <x:v>Returned</x:v>
      </x:c>
      <x:c r="W174" s="151" t="n">
        <x:f>IF(OR(NOT(ISNUMBER($AP174)),COUNT($O174,$P174)&lt;2,$O174&lt;=0,$P174&lt;0),"",ROUND($O174*$P174*(1-$AP174),2))</x:f>
        <x:v>23997.22</x:v>
      </x:c>
      <x:c r="X174" s="151" t="n">
        <x:f>IF(OR(NOT(ISNUMBER($W174)),NOT(ISNUMBER($S174))),"",ROUND($W174-$S174,2))</x:f>
        <x:v>7862.59</x:v>
      </x:c>
      <x:c r="Y174" s="85" t="n">
        <x:f>IF(OR(NOT(ISNUMBER($W174)),NOT(ISNUMBER($X174)),$W174=0),"",ROUND($X174/$W174,4))</x:f>
        <x:v>0.3276</x:v>
      </x:c>
      <x:c r="Z174" s="82" t="n">
        <x:f>IF(OR($AH174&lt;&gt;"Valid",$AI174&lt;&gt;"Valid"),"",INT($D174-$C174))</x:f>
        <x:v>8</x:v>
      </x:c>
      <x:c r="AA174" s="86" t="str">
        <x:f>IF($AH174&lt;&gt;"Valid","",TEXT($C174,"mmmm"))</x:f>
        <x:v>August</x:v>
      </x:c>
      <x:c r="AB174" s="82" t="n">
        <x:f>IF($AH174&lt;&gt;"Valid","",YEAR($C174))</x:f>
        <x:v>2025</x:v>
      </x:c>
      <x:c r="AC174" s="80" t="str">
        <x:v>Refunded (separately summarized)</x:v>
      </x:c>
      <x:c r="AD174" s="80" t="str">
        <x:v>Excluded</x:v>
      </x:c>
      <x:c r="AE174" s="80" t="str">
        <x:f>IF(OR($AH174&lt;&gt;"Valid",$AI174&lt;&gt;"Valid",$AJ174&lt;&gt;"Valid",LEFT($AM174,7)="Invalid",IFERROR(ABS($AQ174)&gt;0.01,FALSE),IFERROR(ABS($AR174)&gt;0.01,FALSE),COUNTIF($AS174,"*Conflicting duplicate*")&gt;0,COUNTIF($AS174,"*Completed order not paid*")&gt;0),"Invalid",IF(OR($H174="Unknown",$N174="Unknown",$AM174="Missing discount imputed as 0"),"Warning","Clean"))</x:f>
        <x:v>Clean</x:v>
      </x:c>
      <x:c r="AF174" s="80" t="str">
        <x:v>Pass</x:v>
      </x:c>
      <x:c r="AG174" s="80" t="str">
        <x:v>No text cleanup required</x:v>
      </x:c>
      <x:c r="AH174" s="12" t="str">
        <x:f>IF(C174="","Missing date",IF(ISNUMBER(C174),"Valid","Unrecognized/invalid date"))</x:f>
        <x:v>Valid</x:v>
      </x:c>
      <x:c r="AI174" s="12" t="str">
        <x:f>IF(D174="","Missing date",IF(ISNUMBER(D174),"Valid","Unrecognized/invalid date"))</x:f>
        <x:v>Valid</x:v>
      </x:c>
      <x:c r="AJ174" s="12" t="str">
        <x:v>Valid</x:v>
      </x:c>
      <x:c r="AK174" s="12" t="str">
        <x:v>Pass</x:v>
      </x:c>
      <x:c r="AL174" s="12" t="str">
        <x:v>Refunded payment – separately summarized</x:v>
      </x:c>
      <x:c r="AM174" s="12" t="str">
        <x:v>Valid</x:v>
      </x:c>
      <x:c r="AN174" s="12" t="str">
        <x:v>Exclude from completed sales</x:v>
      </x:c>
      <x:c r="AO174" s="12" t="str">
        <x:v>Include in refunded summary</x:v>
      </x:c>
      <x:c r="AP174" s="37" t="n">
        <x:f>IF(LEFT($AM174,7)="Invalid","",IF($AM174="Missing discount imputed as 0",IF(AND(COUNT($O174,$P174,$R174,$S174)=4,$O174&gt;0,$P174&gt;=0,$R174&gt;=0,$S174&gt;=0),0,""),IF(AND(ISNUMBER($Q174),$Q174&gt;=0,$Q174&lt;=0.5),$Q174,"")))</x:f>
        <x:v>0.1</x:v>
      </x:c>
      <x:c r="AQ174" s="152" t="n">
        <x:f>IF(OR($W174="",NOT(ISNUMBER($R174))),"",ROUND($R174-$W174,2))</x:f>
        <x:v>0</x:v>
      </x:c>
      <x:c r="AR174" s="152" t="n">
        <x:f>IF(OR($X174="",NOT(ISNUMBER($T174))),"",ROUND($T174-$X174,2))</x:f>
        <x:v>0</x:v>
      </x:c>
      <x:c r="AS174" s="14" t="str">
        <x:v>OK</x:v>
      </x:c>
    </x:row>
    <x:row r="175">
      <x:c r="A175" s="80" t="n">
        <x:v>175</x:v>
      </x:c>
      <x:c r="B175" s="80" t="str">
        <x:v>ORD-2024-10174</x:v>
      </x:c>
      <x:c r="C175" s="81" t="n">
        <x:v>45414</x:v>
      </x:c>
      <x:c r="D175" s="81" t="n">
        <x:v>45420</x:v>
      </x:c>
      <x:c r="E175" s="80" t="str">
        <x:v>CUST-6153</x:v>
      </x:c>
      <x:c r="F175" s="80" t="str">
        <x:v>Priya Menon</x:v>
      </x:c>
      <x:c r="G175" s="80" t="str">
        <x:v>Home Office</x:v>
      </x:c>
      <x:c r="H175" s="80" t="str">
        <x:v>North</x:v>
      </x:c>
      <x:c r="I175" s="80" t="str">
        <x:v>Punjab</x:v>
      </x:c>
      <x:c r="J175" s="80" t="str">
        <x:v>Ludhiana</x:v>
      </x:c>
      <x:c r="K175" s="80" t="str">
        <x:v>Technology</x:v>
      </x:c>
      <x:c r="L175" s="80" t="str">
        <x:v>Copiers</x:v>
      </x:c>
      <x:c r="M175" s="80" t="str">
        <x:v>Prime Copiers 440</x:v>
      </x:c>
      <x:c r="N175" s="80" t="str">
        <x:v>Second Class</x:v>
      </x:c>
      <x:c r="O175" s="82" t="n">
        <x:v>1</x:v>
      </x:c>
      <x:c r="P175" s="83" t="n">
        <x:v>2312.25</x:v>
      </x:c>
      <x:c r="Q175" s="84" t="n">
        <x:v>0.25</x:v>
      </x:c>
      <x:c r="R175" s="83" t="n">
        <x:v>1734.19</x:v>
      </x:c>
      <x:c r="S175" s="83" t="n">
        <x:v>1386.07</x:v>
      </x:c>
      <x:c r="T175" s="83" t="n">
        <x:v>348.12</x:v>
      </x:c>
      <x:c r="U175" s="83" t="str">
        <x:v>Paid</x:v>
      </x:c>
      <x:c r="V175" s="83" t="str">
        <x:v>Completed</x:v>
      </x:c>
      <x:c r="W175" s="151" t="n">
        <x:f>IF(OR(NOT(ISNUMBER($AP175)),COUNT($O175,$P175)&lt;2,$O175&lt;=0,$P175&lt;0),"",ROUND($O175*$P175*(1-$AP175),2))</x:f>
        <x:v>1734.19</x:v>
      </x:c>
      <x:c r="X175" s="151" t="n">
        <x:f>IF(OR(NOT(ISNUMBER($W175)),NOT(ISNUMBER($S175))),"",ROUND($W175-$S175,2))</x:f>
        <x:v>348.12</x:v>
      </x:c>
      <x:c r="Y175" s="85" t="n">
        <x:f>IF(OR(NOT(ISNUMBER($W175)),NOT(ISNUMBER($X175)),$W175=0),"",ROUND($X175/$W175,4))</x:f>
        <x:v>0.2007</x:v>
      </x:c>
      <x:c r="Z175" s="82" t="n">
        <x:f>IF(OR($AH175&lt;&gt;"Valid",$AI175&lt;&gt;"Valid"),"",INT($D175-$C175))</x:f>
        <x:v>6</x:v>
      </x:c>
      <x:c r="AA175" s="86" t="str">
        <x:f>IF($AH175&lt;&gt;"Valid","",TEXT($C175,"mmmm"))</x:f>
        <x:v>May</x:v>
      </x:c>
      <x:c r="AB175" s="82" t="n">
        <x:f>IF($AH175&lt;&gt;"Valid","",YEAR($C175))</x:f>
        <x:v>2024</x:v>
      </x:c>
      <x:c r="AC175" s="80" t="str">
        <x:v>Consistent</x:v>
      </x:c>
      <x:c r="AD175" s="80" t="str">
        <x:v>Eligible</x:v>
      </x:c>
      <x:c r="AE175" s="80" t="str">
        <x:f>IF(OR($AH175&lt;&gt;"Valid",$AI175&lt;&gt;"Valid",$AJ175&lt;&gt;"Valid",LEFT($AM175,7)="Invalid",IFERROR(ABS($AQ175)&gt;0.01,FALSE),IFERROR(ABS($AR175)&gt;0.01,FALSE),COUNTIF($AS175,"*Conflicting duplicate*")&gt;0,COUNTIF($AS175,"*Completed order not paid*")&gt;0),"Invalid",IF(OR($H175="Unknown",$N175="Unknown",$AM175="Missing discount imputed as 0"),"Warning","Clean"))</x:f>
        <x:v>Clean</x:v>
      </x:c>
      <x:c r="AF175" s="80" t="str">
        <x:v>Cleaned</x:v>
      </x:c>
      <x:c r="AG175" s="80" t="str">
        <x:v>customer_name: Case standardization</x:v>
      </x:c>
      <x:c r="AH175" s="12" t="str">
        <x:f>IF(C175="","Missing date",IF(ISNUMBER(C175),"Valid","Unrecognized/invalid date"))</x:f>
        <x:v>Valid</x:v>
      </x:c>
      <x:c r="AI175" s="12" t="str">
        <x:f>IF(D175="","Missing date",IF(ISNUMBER(D175),"Valid","Unrecognized/invalid date"))</x:f>
        <x:v>Valid</x:v>
      </x:c>
      <x:c r="AJ175" s="12" t="str">
        <x:v>Valid</x:v>
      </x:c>
      <x:c r="AK175" s="12" t="str">
        <x:v>Pass</x:v>
      </x:c>
      <x:c r="AL175" s="12" t="str">
        <x:v>None</x:v>
      </x:c>
      <x:c r="AM175" s="12" t="str">
        <x:v>Valid</x:v>
      </x:c>
      <x:c r="AN175" s="12" t="str">
        <x:v>Include in completed sales</x:v>
      </x:c>
      <x:c r="AO175" s="12" t="str">
        <x:v>Not a refunded record</x:v>
      </x:c>
      <x:c r="AP175" s="37" t="n">
        <x:f>IF(LEFT($AM175,7)="Invalid","",IF($AM175="Missing discount imputed as 0",IF(AND(COUNT($O175,$P175,$R175,$S175)=4,$O175&gt;0,$P175&gt;=0,$R175&gt;=0,$S175&gt;=0),0,""),IF(AND(ISNUMBER($Q175),$Q175&gt;=0,$Q175&lt;=0.5),$Q175,"")))</x:f>
        <x:v>0.25</x:v>
      </x:c>
      <x:c r="AQ175" s="152" t="n">
        <x:f>IF(OR($W175="",NOT(ISNUMBER($R175))),"",ROUND($R175-$W175,2))</x:f>
        <x:v>0</x:v>
      </x:c>
      <x:c r="AR175" s="152" t="n">
        <x:f>IF(OR($X175="",NOT(ISNUMBER($T175))),"",ROUND($T175-$X175,2))</x:f>
        <x:v>0</x:v>
      </x:c>
      <x:c r="AS175" s="14" t="str">
        <x:v>OK</x:v>
      </x:c>
    </x:row>
    <x:row r="176">
      <x:c r="A176" s="80" t="n">
        <x:v>176</x:v>
      </x:c>
      <x:c r="B176" s="80" t="str">
        <x:v>ORD-2025-10175</x:v>
      </x:c>
      <x:c r="C176" s="81" t="n">
        <x:v>45928</x:v>
      </x:c>
      <x:c r="D176" s="81" t="n">
        <x:v>45934</x:v>
      </x:c>
      <x:c r="E176" s="80" t="str">
        <x:v>CUST-5475</x:v>
      </x:c>
      <x:c r="F176" s="80" t="str">
        <x:v>Karan Malhotra</x:v>
      </x:c>
      <x:c r="G176" s="80" t="str">
        <x:v>Small Business</x:v>
      </x:c>
      <x:c r="H176" s="80" t="str">
        <x:v>South</x:v>
      </x:c>
      <x:c r="I176" s="80" t="str">
        <x:v>Karnataka</x:v>
      </x:c>
      <x:c r="J176" s="80" t="str">
        <x:v>Bengaluru</x:v>
      </x:c>
      <x:c r="K176" s="80" t="str">
        <x:v>Furniture</x:v>
      </x:c>
      <x:c r="L176" s="80" t="str">
        <x:v>Bookcases</x:v>
      </x:c>
      <x:c r="M176" s="80" t="str">
        <x:v>Pro Bookcases 319</x:v>
      </x:c>
      <x:c r="N176" s="80" t="str">
        <x:v>First Class</x:v>
      </x:c>
      <x:c r="O176" s="82" t="n">
        <x:v>6</x:v>
      </x:c>
      <x:c r="P176" s="83" t="n">
        <x:v>1620.53</x:v>
      </x:c>
      <x:c r="Q176" s="84" t="n">
        <x:v>0.15</x:v>
      </x:c>
      <x:c r="R176" s="83" t="n">
        <x:v>8264.7</x:v>
      </x:c>
      <x:c r="S176" s="83" t="n">
        <x:v>4768.75</x:v>
      </x:c>
      <x:c r="T176" s="83" t="n">
        <x:v>3495.95</x:v>
      </x:c>
      <x:c r="U176" s="83" t="str">
        <x:v>Pending</x:v>
      </x:c>
      <x:c r="V176" s="83" t="str">
        <x:v>Returned</x:v>
      </x:c>
      <x:c r="W176" s="151" t="n">
        <x:f>IF(OR(NOT(ISNUMBER($AP176)),COUNT($O176,$P176)&lt;2,$O176&lt;=0,$P176&lt;0),"",ROUND($O176*$P176*(1-$AP176),2))</x:f>
        <x:v>8264.7</x:v>
      </x:c>
      <x:c r="X176" s="151" t="n">
        <x:f>IF(OR(NOT(ISNUMBER($W176)),NOT(ISNUMBER($S176))),"",ROUND($W176-$S176,2))</x:f>
        <x:v>3495.95</x:v>
      </x:c>
      <x:c r="Y176" s="85" t="n">
        <x:f>IF(OR(NOT(ISNUMBER($W176)),NOT(ISNUMBER($X176)),$W176=0),"",ROUND($X176/$W176,4))</x:f>
        <x:v>0.423</x:v>
      </x:c>
      <x:c r="Z176" s="82" t="n">
        <x:f>IF(OR($AH176&lt;&gt;"Valid",$AI176&lt;&gt;"Valid"),"",INT($D176-$C176))</x:f>
        <x:v>6</x:v>
      </x:c>
      <x:c r="AA176" s="86" t="str">
        <x:f>IF($AH176&lt;&gt;"Valid","",TEXT($C176,"mmmm"))</x:f>
        <x:v>September</x:v>
      </x:c>
      <x:c r="AB176" s="82" t="n">
        <x:f>IF($AH176&lt;&gt;"Valid","",YEAR($C176))</x:f>
        <x:v>2025</x:v>
      </x:c>
      <x:c r="AC176" s="80" t="str">
        <x:v>Consistent</x:v>
      </x:c>
      <x:c r="AD176" s="80" t="str">
        <x:v>Excluded</x:v>
      </x:c>
      <x:c r="AE176" s="80" t="str">
        <x:f>IF(OR($AH176&lt;&gt;"Valid",$AI176&lt;&gt;"Valid",$AJ176&lt;&gt;"Valid",LEFT($AM176,7)="Invalid",IFERROR(ABS($AQ176)&gt;0.01,FALSE),IFERROR(ABS($AR176)&gt;0.01,FALSE),COUNTIF($AS176,"*Conflicting duplicate*")&gt;0,COUNTIF($AS176,"*Completed order not paid*")&gt;0),"Invalid",IF(OR($H176="Unknown",$N176="Unknown",$AM176="Missing discount imputed as 0"),"Warning","Clean"))</x:f>
        <x:v>Clean</x:v>
      </x:c>
      <x:c r="AF176" s="80" t="str">
        <x:v>Pass</x:v>
      </x:c>
      <x:c r="AG176" s="80" t="str">
        <x:v>No text cleanup required</x:v>
      </x:c>
      <x:c r="AH176" s="12" t="str">
        <x:f>IF(C176="","Missing date",IF(ISNUMBER(C176),"Valid","Unrecognized/invalid date"))</x:f>
        <x:v>Valid</x:v>
      </x:c>
      <x:c r="AI176" s="12" t="str">
        <x:f>IF(D176="","Missing date",IF(ISNUMBER(D176),"Valid","Unrecognized/invalid date"))</x:f>
        <x:v>Valid</x:v>
      </x:c>
      <x:c r="AJ176" s="12" t="str">
        <x:v>Valid</x:v>
      </x:c>
      <x:c r="AK176" s="12" t="str">
        <x:v>Pass</x:v>
      </x:c>
      <x:c r="AL176" s="12" t="str">
        <x:v>None</x:v>
      </x:c>
      <x:c r="AM176" s="12" t="str">
        <x:v>Valid</x:v>
      </x:c>
      <x:c r="AN176" s="12" t="str">
        <x:v>Exclude from completed sales</x:v>
      </x:c>
      <x:c r="AO176" s="12" t="str">
        <x:v>Not a refunded record</x:v>
      </x:c>
      <x:c r="AP176" s="37" t="n">
        <x:f>IF(LEFT($AM176,7)="Invalid","",IF($AM176="Missing discount imputed as 0",IF(AND(COUNT($O176,$P176,$R176,$S176)=4,$O176&gt;0,$P176&gt;=0,$R176&gt;=0,$S176&gt;=0),0,""),IF(AND(ISNUMBER($Q176),$Q176&gt;=0,$Q176&lt;=0.5),$Q176,"")))</x:f>
        <x:v>0.15</x:v>
      </x:c>
      <x:c r="AQ176" s="152" t="n">
        <x:f>IF(OR($W176="",NOT(ISNUMBER($R176))),"",ROUND($R176-$W176,2))</x:f>
        <x:v>0</x:v>
      </x:c>
      <x:c r="AR176" s="152" t="n">
        <x:f>IF(OR($X176="",NOT(ISNUMBER($T176))),"",ROUND($T176-$X176,2))</x:f>
        <x:v>0</x:v>
      </x:c>
      <x:c r="AS176" s="14" t="str">
        <x:v>OK</x:v>
      </x:c>
    </x:row>
    <x:row r="177">
      <x:c r="A177" s="80" t="n">
        <x:v>177</x:v>
      </x:c>
      <x:c r="B177" s="80" t="str">
        <x:v>ORD-2024-10176</x:v>
      </x:c>
      <x:c r="C177" s="81" t="n">
        <x:v>45318</x:v>
      </x:c>
      <x:c r="D177" s="81" t="n">
        <x:v>45325</x:v>
      </x:c>
      <x:c r="E177" s="80" t="str">
        <x:v>CUST-5580</x:v>
      </x:c>
      <x:c r="F177" s="80" t="str">
        <x:v>Arjun Bose</x:v>
      </x:c>
      <x:c r="G177" s="80" t="str">
        <x:v>Small Business</x:v>
      </x:c>
      <x:c r="H177" s="80" t="str">
        <x:v>East</x:v>
      </x:c>
      <x:c r="I177" s="80" t="str">
        <x:v>Bihar</x:v>
      </x:c>
      <x:c r="J177" s="80" t="str">
        <x:v>Patna</x:v>
      </x:c>
      <x:c r="K177" s="80" t="str">
        <x:v>Technology</x:v>
      </x:c>
      <x:c r="L177" s="80" t="str">
        <x:v>Machines</x:v>
      </x:c>
      <x:c r="M177" s="80" t="str">
        <x:v>Basic Machines 584</x:v>
      </x:c>
      <x:c r="N177" s="80" t="str">
        <x:v>Same Day</x:v>
      </x:c>
      <x:c r="O177" s="82" t="n">
        <x:v>7</x:v>
      </x:c>
      <x:c r="P177" s="83" t="n">
        <x:v>2673.42</x:v>
      </x:c>
      <x:c r="Q177" s="84" t="n">
        <x:v>0.15</x:v>
      </x:c>
      <x:c r="R177" s="83" t="n">
        <x:v>15906.85</x:v>
      </x:c>
      <x:c r="S177" s="83" t="n">
        <x:v>11014.46</x:v>
      </x:c>
      <x:c r="T177" s="83" t="n">
        <x:v>4892.39</x:v>
      </x:c>
      <x:c r="U177" s="83" t="str">
        <x:v>Paid</x:v>
      </x:c>
      <x:c r="V177" s="83" t="str">
        <x:v>Returned</x:v>
      </x:c>
      <x:c r="W177" s="151" t="n">
        <x:f>IF(OR(NOT(ISNUMBER($AP177)),COUNT($O177,$P177)&lt;2,$O177&lt;=0,$P177&lt;0),"",ROUND($O177*$P177*(1-$AP177),2))</x:f>
        <x:v>15906.85</x:v>
      </x:c>
      <x:c r="X177" s="151" t="n">
        <x:f>IF(OR(NOT(ISNUMBER($W177)),NOT(ISNUMBER($S177))),"",ROUND($W177-$S177,2))</x:f>
        <x:v>4892.39</x:v>
      </x:c>
      <x:c r="Y177" s="85" t="n">
        <x:f>IF(OR(NOT(ISNUMBER($W177)),NOT(ISNUMBER($X177)),$W177=0),"",ROUND($X177/$W177,4))</x:f>
        <x:v>0.3076</x:v>
      </x:c>
      <x:c r="Z177" s="82" t="n">
        <x:f>IF(OR($AH177&lt;&gt;"Valid",$AI177&lt;&gt;"Valid"),"",INT($D177-$C177))</x:f>
        <x:v>7</x:v>
      </x:c>
      <x:c r="AA177" s="86" t="str">
        <x:f>IF($AH177&lt;&gt;"Valid","",TEXT($C177,"mmmm"))</x:f>
        <x:v>January</x:v>
      </x:c>
      <x:c r="AB177" s="82" t="n">
        <x:f>IF($AH177&lt;&gt;"Valid","",YEAR($C177))</x:f>
        <x:v>2024</x:v>
      </x:c>
      <x:c r="AC177" s="80" t="str">
        <x:v>Consistent</x:v>
      </x:c>
      <x:c r="AD177" s="80" t="str">
        <x:v>Excluded</x:v>
      </x:c>
      <x:c r="AE177" s="80" t="str">
        <x:f>IF(OR($AH177&lt;&gt;"Valid",$AI177&lt;&gt;"Valid",$AJ177&lt;&gt;"Valid",LEFT($AM177,7)="Invalid",IFERROR(ABS($AQ177)&gt;0.01,FALSE),IFERROR(ABS($AR177)&gt;0.01,FALSE),COUNTIF($AS177,"*Conflicting duplicate*")&gt;0,COUNTIF($AS177,"*Completed order not paid*")&gt;0),"Invalid",IF(OR($H177="Unknown",$N177="Unknown",$AM177="Missing discount imputed as 0"),"Warning","Clean"))</x:f>
        <x:v>Clean</x:v>
      </x:c>
      <x:c r="AF177" s="80" t="str">
        <x:v>Pass</x:v>
      </x:c>
      <x:c r="AG177" s="80" t="str">
        <x:v>No text cleanup required</x:v>
      </x:c>
      <x:c r="AH177" s="12" t="str">
        <x:f>IF(C177="","Missing date",IF(ISNUMBER(C177),"Valid","Unrecognized/invalid date"))</x:f>
        <x:v>Valid</x:v>
      </x:c>
      <x:c r="AI177" s="12" t="str">
        <x:f>IF(D177="","Missing date",IF(ISNUMBER(D177),"Valid","Unrecognized/invalid date"))</x:f>
        <x:v>Valid</x:v>
      </x:c>
      <x:c r="AJ177" s="12" t="str">
        <x:v>Valid</x:v>
      </x:c>
      <x:c r="AK177" s="12" t="str">
        <x:v>Pass</x:v>
      </x:c>
      <x:c r="AL177" s="12" t="str">
        <x:v>None</x:v>
      </x:c>
      <x:c r="AM177" s="12" t="str">
        <x:v>Valid</x:v>
      </x:c>
      <x:c r="AN177" s="12" t="str">
        <x:v>Exclude from completed sales</x:v>
      </x:c>
      <x:c r="AO177" s="12" t="str">
        <x:v>Not a refunded record</x:v>
      </x:c>
      <x:c r="AP177" s="37" t="n">
        <x:f>IF(LEFT($AM177,7)="Invalid","",IF($AM177="Missing discount imputed as 0",IF(AND(COUNT($O177,$P177,$R177,$S177)=4,$O177&gt;0,$P177&gt;=0,$R177&gt;=0,$S177&gt;=0),0,""),IF(AND(ISNUMBER($Q177),$Q177&gt;=0,$Q177&lt;=0.5),$Q177,"")))</x:f>
        <x:v>0.15</x:v>
      </x:c>
      <x:c r="AQ177" s="152" t="n">
        <x:f>IF(OR($W177="",NOT(ISNUMBER($R177))),"",ROUND($R177-$W177,2))</x:f>
        <x:v>0</x:v>
      </x:c>
      <x:c r="AR177" s="152" t="n">
        <x:f>IF(OR($X177="",NOT(ISNUMBER($T177))),"",ROUND($T177-$X177,2))</x:f>
        <x:v>0</x:v>
      </x:c>
      <x:c r="AS177" s="14" t="str">
        <x:v>OK</x:v>
      </x:c>
    </x:row>
    <x:row r="178">
      <x:c r="A178" s="80" t="n">
        <x:v>178</x:v>
      </x:c>
      <x:c r="B178" s="80" t="str">
        <x:v>ORD-2025-10177</x:v>
      </x:c>
      <x:c r="C178" s="81" t="n">
        <x:v>45734</x:v>
      </x:c>
      <x:c r="D178" s="81" t="n">
        <x:v>45742</x:v>
      </x:c>
      <x:c r="E178" s="80" t="str">
        <x:v>CUST-3027</x:v>
      </x:c>
      <x:c r="F178" s="80" t="str">
        <x:v>Vikram Iyer</x:v>
      </x:c>
      <x:c r="G178" s="80" t="str">
        <x:v>Corporate</x:v>
      </x:c>
      <x:c r="H178" s="80" t="str">
        <x:v>East</x:v>
      </x:c>
      <x:c r="I178" s="80" t="str">
        <x:v>Jharkhand</x:v>
      </x:c>
      <x:c r="J178" s="80" t="str">
        <x:v>Ranchi</x:v>
      </x:c>
      <x:c r="K178" s="80" t="str">
        <x:v>Furniture</x:v>
      </x:c>
      <x:c r="L178" s="80" t="str">
        <x:v>Bookcases</x:v>
      </x:c>
      <x:c r="M178" s="80" t="str">
        <x:v>Pro Bookcases 612</x:v>
      </x:c>
      <x:c r="N178" s="80" t="str">
        <x:v>Standard Class</x:v>
      </x:c>
      <x:c r="O178" s="82" t="n">
        <x:v>8</x:v>
      </x:c>
      <x:c r="P178" s="83" t="n">
        <x:v>3563.09</x:v>
      </x:c>
      <x:c r="Q178" s="84" t="n">
        <x:v>0.15</x:v>
      </x:c>
      <x:c r="R178" s="83" t="n">
        <x:v>24229.01</x:v>
      </x:c>
      <x:c r="S178" s="83" t="n">
        <x:v>13910.64</x:v>
      </x:c>
      <x:c r="T178" s="83" t="n">
        <x:v>10318.37</x:v>
      </x:c>
      <x:c r="U178" s="83" t="str">
        <x:v>Paid</x:v>
      </x:c>
      <x:c r="V178" s="83" t="str">
        <x:v>Completed</x:v>
      </x:c>
      <x:c r="W178" s="151" t="n">
        <x:f>IF(OR(NOT(ISNUMBER($AP178)),COUNT($O178,$P178)&lt;2,$O178&lt;=0,$P178&lt;0),"",ROUND($O178*$P178*(1-$AP178),2))</x:f>
        <x:v>24229.01</x:v>
      </x:c>
      <x:c r="X178" s="151" t="n">
        <x:f>IF(OR(NOT(ISNUMBER($W178)),NOT(ISNUMBER($S178))),"",ROUND($W178-$S178,2))</x:f>
        <x:v>10318.37</x:v>
      </x:c>
      <x:c r="Y178" s="85" t="n">
        <x:f>IF(OR(NOT(ISNUMBER($W178)),NOT(ISNUMBER($X178)),$W178=0),"",ROUND($X178/$W178,4))</x:f>
        <x:v>0.4259</x:v>
      </x:c>
      <x:c r="Z178" s="82" t="n">
        <x:f>IF(OR($AH178&lt;&gt;"Valid",$AI178&lt;&gt;"Valid"),"",INT($D178-$C178))</x:f>
        <x:v>8</x:v>
      </x:c>
      <x:c r="AA178" s="86" t="str">
        <x:f>IF($AH178&lt;&gt;"Valid","",TEXT($C178,"mmmm"))</x:f>
        <x:v>March</x:v>
      </x:c>
      <x:c r="AB178" s="82" t="n">
        <x:f>IF($AH178&lt;&gt;"Valid","",YEAR($C178))</x:f>
        <x:v>2025</x:v>
      </x:c>
      <x:c r="AC178" s="80" t="str">
        <x:v>Consistent</x:v>
      </x:c>
      <x:c r="AD178" s="80" t="str">
        <x:v>Eligible</x:v>
      </x:c>
      <x:c r="AE178" s="80" t="str">
        <x:f>IF(OR($AH178&lt;&gt;"Valid",$AI178&lt;&gt;"Valid",$AJ178&lt;&gt;"Valid",LEFT($AM178,7)="Invalid",IFERROR(ABS($AQ178)&gt;0.01,FALSE),IFERROR(ABS($AR178)&gt;0.01,FALSE),COUNTIF($AS178,"*Conflicting duplicate*")&gt;0,COUNTIF($AS178,"*Completed order not paid*")&gt;0),"Invalid",IF(OR($H178="Unknown",$N178="Unknown",$AM178="Missing discount imputed as 0"),"Warning","Clean"))</x:f>
        <x:v>Clean</x:v>
      </x:c>
      <x:c r="AF178" s="80" t="str">
        <x:v>Pass</x:v>
      </x:c>
      <x:c r="AG178" s="80" t="str">
        <x:v>No text cleanup required</x:v>
      </x:c>
      <x:c r="AH178" s="12" t="str">
        <x:f>IF(C178="","Missing date",IF(ISNUMBER(C178),"Valid","Unrecognized/invalid date"))</x:f>
        <x:v>Valid</x:v>
      </x:c>
      <x:c r="AI178" s="12" t="str">
        <x:f>IF(D178="","Missing date",IF(ISNUMBER(D178),"Valid","Unrecognized/invalid date"))</x:f>
        <x:v>Valid</x:v>
      </x:c>
      <x:c r="AJ178" s="12" t="str">
        <x:v>Valid</x:v>
      </x:c>
      <x:c r="AK178" s="12" t="str">
        <x:v>Pass</x:v>
      </x:c>
      <x:c r="AL178" s="12" t="str">
        <x:v>None</x:v>
      </x:c>
      <x:c r="AM178" s="12" t="str">
        <x:v>Valid</x:v>
      </x:c>
      <x:c r="AN178" s="12" t="str">
        <x:v>Include in completed sales</x:v>
      </x:c>
      <x:c r="AO178" s="12" t="str">
        <x:v>Not a refunded record</x:v>
      </x:c>
      <x:c r="AP178" s="37" t="n">
        <x:f>IF(LEFT($AM178,7)="Invalid","",IF($AM178="Missing discount imputed as 0",IF(AND(COUNT($O178,$P178,$R178,$S178)=4,$O178&gt;0,$P178&gt;=0,$R178&gt;=0,$S178&gt;=0),0,""),IF(AND(ISNUMBER($Q178),$Q178&gt;=0,$Q178&lt;=0.5),$Q178,"")))</x:f>
        <x:v>0.15</x:v>
      </x:c>
      <x:c r="AQ178" s="152" t="n">
        <x:f>IF(OR($W178="",NOT(ISNUMBER($R178))),"",ROUND($R178-$W178,2))</x:f>
        <x:v>0</x:v>
      </x:c>
      <x:c r="AR178" s="152" t="n">
        <x:f>IF(OR($X178="",NOT(ISNUMBER($T178))),"",ROUND($T178-$X178,2))</x:f>
        <x:v>0</x:v>
      </x:c>
      <x:c r="AS178" s="14" t="str">
        <x:v>OK</x:v>
      </x:c>
    </x:row>
    <x:row r="179">
      <x:c r="A179" s="80" t="n">
        <x:v>179</x:v>
      </x:c>
      <x:c r="B179" s="80" t="str">
        <x:v>ORD-2024-10178</x:v>
      </x:c>
      <x:c r="C179" s="81" t="n">
        <x:v>45444</x:v>
      </x:c>
      <x:c r="D179" s="81" t="n">
        <x:v>45446</x:v>
      </x:c>
      <x:c r="E179" s="80" t="str">
        <x:v>CUST-4399</x:v>
      </x:c>
      <x:c r="F179" s="80" t="str">
        <x:v>Sneha Kapoor</x:v>
      </x:c>
      <x:c r="G179" s="80" t="str">
        <x:v>Home Office</x:v>
      </x:c>
      <x:c r="H179" s="80" t="str">
        <x:v>Unknown</x:v>
      </x:c>
      <x:c r="I179" s="80" t="str">
        <x:v>Bihar</x:v>
      </x:c>
      <x:c r="J179" s="80" t="str">
        <x:v>Patna</x:v>
      </x:c>
      <x:c r="K179" s="80" t="str">
        <x:v>Office Supplies</x:v>
      </x:c>
      <x:c r="L179" s="80" t="str">
        <x:v>Art</x:v>
      </x:c>
      <x:c r="M179" s="80" t="str">
        <x:v>Classic Art 573</x:v>
      </x:c>
      <x:c r="N179" s="80" t="str">
        <x:v>Same Day</x:v>
      </x:c>
      <x:c r="O179" s="82" t="n">
        <x:v>8</x:v>
      </x:c>
      <x:c r="P179" s="83" t="n">
        <x:v>3879.95</x:v>
      </x:c>
      <x:c r="Q179" s="84" t="n">
        <x:v>0</x:v>
      </x:c>
      <x:c r="R179" s="83" t="n">
        <x:v>31039.6</x:v>
      </x:c>
      <x:c r="S179" s="83" t="n">
        <x:v>20866.72</x:v>
      </x:c>
      <x:c r="T179" s="83" t="n">
        <x:v>10172.88</x:v>
      </x:c>
      <x:c r="U179" s="83" t="str">
        <x:v>Paid</x:v>
      </x:c>
      <x:c r="V179" s="83" t="str">
        <x:v>Completed</x:v>
      </x:c>
      <x:c r="W179" s="151" t="n">
        <x:f>IF(OR(NOT(ISNUMBER($AP179)),COUNT($O179,$P179)&lt;2,$O179&lt;=0,$P179&lt;0),"",ROUND($O179*$P179*(1-$AP179),2))</x:f>
        <x:v>31039.6</x:v>
      </x:c>
      <x:c r="X179" s="151" t="n">
        <x:f>IF(OR(NOT(ISNUMBER($W179)),NOT(ISNUMBER($S179))),"",ROUND($W179-$S179,2))</x:f>
        <x:v>10172.88</x:v>
      </x:c>
      <x:c r="Y179" s="85" t="n">
        <x:f>IF(OR(NOT(ISNUMBER($W179)),NOT(ISNUMBER($X179)),$W179=0),"",ROUND($X179/$W179,4))</x:f>
        <x:v>0.3277</x:v>
      </x:c>
      <x:c r="Z179" s="82" t="n">
        <x:f>IF(OR($AH179&lt;&gt;"Valid",$AI179&lt;&gt;"Valid"),"",INT($D179-$C179))</x:f>
        <x:v>2</x:v>
      </x:c>
      <x:c r="AA179" s="86" t="str">
        <x:f>IF($AH179&lt;&gt;"Valid","",TEXT($C179,"mmmm"))</x:f>
        <x:v>June</x:v>
      </x:c>
      <x:c r="AB179" s="82" t="n">
        <x:f>IF($AH179&lt;&gt;"Valid","",YEAR($C179))</x:f>
        <x:v>2024</x:v>
      </x:c>
      <x:c r="AC179" s="80" t="str">
        <x:v>Consistent</x:v>
      </x:c>
      <x:c r="AD179" s="80" t="str">
        <x:v>Eligible</x:v>
      </x:c>
      <x:c r="AE179" s="80" t="str">
        <x:f>IF(OR($AH179&lt;&gt;"Valid",$AI179&lt;&gt;"Valid",$AJ179&lt;&gt;"Valid",LEFT($AM179,7)="Invalid",IFERROR(ABS($AQ179)&gt;0.01,FALSE),IFERROR(ABS($AR179)&gt;0.01,FALSE),COUNTIF($AS179,"*Conflicting duplicate*")&gt;0,COUNTIF($AS179,"*Completed order not paid*")&gt;0),"Invalid",IF(OR($H179="Unknown",$N179="Unknown",$AM179="Missing discount imputed as 0"),"Warning","Clean"))</x:f>
        <x:v>Warning</x:v>
      </x:c>
      <x:c r="AF179" s="80" t="str">
        <x:v>Cleaned</x:v>
      </x:c>
      <x:c r="AG179" s="80" t="str">
        <x:v>region: Missing value filled as Unknown</x:v>
      </x:c>
      <x:c r="AH179" s="12" t="str">
        <x:f>IF(C179="","Missing date",IF(ISNUMBER(C179),"Valid","Unrecognized/invalid date"))</x:f>
        <x:v>Valid</x:v>
      </x:c>
      <x:c r="AI179" s="12" t="str">
        <x:f>IF(D179="","Missing date",IF(ISNUMBER(D179),"Valid","Unrecognized/invalid date"))</x:f>
        <x:v>Valid</x:v>
      </x:c>
      <x:c r="AJ179" s="12" t="str">
        <x:v>Valid</x:v>
      </x:c>
      <x:c r="AK179" s="12" t="str">
        <x:v>Pass</x:v>
      </x:c>
      <x:c r="AL179" s="12" t="str">
        <x:v>Missing region filled as Unknown</x:v>
      </x:c>
      <x:c r="AM179" s="12" t="str">
        <x:v>Valid</x:v>
      </x:c>
      <x:c r="AN179" s="12" t="str">
        <x:v>Include in completed sales</x:v>
      </x:c>
      <x:c r="AO179" s="12" t="str">
        <x:v>Not a refunded record</x:v>
      </x:c>
      <x:c r="AP179" s="37" t="n">
        <x:f>IF(LEFT($AM179,7)="Invalid","",IF($AM179="Missing discount imputed as 0",IF(AND(COUNT($O179,$P179,$R179,$S179)=4,$O179&gt;0,$P179&gt;=0,$R179&gt;=0,$S179&gt;=0),0,""),IF(AND(ISNUMBER($Q179),$Q179&gt;=0,$Q179&lt;=0.5),$Q179,"")))</x:f>
        <x:v>0</x:v>
      </x:c>
      <x:c r="AQ179" s="152" t="n">
        <x:f>IF(OR($W179="",NOT(ISNUMBER($R179))),"",ROUND($R179-$W179,2))</x:f>
        <x:v>0</x:v>
      </x:c>
      <x:c r="AR179" s="152" t="n">
        <x:f>IF(OR($X179="",NOT(ISNUMBER($T179))),"",ROUND($T179-$X179,2))</x:f>
        <x:v>0</x:v>
      </x:c>
      <x:c r="AS179" s="14" t="str">
        <x:v>OK</x:v>
      </x:c>
    </x:row>
    <x:row r="180">
      <x:c r="A180" s="80" t="n">
        <x:v>180</x:v>
      </x:c>
      <x:c r="B180" s="80" t="str">
        <x:v>ORD-2024-10179</x:v>
      </x:c>
      <x:c r="C180" s="81" t="n">
        <x:v>45565</x:v>
      </x:c>
      <x:c r="D180" s="81" t="n">
        <x:v>45565</x:v>
      </x:c>
      <x:c r="E180" s="80" t="str">
        <x:v>CUST-3092</x:v>
      </x:c>
      <x:c r="F180" s="80" t="str">
        <x:v>Isha Nair</x:v>
      </x:c>
      <x:c r="G180" s="80" t="str">
        <x:v>Corporate</x:v>
      </x:c>
      <x:c r="H180" s="80" t="str">
        <x:v>South</x:v>
      </x:c>
      <x:c r="I180" s="80" t="str">
        <x:v>Telangana</x:v>
      </x:c>
      <x:c r="J180" s="80" t="str">
        <x:v>Hyderabad</x:v>
      </x:c>
      <x:c r="K180" s="80" t="str">
        <x:v>Office Supplies</x:v>
      </x:c>
      <x:c r="L180" s="80" t="str">
        <x:v>Art</x:v>
      </x:c>
      <x:c r="M180" s="80" t="str">
        <x:v>Eco Art 854</x:v>
      </x:c>
      <x:c r="N180" s="80" t="str">
        <x:v>Standard Class</x:v>
      </x:c>
      <x:c r="O180" s="82" t="n">
        <x:v>4</x:v>
      </x:c>
      <x:c r="P180" s="83" t="n">
        <x:v>3281.74</x:v>
      </x:c>
      <x:c r="Q180" s="84" t="n">
        <x:v>0</x:v>
      </x:c>
      <x:c r="R180" s="83" t="n">
        <x:v>13126.96</x:v>
      </x:c>
      <x:c r="S180" s="83" t="n">
        <x:v>10732.44</x:v>
      </x:c>
      <x:c r="T180" s="83" t="n">
        <x:v>2394.52</x:v>
      </x:c>
      <x:c r="U180" s="83" t="str">
        <x:v>Paid</x:v>
      </x:c>
      <x:c r="V180" s="83" t="str">
        <x:v>Completed</x:v>
      </x:c>
      <x:c r="W180" s="151" t="n">
        <x:f>IF(OR(NOT(ISNUMBER($AP180)),COUNT($O180,$P180)&lt;2,$O180&lt;=0,$P180&lt;0),"",ROUND($O180*$P180*(1-$AP180),2))</x:f>
        <x:v>13126.96</x:v>
      </x:c>
      <x:c r="X180" s="151" t="n">
        <x:f>IF(OR(NOT(ISNUMBER($W180)),NOT(ISNUMBER($S180))),"",ROUND($W180-$S180,2))</x:f>
        <x:v>2394.52</x:v>
      </x:c>
      <x:c r="Y180" s="85" t="n">
        <x:f>IF(OR(NOT(ISNUMBER($W180)),NOT(ISNUMBER($X180)),$W180=0),"",ROUND($X180/$W180,4))</x:f>
        <x:v>0.1824</x:v>
      </x:c>
      <x:c r="Z180" s="82" t="n">
        <x:f>IF(OR($AH180&lt;&gt;"Valid",$AI180&lt;&gt;"Valid"),"",INT($D180-$C180))</x:f>
        <x:v>0</x:v>
      </x:c>
      <x:c r="AA180" s="86" t="str">
        <x:f>IF($AH180&lt;&gt;"Valid","",TEXT($C180,"mmmm"))</x:f>
        <x:v>September</x:v>
      </x:c>
      <x:c r="AB180" s="82" t="n">
        <x:f>IF($AH180&lt;&gt;"Valid","",YEAR($C180))</x:f>
        <x:v>2024</x:v>
      </x:c>
      <x:c r="AC180" s="80" t="str">
        <x:v>Consistent</x:v>
      </x:c>
      <x:c r="AD180" s="80" t="str">
        <x:v>Eligible</x:v>
      </x:c>
      <x:c r="AE180" s="80" t="str">
        <x:f>IF(OR($AH180&lt;&gt;"Valid",$AI180&lt;&gt;"Valid",$AJ180&lt;&gt;"Valid",LEFT($AM180,7)="Invalid",IFERROR(ABS($AQ180)&gt;0.01,FALSE),IFERROR(ABS($AR180)&gt;0.01,FALSE),COUNTIF($AS180,"*Conflicting duplicate*")&gt;0,COUNTIF($AS180,"*Completed order not paid*")&gt;0),"Invalid",IF(OR($H180="Unknown",$N180="Unknown",$AM180="Missing discount imputed as 0"),"Warning","Clean"))</x:f>
        <x:v>Clean</x:v>
      </x:c>
      <x:c r="AF180" s="80" t="str">
        <x:v>Pass</x:v>
      </x:c>
      <x:c r="AG180" s="80" t="str">
        <x:v>No text cleanup required</x:v>
      </x:c>
      <x:c r="AH180" s="12" t="str">
        <x:f>IF(C180="","Missing date",IF(ISNUMBER(C180),"Valid","Unrecognized/invalid date"))</x:f>
        <x:v>Valid</x:v>
      </x:c>
      <x:c r="AI180" s="12" t="str">
        <x:f>IF(D180="","Missing date",IF(ISNUMBER(D180),"Valid","Unrecognized/invalid date"))</x:f>
        <x:v>Valid</x:v>
      </x:c>
      <x:c r="AJ180" s="12" t="str">
        <x:v>Valid</x:v>
      </x:c>
      <x:c r="AK180" s="12" t="str">
        <x:v>Pass</x:v>
      </x:c>
      <x:c r="AL180" s="12" t="str">
        <x:v>None</x:v>
      </x:c>
      <x:c r="AM180" s="12" t="str">
        <x:v>Valid</x:v>
      </x:c>
      <x:c r="AN180" s="12" t="str">
        <x:v>Include in completed sales</x:v>
      </x:c>
      <x:c r="AO180" s="12" t="str">
        <x:v>Not a refunded record</x:v>
      </x:c>
      <x:c r="AP180" s="37" t="n">
        <x:f>IF(LEFT($AM180,7)="Invalid","",IF($AM180="Missing discount imputed as 0",IF(AND(COUNT($O180,$P180,$R180,$S180)=4,$O180&gt;0,$P180&gt;=0,$R180&gt;=0,$S180&gt;=0),0,""),IF(AND(ISNUMBER($Q180),$Q180&gt;=0,$Q180&lt;=0.5),$Q180,"")))</x:f>
        <x:v>0</x:v>
      </x:c>
      <x:c r="AQ180" s="152" t="n">
        <x:f>IF(OR($W180="",NOT(ISNUMBER($R180))),"",ROUND($R180-$W180,2))</x:f>
        <x:v>0</x:v>
      </x:c>
      <x:c r="AR180" s="152" t="n">
        <x:f>IF(OR($X180="",NOT(ISNUMBER($T180))),"",ROUND($T180-$X180,2))</x:f>
        <x:v>0</x:v>
      </x:c>
      <x:c r="AS180" s="14" t="str">
        <x:v>OK</x:v>
      </x:c>
    </x:row>
    <x:row r="181">
      <x:c r="A181" s="80" t="n">
        <x:v>181</x:v>
      </x:c>
      <x:c r="B181" s="80" t="str">
        <x:v>ORD-2024-10180</x:v>
      </x:c>
      <x:c r="C181" s="81" t="n">
        <x:v>45366</x:v>
      </x:c>
      <x:c r="D181" s="81" t="n">
        <x:v>45370</x:v>
      </x:c>
      <x:c r="E181" s="80" t="str">
        <x:v>CUST-1778</x:v>
      </x:c>
      <x:c r="F181" s="80" t="str">
        <x:v>Ananya Rao</x:v>
      </x:c>
      <x:c r="G181" s="80" t="str">
        <x:v>Small Business</x:v>
      </x:c>
      <x:c r="H181" s="80" t="str">
        <x:v>South</x:v>
      </x:c>
      <x:c r="I181" s="80" t="str">
        <x:v>Tamil Nadu</x:v>
      </x:c>
      <x:c r="J181" s="80" t="str">
        <x:v>Chennai</x:v>
      </x:c>
      <x:c r="K181" s="80" t="str">
        <x:v>Furniture</x:v>
      </x:c>
      <x:c r="L181" s="80" t="str">
        <x:v>Furnishings</x:v>
      </x:c>
      <x:c r="M181" s="80" t="str">
        <x:v>Classic Furnishings 996</x:v>
      </x:c>
      <x:c r="N181" s="80" t="str">
        <x:v>Standard Class</x:v>
      </x:c>
      <x:c r="O181" s="82" t="n">
        <x:v>4</x:v>
      </x:c>
      <x:c r="P181" s="83" t="n">
        <x:v>3186.3</x:v>
      </x:c>
      <x:c r="Q181" s="84" t="n">
        <x:v>0.25</x:v>
      </x:c>
      <x:c r="R181" s="83" t="n">
        <x:v>9558.9</x:v>
      </x:c>
      <x:c r="S181" s="83" t="n">
        <x:v>5516.76</x:v>
      </x:c>
      <x:c r="T181" s="83" t="n">
        <x:v>4042.14</x:v>
      </x:c>
      <x:c r="U181" s="83" t="str">
        <x:v>Refunded</x:v>
      </x:c>
      <x:c r="V181" s="83" t="str">
        <x:v>Returned</x:v>
      </x:c>
      <x:c r="W181" s="151" t="n">
        <x:f>IF(OR(NOT(ISNUMBER($AP181)),COUNT($O181,$P181)&lt;2,$O181&lt;=0,$P181&lt;0),"",ROUND($O181*$P181*(1-$AP181),2))</x:f>
        <x:v>9558.9</x:v>
      </x:c>
      <x:c r="X181" s="151" t="n">
        <x:f>IF(OR(NOT(ISNUMBER($W181)),NOT(ISNUMBER($S181))),"",ROUND($W181-$S181,2))</x:f>
        <x:v>4042.14</x:v>
      </x:c>
      <x:c r="Y181" s="85" t="n">
        <x:f>IF(OR(NOT(ISNUMBER($W181)),NOT(ISNUMBER($X181)),$W181=0),"",ROUND($X181/$W181,4))</x:f>
        <x:v>0.4229</x:v>
      </x:c>
      <x:c r="Z181" s="82" t="n">
        <x:f>IF(OR($AH181&lt;&gt;"Valid",$AI181&lt;&gt;"Valid"),"",INT($D181-$C181))</x:f>
        <x:v>4</x:v>
      </x:c>
      <x:c r="AA181" s="86" t="str">
        <x:f>IF($AH181&lt;&gt;"Valid","",TEXT($C181,"mmmm"))</x:f>
        <x:v>March</x:v>
      </x:c>
      <x:c r="AB181" s="82" t="n">
        <x:f>IF($AH181&lt;&gt;"Valid","",YEAR($C181))</x:f>
        <x:v>2024</x:v>
      </x:c>
      <x:c r="AC181" s="80" t="str">
        <x:v>Refunded (separately summarized)</x:v>
      </x:c>
      <x:c r="AD181" s="80" t="str">
        <x:v>Excluded</x:v>
      </x:c>
      <x:c r="AE181" s="80" t="str">
        <x:f>IF(OR($AH181&lt;&gt;"Valid",$AI181&lt;&gt;"Valid",$AJ181&lt;&gt;"Valid",LEFT($AM181,7)="Invalid",IFERROR(ABS($AQ181)&gt;0.01,FALSE),IFERROR(ABS($AR181)&gt;0.01,FALSE),COUNTIF($AS181,"*Conflicting duplicate*")&gt;0,COUNTIF($AS181,"*Completed order not paid*")&gt;0),"Invalid",IF(OR($H181="Unknown",$N181="Unknown",$AM181="Missing discount imputed as 0"),"Warning","Clean"))</x:f>
        <x:v>Clean</x:v>
      </x:c>
      <x:c r="AF181" s="80" t="str">
        <x:v>Pass</x:v>
      </x:c>
      <x:c r="AG181" s="80" t="str">
        <x:v>No text cleanup required</x:v>
      </x:c>
      <x:c r="AH181" s="12" t="str">
        <x:f>IF(C181="","Missing date",IF(ISNUMBER(C181),"Valid","Unrecognized/invalid date"))</x:f>
        <x:v>Valid</x:v>
      </x:c>
      <x:c r="AI181" s="12" t="str">
        <x:f>IF(D181="","Missing date",IF(ISNUMBER(D181),"Valid","Unrecognized/invalid date"))</x:f>
        <x:v>Valid</x:v>
      </x:c>
      <x:c r="AJ181" s="12" t="str">
        <x:v>Valid</x:v>
      </x:c>
      <x:c r="AK181" s="12" t="str">
        <x:v>Pass</x:v>
      </x:c>
      <x:c r="AL181" s="12" t="str">
        <x:v>Refunded payment – separately summarized</x:v>
      </x:c>
      <x:c r="AM181" s="12" t="str">
        <x:v>Valid</x:v>
      </x:c>
      <x:c r="AN181" s="12" t="str">
        <x:v>Exclude from completed sales</x:v>
      </x:c>
      <x:c r="AO181" s="12" t="str">
        <x:v>Include in refunded summary</x:v>
      </x:c>
      <x:c r="AP181" s="37" t="n">
        <x:f>IF(LEFT($AM181,7)="Invalid","",IF($AM181="Missing discount imputed as 0",IF(AND(COUNT($O181,$P181,$R181,$S181)=4,$O181&gt;0,$P181&gt;=0,$R181&gt;=0,$S181&gt;=0),0,""),IF(AND(ISNUMBER($Q181),$Q181&gt;=0,$Q181&lt;=0.5),$Q181,"")))</x:f>
        <x:v>0.25</x:v>
      </x:c>
      <x:c r="AQ181" s="152" t="n">
        <x:f>IF(OR($W181="",NOT(ISNUMBER($R181))),"",ROUND($R181-$W181,2))</x:f>
        <x:v>0</x:v>
      </x:c>
      <x:c r="AR181" s="152" t="n">
        <x:f>IF(OR($X181="",NOT(ISNUMBER($T181))),"",ROUND($T181-$X181,2))</x:f>
        <x:v>0</x:v>
      </x:c>
      <x:c r="AS181" s="14" t="str">
        <x:v>OK</x:v>
      </x:c>
    </x:row>
    <x:row r="182">
      <x:c r="A182" s="80" t="n">
        <x:v>182</x:v>
      </x:c>
      <x:c r="B182" s="80" t="str">
        <x:v>ORD-2024-10181</x:v>
      </x:c>
      <x:c r="C182" s="81" t="n">
        <x:v>45530</x:v>
      </x:c>
      <x:c r="D182" s="81" t="n">
        <x:v>45530</x:v>
      </x:c>
      <x:c r="E182" s="80" t="str">
        <x:v>CUST-3787</x:v>
      </x:c>
      <x:c r="F182" s="80" t="str">
        <x:v>Mira Das</x:v>
      </x:c>
      <x:c r="G182" s="80" t="str">
        <x:v>Home Office</x:v>
      </x:c>
      <x:c r="H182" s="80" t="str">
        <x:v>North</x:v>
      </x:c>
      <x:c r="I182" s="80" t="str">
        <x:v>Uttar Pradesh</x:v>
      </x:c>
      <x:c r="J182" s="80" t="str">
        <x:v>Noida</x:v>
      </x:c>
      <x:c r="K182" s="80" t="str">
        <x:v>Office Supplies</x:v>
      </x:c>
      <x:c r="L182" s="80" t="str">
        <x:v>Binders</x:v>
      </x:c>
      <x:c r="M182" s="80" t="str">
        <x:v>Prime Binders 735</x:v>
      </x:c>
      <x:c r="N182" s="80" t="str">
        <x:v>First Class</x:v>
      </x:c>
      <x:c r="O182" s="82" t="n">
        <x:v>7</x:v>
      </x:c>
      <x:c r="P182" s="83" t="n">
        <x:v>844.59</x:v>
      </x:c>
      <x:c r="Q182" s="84" t="n">
        <x:v>0.1</x:v>
      </x:c>
      <x:c r="R182" s="83" t="n">
        <x:v>5320.92</x:v>
      </x:c>
      <x:c r="S182" s="83" t="n">
        <x:v>3041.5</x:v>
      </x:c>
      <x:c r="T182" s="83" t="n">
        <x:v>2279.42</x:v>
      </x:c>
      <x:c r="U182" s="83" t="str">
        <x:v>Paid</x:v>
      </x:c>
      <x:c r="V182" s="83" t="str">
        <x:v>Completed</x:v>
      </x:c>
      <x:c r="W182" s="151" t="n">
        <x:f>IF(OR(NOT(ISNUMBER($AP182)),COUNT($O182,$P182)&lt;2,$O182&lt;=0,$P182&lt;0),"",ROUND($O182*$P182*(1-$AP182),2))</x:f>
        <x:v>5320.92</x:v>
      </x:c>
      <x:c r="X182" s="151" t="n">
        <x:f>IF(OR(NOT(ISNUMBER($W182)),NOT(ISNUMBER($S182))),"",ROUND($W182-$S182,2))</x:f>
        <x:v>2279.42</x:v>
      </x:c>
      <x:c r="Y182" s="85" t="n">
        <x:f>IF(OR(NOT(ISNUMBER($W182)),NOT(ISNUMBER($X182)),$W182=0),"",ROUND($X182/$W182,4))</x:f>
        <x:v>0.4284</x:v>
      </x:c>
      <x:c r="Z182" s="82" t="n">
        <x:f>IF(OR($AH182&lt;&gt;"Valid",$AI182&lt;&gt;"Valid"),"",INT($D182-$C182))</x:f>
        <x:v>0</x:v>
      </x:c>
      <x:c r="AA182" s="86" t="str">
        <x:f>IF($AH182&lt;&gt;"Valid","",TEXT($C182,"mmmm"))</x:f>
        <x:v>August</x:v>
      </x:c>
      <x:c r="AB182" s="82" t="n">
        <x:f>IF($AH182&lt;&gt;"Valid","",YEAR($C182))</x:f>
        <x:v>2024</x:v>
      </x:c>
      <x:c r="AC182" s="80" t="str">
        <x:v>Consistent</x:v>
      </x:c>
      <x:c r="AD182" s="80" t="str">
        <x:v>Eligible</x:v>
      </x:c>
      <x:c r="AE182" s="80" t="str">
        <x:f>IF(OR($AH182&lt;&gt;"Valid",$AI182&lt;&gt;"Valid",$AJ182&lt;&gt;"Valid",LEFT($AM182,7)="Invalid",IFERROR(ABS($AQ182)&gt;0.01,FALSE),IFERROR(ABS($AR182)&gt;0.01,FALSE),COUNTIF($AS182,"*Conflicting duplicate*")&gt;0,COUNTIF($AS182,"*Completed order not paid*")&gt;0),"Invalid",IF(OR($H182="Unknown",$N182="Unknown",$AM182="Missing discount imputed as 0"),"Warning","Clean"))</x:f>
        <x:v>Clean</x:v>
      </x:c>
      <x:c r="AF182" s="80" t="str">
        <x:v>Cleaned</x:v>
      </x:c>
      <x:c r="AG182" s="80" t="str">
        <x:v>category: Case standardization</x:v>
      </x:c>
      <x:c r="AH182" s="12" t="str">
        <x:f>IF(C182="","Missing date",IF(ISNUMBER(C182),"Valid","Unrecognized/invalid date"))</x:f>
        <x:v>Valid</x:v>
      </x:c>
      <x:c r="AI182" s="12" t="str">
        <x:f>IF(D182="","Missing date",IF(ISNUMBER(D182),"Valid","Unrecognized/invalid date"))</x:f>
        <x:v>Valid</x:v>
      </x:c>
      <x:c r="AJ182" s="12" t="str">
        <x:v>Valid</x:v>
      </x:c>
      <x:c r="AK182" s="12" t="str">
        <x:v>Pass</x:v>
      </x:c>
      <x:c r="AL182" s="12" t="str">
        <x:v>None</x:v>
      </x:c>
      <x:c r="AM182" s="12" t="str">
        <x:v>Valid</x:v>
      </x:c>
      <x:c r="AN182" s="12" t="str">
        <x:v>Include in completed sales</x:v>
      </x:c>
      <x:c r="AO182" s="12" t="str">
        <x:v>Not a refunded record</x:v>
      </x:c>
      <x:c r="AP182" s="37" t="n">
        <x:f>IF(LEFT($AM182,7)="Invalid","",IF($AM182="Missing discount imputed as 0",IF(AND(COUNT($O182,$P182,$R182,$S182)=4,$O182&gt;0,$P182&gt;=0,$R182&gt;=0,$S182&gt;=0),0,""),IF(AND(ISNUMBER($Q182),$Q182&gt;=0,$Q182&lt;=0.5),$Q182,"")))</x:f>
        <x:v>0.1</x:v>
      </x:c>
      <x:c r="AQ182" s="152" t="n">
        <x:f>IF(OR($W182="",NOT(ISNUMBER($R182))),"",ROUND($R182-$W182,2))</x:f>
        <x:v>0</x:v>
      </x:c>
      <x:c r="AR182" s="152" t="n">
        <x:f>IF(OR($X182="",NOT(ISNUMBER($T182))),"",ROUND($T182-$X182,2))</x:f>
        <x:v>0</x:v>
      </x:c>
      <x:c r="AS182" s="14" t="str">
        <x:v>OK</x:v>
      </x:c>
    </x:row>
    <x:row r="183">
      <x:c r="A183" s="80" t="n">
        <x:v>183</x:v>
      </x:c>
      <x:c r="B183" s="80" t="str">
        <x:v>ORD-2025-10182</x:v>
      </x:c>
      <x:c r="C183" s="81" t="n">
        <x:v>45909</x:v>
      </x:c>
      <x:c r="D183" s="81" t="n">
        <x:v>45910</x:v>
      </x:c>
      <x:c r="E183" s="80" t="str">
        <x:v>CUST-5119</x:v>
      </x:c>
      <x:c r="F183" s="80" t="str">
        <x:v>Priya Menon</x:v>
      </x:c>
      <x:c r="G183" s="80" t="str">
        <x:v>Home Office</x:v>
      </x:c>
      <x:c r="H183" s="80" t="str">
        <x:v>South</x:v>
      </x:c>
      <x:c r="I183" s="80" t="str">
        <x:v>Tamil Nadu</x:v>
      </x:c>
      <x:c r="J183" s="80" t="str">
        <x:v>Chennai</x:v>
      </x:c>
      <x:c r="K183" s="80" t="str">
        <x:v>Office Supplies</x:v>
      </x:c>
      <x:c r="L183" s="80" t="str">
        <x:v>Art</x:v>
      </x:c>
      <x:c r="M183" s="80" t="str">
        <x:v>Pro Art 587</x:v>
      </x:c>
      <x:c r="N183" s="80" t="str">
        <x:v>Second Class</x:v>
      </x:c>
      <x:c r="O183" s="82" t="n">
        <x:v>4</x:v>
      </x:c>
      <x:c r="P183" s="83" t="n">
        <x:v>2551.45</x:v>
      </x:c>
      <x:c r="Q183" s="84" t="n">
        <x:v>0</x:v>
      </x:c>
      <x:c r="R183" s="83" t="n">
        <x:v>10205.8</x:v>
      </x:c>
      <x:c r="S183" s="83" t="n">
        <x:v>5986.31</x:v>
      </x:c>
      <x:c r="T183" s="83" t="n">
        <x:v>4219.49</x:v>
      </x:c>
      <x:c r="U183" s="83" t="str">
        <x:v>Paid</x:v>
      </x:c>
      <x:c r="V183" s="83" t="str">
        <x:v>Completed</x:v>
      </x:c>
      <x:c r="W183" s="151" t="n">
        <x:f>IF(OR(NOT(ISNUMBER($AP183)),COUNT($O183,$P183)&lt;2,$O183&lt;=0,$P183&lt;0),"",ROUND($O183*$P183*(1-$AP183),2))</x:f>
        <x:v>10205.8</x:v>
      </x:c>
      <x:c r="X183" s="151" t="n">
        <x:f>IF(OR(NOT(ISNUMBER($W183)),NOT(ISNUMBER($S183))),"",ROUND($W183-$S183,2))</x:f>
        <x:v>4219.49</x:v>
      </x:c>
      <x:c r="Y183" s="85" t="n">
        <x:f>IF(OR(NOT(ISNUMBER($W183)),NOT(ISNUMBER($X183)),$W183=0),"",ROUND($X183/$W183,4))</x:f>
        <x:v>0.4134</x:v>
      </x:c>
      <x:c r="Z183" s="82" t="n">
        <x:f>IF(OR($AH183&lt;&gt;"Valid",$AI183&lt;&gt;"Valid"),"",INT($D183-$C183))</x:f>
        <x:v>1</x:v>
      </x:c>
      <x:c r="AA183" s="86" t="str">
        <x:f>IF($AH183&lt;&gt;"Valid","",TEXT($C183,"mmmm"))</x:f>
        <x:v>September</x:v>
      </x:c>
      <x:c r="AB183" s="82" t="n">
        <x:f>IF($AH183&lt;&gt;"Valid","",YEAR($C183))</x:f>
        <x:v>2025</x:v>
      </x:c>
      <x:c r="AC183" s="80" t="str">
        <x:v>Consistent</x:v>
      </x:c>
      <x:c r="AD183" s="80" t="str">
        <x:v>Eligible</x:v>
      </x:c>
      <x:c r="AE183" s="80" t="str">
        <x:f>IF(OR($AH183&lt;&gt;"Valid",$AI183&lt;&gt;"Valid",$AJ183&lt;&gt;"Valid",LEFT($AM183,7)="Invalid",IFERROR(ABS($AQ183)&gt;0.01,FALSE),IFERROR(ABS($AR183)&gt;0.01,FALSE),COUNTIF($AS183,"*Conflicting duplicate*")&gt;0,COUNTIF($AS183,"*Completed order not paid*")&gt;0),"Invalid",IF(OR($H183="Unknown",$N183="Unknown",$AM183="Missing discount imputed as 0"),"Warning","Clean"))</x:f>
        <x:v>Clean</x:v>
      </x:c>
      <x:c r="AF183" s="80" t="str">
        <x:v>Pass</x:v>
      </x:c>
      <x:c r="AG183" s="80" t="str">
        <x:v>No text cleanup required</x:v>
      </x:c>
      <x:c r="AH183" s="12" t="str">
        <x:f>IF(C183="","Missing date",IF(ISNUMBER(C183),"Valid","Unrecognized/invalid date"))</x:f>
        <x:v>Valid</x:v>
      </x:c>
      <x:c r="AI183" s="12" t="str">
        <x:f>IF(D183="","Missing date",IF(ISNUMBER(D183),"Valid","Unrecognized/invalid date"))</x:f>
        <x:v>Valid</x:v>
      </x:c>
      <x:c r="AJ183" s="12" t="str">
        <x:v>Valid</x:v>
      </x:c>
      <x:c r="AK183" s="12" t="str">
        <x:v>Pass</x:v>
      </x:c>
      <x:c r="AL183" s="12" t="str">
        <x:v>None</x:v>
      </x:c>
      <x:c r="AM183" s="12" t="str">
        <x:v>Valid</x:v>
      </x:c>
      <x:c r="AN183" s="12" t="str">
        <x:v>Include in completed sales</x:v>
      </x:c>
      <x:c r="AO183" s="12" t="str">
        <x:v>Not a refunded record</x:v>
      </x:c>
      <x:c r="AP183" s="37" t="n">
        <x:f>IF(LEFT($AM183,7)="Invalid","",IF($AM183="Missing discount imputed as 0",IF(AND(COUNT($O183,$P183,$R183,$S183)=4,$O183&gt;0,$P183&gt;=0,$R183&gt;=0,$S183&gt;=0),0,""),IF(AND(ISNUMBER($Q183),$Q183&gt;=0,$Q183&lt;=0.5),$Q183,"")))</x:f>
        <x:v>0</x:v>
      </x:c>
      <x:c r="AQ183" s="152" t="n">
        <x:f>IF(OR($W183="",NOT(ISNUMBER($R183))),"",ROUND($R183-$W183,2))</x:f>
        <x:v>0</x:v>
      </x:c>
      <x:c r="AR183" s="152" t="n">
        <x:f>IF(OR($X183="",NOT(ISNUMBER($T183))),"",ROUND($T183-$X183,2))</x:f>
        <x:v>0</x:v>
      </x:c>
      <x:c r="AS183" s="14" t="str">
        <x:v>OK</x:v>
      </x:c>
    </x:row>
    <x:row r="184">
      <x:c r="A184" s="80" t="n">
        <x:v>184</x:v>
      </x:c>
      <x:c r="B184" s="80" t="str">
        <x:v>ORD-2024-10183</x:v>
      </x:c>
      <x:c r="C184" s="81" t="n">
        <x:v>45581</x:v>
      </x:c>
      <x:c r="D184" s="81" t="n">
        <x:v>45581</x:v>
      </x:c>
      <x:c r="E184" s="80" t="str">
        <x:v>CUST-4121</x:v>
      </x:c>
      <x:c r="F184" s="80" t="str">
        <x:v>Ananya Rao</x:v>
      </x:c>
      <x:c r="G184" s="80" t="str">
        <x:v>Home Office</x:v>
      </x:c>
      <x:c r="H184" s="80" t="str">
        <x:v>East</x:v>
      </x:c>
      <x:c r="I184" s="80" t="str">
        <x:v>Bihar</x:v>
      </x:c>
      <x:c r="J184" s="80" t="str">
        <x:v>Patna</x:v>
      </x:c>
      <x:c r="K184" s="80" t="str">
        <x:v>Technology</x:v>
      </x:c>
      <x:c r="L184" s="80" t="str">
        <x:v>Machines</x:v>
      </x:c>
      <x:c r="M184" s="80" t="str">
        <x:v>Basic Machines 575</x:v>
      </x:c>
      <x:c r="N184" s="80" t="str">
        <x:v>Standard Class</x:v>
      </x:c>
      <x:c r="O184" s="82" t="n">
        <x:v>7</x:v>
      </x:c>
      <x:c r="P184" s="83" t="n">
        <x:v>775.77</x:v>
      </x:c>
      <x:c r="Q184" s="84" t="n">
        <x:v>0</x:v>
      </x:c>
      <x:c r="R184" s="83" t="n">
        <x:v>5430.39</x:v>
      </x:c>
      <x:c r="S184" s="83" t="n">
        <x:v>3707.66</x:v>
      </x:c>
      <x:c r="T184" s="83" t="n">
        <x:v>1722.73</x:v>
      </x:c>
      <x:c r="U184" s="83" t="str">
        <x:v>Paid</x:v>
      </x:c>
      <x:c r="V184" s="83" t="str">
        <x:v>Completed</x:v>
      </x:c>
      <x:c r="W184" s="151" t="n">
        <x:f>IF(OR(NOT(ISNUMBER($AP184)),COUNT($O184,$P184)&lt;2,$O184&lt;=0,$P184&lt;0),"",ROUND($O184*$P184*(1-$AP184),2))</x:f>
        <x:v>5430.39</x:v>
      </x:c>
      <x:c r="X184" s="151" t="n">
        <x:f>IF(OR(NOT(ISNUMBER($W184)),NOT(ISNUMBER($S184))),"",ROUND($W184-$S184,2))</x:f>
        <x:v>1722.73</x:v>
      </x:c>
      <x:c r="Y184" s="85" t="n">
        <x:f>IF(OR(NOT(ISNUMBER($W184)),NOT(ISNUMBER($X184)),$W184=0),"",ROUND($X184/$W184,4))</x:f>
        <x:v>0.3172</x:v>
      </x:c>
      <x:c r="Z184" s="82" t="n">
        <x:f>IF(OR($AH184&lt;&gt;"Valid",$AI184&lt;&gt;"Valid"),"",INT($D184-$C184))</x:f>
        <x:v>0</x:v>
      </x:c>
      <x:c r="AA184" s="86" t="str">
        <x:f>IF($AH184&lt;&gt;"Valid","",TEXT($C184,"mmmm"))</x:f>
        <x:v>October</x:v>
      </x:c>
      <x:c r="AB184" s="82" t="n">
        <x:f>IF($AH184&lt;&gt;"Valid","",YEAR($C184))</x:f>
        <x:v>2024</x:v>
      </x:c>
      <x:c r="AC184" s="80" t="str">
        <x:v>Consistent</x:v>
      </x:c>
      <x:c r="AD184" s="80" t="str">
        <x:v>Eligible</x:v>
      </x:c>
      <x:c r="AE184" s="80" t="str">
        <x:f>IF(OR($AH184&lt;&gt;"Valid",$AI184&lt;&gt;"Valid",$AJ184&lt;&gt;"Valid",LEFT($AM184,7)="Invalid",IFERROR(ABS($AQ184)&gt;0.01,FALSE),IFERROR(ABS($AR184)&gt;0.01,FALSE),COUNTIF($AS184,"*Conflicting duplicate*")&gt;0,COUNTIF($AS184,"*Completed order not paid*")&gt;0),"Invalid",IF(OR($H184="Unknown",$N184="Unknown",$AM184="Missing discount imputed as 0"),"Warning","Clean"))</x:f>
        <x:v>Clean</x:v>
      </x:c>
      <x:c r="AF184" s="80" t="str">
        <x:v>Pass</x:v>
      </x:c>
      <x:c r="AG184" s="80" t="str">
        <x:v>No text cleanup required</x:v>
      </x:c>
      <x:c r="AH184" s="12" t="str">
        <x:f>IF(C184="","Missing date",IF(ISNUMBER(C184),"Valid","Unrecognized/invalid date"))</x:f>
        <x:v>Valid</x:v>
      </x:c>
      <x:c r="AI184" s="12" t="str">
        <x:f>IF(D184="","Missing date",IF(ISNUMBER(D184),"Valid","Unrecognized/invalid date"))</x:f>
        <x:v>Valid</x:v>
      </x:c>
      <x:c r="AJ184" s="12" t="str">
        <x:v>Valid</x:v>
      </x:c>
      <x:c r="AK184" s="12" t="str">
        <x:v>Pass</x:v>
      </x:c>
      <x:c r="AL184" s="12" t="str">
        <x:v>None</x:v>
      </x:c>
      <x:c r="AM184" s="12" t="str">
        <x:v>Valid</x:v>
      </x:c>
      <x:c r="AN184" s="12" t="str">
        <x:v>Include in completed sales</x:v>
      </x:c>
      <x:c r="AO184" s="12" t="str">
        <x:v>Not a refunded record</x:v>
      </x:c>
      <x:c r="AP184" s="37" t="n">
        <x:f>IF(LEFT($AM184,7)="Invalid","",IF($AM184="Missing discount imputed as 0",IF(AND(COUNT($O184,$P184,$R184,$S184)=4,$O184&gt;0,$P184&gt;=0,$R184&gt;=0,$S184&gt;=0),0,""),IF(AND(ISNUMBER($Q184),$Q184&gt;=0,$Q184&lt;=0.5),$Q184,"")))</x:f>
        <x:v>0</x:v>
      </x:c>
      <x:c r="AQ184" s="152" t="n">
        <x:f>IF(OR($W184="",NOT(ISNUMBER($R184))),"",ROUND($R184-$W184,2))</x:f>
        <x:v>0</x:v>
      </x:c>
      <x:c r="AR184" s="152" t="n">
        <x:f>IF(OR($X184="",NOT(ISNUMBER($T184))),"",ROUND($T184-$X184,2))</x:f>
        <x:v>0</x:v>
      </x:c>
      <x:c r="AS184" s="14" t="str">
        <x:v>OK</x:v>
      </x:c>
    </x:row>
    <x:row r="185">
      <x:c r="A185" s="80" t="n">
        <x:v>185</x:v>
      </x:c>
      <x:c r="B185" s="80" t="str">
        <x:v>ORD-2025-10184</x:v>
      </x:c>
      <x:c r="C185" s="81" t="n">
        <x:v>45832</x:v>
      </x:c>
      <x:c r="D185" s="81" t="n">
        <x:v>45835</x:v>
      </x:c>
      <x:c r="E185" s="80" t="str">
        <x:v>CUST-3366</x:v>
      </x:c>
      <x:c r="F185" s="80" t="str">
        <x:v>Vikram Iyer</x:v>
      </x:c>
      <x:c r="G185" s="80" t="str">
        <x:v>Home Office</x:v>
      </x:c>
      <x:c r="H185" s="80" t="str">
        <x:v>South</x:v>
      </x:c>
      <x:c r="I185" s="80" t="str">
        <x:v>Telangana</x:v>
      </x:c>
      <x:c r="J185" s="80" t="str">
        <x:v>Hyderabad</x:v>
      </x:c>
      <x:c r="K185" s="80" t="str">
        <x:v>Technology</x:v>
      </x:c>
      <x:c r="L185" s="80" t="str">
        <x:v>Copiers</x:v>
      </x:c>
      <x:c r="M185" s="80" t="str">
        <x:v>Elite Copiers 788</x:v>
      </x:c>
      <x:c r="N185" s="80" t="str">
        <x:v>Standard Class</x:v>
      </x:c>
      <x:c r="O185" s="82" t="n">
        <x:v>7</x:v>
      </x:c>
      <x:c r="P185" s="83" t="n">
        <x:v>2304.86</x:v>
      </x:c>
      <x:c r="Q185" s="84" t="n">
        <x:v>0.2</x:v>
      </x:c>
      <x:c r="R185" s="83" t="n">
        <x:v>12907.22</x:v>
      </x:c>
      <x:c r="S185" s="83" t="n">
        <x:v>8327.89</x:v>
      </x:c>
      <x:c r="T185" s="83" t="n">
        <x:v>4579.33</x:v>
      </x:c>
      <x:c r="U185" s="83" t="str">
        <x:v>Paid</x:v>
      </x:c>
      <x:c r="V185" s="83" t="str">
        <x:v>Returned</x:v>
      </x:c>
      <x:c r="W185" s="151" t="n">
        <x:f>IF(OR(NOT(ISNUMBER($AP185)),COUNT($O185,$P185)&lt;2,$O185&lt;=0,$P185&lt;0),"",ROUND($O185*$P185*(1-$AP185),2))</x:f>
        <x:v>12907.22</x:v>
      </x:c>
      <x:c r="X185" s="151" t="n">
        <x:f>IF(OR(NOT(ISNUMBER($W185)),NOT(ISNUMBER($S185))),"",ROUND($W185-$S185,2))</x:f>
        <x:v>4579.33</x:v>
      </x:c>
      <x:c r="Y185" s="85" t="n">
        <x:f>IF(OR(NOT(ISNUMBER($W185)),NOT(ISNUMBER($X185)),$W185=0),"",ROUND($X185/$W185,4))</x:f>
        <x:v>0.3548</x:v>
      </x:c>
      <x:c r="Z185" s="82" t="n">
        <x:f>IF(OR($AH185&lt;&gt;"Valid",$AI185&lt;&gt;"Valid"),"",INT($D185-$C185))</x:f>
        <x:v>3</x:v>
      </x:c>
      <x:c r="AA185" s="86" t="str">
        <x:f>IF($AH185&lt;&gt;"Valid","",TEXT($C185,"mmmm"))</x:f>
        <x:v>June</x:v>
      </x:c>
      <x:c r="AB185" s="82" t="n">
        <x:f>IF($AH185&lt;&gt;"Valid","",YEAR($C185))</x:f>
        <x:v>2025</x:v>
      </x:c>
      <x:c r="AC185" s="80" t="str">
        <x:v>Consistent</x:v>
      </x:c>
      <x:c r="AD185" s="80" t="str">
        <x:v>Excluded</x:v>
      </x:c>
      <x:c r="AE185" s="80" t="str">
        <x:f>IF(OR($AH185&lt;&gt;"Valid",$AI185&lt;&gt;"Valid",$AJ185&lt;&gt;"Valid",LEFT($AM185,7)="Invalid",IFERROR(ABS($AQ185)&gt;0.01,FALSE),IFERROR(ABS($AR185)&gt;0.01,FALSE),COUNTIF($AS185,"*Conflicting duplicate*")&gt;0,COUNTIF($AS185,"*Completed order not paid*")&gt;0),"Invalid",IF(OR($H185="Unknown",$N185="Unknown",$AM185="Missing discount imputed as 0"),"Warning","Clean"))</x:f>
        <x:v>Clean</x:v>
      </x:c>
      <x:c r="AF185" s="80" t="str">
        <x:v>Pass</x:v>
      </x:c>
      <x:c r="AG185" s="80" t="str">
        <x:v>No text cleanup required</x:v>
      </x:c>
      <x:c r="AH185" s="12" t="str">
        <x:f>IF(C185="","Missing date",IF(ISNUMBER(C185),"Valid","Unrecognized/invalid date"))</x:f>
        <x:v>Valid</x:v>
      </x:c>
      <x:c r="AI185" s="12" t="str">
        <x:f>IF(D185="","Missing date",IF(ISNUMBER(D185),"Valid","Unrecognized/invalid date"))</x:f>
        <x:v>Valid</x:v>
      </x:c>
      <x:c r="AJ185" s="12" t="str">
        <x:v>Valid</x:v>
      </x:c>
      <x:c r="AK185" s="12" t="str">
        <x:v>Pass</x:v>
      </x:c>
      <x:c r="AL185" s="12" t="str">
        <x:v>None</x:v>
      </x:c>
      <x:c r="AM185" s="12" t="str">
        <x:v>Valid</x:v>
      </x:c>
      <x:c r="AN185" s="12" t="str">
        <x:v>Exclude from completed sales</x:v>
      </x:c>
      <x:c r="AO185" s="12" t="str">
        <x:v>Not a refunded record</x:v>
      </x:c>
      <x:c r="AP185" s="37" t="n">
        <x:f>IF(LEFT($AM185,7)="Invalid","",IF($AM185="Missing discount imputed as 0",IF(AND(COUNT($O185,$P185,$R185,$S185)=4,$O185&gt;0,$P185&gt;=0,$R185&gt;=0,$S185&gt;=0),0,""),IF(AND(ISNUMBER($Q185),$Q185&gt;=0,$Q185&lt;=0.5),$Q185,"")))</x:f>
        <x:v>0.2</x:v>
      </x:c>
      <x:c r="AQ185" s="152" t="n">
        <x:f>IF(OR($W185="",NOT(ISNUMBER($R185))),"",ROUND($R185-$W185,2))</x:f>
        <x:v>0</x:v>
      </x:c>
      <x:c r="AR185" s="152" t="n">
        <x:f>IF(OR($X185="",NOT(ISNUMBER($T185))),"",ROUND($T185-$X185,2))</x:f>
        <x:v>0</x:v>
      </x:c>
      <x:c r="AS185" s="14" t="str">
        <x:v>OK</x:v>
      </x:c>
    </x:row>
    <x:row r="186">
      <x:c r="A186" s="80" t="n">
        <x:v>186</x:v>
      </x:c>
      <x:c r="B186" s="80" t="str">
        <x:v>ORD-2024-10185</x:v>
      </x:c>
      <x:c r="C186" s="81" t="n">
        <x:v>45384</x:v>
      </x:c>
      <x:c r="D186" s="81" t="n">
        <x:v>45388</x:v>
      </x:c>
      <x:c r="E186" s="80" t="str">
        <x:v>CUST-1358</x:v>
      </x:c>
      <x:c r="F186" s="80" t="str">
        <x:v>Vikram Iyer</x:v>
      </x:c>
      <x:c r="G186" s="80" t="str">
        <x:v>Corporate</x:v>
      </x:c>
      <x:c r="H186" s="80" t="str">
        <x:v>West</x:v>
      </x:c>
      <x:c r="I186" s="80" t="str">
        <x:v>Madhya Pradesh</x:v>
      </x:c>
      <x:c r="J186" s="80" t="str">
        <x:v>Indore</x:v>
      </x:c>
      <x:c r="K186" s="80" t="str">
        <x:v>Furniture</x:v>
      </x:c>
      <x:c r="L186" s="80" t="str">
        <x:v>Bookcases</x:v>
      </x:c>
      <x:c r="M186" s="80" t="str">
        <x:v>Max Bookcases 472</x:v>
      </x:c>
      <x:c r="N186" s="80" t="str">
        <x:v>Standard Class</x:v>
      </x:c>
      <x:c r="O186" s="82" t="n">
        <x:v>2</x:v>
      </x:c>
      <x:c r="P186" s="83" t="n">
        <x:v>888.98</x:v>
      </x:c>
      <x:c r="Q186" s="84" t="n">
        <x:v>0</x:v>
      </x:c>
      <x:c r="R186" s="83" t="n">
        <x:v>1777.96</x:v>
      </x:c>
      <x:c r="S186" s="83" t="n">
        <x:v>1021.16</x:v>
      </x:c>
      <x:c r="T186" s="83" t="n">
        <x:v>756.8</x:v>
      </x:c>
      <x:c r="U186" s="83" t="str">
        <x:v>Refunded</x:v>
      </x:c>
      <x:c r="V186" s="83" t="str">
        <x:v>Returned</x:v>
      </x:c>
      <x:c r="W186" s="151" t="n">
        <x:f>IF(OR(NOT(ISNUMBER($AP186)),COUNT($O186,$P186)&lt;2,$O186&lt;=0,$P186&lt;0),"",ROUND($O186*$P186*(1-$AP186),2))</x:f>
        <x:v>1777.96</x:v>
      </x:c>
      <x:c r="X186" s="151" t="n">
        <x:f>IF(OR(NOT(ISNUMBER($W186)),NOT(ISNUMBER($S186))),"",ROUND($W186-$S186,2))</x:f>
        <x:v>756.8</x:v>
      </x:c>
      <x:c r="Y186" s="85" t="n">
        <x:f>IF(OR(NOT(ISNUMBER($W186)),NOT(ISNUMBER($X186)),$W186=0),"",ROUND($X186/$W186,4))</x:f>
        <x:v>0.4257</x:v>
      </x:c>
      <x:c r="Z186" s="82" t="n">
        <x:f>IF(OR($AH186&lt;&gt;"Valid",$AI186&lt;&gt;"Valid"),"",INT($D186-$C186))</x:f>
        <x:v>4</x:v>
      </x:c>
      <x:c r="AA186" s="86" t="str">
        <x:f>IF($AH186&lt;&gt;"Valid","",TEXT($C186,"mmmm"))</x:f>
        <x:v>April</x:v>
      </x:c>
      <x:c r="AB186" s="82" t="n">
        <x:f>IF($AH186&lt;&gt;"Valid","",YEAR($C186))</x:f>
        <x:v>2024</x:v>
      </x:c>
      <x:c r="AC186" s="80" t="str">
        <x:v>Refunded (separately summarized)</x:v>
      </x:c>
      <x:c r="AD186" s="80" t="str">
        <x:v>Excluded</x:v>
      </x:c>
      <x:c r="AE186" s="80" t="str">
        <x:f>IF(OR($AH186&lt;&gt;"Valid",$AI186&lt;&gt;"Valid",$AJ186&lt;&gt;"Valid",LEFT($AM186,7)="Invalid",IFERROR(ABS($AQ186)&gt;0.01,FALSE),IFERROR(ABS($AR186)&gt;0.01,FALSE),COUNTIF($AS186,"*Conflicting duplicate*")&gt;0,COUNTIF($AS186,"*Completed order not paid*")&gt;0),"Invalid",IF(OR($H186="Unknown",$N186="Unknown",$AM186="Missing discount imputed as 0"),"Warning","Clean"))</x:f>
        <x:v>Clean</x:v>
      </x:c>
      <x:c r="AF186" s="80" t="str">
        <x:v>Pass</x:v>
      </x:c>
      <x:c r="AG186" s="80" t="str">
        <x:v>No text cleanup required</x:v>
      </x:c>
      <x:c r="AH186" s="12" t="str">
        <x:f>IF(C186="","Missing date",IF(ISNUMBER(C186),"Valid","Unrecognized/invalid date"))</x:f>
        <x:v>Valid</x:v>
      </x:c>
      <x:c r="AI186" s="12" t="str">
        <x:f>IF(D186="","Missing date",IF(ISNUMBER(D186),"Valid","Unrecognized/invalid date"))</x:f>
        <x:v>Valid</x:v>
      </x:c>
      <x:c r="AJ186" s="12" t="str">
        <x:v>Valid</x:v>
      </x:c>
      <x:c r="AK186" s="12" t="str">
        <x:v>Pass</x:v>
      </x:c>
      <x:c r="AL186" s="12" t="str">
        <x:v>Refunded payment – separately summarized</x:v>
      </x:c>
      <x:c r="AM186" s="12" t="str">
        <x:v>Valid</x:v>
      </x:c>
      <x:c r="AN186" s="12" t="str">
        <x:v>Exclude from completed sales</x:v>
      </x:c>
      <x:c r="AO186" s="12" t="str">
        <x:v>Include in refunded summary</x:v>
      </x:c>
      <x:c r="AP186" s="37" t="n">
        <x:f>IF(LEFT($AM186,7)="Invalid","",IF($AM186="Missing discount imputed as 0",IF(AND(COUNT($O186,$P186,$R186,$S186)=4,$O186&gt;0,$P186&gt;=0,$R186&gt;=0,$S186&gt;=0),0,""),IF(AND(ISNUMBER($Q186),$Q186&gt;=0,$Q186&lt;=0.5),$Q186,"")))</x:f>
        <x:v>0</x:v>
      </x:c>
      <x:c r="AQ186" s="152" t="n">
        <x:f>IF(OR($W186="",NOT(ISNUMBER($R186))),"",ROUND($R186-$W186,2))</x:f>
        <x:v>0</x:v>
      </x:c>
      <x:c r="AR186" s="152" t="n">
        <x:f>IF(OR($X186="",NOT(ISNUMBER($T186))),"",ROUND($T186-$X186,2))</x:f>
        <x:v>0</x:v>
      </x:c>
      <x:c r="AS186" s="14" t="str">
        <x:v>OK</x:v>
      </x:c>
    </x:row>
    <x:row r="187">
      <x:c r="A187" s="80" t="n">
        <x:v>187</x:v>
      </x:c>
      <x:c r="B187" s="80" t="str">
        <x:v>ORD-2024-10186</x:v>
      </x:c>
      <x:c r="C187" s="81" t="n">
        <x:v>45601</x:v>
      </x:c>
      <x:c r="D187" s="81" t="n">
        <x:v>45609</x:v>
      </x:c>
      <x:c r="E187" s="80" t="str">
        <x:v>CUST-4968</x:v>
      </x:c>
      <x:c r="F187" s="80" t="str">
        <x:v>Arjun Bose</x:v>
      </x:c>
      <x:c r="G187" s="80" t="str">
        <x:v>Consumer</x:v>
      </x:c>
      <x:c r="H187" s="80" t="str">
        <x:v>Unknown</x:v>
      </x:c>
      <x:c r="I187" s="80" t="str">
        <x:v>Punjab</x:v>
      </x:c>
      <x:c r="J187" s="80" t="str">
        <x:v>Ludhiana</x:v>
      </x:c>
      <x:c r="K187" s="80" t="str">
        <x:v>Office Supplies</x:v>
      </x:c>
      <x:c r="L187" s="80" t="str">
        <x:v>Labels</x:v>
      </x:c>
      <x:c r="M187" s="80" t="str">
        <x:v>Smart Labels 475</x:v>
      </x:c>
      <x:c r="N187" s="80" t="str">
        <x:v>Second Class</x:v>
      </x:c>
      <x:c r="O187" s="82" t="n">
        <x:v>2</x:v>
      </x:c>
      <x:c r="P187" s="83" t="n">
        <x:v>1003.17</x:v>
      </x:c>
      <x:c r="Q187" s="84" t="n">
        <x:v>0.2</x:v>
      </x:c>
      <x:c r="R187" s="83" t="n">
        <x:v>1605.07</x:v>
      </x:c>
      <x:c r="S187" s="83" t="n">
        <x:v>1337.28</x:v>
      </x:c>
      <x:c r="T187" s="83" t="n">
        <x:v>267.79</x:v>
      </x:c>
      <x:c r="U187" s="83" t="str">
        <x:v>Paid</x:v>
      </x:c>
      <x:c r="V187" s="83" t="str">
        <x:v>Completed</x:v>
      </x:c>
      <x:c r="W187" s="151" t="n">
        <x:f>IF(OR(NOT(ISNUMBER($AP187)),COUNT($O187,$P187)&lt;2,$O187&lt;=0,$P187&lt;0),"",ROUND($O187*$P187*(1-$AP187),2))</x:f>
        <x:v>1605.07</x:v>
      </x:c>
      <x:c r="X187" s="151" t="n">
        <x:f>IF(OR(NOT(ISNUMBER($W187)),NOT(ISNUMBER($S187))),"",ROUND($W187-$S187,2))</x:f>
        <x:v>267.79</x:v>
      </x:c>
      <x:c r="Y187" s="85" t="n">
        <x:f>IF(OR(NOT(ISNUMBER($W187)),NOT(ISNUMBER($X187)),$W187=0),"",ROUND($X187/$W187,4))</x:f>
        <x:v>0.1668</x:v>
      </x:c>
      <x:c r="Z187" s="82" t="n">
        <x:f>IF(OR($AH187&lt;&gt;"Valid",$AI187&lt;&gt;"Valid"),"",INT($D187-$C187))</x:f>
        <x:v>8</x:v>
      </x:c>
      <x:c r="AA187" s="86" t="str">
        <x:f>IF($AH187&lt;&gt;"Valid","",TEXT($C187,"mmmm"))</x:f>
        <x:v>November</x:v>
      </x:c>
      <x:c r="AB187" s="82" t="n">
        <x:f>IF($AH187&lt;&gt;"Valid","",YEAR($C187))</x:f>
        <x:v>2024</x:v>
      </x:c>
      <x:c r="AC187" s="80" t="str">
        <x:v>Consistent</x:v>
      </x:c>
      <x:c r="AD187" s="80" t="str">
        <x:v>Eligible</x:v>
      </x:c>
      <x:c r="AE187" s="80" t="str">
        <x:f>IF(OR($AH187&lt;&gt;"Valid",$AI187&lt;&gt;"Valid",$AJ187&lt;&gt;"Valid",LEFT($AM187,7)="Invalid",IFERROR(ABS($AQ187)&gt;0.01,FALSE),IFERROR(ABS($AR187)&gt;0.01,FALSE),COUNTIF($AS187,"*Conflicting duplicate*")&gt;0,COUNTIF($AS187,"*Completed order not paid*")&gt;0),"Invalid",IF(OR($H187="Unknown",$N187="Unknown",$AM187="Missing discount imputed as 0"),"Warning","Clean"))</x:f>
        <x:v>Warning</x:v>
      </x:c>
      <x:c r="AF187" s="80" t="str">
        <x:v>Cleaned</x:v>
      </x:c>
      <x:c r="AG187" s="80" t="str">
        <x:v>region: Missing value filled as Unknown</x:v>
      </x:c>
      <x:c r="AH187" s="12" t="str">
        <x:f>IF(C187="","Missing date",IF(ISNUMBER(C187),"Valid","Unrecognized/invalid date"))</x:f>
        <x:v>Valid</x:v>
      </x:c>
      <x:c r="AI187" s="12" t="str">
        <x:f>IF(D187="","Missing date",IF(ISNUMBER(D187),"Valid","Unrecognized/invalid date"))</x:f>
        <x:v>Valid</x:v>
      </x:c>
      <x:c r="AJ187" s="12" t="str">
        <x:v>Valid</x:v>
      </x:c>
      <x:c r="AK187" s="12" t="str">
        <x:v>Pass</x:v>
      </x:c>
      <x:c r="AL187" s="12" t="str">
        <x:v>Missing region filled as Unknown</x:v>
      </x:c>
      <x:c r="AM187" s="12" t="str">
        <x:v>Valid</x:v>
      </x:c>
      <x:c r="AN187" s="12" t="str">
        <x:v>Include in completed sales</x:v>
      </x:c>
      <x:c r="AO187" s="12" t="str">
        <x:v>Not a refunded record</x:v>
      </x:c>
      <x:c r="AP187" s="37" t="n">
        <x:f>IF(LEFT($AM187,7)="Invalid","",IF($AM187="Missing discount imputed as 0",IF(AND(COUNT($O187,$P187,$R187,$S187)=4,$O187&gt;0,$P187&gt;=0,$R187&gt;=0,$S187&gt;=0),0,""),IF(AND(ISNUMBER($Q187),$Q187&gt;=0,$Q187&lt;=0.5),$Q187,"")))</x:f>
        <x:v>0.2</x:v>
      </x:c>
      <x:c r="AQ187" s="152" t="n">
        <x:f>IF(OR($W187="",NOT(ISNUMBER($R187))),"",ROUND($R187-$W187,2))</x:f>
        <x:v>0</x:v>
      </x:c>
      <x:c r="AR187" s="152" t="n">
        <x:f>IF(OR($X187="",NOT(ISNUMBER($T187))),"",ROUND($T187-$X187,2))</x:f>
        <x:v>0</x:v>
      </x:c>
      <x:c r="AS187" s="14" t="str">
        <x:v>OK</x:v>
      </x:c>
    </x:row>
    <x:row r="188">
      <x:c r="A188" s="80" t="n">
        <x:v>188</x:v>
      </x:c>
      <x:c r="B188" s="80" t="str">
        <x:v>ORD-2024-10187</x:v>
      </x:c>
      <x:c r="C188" s="81" t="n">
        <x:v>45492</x:v>
      </x:c>
      <x:c r="D188" s="81" t="n">
        <x:v>45493</x:v>
      </x:c>
      <x:c r="E188" s="80" t="str">
        <x:v>CUST-2778</x:v>
      </x:c>
      <x:c r="F188" s="80" t="str">
        <x:v>Vikram Iyer</x:v>
      </x:c>
      <x:c r="G188" s="80" t="str">
        <x:v>Consumer</x:v>
      </x:c>
      <x:c r="H188" s="80" t="str">
        <x:v>South</x:v>
      </x:c>
      <x:c r="I188" s="80" t="str">
        <x:v>Tamil Nadu</x:v>
      </x:c>
      <x:c r="J188" s="80" t="str">
        <x:v>Chennai</x:v>
      </x:c>
      <x:c r="K188" s="80" t="str">
        <x:v>Furniture</x:v>
      </x:c>
      <x:c r="L188" s="80" t="str">
        <x:v>Tables</x:v>
      </x:c>
      <x:c r="M188" s="80" t="str">
        <x:v>Basic Tables 417</x:v>
      </x:c>
      <x:c r="N188" s="80" t="str">
        <x:v>First Class</x:v>
      </x:c>
      <x:c r="O188" s="82" t="n">
        <x:v>7</x:v>
      </x:c>
      <x:c r="P188" s="83" t="n">
        <x:v>3608.43</x:v>
      </x:c>
      <x:c r="Q188" s="84" t="n">
        <x:v>0.05</x:v>
      </x:c>
      <x:c r="R188" s="83" t="n">
        <x:v>23996.06</x:v>
      </x:c>
      <x:c r="S188" s="83" t="n">
        <x:v>20167.28</x:v>
      </x:c>
      <x:c r="T188" s="83" t="n">
        <x:v>3828.78</x:v>
      </x:c>
      <x:c r="U188" s="83" t="str">
        <x:v>Paid</x:v>
      </x:c>
      <x:c r="V188" s="83" t="str">
        <x:v>Completed</x:v>
      </x:c>
      <x:c r="W188" s="151" t="n">
        <x:f>IF(OR(NOT(ISNUMBER($AP188)),COUNT($O188,$P188)&lt;2,$O188&lt;=0,$P188&lt;0),"",ROUND($O188*$P188*(1-$AP188),2))</x:f>
        <x:v>23996.06</x:v>
      </x:c>
      <x:c r="X188" s="151" t="n">
        <x:f>IF(OR(NOT(ISNUMBER($W188)),NOT(ISNUMBER($S188))),"",ROUND($W188-$S188,2))</x:f>
        <x:v>3828.78</x:v>
      </x:c>
      <x:c r="Y188" s="85" t="n">
        <x:f>IF(OR(NOT(ISNUMBER($W188)),NOT(ISNUMBER($X188)),$W188=0),"",ROUND($X188/$W188,4))</x:f>
        <x:v>0.1596</x:v>
      </x:c>
      <x:c r="Z188" s="82" t="n">
        <x:f>IF(OR($AH188&lt;&gt;"Valid",$AI188&lt;&gt;"Valid"),"",INT($D188-$C188))</x:f>
        <x:v>1</x:v>
      </x:c>
      <x:c r="AA188" s="86" t="str">
        <x:f>IF($AH188&lt;&gt;"Valid","",TEXT($C188,"mmmm"))</x:f>
        <x:v>July</x:v>
      </x:c>
      <x:c r="AB188" s="82" t="n">
        <x:f>IF($AH188&lt;&gt;"Valid","",YEAR($C188))</x:f>
        <x:v>2024</x:v>
      </x:c>
      <x:c r="AC188" s="80" t="str">
        <x:v>Consistent</x:v>
      </x:c>
      <x:c r="AD188" s="80" t="str">
        <x:v>Eligible</x:v>
      </x:c>
      <x:c r="AE188" s="80" t="str">
        <x:f>IF(OR($AH188&lt;&gt;"Valid",$AI188&lt;&gt;"Valid",$AJ188&lt;&gt;"Valid",LEFT($AM188,7)="Invalid",IFERROR(ABS($AQ188)&gt;0.01,FALSE),IFERROR(ABS($AR188)&gt;0.01,FALSE),COUNTIF($AS188,"*Conflicting duplicate*")&gt;0,COUNTIF($AS188,"*Completed order not paid*")&gt;0),"Invalid",IF(OR($H188="Unknown",$N188="Unknown",$AM188="Missing discount imputed as 0"),"Warning","Clean"))</x:f>
        <x:v>Clean</x:v>
      </x:c>
      <x:c r="AF188" s="80" t="str">
        <x:v>Pass</x:v>
      </x:c>
      <x:c r="AG188" s="80" t="str">
        <x:v>No text cleanup required</x:v>
      </x:c>
      <x:c r="AH188" s="12" t="str">
        <x:f>IF(C188="","Missing date",IF(ISNUMBER(C188),"Valid","Unrecognized/invalid date"))</x:f>
        <x:v>Valid</x:v>
      </x:c>
      <x:c r="AI188" s="12" t="str">
        <x:f>IF(D188="","Missing date",IF(ISNUMBER(D188),"Valid","Unrecognized/invalid date"))</x:f>
        <x:v>Valid</x:v>
      </x:c>
      <x:c r="AJ188" s="12" t="str">
        <x:v>Valid</x:v>
      </x:c>
      <x:c r="AK188" s="12" t="str">
        <x:v>Pass</x:v>
      </x:c>
      <x:c r="AL188" s="12" t="str">
        <x:v>None</x:v>
      </x:c>
      <x:c r="AM188" s="12" t="str">
        <x:v>Valid</x:v>
      </x:c>
      <x:c r="AN188" s="12" t="str">
        <x:v>Include in completed sales</x:v>
      </x:c>
      <x:c r="AO188" s="12" t="str">
        <x:v>Not a refunded record</x:v>
      </x:c>
      <x:c r="AP188" s="37" t="n">
        <x:f>IF(LEFT($AM188,7)="Invalid","",IF($AM188="Missing discount imputed as 0",IF(AND(COUNT($O188,$P188,$R188,$S188)=4,$O188&gt;0,$P188&gt;=0,$R188&gt;=0,$S188&gt;=0),0,""),IF(AND(ISNUMBER($Q188),$Q188&gt;=0,$Q188&lt;=0.5),$Q188,"")))</x:f>
        <x:v>0.05</x:v>
      </x:c>
      <x:c r="AQ188" s="152" t="n">
        <x:f>IF(OR($W188="",NOT(ISNUMBER($R188))),"",ROUND($R188-$W188,2))</x:f>
        <x:v>0</x:v>
      </x:c>
      <x:c r="AR188" s="152" t="n">
        <x:f>IF(OR($X188="",NOT(ISNUMBER($T188))),"",ROUND($T188-$X188,2))</x:f>
        <x:v>0</x:v>
      </x:c>
      <x:c r="AS188" s="14" t="str">
        <x:v>OK</x:v>
      </x:c>
    </x:row>
    <x:row r="189">
      <x:c r="A189" s="80" t="n">
        <x:v>189</x:v>
      </x:c>
      <x:c r="B189" s="80" t="str">
        <x:v>ORD-2025-10188</x:v>
      </x:c>
      <x:c r="C189" s="81" t="n">
        <x:v>45778</x:v>
      </x:c>
      <x:c r="D189" s="81" t="n">
        <x:v>45779</x:v>
      </x:c>
      <x:c r="E189" s="80" t="str">
        <x:v>CUST-3109</x:v>
      </x:c>
      <x:c r="F189" s="80" t="str">
        <x:v>Mira Das</x:v>
      </x:c>
      <x:c r="G189" s="80" t="str">
        <x:v>Consumer</x:v>
      </x:c>
      <x:c r="H189" s="80" t="str">
        <x:v>West</x:v>
      </x:c>
      <x:c r="I189" s="80" t="str">
        <x:v>Madhya Pradesh</x:v>
      </x:c>
      <x:c r="J189" s="80" t="str">
        <x:v>Indore</x:v>
      </x:c>
      <x:c r="K189" s="80" t="str">
        <x:v>Furniture</x:v>
      </x:c>
      <x:c r="L189" s="80" t="str">
        <x:v>Chairs</x:v>
      </x:c>
      <x:c r="M189" s="80" t="str">
        <x:v>Pro Chairs 844</x:v>
      </x:c>
      <x:c r="N189" s="80" t="str">
        <x:v>Same Day</x:v>
      </x:c>
      <x:c r="O189" s="82" t="n">
        <x:v>3</x:v>
      </x:c>
      <x:c r="P189" s="83" t="n">
        <x:v>2905.74</x:v>
      </x:c>
      <x:c r="Q189" s="84" t="n">
        <x:v>0</x:v>
      </x:c>
      <x:c r="R189" s="83" t="n">
        <x:v>8717.22</x:v>
      </x:c>
      <x:c r="S189" s="83" t="n">
        <x:v>6215.96</x:v>
      </x:c>
      <x:c r="T189" s="83" t="n">
        <x:v>2501.26</x:v>
      </x:c>
      <x:c r="U189" s="83" t="str">
        <x:v>Paid</x:v>
      </x:c>
      <x:c r="V189" s="83" t="str">
        <x:v>Returned</x:v>
      </x:c>
      <x:c r="W189" s="151" t="n">
        <x:f>IF(OR(NOT(ISNUMBER($AP189)),COUNT($O189,$P189)&lt;2,$O189&lt;=0,$P189&lt;0),"",ROUND($O189*$P189*(1-$AP189),2))</x:f>
        <x:v>8717.22</x:v>
      </x:c>
      <x:c r="X189" s="151" t="n">
        <x:f>IF(OR(NOT(ISNUMBER($W189)),NOT(ISNUMBER($S189))),"",ROUND($W189-$S189,2))</x:f>
        <x:v>2501.26</x:v>
      </x:c>
      <x:c r="Y189" s="85" t="n">
        <x:f>IF(OR(NOT(ISNUMBER($W189)),NOT(ISNUMBER($X189)),$W189=0),"",ROUND($X189/$W189,4))</x:f>
        <x:v>0.2869</x:v>
      </x:c>
      <x:c r="Z189" s="82" t="n">
        <x:f>IF(OR($AH189&lt;&gt;"Valid",$AI189&lt;&gt;"Valid"),"",INT($D189-$C189))</x:f>
        <x:v>1</x:v>
      </x:c>
      <x:c r="AA189" s="86" t="str">
        <x:f>IF($AH189&lt;&gt;"Valid","",TEXT($C189,"mmmm"))</x:f>
        <x:v>May</x:v>
      </x:c>
      <x:c r="AB189" s="82" t="n">
        <x:f>IF($AH189&lt;&gt;"Valid","",YEAR($C189))</x:f>
        <x:v>2025</x:v>
      </x:c>
      <x:c r="AC189" s="80" t="str">
        <x:v>Consistent</x:v>
      </x:c>
      <x:c r="AD189" s="80" t="str">
        <x:v>Excluded</x:v>
      </x:c>
      <x:c r="AE189" s="80" t="str">
        <x:f>IF(OR($AH189&lt;&gt;"Valid",$AI189&lt;&gt;"Valid",$AJ189&lt;&gt;"Valid",LEFT($AM189,7)="Invalid",IFERROR(ABS($AQ189)&gt;0.01,FALSE),IFERROR(ABS($AR189)&gt;0.01,FALSE),COUNTIF($AS189,"*Conflicting duplicate*")&gt;0,COUNTIF($AS189,"*Completed order not paid*")&gt;0),"Invalid",IF(OR($H189="Unknown",$N189="Unknown",$AM189="Missing discount imputed as 0"),"Warning","Clean"))</x:f>
        <x:v>Clean</x:v>
      </x:c>
      <x:c r="AF189" s="80" t="str">
        <x:v>Pass</x:v>
      </x:c>
      <x:c r="AG189" s="80" t="str">
        <x:v>No text cleanup required</x:v>
      </x:c>
      <x:c r="AH189" s="12" t="str">
        <x:f>IF(C189="","Missing date",IF(ISNUMBER(C189),"Valid","Unrecognized/invalid date"))</x:f>
        <x:v>Valid</x:v>
      </x:c>
      <x:c r="AI189" s="12" t="str">
        <x:f>IF(D189="","Missing date",IF(ISNUMBER(D189),"Valid","Unrecognized/invalid date"))</x:f>
        <x:v>Valid</x:v>
      </x:c>
      <x:c r="AJ189" s="12" t="str">
        <x:v>Valid</x:v>
      </x:c>
      <x:c r="AK189" s="12" t="str">
        <x:v>Pass</x:v>
      </x:c>
      <x:c r="AL189" s="12" t="str">
        <x:v>None</x:v>
      </x:c>
      <x:c r="AM189" s="12" t="str">
        <x:v>Valid</x:v>
      </x:c>
      <x:c r="AN189" s="12" t="str">
        <x:v>Exclude from completed sales</x:v>
      </x:c>
      <x:c r="AO189" s="12" t="str">
        <x:v>Not a refunded record</x:v>
      </x:c>
      <x:c r="AP189" s="37" t="n">
        <x:f>IF(LEFT($AM189,7)="Invalid","",IF($AM189="Missing discount imputed as 0",IF(AND(COUNT($O189,$P189,$R189,$S189)=4,$O189&gt;0,$P189&gt;=0,$R189&gt;=0,$S189&gt;=0),0,""),IF(AND(ISNUMBER($Q189),$Q189&gt;=0,$Q189&lt;=0.5),$Q189,"")))</x:f>
        <x:v>0</x:v>
      </x:c>
      <x:c r="AQ189" s="152" t="n">
        <x:f>IF(OR($W189="",NOT(ISNUMBER($R189))),"",ROUND($R189-$W189,2))</x:f>
        <x:v>0</x:v>
      </x:c>
      <x:c r="AR189" s="152" t="n">
        <x:f>IF(OR($X189="",NOT(ISNUMBER($T189))),"",ROUND($T189-$X189,2))</x:f>
        <x:v>0</x:v>
      </x:c>
      <x:c r="AS189" s="14" t="str">
        <x:v>OK</x:v>
      </x:c>
    </x:row>
    <x:row r="190">
      <x:c r="A190" s="80" t="n">
        <x:v>190</x:v>
      </x:c>
      <x:c r="B190" s="80" t="str">
        <x:v>ORD-2025-10189</x:v>
      </x:c>
      <x:c r="C190" s="81" t="n">
        <x:v>45798</x:v>
      </x:c>
      <x:c r="D190" s="81" t="n">
        <x:v>45805</x:v>
      </x:c>
      <x:c r="E190" s="80" t="str">
        <x:v>CUST-3422</x:v>
      </x:c>
      <x:c r="F190" s="80" t="str">
        <x:v>Priya Menon</x:v>
      </x:c>
      <x:c r="G190" s="80" t="str">
        <x:v>Corporate</x:v>
      </x:c>
      <x:c r="H190" s="80" t="str">
        <x:v>East</x:v>
      </x:c>
      <x:c r="I190" s="80" t="str">
        <x:v>West Bengal</x:v>
      </x:c>
      <x:c r="J190" s="80" t="str">
        <x:v>Kolkata</x:v>
      </x:c>
      <x:c r="K190" s="80" t="str">
        <x:v>Furniture</x:v>
      </x:c>
      <x:c r="L190" s="80" t="str">
        <x:v>Bookcases</x:v>
      </x:c>
      <x:c r="M190" s="80" t="str">
        <x:v>Elite Bookcases 883</x:v>
      </x:c>
      <x:c r="N190" s="80" t="str">
        <x:v>Same Day</x:v>
      </x:c>
      <x:c r="O190" s="82" t="n">
        <x:v>2</x:v>
      </x:c>
      <x:c r="P190" s="83" t="n">
        <x:v>3559.57</x:v>
      </x:c>
      <x:c r="Q190" s="84" t="n">
        <x:v>0.1</x:v>
      </x:c>
      <x:c r="R190" s="83" t="n">
        <x:v>6553.95</x:v>
      </x:c>
      <x:c r="S190" s="83" t="n">
        <x:v>4923.09</x:v>
      </x:c>
      <x:c r="T190" s="83" t="n">
        <x:v>1484.14</x:v>
      </x:c>
      <x:c r="U190" s="83" t="str">
        <x:v>Paid</x:v>
      </x:c>
      <x:c r="V190" s="83" t="str">
        <x:v>Completed</x:v>
      </x:c>
      <x:c r="W190" s="151" t="n">
        <x:f>IF(OR(NOT(ISNUMBER($AP190)),COUNT($O190,$P190)&lt;2,$O190&lt;=0,$P190&lt;0),"",ROUND($O190*$P190*(1-$AP190),2))</x:f>
        <x:v>6407.23</x:v>
      </x:c>
      <x:c r="X190" s="151" t="n">
        <x:f>IF(OR(NOT(ISNUMBER($W190)),NOT(ISNUMBER($S190))),"",ROUND($W190-$S190,2))</x:f>
        <x:v>1484.14</x:v>
      </x:c>
      <x:c r="Y190" s="85" t="n">
        <x:f>IF(OR(NOT(ISNUMBER($W190)),NOT(ISNUMBER($X190)),$W190=0),"",ROUND($X190/$W190,4))</x:f>
        <x:v>0.2316</x:v>
      </x:c>
      <x:c r="Z190" s="82" t="n">
        <x:f>IF(OR($AH190&lt;&gt;"Valid",$AI190&lt;&gt;"Valid"),"",INT($D190-$C190))</x:f>
        <x:v>7</x:v>
      </x:c>
      <x:c r="AA190" s="86" t="str">
        <x:f>IF($AH190&lt;&gt;"Valid","",TEXT($C190,"mmmm"))</x:f>
        <x:v>May</x:v>
      </x:c>
      <x:c r="AB190" s="82" t="n">
        <x:f>IF($AH190&lt;&gt;"Valid","",YEAR($C190))</x:f>
        <x:v>2025</x:v>
      </x:c>
      <x:c r="AC190" s="80" t="str">
        <x:v>Consistent</x:v>
      </x:c>
      <x:c r="AD190" s="80" t="str">
        <x:v>Excluded</x:v>
      </x:c>
      <x:c r="AE190" s="80" t="str">
        <x:f>IF(OR($AH190&lt;&gt;"Valid",$AI190&lt;&gt;"Valid",$AJ190&lt;&gt;"Valid",LEFT($AM190,7)="Invalid",IFERROR(ABS($AQ190)&gt;0.01,FALSE),IFERROR(ABS($AR190)&gt;0.01,FALSE),COUNTIF($AS190,"*Conflicting duplicate*")&gt;0,COUNTIF($AS190,"*Completed order not paid*")&gt;0),"Invalid",IF(OR($H190="Unknown",$N190="Unknown",$AM190="Missing discount imputed as 0"),"Warning","Clean"))</x:f>
        <x:v>Invalid</x:v>
      </x:c>
      <x:c r="AF190" s="80" t="str">
        <x:v>Review</x:v>
      </x:c>
      <x:c r="AG190" s="80" t="str">
        <x:v>No text cleanup required</x:v>
      </x:c>
      <x:c r="AH190" s="12" t="str">
        <x:f>IF(C190="","Missing date",IF(ISNUMBER(C190),"Valid","Unrecognized/invalid date"))</x:f>
        <x:v>Valid</x:v>
      </x:c>
      <x:c r="AI190" s="12" t="str">
        <x:f>IF(D190="","Missing date",IF(ISNUMBER(D190),"Valid","Unrecognized/invalid date"))</x:f>
        <x:v>Valid</x:v>
      </x:c>
      <x:c r="AJ190" s="12" t="str">
        <x:v>Valid</x:v>
      </x:c>
      <x:c r="AK190" s="12" t="str">
        <x:v>Pass</x:v>
      </x:c>
      <x:c r="AL190" s="12" t="str">
        <x:v>None</x:v>
      </x:c>
      <x:c r="AM190" s="12" t="str">
        <x:v>Valid</x:v>
      </x:c>
      <x:c r="AN190" s="12" t="str">
        <x:v>Exclude from completed sales</x:v>
      </x:c>
      <x:c r="AO190" s="12" t="str">
        <x:v>Not a refunded record</x:v>
      </x:c>
      <x:c r="AP190" s="37" t="n">
        <x:f>IF(LEFT($AM190,7)="Invalid","",IF($AM190="Missing discount imputed as 0",IF(AND(COUNT($O190,$P190,$R190,$S190)=4,$O190&gt;0,$P190&gt;=0,$R190&gt;=0,$S190&gt;=0),0,""),IF(AND(ISNUMBER($Q190),$Q190&gt;=0,$Q190&lt;=0.5),$Q190,"")))</x:f>
        <x:v>0.1</x:v>
      </x:c>
      <x:c r="AQ190" s="152" t="n">
        <x:f>IF(OR($W190="",NOT(ISNUMBER($R190))),"",ROUND($R190-$W190,2))</x:f>
        <x:v>146.72</x:v>
      </x:c>
      <x:c r="AR190" s="152" t="n">
        <x:f>IF(OR($X190="",NOT(ISNUMBER($T190))),"",ROUND($T190-$X190,2))</x:f>
        <x:v>0</x:v>
      </x:c>
      <x:c r="AS190" s="14" t="str">
        <x:v>Sales calculation mismatch; Profit calculation mismatch</x:v>
      </x:c>
    </x:row>
    <x:row r="191">
      <x:c r="A191" s="80" t="n">
        <x:v>191</x:v>
      </x:c>
      <x:c r="B191" s="80" t="str">
        <x:v>ORD-2025-10190</x:v>
      </x:c>
      <x:c r="C191" s="81" t="n">
        <x:v>45783</x:v>
      </x:c>
      <x:c r="D191" s="81" t="n">
        <x:v>45784</x:v>
      </x:c>
      <x:c r="E191" s="80" t="str">
        <x:v>CUST-3375</x:v>
      </x:c>
      <x:c r="F191" s="80" t="str">
        <x:v>Arjun Bose</x:v>
      </x:c>
      <x:c r="G191" s="80" t="str">
        <x:v>Consumer</x:v>
      </x:c>
      <x:c r="H191" s="80" t="str">
        <x:v>West</x:v>
      </x:c>
      <x:c r="I191" s="80" t="str">
        <x:v>Rajasthan</x:v>
      </x:c>
      <x:c r="J191" s="80" t="str">
        <x:v>Udaipur</x:v>
      </x:c>
      <x:c r="K191" s="80" t="str">
        <x:v>Furniture</x:v>
      </x:c>
      <x:c r="L191" s="80" t="str">
        <x:v>Bookcases</x:v>
      </x:c>
      <x:c r="M191" s="80" t="str">
        <x:v>Basic Bookcases 754</x:v>
      </x:c>
      <x:c r="N191" s="80" t="str">
        <x:v>First Class</x:v>
      </x:c>
      <x:c r="O191" s="82" t="n">
        <x:v>9</x:v>
      </x:c>
      <x:c r="P191" s="83" t="n">
        <x:v>3318.24</x:v>
      </x:c>
      <x:c r="Q191" s="84" t="n">
        <x:v>0</x:v>
      </x:c>
      <x:c r="R191" s="83" t="n">
        <x:v>25384.54</x:v>
      </x:c>
      <x:c r="S191" s="83" t="n">
        <x:v>16872.39</x:v>
      </x:c>
      <x:c r="T191" s="83" t="n">
        <x:v>8512.15</x:v>
      </x:c>
      <x:c r="U191" s="83" t="str">
        <x:v>Paid</x:v>
      </x:c>
      <x:c r="V191" s="83" t="str">
        <x:v>Completed</x:v>
      </x:c>
      <x:c r="W191" s="151" t="n">
        <x:f>IF(OR(NOT(ISNUMBER($AP191)),COUNT($O191,$P191)&lt;2,$O191&lt;=0,$P191&lt;0),"",ROUND($O191*$P191*(1-$AP191),2))</x:f>
        <x:v>29864.16</x:v>
      </x:c>
      <x:c r="X191" s="151" t="n">
        <x:f>IF(OR(NOT(ISNUMBER($W191)),NOT(ISNUMBER($S191))),"",ROUND($W191-$S191,2))</x:f>
        <x:v>12991.77</x:v>
      </x:c>
      <x:c r="Y191" s="85" t="n">
        <x:f>IF(OR(NOT(ISNUMBER($W191)),NOT(ISNUMBER($X191)),$W191=0),"",ROUND($X191/$W191,4))</x:f>
        <x:v>0.435</x:v>
      </x:c>
      <x:c r="Z191" s="82" t="n">
        <x:f>IF(OR($AH191&lt;&gt;"Valid",$AI191&lt;&gt;"Valid"),"",INT($D191-$C191))</x:f>
        <x:v>1</x:v>
      </x:c>
      <x:c r="AA191" s="86" t="str">
        <x:f>IF($AH191&lt;&gt;"Valid","",TEXT($C191,"mmmm"))</x:f>
        <x:v>May</x:v>
      </x:c>
      <x:c r="AB191" s="82" t="n">
        <x:f>IF($AH191&lt;&gt;"Valid","",YEAR($C191))</x:f>
        <x:v>2025</x:v>
      </x:c>
      <x:c r="AC191" s="80" t="str">
        <x:v>Consistent</x:v>
      </x:c>
      <x:c r="AD191" s="80" t="str">
        <x:v>Excluded</x:v>
      </x:c>
      <x:c r="AE191" s="80" t="str">
        <x:f>IF(OR($AH191&lt;&gt;"Valid",$AI191&lt;&gt;"Valid",$AJ191&lt;&gt;"Valid",LEFT($AM191,7)="Invalid",IFERROR(ABS($AQ191)&gt;0.01,FALSE),IFERROR(ABS($AR191)&gt;0.01,FALSE),COUNTIF($AS191,"*Conflicting duplicate*")&gt;0,COUNTIF($AS191,"*Completed order not paid*")&gt;0),"Invalid",IF(OR($H191="Unknown",$N191="Unknown",$AM191="Missing discount imputed as 0"),"Warning","Clean"))</x:f>
        <x:v>Invalid</x:v>
      </x:c>
      <x:c r="AF191" s="80" t="str">
        <x:v>Review</x:v>
      </x:c>
      <x:c r="AG191" s="80" t="str">
        <x:v>order_status: Case standardization; discount: Imputed 0; discount: Missing value set to 0 after sales-field validation</x:v>
      </x:c>
      <x:c r="AH191" s="12" t="str">
        <x:f>IF(C191="","Missing date",IF(ISNUMBER(C191),"Valid","Unrecognized/invalid date"))</x:f>
        <x:v>Valid</x:v>
      </x:c>
      <x:c r="AI191" s="12" t="str">
        <x:f>IF(D191="","Missing date",IF(ISNUMBER(D191),"Valid","Unrecognized/invalid date"))</x:f>
        <x:v>Valid</x:v>
      </x:c>
      <x:c r="AJ191" s="12" t="str">
        <x:v>Valid</x:v>
      </x:c>
      <x:c r="AK191" s="12" t="str">
        <x:v>Pass</x:v>
      </x:c>
      <x:c r="AL191" s="12" t="str">
        <x:v>Missing discount imputed as 0</x:v>
      </x:c>
      <x:c r="AM191" s="12" t="str">
        <x:v>Missing discount imputed as 0</x:v>
      </x:c>
      <x:c r="AN191" s="12" t="str">
        <x:v>Exclude from completed sales</x:v>
      </x:c>
      <x:c r="AO191" s="12" t="str">
        <x:v>Not a refunded record</x:v>
      </x:c>
      <x:c r="AP191" s="37" t="n">
        <x:f>IF(LEFT($AM191,7)="Invalid","",IF($AM191="Missing discount imputed as 0",IF(AND(COUNT($O191,$P191,$R191,$S191)=4,$O191&gt;0,$P191&gt;=0,$R191&gt;=0,$S191&gt;=0),0,""),IF(AND(ISNUMBER($Q191),$Q191&gt;=0,$Q191&lt;=0.5),$Q191,"")))</x:f>
        <x:v>0</x:v>
      </x:c>
      <x:c r="AQ191" s="152" t="n">
        <x:f>IF(OR($W191="",NOT(ISNUMBER($R191))),"",ROUND($R191-$W191,2))</x:f>
        <x:v>-4479.62</x:v>
      </x:c>
      <x:c r="AR191" s="152" t="n">
        <x:f>IF(OR($X191="",NOT(ISNUMBER($T191))),"",ROUND($T191-$X191,2))</x:f>
        <x:v>-4479.62</x:v>
      </x:c>
      <x:c r="AS191" s="14" t="str">
        <x:v>Sales calculation mismatch</x:v>
      </x:c>
    </x:row>
    <x:row r="192">
      <x:c r="A192" s="80" t="n">
        <x:v>192</x:v>
      </x:c>
      <x:c r="B192" s="80" t="str">
        <x:v>ORD-2025-10191</x:v>
      </x:c>
      <x:c r="C192" s="81" t="n">
        <x:v>45767</x:v>
      </x:c>
      <x:c r="D192" s="81" t="n">
        <x:v>45768</x:v>
      </x:c>
      <x:c r="E192" s="80" t="str">
        <x:v>CUST-5138</x:v>
      </x:c>
      <x:c r="F192" s="80" t="str">
        <x:v>Aditi Sen</x:v>
      </x:c>
      <x:c r="G192" s="80" t="str">
        <x:v>Consumer</x:v>
      </x:c>
      <x:c r="H192" s="80" t="str">
        <x:v>South</x:v>
      </x:c>
      <x:c r="I192" s="80" t="str">
        <x:v>Tamil Nadu</x:v>
      </x:c>
      <x:c r="J192" s="80" t="str">
        <x:v>Chennai</x:v>
      </x:c>
      <x:c r="K192" s="80" t="str">
        <x:v>Office Supplies</x:v>
      </x:c>
      <x:c r="L192" s="80" t="str">
        <x:v>Storage</x:v>
      </x:c>
      <x:c r="M192" s="80" t="str">
        <x:v>Eco Storage 158</x:v>
      </x:c>
      <x:c r="N192" s="80" t="str">
        <x:v>First Class</x:v>
      </x:c>
      <x:c r="O192" s="82" t="n">
        <x:v>3</x:v>
      </x:c>
      <x:c r="P192" s="83" t="n">
        <x:v>540.09</x:v>
      </x:c>
      <x:c r="Q192" s="84" t="n">
        <x:v>0.1</x:v>
      </x:c>
      <x:c r="R192" s="83" t="n">
        <x:v>1458.24</x:v>
      </x:c>
      <x:c r="S192" s="83" t="n">
        <x:v>943.32</x:v>
      </x:c>
      <x:c r="T192" s="83" t="n">
        <x:v>514.92</x:v>
      </x:c>
      <x:c r="U192" s="83" t="str">
        <x:v>Paid</x:v>
      </x:c>
      <x:c r="V192" s="83" t="str">
        <x:v>Completed</x:v>
      </x:c>
      <x:c r="W192" s="151" t="n">
        <x:f>IF(OR(NOT(ISNUMBER($AP192)),COUNT($O192,$P192)&lt;2,$O192&lt;=0,$P192&lt;0),"",ROUND($O192*$P192*(1-$AP192),2))</x:f>
        <x:v>1458.24</x:v>
      </x:c>
      <x:c r="X192" s="151" t="n">
        <x:f>IF(OR(NOT(ISNUMBER($W192)),NOT(ISNUMBER($S192))),"",ROUND($W192-$S192,2))</x:f>
        <x:v>514.92</x:v>
      </x:c>
      <x:c r="Y192" s="85" t="n">
        <x:f>IF(OR(NOT(ISNUMBER($W192)),NOT(ISNUMBER($X192)),$W192=0),"",ROUND($X192/$W192,4))</x:f>
        <x:v>0.3531</x:v>
      </x:c>
      <x:c r="Z192" s="82" t="n">
        <x:f>IF(OR($AH192&lt;&gt;"Valid",$AI192&lt;&gt;"Valid"),"",INT($D192-$C192))</x:f>
        <x:v>1</x:v>
      </x:c>
      <x:c r="AA192" s="86" t="str">
        <x:f>IF($AH192&lt;&gt;"Valid","",TEXT($C192,"mmmm"))</x:f>
        <x:v>April</x:v>
      </x:c>
      <x:c r="AB192" s="82" t="n">
        <x:f>IF($AH192&lt;&gt;"Valid","",YEAR($C192))</x:f>
        <x:v>2025</x:v>
      </x:c>
      <x:c r="AC192" s="80" t="str">
        <x:v>Consistent</x:v>
      </x:c>
      <x:c r="AD192" s="80" t="str">
        <x:v>Eligible</x:v>
      </x:c>
      <x:c r="AE192" s="80" t="str">
        <x:f>IF(OR($AH192&lt;&gt;"Valid",$AI192&lt;&gt;"Valid",$AJ192&lt;&gt;"Valid",LEFT($AM192,7)="Invalid",IFERROR(ABS($AQ192)&gt;0.01,FALSE),IFERROR(ABS($AR192)&gt;0.01,FALSE),COUNTIF($AS192,"*Conflicting duplicate*")&gt;0,COUNTIF($AS192,"*Completed order not paid*")&gt;0),"Invalid",IF(OR($H192="Unknown",$N192="Unknown",$AM192="Missing discount imputed as 0"),"Warning","Clean"))</x:f>
        <x:v>Clean</x:v>
      </x:c>
      <x:c r="AF192" s="80" t="str">
        <x:v>Cleaned</x:v>
      </x:c>
      <x:c r="AG192" s="80" t="str">
        <x:v>order_status: TRIM/SUBSTITUTE whitespace cleanup</x:v>
      </x:c>
      <x:c r="AH192" s="12" t="str">
        <x:f>IF(C192="","Missing date",IF(ISNUMBER(C192),"Valid","Unrecognized/invalid date"))</x:f>
        <x:v>Valid</x:v>
      </x:c>
      <x:c r="AI192" s="12" t="str">
        <x:f>IF(D192="","Missing date",IF(ISNUMBER(D192),"Valid","Unrecognized/invalid date"))</x:f>
        <x:v>Valid</x:v>
      </x:c>
      <x:c r="AJ192" s="12" t="str">
        <x:v>Valid</x:v>
      </x:c>
      <x:c r="AK192" s="12" t="str">
        <x:v>Pass</x:v>
      </x:c>
      <x:c r="AL192" s="12" t="str">
        <x:v>None</x:v>
      </x:c>
      <x:c r="AM192" s="12" t="str">
        <x:v>Valid</x:v>
      </x:c>
      <x:c r="AN192" s="12" t="str">
        <x:v>Include in completed sales</x:v>
      </x:c>
      <x:c r="AO192" s="12" t="str">
        <x:v>Not a refunded record</x:v>
      </x:c>
      <x:c r="AP192" s="37" t="n">
        <x:f>IF(LEFT($AM192,7)="Invalid","",IF($AM192="Missing discount imputed as 0",IF(AND(COUNT($O192,$P192,$R192,$S192)=4,$O192&gt;0,$P192&gt;=0,$R192&gt;=0,$S192&gt;=0),0,""),IF(AND(ISNUMBER($Q192),$Q192&gt;=0,$Q192&lt;=0.5),$Q192,"")))</x:f>
        <x:v>0.1</x:v>
      </x:c>
      <x:c r="AQ192" s="152" t="n">
        <x:f>IF(OR($W192="",NOT(ISNUMBER($R192))),"",ROUND($R192-$W192,2))</x:f>
        <x:v>0</x:v>
      </x:c>
      <x:c r="AR192" s="152" t="n">
        <x:f>IF(OR($X192="",NOT(ISNUMBER($T192))),"",ROUND($T192-$X192,2))</x:f>
        <x:v>0</x:v>
      </x:c>
      <x:c r="AS192" s="14" t="str">
        <x:v>OK</x:v>
      </x:c>
    </x:row>
    <x:row r="193">
      <x:c r="A193" s="80" t="n">
        <x:v>193</x:v>
      </x:c>
      <x:c r="B193" s="80" t="str">
        <x:v>ORD-2024-10192</x:v>
      </x:c>
      <x:c r="C193" s="81" t="n">
        <x:v>45584</x:v>
      </x:c>
      <x:c r="D193" s="81" t="n">
        <x:v>45589</x:v>
      </x:c>
      <x:c r="E193" s="80" t="str">
        <x:v>CUST-7410</x:v>
      </x:c>
      <x:c r="F193" s="80" t="str">
        <x:v>Sneha Kapoor</x:v>
      </x:c>
      <x:c r="G193" s="80" t="str">
        <x:v>Small Business</x:v>
      </x:c>
      <x:c r="H193" s="80" t="str">
        <x:v>South</x:v>
      </x:c>
      <x:c r="I193" s="80" t="str">
        <x:v>Tamil Nadu</x:v>
      </x:c>
      <x:c r="J193" s="80" t="str">
        <x:v>Chennai</x:v>
      </x:c>
      <x:c r="K193" s="80" t="str">
        <x:v>Furniture</x:v>
      </x:c>
      <x:c r="L193" s="80" t="str">
        <x:v>Bookcases</x:v>
      </x:c>
      <x:c r="M193" s="80" t="str">
        <x:v>Prime Bookcases 602</x:v>
      </x:c>
      <x:c r="N193" s="80" t="str">
        <x:v>Second Class</x:v>
      </x:c>
      <x:c r="O193" s="82" t="n">
        <x:v>6</x:v>
      </x:c>
      <x:c r="P193" s="83" t="n">
        <x:v>4308.4</x:v>
      </x:c>
      <x:c r="Q193" s="84" t="n">
        <x:v>0.65</x:v>
      </x:c>
      <x:c r="R193" s="83" t="n">
        <x:v>25850.4</x:v>
      </x:c>
      <x:c r="S193" s="83" t="n">
        <x:v>19397.68</x:v>
      </x:c>
      <x:c r="T193" s="83" t="n">
        <x:v>6452.72</x:v>
      </x:c>
      <x:c r="U193" s="83" t="str">
        <x:v>Paid</x:v>
      </x:c>
      <x:c r="V193" s="83" t="str">
        <x:v>Completed</x:v>
      </x:c>
      <x:c r="W193" s="151" t="str">
        <x:f>IF(OR(NOT(ISNUMBER($AP193)),COUNT($O193,$P193)&lt;2,$O193&lt;=0,$P193&lt;0),"",ROUND($O193*$P193*(1-$AP193),2))</x:f>
      </x:c>
      <x:c r="X193" s="151" t="str">
        <x:f>IF(OR(NOT(ISNUMBER($W193)),NOT(ISNUMBER($S193))),"",ROUND($W193-$S193,2))</x:f>
      </x:c>
      <x:c r="Y193" s="85" t="str">
        <x:f>IF(OR(NOT(ISNUMBER($W193)),NOT(ISNUMBER($X193)),$W193=0),"",ROUND($X193/$W193,4))</x:f>
      </x:c>
      <x:c r="Z193" s="82" t="n">
        <x:f>IF(OR($AH193&lt;&gt;"Valid",$AI193&lt;&gt;"Valid"),"",INT($D193-$C193))</x:f>
        <x:v>5</x:v>
      </x:c>
      <x:c r="AA193" s="86" t="str">
        <x:f>IF($AH193&lt;&gt;"Valid","",TEXT($C193,"mmmm"))</x:f>
        <x:v>October</x:v>
      </x:c>
      <x:c r="AB193" s="82" t="n">
        <x:f>IF($AH193&lt;&gt;"Valid","",YEAR($C193))</x:f>
        <x:v>2024</x:v>
      </x:c>
      <x:c r="AC193" s="80" t="str">
        <x:v>Consistent</x:v>
      </x:c>
      <x:c r="AD193" s="80" t="str">
        <x:v>Excluded</x:v>
      </x:c>
      <x:c r="AE193" s="80" t="str">
        <x:f>IF(OR($AH193&lt;&gt;"Valid",$AI193&lt;&gt;"Valid",$AJ193&lt;&gt;"Valid",LEFT($AM193,7)="Invalid",IFERROR(ABS($AQ193)&gt;0.01,FALSE),IFERROR(ABS($AR193)&gt;0.01,FALSE),COUNTIF($AS193,"*Conflicting duplicate*")&gt;0,COUNTIF($AS193,"*Completed order not paid*")&gt;0),"Invalid",IF(OR($H193="Unknown",$N193="Unknown",$AM193="Missing discount imputed as 0"),"Warning","Clean"))</x:f>
        <x:v>Invalid</x:v>
      </x:c>
      <x:c r="AF193" s="80" t="str">
        <x:v>Review</x:v>
      </x:c>
      <x:c r="AG193" s="80" t="str">
        <x:v>No text cleanup required</x:v>
      </x:c>
      <x:c r="AH193" s="12" t="str">
        <x:f>IF(C193="","Missing date",IF(ISNUMBER(C193),"Valid","Unrecognized/invalid date"))</x:f>
        <x:v>Valid</x:v>
      </x:c>
      <x:c r="AI193" s="12" t="str">
        <x:f>IF(D193="","Missing date",IF(ISNUMBER(D193),"Valid","Unrecognized/invalid date"))</x:f>
        <x:v>Valid</x:v>
      </x:c>
      <x:c r="AJ193" s="12" t="str">
        <x:v>Valid</x:v>
      </x:c>
      <x:c r="AK193" s="12" t="str">
        <x:v>Pass</x:v>
      </x:c>
      <x:c r="AL193" s="12" t="str">
        <x:v>None</x:v>
      </x:c>
      <x:c r="AM193" s="12" t="str">
        <x:v>Invalid discount – above 50% allowed range</x:v>
      </x:c>
      <x:c r="AN193" s="12" t="str">
        <x:v>Exclude from completed sales</x:v>
      </x:c>
      <x:c r="AO193" s="12" t="str">
        <x:v>Not a refunded record</x:v>
      </x:c>
      <x:c r="AP193" s="37" t="str">
        <x:f>IF(LEFT($AM193,7)="Invalid","",IF($AM193="Missing discount imputed as 0",IF(AND(COUNT($O193,$P193,$R193,$S193)=4,$O193&gt;0,$P193&gt;=0,$R193&gt;=0,$S193&gt;=0),0,""),IF(AND(ISNUMBER($Q193),$Q193&gt;=0,$Q193&lt;=0.5),$Q193,"")))</x:f>
      </x:c>
      <x:c r="AQ193" s="152" t="str">
        <x:f>IF(OR($W193="",NOT(ISNUMBER($R193))),"",ROUND($R193-$W193,2))</x:f>
      </x:c>
      <x:c r="AR193" s="152" t="str">
        <x:f>IF(OR($X193="",NOT(ISNUMBER($T193))),"",ROUND($T193-$X193,2))</x:f>
      </x:c>
      <x:c r="AS193" s="14" t="str">
        <x:v>Discount above allowed range (&gt;50%)</x:v>
      </x:c>
    </x:row>
    <x:row r="194">
      <x:c r="A194" s="80" t="n">
        <x:v>194</x:v>
      </x:c>
      <x:c r="B194" s="80" t="str">
        <x:v>ORD-2024-10193</x:v>
      </x:c>
      <x:c r="C194" s="81" t="n">
        <x:v>45635</x:v>
      </x:c>
      <x:c r="D194" s="81" t="n">
        <x:v>45642</x:v>
      </x:c>
      <x:c r="E194" s="80" t="str">
        <x:v>CUST-7115</x:v>
      </x:c>
      <x:c r="F194" s="80" t="str">
        <x:v>Isha Nair</x:v>
      </x:c>
      <x:c r="G194" s="80" t="str">
        <x:v>Home Office</x:v>
      </x:c>
      <x:c r="H194" s="80" t="str">
        <x:v>West</x:v>
      </x:c>
      <x:c r="I194" s="80" t="str">
        <x:v>Gujarat</x:v>
      </x:c>
      <x:c r="J194" s="80" t="str">
        <x:v>Ahmedabad</x:v>
      </x:c>
      <x:c r="K194" s="80" t="str">
        <x:v>Furniture</x:v>
      </x:c>
      <x:c r="L194" s="80" t="str">
        <x:v>Chairs</x:v>
      </x:c>
      <x:c r="M194" s="80" t="str">
        <x:v>Eco Chairs 438</x:v>
      </x:c>
      <x:c r="N194" s="80" t="str">
        <x:v>First Class</x:v>
      </x:c>
      <x:c r="O194" s="82" t="n">
        <x:v>4</x:v>
      </x:c>
      <x:c r="P194" s="83" t="n">
        <x:v>2191.03</x:v>
      </x:c>
      <x:c r="Q194" s="84" t="n">
        <x:v>0</x:v>
      </x:c>
      <x:c r="R194" s="83" t="n">
        <x:v>8764.12</x:v>
      </x:c>
      <x:c r="S194" s="83" t="n">
        <x:v>7220.05</x:v>
      </x:c>
      <x:c r="T194" s="83" t="n">
        <x:v>1544.07</x:v>
      </x:c>
      <x:c r="U194" s="83" t="str">
        <x:v>Paid</x:v>
      </x:c>
      <x:c r="V194" s="83" t="str">
        <x:v>Completed</x:v>
      </x:c>
      <x:c r="W194" s="151" t="n">
        <x:f>IF(OR(NOT(ISNUMBER($AP194)),COUNT($O194,$P194)&lt;2,$O194&lt;=0,$P194&lt;0),"",ROUND($O194*$P194*(1-$AP194),2))</x:f>
        <x:v>8764.12</x:v>
      </x:c>
      <x:c r="X194" s="151" t="n">
        <x:f>IF(OR(NOT(ISNUMBER($W194)),NOT(ISNUMBER($S194))),"",ROUND($W194-$S194,2))</x:f>
        <x:v>1544.07</x:v>
      </x:c>
      <x:c r="Y194" s="85" t="n">
        <x:f>IF(OR(NOT(ISNUMBER($W194)),NOT(ISNUMBER($X194)),$W194=0),"",ROUND($X194/$W194,4))</x:f>
        <x:v>0.1762</x:v>
      </x:c>
      <x:c r="Z194" s="82" t="n">
        <x:f>IF(OR($AH194&lt;&gt;"Valid",$AI194&lt;&gt;"Valid"),"",INT($D194-$C194))</x:f>
        <x:v>7</x:v>
      </x:c>
      <x:c r="AA194" s="86" t="str">
        <x:f>IF($AH194&lt;&gt;"Valid","",TEXT($C194,"mmmm"))</x:f>
        <x:v>December</x:v>
      </x:c>
      <x:c r="AB194" s="82" t="n">
        <x:f>IF($AH194&lt;&gt;"Valid","",YEAR($C194))</x:f>
        <x:v>2024</x:v>
      </x:c>
      <x:c r="AC194" s="80" t="str">
        <x:v>Consistent</x:v>
      </x:c>
      <x:c r="AD194" s="80" t="str">
        <x:v>Eligible</x:v>
      </x:c>
      <x:c r="AE194" s="80" t="str">
        <x:f>IF(OR($AH194&lt;&gt;"Valid",$AI194&lt;&gt;"Valid",$AJ194&lt;&gt;"Valid",LEFT($AM194,7)="Invalid",IFERROR(ABS($AQ194)&gt;0.01,FALSE),IFERROR(ABS($AR194)&gt;0.01,FALSE),COUNTIF($AS194,"*Conflicting duplicate*")&gt;0,COUNTIF($AS194,"*Completed order not paid*")&gt;0),"Invalid",IF(OR($H194="Unknown",$N194="Unknown",$AM194="Missing discount imputed as 0"),"Warning","Clean"))</x:f>
        <x:v>Clean</x:v>
      </x:c>
      <x:c r="AF194" s="80" t="str">
        <x:v>Pass</x:v>
      </x:c>
      <x:c r="AG194" s="80" t="str">
        <x:v>No text cleanup required</x:v>
      </x:c>
      <x:c r="AH194" s="12" t="str">
        <x:f>IF(C194="","Missing date",IF(ISNUMBER(C194),"Valid","Unrecognized/invalid date"))</x:f>
        <x:v>Valid</x:v>
      </x:c>
      <x:c r="AI194" s="12" t="str">
        <x:f>IF(D194="","Missing date",IF(ISNUMBER(D194),"Valid","Unrecognized/invalid date"))</x:f>
        <x:v>Valid</x:v>
      </x:c>
      <x:c r="AJ194" s="12" t="str">
        <x:v>Valid</x:v>
      </x:c>
      <x:c r="AK194" s="12" t="str">
        <x:v>Pass</x:v>
      </x:c>
      <x:c r="AL194" s="12" t="str">
        <x:v>None</x:v>
      </x:c>
      <x:c r="AM194" s="12" t="str">
        <x:v>Valid</x:v>
      </x:c>
      <x:c r="AN194" s="12" t="str">
        <x:v>Include in completed sales</x:v>
      </x:c>
      <x:c r="AO194" s="12" t="str">
        <x:v>Not a refunded record</x:v>
      </x:c>
      <x:c r="AP194" s="37" t="n">
        <x:f>IF(LEFT($AM194,7)="Invalid","",IF($AM194="Missing discount imputed as 0",IF(AND(COUNT($O194,$P194,$R194,$S194)=4,$O194&gt;0,$P194&gt;=0,$R194&gt;=0,$S194&gt;=0),0,""),IF(AND(ISNUMBER($Q194),$Q194&gt;=0,$Q194&lt;=0.5),$Q194,"")))</x:f>
        <x:v>0</x:v>
      </x:c>
      <x:c r="AQ194" s="152" t="n">
        <x:f>IF(OR($W194="",NOT(ISNUMBER($R194))),"",ROUND($R194-$W194,2))</x:f>
        <x:v>0</x:v>
      </x:c>
      <x:c r="AR194" s="152" t="n">
        <x:f>IF(OR($X194="",NOT(ISNUMBER($T194))),"",ROUND($T194-$X194,2))</x:f>
        <x:v>0</x:v>
      </x:c>
      <x:c r="AS194" s="14" t="str">
        <x:v>OK</x:v>
      </x:c>
    </x:row>
    <x:row r="195">
      <x:c r="A195" s="80" t="n">
        <x:v>195</x:v>
      </x:c>
      <x:c r="B195" s="80" t="str">
        <x:v>ORD-2024-10194</x:v>
      </x:c>
      <x:c r="C195" s="81" t="n">
        <x:v>45466</x:v>
      </x:c>
      <x:c r="D195" s="81" t="n">
        <x:v>45471</x:v>
      </x:c>
      <x:c r="E195" s="80" t="str">
        <x:v>CUST-9853</x:v>
      </x:c>
      <x:c r="F195" s="80" t="str">
        <x:v>Priya Menon</x:v>
      </x:c>
      <x:c r="G195" s="80" t="str">
        <x:v>Small Business</x:v>
      </x:c>
      <x:c r="H195" s="80" t="str">
        <x:v>North</x:v>
      </x:c>
      <x:c r="I195" s="80" t="str">
        <x:v>Punjab</x:v>
      </x:c>
      <x:c r="J195" s="80" t="str">
        <x:v>Ludhiana</x:v>
      </x:c>
      <x:c r="K195" s="80" t="str">
        <x:v>Technology</x:v>
      </x:c>
      <x:c r="L195" s="80" t="str">
        <x:v>Copiers</x:v>
      </x:c>
      <x:c r="M195" s="80" t="str">
        <x:v>Prime Copiers 142</x:v>
      </x:c>
      <x:c r="N195" s="80" t="str">
        <x:v>Same Day</x:v>
      </x:c>
      <x:c r="O195" s="82" t="n">
        <x:v>6</x:v>
      </x:c>
      <x:c r="P195" s="83" t="n">
        <x:v>1956.63</x:v>
      </x:c>
      <x:c r="Q195" s="84" t="n">
        <x:v>0.2</x:v>
      </x:c>
      <x:c r="R195" s="83" t="n">
        <x:v>9391.82</x:v>
      </x:c>
      <x:c r="S195" s="83" t="n">
        <x:v>6013.22</x:v>
      </x:c>
      <x:c r="T195" s="83" t="n">
        <x:v>3378.6</x:v>
      </x:c>
      <x:c r="U195" s="83" t="str">
        <x:v>Refunded</x:v>
      </x:c>
      <x:c r="V195" s="83" t="str">
        <x:v>Returned</x:v>
      </x:c>
      <x:c r="W195" s="151" t="n">
        <x:f>IF(OR(NOT(ISNUMBER($AP195)),COUNT($O195,$P195)&lt;2,$O195&lt;=0,$P195&lt;0),"",ROUND($O195*$P195*(1-$AP195),2))</x:f>
        <x:v>9391.82</x:v>
      </x:c>
      <x:c r="X195" s="151" t="n">
        <x:f>IF(OR(NOT(ISNUMBER($W195)),NOT(ISNUMBER($S195))),"",ROUND($W195-$S195,2))</x:f>
        <x:v>3378.6</x:v>
      </x:c>
      <x:c r="Y195" s="85" t="n">
        <x:f>IF(OR(NOT(ISNUMBER($W195)),NOT(ISNUMBER($X195)),$W195=0),"",ROUND($X195/$W195,4))</x:f>
        <x:v>0.3597</x:v>
      </x:c>
      <x:c r="Z195" s="82" t="n">
        <x:f>IF(OR($AH195&lt;&gt;"Valid",$AI195&lt;&gt;"Valid"),"",INT($D195-$C195))</x:f>
        <x:v>5</x:v>
      </x:c>
      <x:c r="AA195" s="86" t="str">
        <x:f>IF($AH195&lt;&gt;"Valid","",TEXT($C195,"mmmm"))</x:f>
        <x:v>June</x:v>
      </x:c>
      <x:c r="AB195" s="82" t="n">
        <x:f>IF($AH195&lt;&gt;"Valid","",YEAR($C195))</x:f>
        <x:v>2024</x:v>
      </x:c>
      <x:c r="AC195" s="80" t="str">
        <x:v>Refunded (separately summarized)</x:v>
      </x:c>
      <x:c r="AD195" s="80" t="str">
        <x:v>Excluded</x:v>
      </x:c>
      <x:c r="AE195" s="80" t="str">
        <x:f>IF(OR($AH195&lt;&gt;"Valid",$AI195&lt;&gt;"Valid",$AJ195&lt;&gt;"Valid",LEFT($AM195,7)="Invalid",IFERROR(ABS($AQ195)&gt;0.01,FALSE),IFERROR(ABS($AR195)&gt;0.01,FALSE),COUNTIF($AS195,"*Conflicting duplicate*")&gt;0,COUNTIF($AS195,"*Completed order not paid*")&gt;0),"Invalid",IF(OR($H195="Unknown",$N195="Unknown",$AM195="Missing discount imputed as 0"),"Warning","Clean"))</x:f>
        <x:v>Clean</x:v>
      </x:c>
      <x:c r="AF195" s="80" t="str">
        <x:v>Pass</x:v>
      </x:c>
      <x:c r="AG195" s="80" t="str">
        <x:v>No text cleanup required</x:v>
      </x:c>
      <x:c r="AH195" s="12" t="str">
        <x:f>IF(C195="","Missing date",IF(ISNUMBER(C195),"Valid","Unrecognized/invalid date"))</x:f>
        <x:v>Valid</x:v>
      </x:c>
      <x:c r="AI195" s="12" t="str">
        <x:f>IF(D195="","Missing date",IF(ISNUMBER(D195),"Valid","Unrecognized/invalid date"))</x:f>
        <x:v>Valid</x:v>
      </x:c>
      <x:c r="AJ195" s="12" t="str">
        <x:v>Valid</x:v>
      </x:c>
      <x:c r="AK195" s="12" t="str">
        <x:v>Pass</x:v>
      </x:c>
      <x:c r="AL195" s="12" t="str">
        <x:v>Refunded payment – separately summarized</x:v>
      </x:c>
      <x:c r="AM195" s="12" t="str">
        <x:v>Valid</x:v>
      </x:c>
      <x:c r="AN195" s="12" t="str">
        <x:v>Exclude from completed sales</x:v>
      </x:c>
      <x:c r="AO195" s="12" t="str">
        <x:v>Include in refunded summary</x:v>
      </x:c>
      <x:c r="AP195" s="37" t="n">
        <x:f>IF(LEFT($AM195,7)="Invalid","",IF($AM195="Missing discount imputed as 0",IF(AND(COUNT($O195,$P195,$R195,$S195)=4,$O195&gt;0,$P195&gt;=0,$R195&gt;=0,$S195&gt;=0),0,""),IF(AND(ISNUMBER($Q195),$Q195&gt;=0,$Q195&lt;=0.5),$Q195,"")))</x:f>
        <x:v>0.2</x:v>
      </x:c>
      <x:c r="AQ195" s="152" t="n">
        <x:f>IF(OR($W195="",NOT(ISNUMBER($R195))),"",ROUND($R195-$W195,2))</x:f>
        <x:v>0</x:v>
      </x:c>
      <x:c r="AR195" s="152" t="n">
        <x:f>IF(OR($X195="",NOT(ISNUMBER($T195))),"",ROUND($T195-$X195,2))</x:f>
        <x:v>0</x:v>
      </x:c>
      <x:c r="AS195" s="14" t="str">
        <x:v>OK</x:v>
      </x:c>
    </x:row>
    <x:row r="196">
      <x:c r="A196" s="80" t="n">
        <x:v>196</x:v>
      </x:c>
      <x:c r="B196" s="80" t="str">
        <x:v>ORD-2025-10195</x:v>
      </x:c>
      <x:c r="C196" s="81" t="n">
        <x:v>45685</x:v>
      </x:c>
      <x:c r="D196" s="81" t="n">
        <x:v>45688</x:v>
      </x:c>
      <x:c r="E196" s="80" t="str">
        <x:v>CUST-3637</x:v>
      </x:c>
      <x:c r="F196" s="80" t="str">
        <x:v>Priya Menon</x:v>
      </x:c>
      <x:c r="G196" s="80" t="str">
        <x:v>Consumer</x:v>
      </x:c>
      <x:c r="H196" s="80" t="str">
        <x:v>West</x:v>
      </x:c>
      <x:c r="I196" s="80" t="str">
        <x:v>Maharashtra</x:v>
      </x:c>
      <x:c r="J196" s="80" t="str">
        <x:v>Mumbai</x:v>
      </x:c>
      <x:c r="K196" s="80" t="str">
        <x:v>Furniture</x:v>
      </x:c>
      <x:c r="L196" s="80" t="str">
        <x:v>Furnishings</x:v>
      </x:c>
      <x:c r="M196" s="80" t="str">
        <x:v>Prime Furnishings 433</x:v>
      </x:c>
      <x:c r="N196" s="80" t="str">
        <x:v>First Class</x:v>
      </x:c>
      <x:c r="O196" s="82" t="n">
        <x:v>9</x:v>
      </x:c>
      <x:c r="P196" s="83" t="n">
        <x:v>858.39</x:v>
      </x:c>
      <x:c r="Q196" s="84" t="n">
        <x:v>0.05</x:v>
      </x:c>
      <x:c r="R196" s="83" t="n">
        <x:v>7339.23</x:v>
      </x:c>
      <x:c r="S196" s="83" t="n">
        <x:v>5434.12</x:v>
      </x:c>
      <x:c r="T196" s="83" t="n">
        <x:v>1905.11</x:v>
      </x:c>
      <x:c r="U196" s="83" t="str">
        <x:v>Pending</x:v>
      </x:c>
      <x:c r="V196" s="83" t="str">
        <x:v>Returned</x:v>
      </x:c>
      <x:c r="W196" s="151" t="n">
        <x:f>IF(OR(NOT(ISNUMBER($AP196)),COUNT($O196,$P196)&lt;2,$O196&lt;=0,$P196&lt;0),"",ROUND($O196*$P196*(1-$AP196),2))</x:f>
        <x:v>7339.23</x:v>
      </x:c>
      <x:c r="X196" s="151" t="n">
        <x:f>IF(OR(NOT(ISNUMBER($W196)),NOT(ISNUMBER($S196))),"",ROUND($W196-$S196,2))</x:f>
        <x:v>1905.11</x:v>
      </x:c>
      <x:c r="Y196" s="85" t="n">
        <x:f>IF(OR(NOT(ISNUMBER($W196)),NOT(ISNUMBER($X196)),$W196=0),"",ROUND($X196/$W196,4))</x:f>
        <x:v>0.2596</x:v>
      </x:c>
      <x:c r="Z196" s="82" t="n">
        <x:f>IF(OR($AH196&lt;&gt;"Valid",$AI196&lt;&gt;"Valid"),"",INT($D196-$C196))</x:f>
        <x:v>3</x:v>
      </x:c>
      <x:c r="AA196" s="86" t="str">
        <x:f>IF($AH196&lt;&gt;"Valid","",TEXT($C196,"mmmm"))</x:f>
        <x:v>January</x:v>
      </x:c>
      <x:c r="AB196" s="82" t="n">
        <x:f>IF($AH196&lt;&gt;"Valid","",YEAR($C196))</x:f>
        <x:v>2025</x:v>
      </x:c>
      <x:c r="AC196" s="80" t="str">
        <x:v>Consistent</x:v>
      </x:c>
      <x:c r="AD196" s="80" t="str">
        <x:v>Excluded</x:v>
      </x:c>
      <x:c r="AE196" s="80" t="str">
        <x:f>IF(OR($AH196&lt;&gt;"Valid",$AI196&lt;&gt;"Valid",$AJ196&lt;&gt;"Valid",LEFT($AM196,7)="Invalid",IFERROR(ABS($AQ196)&gt;0.01,FALSE),IFERROR(ABS($AR196)&gt;0.01,FALSE),COUNTIF($AS196,"*Conflicting duplicate*")&gt;0,COUNTIF($AS196,"*Completed order not paid*")&gt;0),"Invalid",IF(OR($H196="Unknown",$N196="Unknown",$AM196="Missing discount imputed as 0"),"Warning","Clean"))</x:f>
        <x:v>Clean</x:v>
      </x:c>
      <x:c r="AF196" s="80" t="str">
        <x:v>Cleaned</x:v>
      </x:c>
      <x:c r="AG196" s="80" t="str">
        <x:v>region: Case standardization</x:v>
      </x:c>
      <x:c r="AH196" s="12" t="str">
        <x:f>IF(C196="","Missing date",IF(ISNUMBER(C196),"Valid","Unrecognized/invalid date"))</x:f>
        <x:v>Valid</x:v>
      </x:c>
      <x:c r="AI196" s="12" t="str">
        <x:f>IF(D196="","Missing date",IF(ISNUMBER(D196),"Valid","Unrecognized/invalid date"))</x:f>
        <x:v>Valid</x:v>
      </x:c>
      <x:c r="AJ196" s="12" t="str">
        <x:v>Valid</x:v>
      </x:c>
      <x:c r="AK196" s="12" t="str">
        <x:v>Pass</x:v>
      </x:c>
      <x:c r="AL196" s="12" t="str">
        <x:v>None</x:v>
      </x:c>
      <x:c r="AM196" s="12" t="str">
        <x:v>Valid</x:v>
      </x:c>
      <x:c r="AN196" s="12" t="str">
        <x:v>Exclude from completed sales</x:v>
      </x:c>
      <x:c r="AO196" s="12" t="str">
        <x:v>Not a refunded record</x:v>
      </x:c>
      <x:c r="AP196" s="37" t="n">
        <x:f>IF(LEFT($AM196,7)="Invalid","",IF($AM196="Missing discount imputed as 0",IF(AND(COUNT($O196,$P196,$R196,$S196)=4,$O196&gt;0,$P196&gt;=0,$R196&gt;=0,$S196&gt;=0),0,""),IF(AND(ISNUMBER($Q196),$Q196&gt;=0,$Q196&lt;=0.5),$Q196,"")))</x:f>
        <x:v>0.05</x:v>
      </x:c>
      <x:c r="AQ196" s="152" t="n">
        <x:f>IF(OR($W196="",NOT(ISNUMBER($R196))),"",ROUND($R196-$W196,2))</x:f>
        <x:v>0</x:v>
      </x:c>
      <x:c r="AR196" s="152" t="n">
        <x:f>IF(OR($X196="",NOT(ISNUMBER($T196))),"",ROUND($T196-$X196,2))</x:f>
        <x:v>0</x:v>
      </x:c>
      <x:c r="AS196" s="14" t="str">
        <x:v>OK</x:v>
      </x:c>
    </x:row>
    <x:row r="197">
      <x:c r="A197" s="80" t="n">
        <x:v>197</x:v>
      </x:c>
      <x:c r="B197" s="80" t="str">
        <x:v>ORD-2025-10196</x:v>
      </x:c>
      <x:c r="C197" s="81" t="n">
        <x:v>45860</x:v>
      </x:c>
      <x:c r="D197" s="81" t="n">
        <x:v>45862</x:v>
      </x:c>
      <x:c r="E197" s="80" t="str">
        <x:v>CUST-4328</x:v>
      </x:c>
      <x:c r="F197" s="80" t="str">
        <x:v>Neha Gupta</x:v>
      </x:c>
      <x:c r="G197" s="80" t="str">
        <x:v>Home Office</x:v>
      </x:c>
      <x:c r="H197" s="80" t="str">
        <x:v>South</x:v>
      </x:c>
      <x:c r="I197" s="80" t="str">
        <x:v>Andhra Pradesh</x:v>
      </x:c>
      <x:c r="J197" s="80" t="str">
        <x:v>Vijayawada</x:v>
      </x:c>
      <x:c r="K197" s="80" t="str">
        <x:v>Furniture</x:v>
      </x:c>
      <x:c r="L197" s="80" t="str">
        <x:v>Furnishings</x:v>
      </x:c>
      <x:c r="M197" s="80" t="str">
        <x:v>Smart Furnishings 685</x:v>
      </x:c>
      <x:c r="N197" s="80" t="str">
        <x:v>Same Day</x:v>
      </x:c>
      <x:c r="O197" s="82" t="n">
        <x:v>5</x:v>
      </x:c>
      <x:c r="P197" s="83" t="n">
        <x:v>1922.83</x:v>
      </x:c>
      <x:c r="Q197" s="84" t="n">
        <x:v>0</x:v>
      </x:c>
      <x:c r="R197" s="83" t="n">
        <x:v>9614.15</x:v>
      </x:c>
      <x:c r="S197" s="83" t="n">
        <x:v>7576.84</x:v>
      </x:c>
      <x:c r="T197" s="83" t="n">
        <x:v>2037.31</x:v>
      </x:c>
      <x:c r="U197" s="83" t="str">
        <x:v>Paid</x:v>
      </x:c>
      <x:c r="V197" s="83" t="str">
        <x:v>Completed</x:v>
      </x:c>
      <x:c r="W197" s="151" t="n">
        <x:f>IF(OR(NOT(ISNUMBER($AP197)),COUNT($O197,$P197)&lt;2,$O197&lt;=0,$P197&lt;0),"",ROUND($O197*$P197*(1-$AP197),2))</x:f>
        <x:v>9614.15</x:v>
      </x:c>
      <x:c r="X197" s="151" t="n">
        <x:f>IF(OR(NOT(ISNUMBER($W197)),NOT(ISNUMBER($S197))),"",ROUND($W197-$S197,2))</x:f>
        <x:v>2037.31</x:v>
      </x:c>
      <x:c r="Y197" s="85" t="n">
        <x:f>IF(OR(NOT(ISNUMBER($W197)),NOT(ISNUMBER($X197)),$W197=0),"",ROUND($X197/$W197,4))</x:f>
        <x:v>0.2119</x:v>
      </x:c>
      <x:c r="Z197" s="82" t="n">
        <x:f>IF(OR($AH197&lt;&gt;"Valid",$AI197&lt;&gt;"Valid"),"",INT($D197-$C197))</x:f>
        <x:v>2</x:v>
      </x:c>
      <x:c r="AA197" s="86" t="str">
        <x:f>IF($AH197&lt;&gt;"Valid","",TEXT($C197,"mmmm"))</x:f>
        <x:v>July</x:v>
      </x:c>
      <x:c r="AB197" s="82" t="n">
        <x:f>IF($AH197&lt;&gt;"Valid","",YEAR($C197))</x:f>
        <x:v>2025</x:v>
      </x:c>
      <x:c r="AC197" s="80" t="str">
        <x:v>Consistent</x:v>
      </x:c>
      <x:c r="AD197" s="80" t="str">
        <x:v>Eligible</x:v>
      </x:c>
      <x:c r="AE197" s="80" t="str">
        <x:f>IF(OR($AH197&lt;&gt;"Valid",$AI197&lt;&gt;"Valid",$AJ197&lt;&gt;"Valid",LEFT($AM197,7)="Invalid",IFERROR(ABS($AQ197)&gt;0.01,FALSE),IFERROR(ABS($AR197)&gt;0.01,FALSE),COUNTIF($AS197,"*Conflicting duplicate*")&gt;0,COUNTIF($AS197,"*Completed order not paid*")&gt;0),"Invalid",IF(OR($H197="Unknown",$N197="Unknown",$AM197="Missing discount imputed as 0"),"Warning","Clean"))</x:f>
        <x:v>Clean</x:v>
      </x:c>
      <x:c r="AF197" s="80" t="str">
        <x:v>Pass</x:v>
      </x:c>
      <x:c r="AG197" s="80" t="str">
        <x:v>No text cleanup required</x:v>
      </x:c>
      <x:c r="AH197" s="12" t="str">
        <x:f>IF(C197="","Missing date",IF(ISNUMBER(C197),"Valid","Unrecognized/invalid date"))</x:f>
        <x:v>Valid</x:v>
      </x:c>
      <x:c r="AI197" s="12" t="str">
        <x:f>IF(D197="","Missing date",IF(ISNUMBER(D197),"Valid","Unrecognized/invalid date"))</x:f>
        <x:v>Valid</x:v>
      </x:c>
      <x:c r="AJ197" s="12" t="str">
        <x:v>Valid</x:v>
      </x:c>
      <x:c r="AK197" s="12" t="str">
        <x:v>Pass</x:v>
      </x:c>
      <x:c r="AL197" s="12" t="str">
        <x:v>None</x:v>
      </x:c>
      <x:c r="AM197" s="12" t="str">
        <x:v>Valid</x:v>
      </x:c>
      <x:c r="AN197" s="12" t="str">
        <x:v>Include in completed sales</x:v>
      </x:c>
      <x:c r="AO197" s="12" t="str">
        <x:v>Not a refunded record</x:v>
      </x:c>
      <x:c r="AP197" s="37" t="n">
        <x:f>IF(LEFT($AM197,7)="Invalid","",IF($AM197="Missing discount imputed as 0",IF(AND(COUNT($O197,$P197,$R197,$S197)=4,$O197&gt;0,$P197&gt;=0,$R197&gt;=0,$S197&gt;=0),0,""),IF(AND(ISNUMBER($Q197),$Q197&gt;=0,$Q197&lt;=0.5),$Q197,"")))</x:f>
        <x:v>0</x:v>
      </x:c>
      <x:c r="AQ197" s="152" t="n">
        <x:f>IF(OR($W197="",NOT(ISNUMBER($R197))),"",ROUND($R197-$W197,2))</x:f>
        <x:v>0</x:v>
      </x:c>
      <x:c r="AR197" s="152" t="n">
        <x:f>IF(OR($X197="",NOT(ISNUMBER($T197))),"",ROUND($T197-$X197,2))</x:f>
        <x:v>0</x:v>
      </x:c>
      <x:c r="AS197" s="14" t="str">
        <x:v>OK</x:v>
      </x:c>
    </x:row>
    <x:row r="198">
      <x:c r="A198" s="80" t="n">
        <x:v>198</x:v>
      </x:c>
      <x:c r="B198" s="80" t="str">
        <x:v>ORD-2024-10197</x:v>
      </x:c>
      <x:c r="C198" s="81" t="n">
        <x:v>45313</x:v>
      </x:c>
      <x:c r="D198" s="81" t="n">
        <x:v>45316</x:v>
      </x:c>
      <x:c r="E198" s="80" t="str">
        <x:v>CUST-8028</x:v>
      </x:c>
      <x:c r="F198" s="80" t="str">
        <x:v>Kabir Singh</x:v>
      </x:c>
      <x:c r="G198" s="80" t="str">
        <x:v>Home Office</x:v>
      </x:c>
      <x:c r="H198" s="80" t="str">
        <x:v>North</x:v>
      </x:c>
      <x:c r="I198" s="80" t="str">
        <x:v>Uttar Pradesh</x:v>
      </x:c>
      <x:c r="J198" s="80" t="str">
        <x:v>Noida</x:v>
      </x:c>
      <x:c r="K198" s="80" t="str">
        <x:v>Office Supplies</x:v>
      </x:c>
      <x:c r="L198" s="80" t="str">
        <x:v>Storage</x:v>
      </x:c>
      <x:c r="M198" s="80" t="str">
        <x:v>Elite Storage 915</x:v>
      </x:c>
      <x:c r="N198" s="80" t="str">
        <x:v>First Class</x:v>
      </x:c>
      <x:c r="O198" s="82" t="n">
        <x:v>3</x:v>
      </x:c>
      <x:c r="P198" s="83" t="n">
        <x:v>1212.03</x:v>
      </x:c>
      <x:c r="Q198" s="84" t="n">
        <x:v>0.1</x:v>
      </x:c>
      <x:c r="R198" s="83" t="n">
        <x:v>3272.48</x:v>
      </x:c>
      <x:c r="S198" s="83" t="n">
        <x:v>2517.44</x:v>
      </x:c>
      <x:c r="T198" s="83" t="n">
        <x:v>755.04</x:v>
      </x:c>
      <x:c r="U198" s="83" t="str">
        <x:v>Paid</x:v>
      </x:c>
      <x:c r="V198" s="83" t="str">
        <x:v>Completed</x:v>
      </x:c>
      <x:c r="W198" s="151" t="n">
        <x:f>IF(OR(NOT(ISNUMBER($AP198)),COUNT($O198,$P198)&lt;2,$O198&lt;=0,$P198&lt;0),"",ROUND($O198*$P198*(1-$AP198),2))</x:f>
        <x:v>3272.48</x:v>
      </x:c>
      <x:c r="X198" s="151" t="n">
        <x:f>IF(OR(NOT(ISNUMBER($W198)),NOT(ISNUMBER($S198))),"",ROUND($W198-$S198,2))</x:f>
        <x:v>755.04</x:v>
      </x:c>
      <x:c r="Y198" s="85" t="n">
        <x:f>IF(OR(NOT(ISNUMBER($W198)),NOT(ISNUMBER($X198)),$W198=0),"",ROUND($X198/$W198,4))</x:f>
        <x:v>0.2307</x:v>
      </x:c>
      <x:c r="Z198" s="82" t="n">
        <x:f>IF(OR($AH198&lt;&gt;"Valid",$AI198&lt;&gt;"Valid"),"",INT($D198-$C198))</x:f>
        <x:v>3</x:v>
      </x:c>
      <x:c r="AA198" s="86" t="str">
        <x:f>IF($AH198&lt;&gt;"Valid","",TEXT($C198,"mmmm"))</x:f>
        <x:v>January</x:v>
      </x:c>
      <x:c r="AB198" s="82" t="n">
        <x:f>IF($AH198&lt;&gt;"Valid","",YEAR($C198))</x:f>
        <x:v>2024</x:v>
      </x:c>
      <x:c r="AC198" s="80" t="str">
        <x:v>Consistent</x:v>
      </x:c>
      <x:c r="AD198" s="80" t="str">
        <x:v>Eligible</x:v>
      </x:c>
      <x:c r="AE198" s="80" t="str">
        <x:f>IF(OR($AH198&lt;&gt;"Valid",$AI198&lt;&gt;"Valid",$AJ198&lt;&gt;"Valid",LEFT($AM198,7)="Invalid",IFERROR(ABS($AQ198)&gt;0.01,FALSE),IFERROR(ABS($AR198)&gt;0.01,FALSE),COUNTIF($AS198,"*Conflicting duplicate*")&gt;0,COUNTIF($AS198,"*Completed order not paid*")&gt;0),"Invalid",IF(OR($H198="Unknown",$N198="Unknown",$AM198="Missing discount imputed as 0"),"Warning","Clean"))</x:f>
        <x:v>Clean</x:v>
      </x:c>
      <x:c r="AF198" s="80" t="str">
        <x:v>Pass</x:v>
      </x:c>
      <x:c r="AG198" s="80" t="str">
        <x:v>No text cleanup required</x:v>
      </x:c>
      <x:c r="AH198" s="12" t="str">
        <x:f>IF(C198="","Missing date",IF(ISNUMBER(C198),"Valid","Unrecognized/invalid date"))</x:f>
        <x:v>Valid</x:v>
      </x:c>
      <x:c r="AI198" s="12" t="str">
        <x:f>IF(D198="","Missing date",IF(ISNUMBER(D198),"Valid","Unrecognized/invalid date"))</x:f>
        <x:v>Valid</x:v>
      </x:c>
      <x:c r="AJ198" s="12" t="str">
        <x:v>Valid</x:v>
      </x:c>
      <x:c r="AK198" s="12" t="str">
        <x:v>Pass</x:v>
      </x:c>
      <x:c r="AL198" s="12" t="str">
        <x:v>None</x:v>
      </x:c>
      <x:c r="AM198" s="12" t="str">
        <x:v>Valid</x:v>
      </x:c>
      <x:c r="AN198" s="12" t="str">
        <x:v>Include in completed sales</x:v>
      </x:c>
      <x:c r="AO198" s="12" t="str">
        <x:v>Not a refunded record</x:v>
      </x:c>
      <x:c r="AP198" s="37" t="n">
        <x:f>IF(LEFT($AM198,7)="Invalid","",IF($AM198="Missing discount imputed as 0",IF(AND(COUNT($O198,$P198,$R198,$S198)=4,$O198&gt;0,$P198&gt;=0,$R198&gt;=0,$S198&gt;=0),0,""),IF(AND(ISNUMBER($Q198),$Q198&gt;=0,$Q198&lt;=0.5),$Q198,"")))</x:f>
        <x:v>0.1</x:v>
      </x:c>
      <x:c r="AQ198" s="152" t="n">
        <x:f>IF(OR($W198="",NOT(ISNUMBER($R198))),"",ROUND($R198-$W198,2))</x:f>
        <x:v>0</x:v>
      </x:c>
      <x:c r="AR198" s="152" t="n">
        <x:f>IF(OR($X198="",NOT(ISNUMBER($T198))),"",ROUND($T198-$X198,2))</x:f>
        <x:v>0</x:v>
      </x:c>
      <x:c r="AS198" s="14" t="str">
        <x:v>OK</x:v>
      </x:c>
    </x:row>
    <x:row r="199">
      <x:c r="A199" s="80" t="n">
        <x:v>199</x:v>
      </x:c>
      <x:c r="B199" s="80" t="str">
        <x:v>ORD-2025-10198</x:v>
      </x:c>
      <x:c r="C199" s="81" t="n">
        <x:v>45747</x:v>
      </x:c>
      <x:c r="D199" s="81" t="n">
        <x:v>45754</x:v>
      </x:c>
      <x:c r="E199" s="80" t="str">
        <x:v>CUST-6106</x:v>
      </x:c>
      <x:c r="F199" s="80" t="str">
        <x:v>Rahul Verma</x:v>
      </x:c>
      <x:c r="G199" s="80" t="str">
        <x:v>Small Business</x:v>
      </x:c>
      <x:c r="H199" s="80" t="str">
        <x:v>East</x:v>
      </x:c>
      <x:c r="I199" s="80" t="str">
        <x:v>Bihar</x:v>
      </x:c>
      <x:c r="J199" s="80" t="str">
        <x:v>Patna</x:v>
      </x:c>
      <x:c r="K199" s="80" t="str">
        <x:v>Office Supplies</x:v>
      </x:c>
      <x:c r="L199" s="80" t="str">
        <x:v>Storage</x:v>
      </x:c>
      <x:c r="M199" s="80" t="str">
        <x:v>Basic Storage 961</x:v>
      </x:c>
      <x:c r="N199" s="80" t="str">
        <x:v>Second Class</x:v>
      </x:c>
      <x:c r="O199" s="82" t="n">
        <x:v>5</x:v>
      </x:c>
      <x:c r="P199" s="83" t="n">
        <x:v>4096.44</x:v>
      </x:c>
      <x:c r="Q199" s="84" t="n">
        <x:v>0.15</x:v>
      </x:c>
      <x:c r="R199" s="83" t="n">
        <x:v>17409.87</x:v>
      </x:c>
      <x:c r="S199" s="83" t="n">
        <x:v>14076.25</x:v>
      </x:c>
      <x:c r="T199" s="83" t="n">
        <x:v>3333.62</x:v>
      </x:c>
      <x:c r="U199" s="83" t="str">
        <x:v>Paid</x:v>
      </x:c>
      <x:c r="V199" s="83" t="str">
        <x:v>Completed</x:v>
      </x:c>
      <x:c r="W199" s="151" t="n">
        <x:f>IF(OR(NOT(ISNUMBER($AP199)),COUNT($O199,$P199)&lt;2,$O199&lt;=0,$P199&lt;0),"",ROUND($O199*$P199*(1-$AP199),2))</x:f>
        <x:v>17409.87</x:v>
      </x:c>
      <x:c r="X199" s="151" t="n">
        <x:f>IF(OR(NOT(ISNUMBER($W199)),NOT(ISNUMBER($S199))),"",ROUND($W199-$S199,2))</x:f>
        <x:v>3333.62</x:v>
      </x:c>
      <x:c r="Y199" s="85" t="n">
        <x:f>IF(OR(NOT(ISNUMBER($W199)),NOT(ISNUMBER($X199)),$W199=0),"",ROUND($X199/$W199,4))</x:f>
        <x:v>0.1915</x:v>
      </x:c>
      <x:c r="Z199" s="82" t="n">
        <x:f>IF(OR($AH199&lt;&gt;"Valid",$AI199&lt;&gt;"Valid"),"",INT($D199-$C199))</x:f>
        <x:v>7</x:v>
      </x:c>
      <x:c r="AA199" s="86" t="str">
        <x:f>IF($AH199&lt;&gt;"Valid","",TEXT($C199,"mmmm"))</x:f>
        <x:v>March</x:v>
      </x:c>
      <x:c r="AB199" s="82" t="n">
        <x:f>IF($AH199&lt;&gt;"Valid","",YEAR($C199))</x:f>
        <x:v>2025</x:v>
      </x:c>
      <x:c r="AC199" s="80" t="str">
        <x:v>Consistent</x:v>
      </x:c>
      <x:c r="AD199" s="80" t="str">
        <x:v>Eligible</x:v>
      </x:c>
      <x:c r="AE199" s="80" t="str">
        <x:f>IF(OR($AH199&lt;&gt;"Valid",$AI199&lt;&gt;"Valid",$AJ199&lt;&gt;"Valid",LEFT($AM199,7)="Invalid",IFERROR(ABS($AQ199)&gt;0.01,FALSE),IFERROR(ABS($AR199)&gt;0.01,FALSE),COUNTIF($AS199,"*Conflicting duplicate*")&gt;0,COUNTIF($AS199,"*Completed order not paid*")&gt;0),"Invalid",IF(OR($H199="Unknown",$N199="Unknown",$AM199="Missing discount imputed as 0"),"Warning","Clean"))</x:f>
        <x:v>Clean</x:v>
      </x:c>
      <x:c r="AF199" s="80" t="str">
        <x:v>Cleaned</x:v>
      </x:c>
      <x:c r="AG199" s="80" t="str">
        <x:v>segment: TRIM/SUBSTITUTE whitespace cleanup</x:v>
      </x:c>
      <x:c r="AH199" s="12" t="str">
        <x:f>IF(C199="","Missing date",IF(ISNUMBER(C199),"Valid","Unrecognized/invalid date"))</x:f>
        <x:v>Valid</x:v>
      </x:c>
      <x:c r="AI199" s="12" t="str">
        <x:f>IF(D199="","Missing date",IF(ISNUMBER(D199),"Valid","Unrecognized/invalid date"))</x:f>
        <x:v>Valid</x:v>
      </x:c>
      <x:c r="AJ199" s="12" t="str">
        <x:v>Valid</x:v>
      </x:c>
      <x:c r="AK199" s="12" t="str">
        <x:v>Pass</x:v>
      </x:c>
      <x:c r="AL199" s="12" t="str">
        <x:v>None</x:v>
      </x:c>
      <x:c r="AM199" s="12" t="str">
        <x:v>Valid</x:v>
      </x:c>
      <x:c r="AN199" s="12" t="str">
        <x:v>Include in completed sales</x:v>
      </x:c>
      <x:c r="AO199" s="12" t="str">
        <x:v>Not a refunded record</x:v>
      </x:c>
      <x:c r="AP199" s="37" t="n">
        <x:f>IF(LEFT($AM199,7)="Invalid","",IF($AM199="Missing discount imputed as 0",IF(AND(COUNT($O199,$P199,$R199,$S199)=4,$O199&gt;0,$P199&gt;=0,$R199&gt;=0,$S199&gt;=0),0,""),IF(AND(ISNUMBER($Q199),$Q199&gt;=0,$Q199&lt;=0.5),$Q199,"")))</x:f>
        <x:v>0.15</x:v>
      </x:c>
      <x:c r="AQ199" s="152" t="n">
        <x:f>IF(OR($W199="",NOT(ISNUMBER($R199))),"",ROUND($R199-$W199,2))</x:f>
        <x:v>0</x:v>
      </x:c>
      <x:c r="AR199" s="152" t="n">
        <x:f>IF(OR($X199="",NOT(ISNUMBER($T199))),"",ROUND($T199-$X199,2))</x:f>
        <x:v>0</x:v>
      </x:c>
      <x:c r="AS199" s="14" t="str">
        <x:v>OK</x:v>
      </x:c>
    </x:row>
    <x:row r="200">
      <x:c r="A200" s="80" t="n">
        <x:v>200</x:v>
      </x:c>
      <x:c r="B200" s="80" t="str">
        <x:v>ORD-2024-10199</x:v>
      </x:c>
      <x:c r="C200" s="81" t="n">
        <x:v>45448</x:v>
      </x:c>
      <x:c r="D200" s="81" t="n">
        <x:v>45449</x:v>
      </x:c>
      <x:c r="E200" s="80" t="str">
        <x:v>CUST-7820</x:v>
      </x:c>
      <x:c r="F200" s="80" t="str">
        <x:v>Sneha Kapoor</x:v>
      </x:c>
      <x:c r="G200" s="80" t="str">
        <x:v>Consumer</x:v>
      </x:c>
      <x:c r="H200" s="80" t="str">
        <x:v>West</x:v>
      </x:c>
      <x:c r="I200" s="80" t="str">
        <x:v>Gujarat</x:v>
      </x:c>
      <x:c r="J200" s="80" t="str">
        <x:v>Ahmedabad</x:v>
      </x:c>
      <x:c r="K200" s="80" t="str">
        <x:v>Office Supplies</x:v>
      </x:c>
      <x:c r="L200" s="80" t="str">
        <x:v>Art</x:v>
      </x:c>
      <x:c r="M200" s="80" t="str">
        <x:v>Classic Art 968</x:v>
      </x:c>
      <x:c r="N200" s="80" t="str">
        <x:v>Second Class</x:v>
      </x:c>
      <x:c r="O200" s="82" t="n">
        <x:v>1</x:v>
      </x:c>
      <x:c r="P200" s="83" t="n">
        <x:v>1184.58</x:v>
      </x:c>
      <x:c r="Q200" s="84" t="n">
        <x:v>0.05</x:v>
      </x:c>
      <x:c r="R200" s="83" t="n">
        <x:v>1125.35</x:v>
      </x:c>
      <x:c r="S200" s="83" t="n">
        <x:v>676.97</x:v>
      </x:c>
      <x:c r="T200" s="83" t="n">
        <x:v>448.38</x:v>
      </x:c>
      <x:c r="U200" s="83" t="str">
        <x:v>Failed</x:v>
      </x:c>
      <x:c r="V200" s="83" t="str">
        <x:v>Cancelled</x:v>
      </x:c>
      <x:c r="W200" s="151" t="n">
        <x:f>IF(OR(NOT(ISNUMBER($AP200)),COUNT($O200,$P200)&lt;2,$O200&lt;=0,$P200&lt;0),"",ROUND($O200*$P200*(1-$AP200),2))</x:f>
        <x:v>1125.35</x:v>
      </x:c>
      <x:c r="X200" s="151" t="n">
        <x:f>IF(OR(NOT(ISNUMBER($W200)),NOT(ISNUMBER($S200))),"",ROUND($W200-$S200,2))</x:f>
        <x:v>448.38</x:v>
      </x:c>
      <x:c r="Y200" s="85" t="n">
        <x:f>IF(OR(NOT(ISNUMBER($W200)),NOT(ISNUMBER($X200)),$W200=0),"",ROUND($X200/$W200,4))</x:f>
        <x:v>0.3984</x:v>
      </x:c>
      <x:c r="Z200" s="82" t="n">
        <x:f>IF(OR($AH200&lt;&gt;"Valid",$AI200&lt;&gt;"Valid"),"",INT($D200-$C200))</x:f>
        <x:v>1</x:v>
      </x:c>
      <x:c r="AA200" s="86" t="str">
        <x:f>IF($AH200&lt;&gt;"Valid","",TEXT($C200,"mmmm"))</x:f>
        <x:v>June</x:v>
      </x:c>
      <x:c r="AB200" s="82" t="n">
        <x:f>IF($AH200&lt;&gt;"Valid","",YEAR($C200))</x:f>
        <x:v>2024</x:v>
      </x:c>
      <x:c r="AC200" s="80" t="str">
        <x:v>Cancelled (excluded from completed-sales summary)</x:v>
      </x:c>
      <x:c r="AD200" s="80" t="str">
        <x:v>Excluded</x:v>
      </x:c>
      <x:c r="AE200" s="80" t="str">
        <x:f>IF(OR($AH200&lt;&gt;"Valid",$AI200&lt;&gt;"Valid",$AJ200&lt;&gt;"Valid",LEFT($AM200,7)="Invalid",IFERROR(ABS($AQ200)&gt;0.01,FALSE),IFERROR(ABS($AR200)&gt;0.01,FALSE),COUNTIF($AS200,"*Conflicting duplicate*")&gt;0,COUNTIF($AS200,"*Completed order not paid*")&gt;0),"Invalid",IF(OR($H200="Unknown",$N200="Unknown",$AM200="Missing discount imputed as 0"),"Warning","Clean"))</x:f>
        <x:v>Clean</x:v>
      </x:c>
      <x:c r="AF200" s="80" t="str">
        <x:v>Pass</x:v>
      </x:c>
      <x:c r="AG200" s="80" t="str">
        <x:v>No text cleanup required</x:v>
      </x:c>
      <x:c r="AH200" s="12" t="str">
        <x:f>IF(C200="","Missing date",IF(ISNUMBER(C200),"Valid","Unrecognized/invalid date"))</x:f>
        <x:v>Valid</x:v>
      </x:c>
      <x:c r="AI200" s="12" t="str">
        <x:f>IF(D200="","Missing date",IF(ISNUMBER(D200),"Valid","Unrecognized/invalid date"))</x:f>
        <x:v>Valid</x:v>
      </x:c>
      <x:c r="AJ200" s="12" t="str">
        <x:v>Valid</x:v>
      </x:c>
      <x:c r="AK200" s="12" t="str">
        <x:v>Pass</x:v>
      </x:c>
      <x:c r="AL200" s="12" t="str">
        <x:v>Cancelled order – excluded from completed sales; Failed payment – excluded from completed sales</x:v>
      </x:c>
      <x:c r="AM200" s="12" t="str">
        <x:v>Valid</x:v>
      </x:c>
      <x:c r="AN200" s="12" t="str">
        <x:v>Exclude from completed sales</x:v>
      </x:c>
      <x:c r="AO200" s="12" t="str">
        <x:v>Not a refunded record</x:v>
      </x:c>
      <x:c r="AP200" s="37" t="n">
        <x:f>IF(LEFT($AM200,7)="Invalid","",IF($AM200="Missing discount imputed as 0",IF(AND(COUNT($O200,$P200,$R200,$S200)=4,$O200&gt;0,$P200&gt;=0,$R200&gt;=0,$S200&gt;=0),0,""),IF(AND(ISNUMBER($Q200),$Q200&gt;=0,$Q200&lt;=0.5),$Q200,"")))</x:f>
        <x:v>0.05</x:v>
      </x:c>
      <x:c r="AQ200" s="152" t="n">
        <x:f>IF(OR($W200="",NOT(ISNUMBER($R200))),"",ROUND($R200-$W200,2))</x:f>
        <x:v>0</x:v>
      </x:c>
      <x:c r="AR200" s="152" t="n">
        <x:f>IF(OR($X200="",NOT(ISNUMBER($T200))),"",ROUND($T200-$X200,2))</x:f>
        <x:v>0</x:v>
      </x:c>
      <x:c r="AS200" s="14" t="str">
        <x:v>OK</x:v>
      </x:c>
    </x:row>
    <x:row r="201">
      <x:c r="A201" s="80" t="n">
        <x:v>201</x:v>
      </x:c>
      <x:c r="B201" s="80" t="str">
        <x:v>ORD-2024-10200</x:v>
      </x:c>
      <x:c r="C201" s="81" t="n">
        <x:v>45363</x:v>
      </x:c>
      <x:c r="D201" s="81" t="n">
        <x:v>45363</x:v>
      </x:c>
      <x:c r="E201" s="80" t="str">
        <x:v>CUST-4536</x:v>
      </x:c>
      <x:c r="F201" s="80" t="str">
        <x:v>Rahul Verma</x:v>
      </x:c>
      <x:c r="G201" s="80" t="str">
        <x:v>Home Office</x:v>
      </x:c>
      <x:c r="H201" s="80" t="str">
        <x:v>East</x:v>
      </x:c>
      <x:c r="I201" s="80" t="str">
        <x:v>Bihar</x:v>
      </x:c>
      <x:c r="J201" s="80" t="str">
        <x:v>Patna</x:v>
      </x:c>
      <x:c r="K201" s="80" t="str">
        <x:v>Technology</x:v>
      </x:c>
      <x:c r="L201" s="80" t="str">
        <x:v>Machines</x:v>
      </x:c>
      <x:c r="M201" s="80" t="str">
        <x:v>Prime Machines 806</x:v>
      </x:c>
      <x:c r="N201" s="80" t="str">
        <x:v>Unknown</x:v>
      </x:c>
      <x:c r="O201" s="82" t="n">
        <x:v>6</x:v>
      </x:c>
      <x:c r="P201" s="83" t="n">
        <x:v>2185.58</x:v>
      </x:c>
      <x:c r="Q201" s="84" t="n">
        <x:v>0.25</x:v>
      </x:c>
      <x:c r="R201" s="83" t="n">
        <x:v>9835.11</x:v>
      </x:c>
      <x:c r="S201" s="83" t="n">
        <x:v>5437.64</x:v>
      </x:c>
      <x:c r="T201" s="83" t="n">
        <x:v>4397.47</x:v>
      </x:c>
      <x:c r="U201" s="83" t="str">
        <x:v>Paid</x:v>
      </x:c>
      <x:c r="V201" s="83" t="str">
        <x:v>Completed</x:v>
      </x:c>
      <x:c r="W201" s="151" t="n">
        <x:f>IF(OR(NOT(ISNUMBER($AP201)),COUNT($O201,$P201)&lt;2,$O201&lt;=0,$P201&lt;0),"",ROUND($O201*$P201*(1-$AP201),2))</x:f>
        <x:v>9835.11</x:v>
      </x:c>
      <x:c r="X201" s="151" t="n">
        <x:f>IF(OR(NOT(ISNUMBER($W201)),NOT(ISNUMBER($S201))),"",ROUND($W201-$S201,2))</x:f>
        <x:v>4397.47</x:v>
      </x:c>
      <x:c r="Y201" s="85" t="n">
        <x:f>IF(OR(NOT(ISNUMBER($W201)),NOT(ISNUMBER($X201)),$W201=0),"",ROUND($X201/$W201,4))</x:f>
        <x:v>0.4471</x:v>
      </x:c>
      <x:c r="Z201" s="82" t="n">
        <x:f>IF(OR($AH201&lt;&gt;"Valid",$AI201&lt;&gt;"Valid"),"",INT($D201-$C201))</x:f>
        <x:v>0</x:v>
      </x:c>
      <x:c r="AA201" s="86" t="str">
        <x:f>IF($AH201&lt;&gt;"Valid","",TEXT($C201,"mmmm"))</x:f>
        <x:v>March</x:v>
      </x:c>
      <x:c r="AB201" s="82" t="n">
        <x:f>IF($AH201&lt;&gt;"Valid","",YEAR($C201))</x:f>
        <x:v>2024</x:v>
      </x:c>
      <x:c r="AC201" s="80" t="str">
        <x:v>Consistent</x:v>
      </x:c>
      <x:c r="AD201" s="80" t="str">
        <x:v>Eligible</x:v>
      </x:c>
      <x:c r="AE201" s="80" t="str">
        <x:f>IF(OR($AH201&lt;&gt;"Valid",$AI201&lt;&gt;"Valid",$AJ201&lt;&gt;"Valid",LEFT($AM201,7)="Invalid",IFERROR(ABS($AQ201)&gt;0.01,FALSE),IFERROR(ABS($AR201)&gt;0.01,FALSE),COUNTIF($AS201,"*Conflicting duplicate*")&gt;0,COUNTIF($AS201,"*Completed order not paid*")&gt;0),"Invalid",IF(OR($H201="Unknown",$N201="Unknown",$AM201="Missing discount imputed as 0"),"Warning","Clean"))</x:f>
        <x:v>Warning</x:v>
      </x:c>
      <x:c r="AF201" s="80" t="str">
        <x:v>Cleaned</x:v>
      </x:c>
      <x:c r="AG201" s="80" t="str">
        <x:v>ship_mode: Missing value filled as Unknown</x:v>
      </x:c>
      <x:c r="AH201" s="12" t="str">
        <x:f>IF(C201="","Missing date",IF(ISNUMBER(C201),"Valid","Unrecognized/invalid date"))</x:f>
        <x:v>Valid</x:v>
      </x:c>
      <x:c r="AI201" s="12" t="str">
        <x:f>IF(D201="","Missing date",IF(ISNUMBER(D201),"Valid","Unrecognized/invalid date"))</x:f>
        <x:v>Valid</x:v>
      </x:c>
      <x:c r="AJ201" s="12" t="str">
        <x:v>Valid</x:v>
      </x:c>
      <x:c r="AK201" s="12" t="str">
        <x:v>Pass</x:v>
      </x:c>
      <x:c r="AL201" s="12" t="str">
        <x:v>Missing ship_mode filled as Unknown</x:v>
      </x:c>
      <x:c r="AM201" s="12" t="str">
        <x:v>Valid</x:v>
      </x:c>
      <x:c r="AN201" s="12" t="str">
        <x:v>Include in completed sales</x:v>
      </x:c>
      <x:c r="AO201" s="12" t="str">
        <x:v>Not a refunded record</x:v>
      </x:c>
      <x:c r="AP201" s="37" t="n">
        <x:f>IF(LEFT($AM201,7)="Invalid","",IF($AM201="Missing discount imputed as 0",IF(AND(COUNT($O201,$P201,$R201,$S201)=4,$O201&gt;0,$P201&gt;=0,$R201&gt;=0,$S201&gt;=0),0,""),IF(AND(ISNUMBER($Q201),$Q201&gt;=0,$Q201&lt;=0.5),$Q201,"")))</x:f>
        <x:v>0.25</x:v>
      </x:c>
      <x:c r="AQ201" s="152" t="n">
        <x:f>IF(OR($W201="",NOT(ISNUMBER($R201))),"",ROUND($R201-$W201,2))</x:f>
        <x:v>0</x:v>
      </x:c>
      <x:c r="AR201" s="152" t="n">
        <x:f>IF(OR($X201="",NOT(ISNUMBER($T201))),"",ROUND($T201-$X201,2))</x:f>
        <x:v>0</x:v>
      </x:c>
      <x:c r="AS201" s="14" t="str">
        <x:v>OK</x:v>
      </x:c>
    </x:row>
    <x:row r="202">
      <x:c r="A202" s="80" t="n">
        <x:v>202</x:v>
      </x:c>
      <x:c r="B202" s="80" t="str">
        <x:v>ORD-2025-10201</x:v>
      </x:c>
      <x:c r="C202" s="81" t="n">
        <x:v>45835</x:v>
      </x:c>
      <x:c r="D202" s="81" t="n">
        <x:v>45843</x:v>
      </x:c>
      <x:c r="E202" s="80" t="str">
        <x:v>CUST-7047</x:v>
      </x:c>
      <x:c r="F202" s="80" t="str">
        <x:v>Priya Menon</x:v>
      </x:c>
      <x:c r="G202" s="80" t="str">
        <x:v>Small Business</x:v>
      </x:c>
      <x:c r="H202" s="80" t="str">
        <x:v>North</x:v>
      </x:c>
      <x:c r="I202" s="80" t="str">
        <x:v>Rajasthan</x:v>
      </x:c>
      <x:c r="J202" s="80" t="str">
        <x:v>Jaipur</x:v>
      </x:c>
      <x:c r="K202" s="80" t="str">
        <x:v>Technology</x:v>
      </x:c>
      <x:c r="L202" s="80" t="str">
        <x:v>Copiers</x:v>
      </x:c>
      <x:c r="M202" s="80" t="str">
        <x:v>Classic Copiers 479</x:v>
      </x:c>
      <x:c r="N202" s="80" t="str">
        <x:v>First Class</x:v>
      </x:c>
      <x:c r="O202" s="82" t="n">
        <x:v>5</x:v>
      </x:c>
      <x:c r="P202" s="83" t="n">
        <x:v>2868.44</x:v>
      </x:c>
      <x:c r="Q202" s="84" t="n">
        <x:v>0.1</x:v>
      </x:c>
      <x:c r="R202" s="83" t="n">
        <x:v>12907.98</x:v>
      </x:c>
      <x:c r="S202" s="83" t="n">
        <x:v>9197.08</x:v>
      </x:c>
      <x:c r="T202" s="83" t="n">
        <x:v>3710.9</x:v>
      </x:c>
      <x:c r="U202" s="83" t="str">
        <x:v>Pending</x:v>
      </x:c>
      <x:c r="V202" s="83" t="str">
        <x:v>Cancelled</x:v>
      </x:c>
      <x:c r="W202" s="151" t="n">
        <x:f>IF(OR(NOT(ISNUMBER($AP202)),COUNT($O202,$P202)&lt;2,$O202&lt;=0,$P202&lt;0),"",ROUND($O202*$P202*(1-$AP202),2))</x:f>
        <x:v>12907.98</x:v>
      </x:c>
      <x:c r="X202" s="151" t="n">
        <x:f>IF(OR(NOT(ISNUMBER($W202)),NOT(ISNUMBER($S202))),"",ROUND($W202-$S202,2))</x:f>
        <x:v>3710.9</x:v>
      </x:c>
      <x:c r="Y202" s="85" t="n">
        <x:f>IF(OR(NOT(ISNUMBER($W202)),NOT(ISNUMBER($X202)),$W202=0),"",ROUND($X202/$W202,4))</x:f>
        <x:v>0.2875</x:v>
      </x:c>
      <x:c r="Z202" s="82" t="n">
        <x:f>IF(OR($AH202&lt;&gt;"Valid",$AI202&lt;&gt;"Valid"),"",INT($D202-$C202))</x:f>
        <x:v>8</x:v>
      </x:c>
      <x:c r="AA202" s="86" t="str">
        <x:f>IF($AH202&lt;&gt;"Valid","",TEXT($C202,"mmmm"))</x:f>
        <x:v>June</x:v>
      </x:c>
      <x:c r="AB202" s="82" t="n">
        <x:f>IF($AH202&lt;&gt;"Valid","",YEAR($C202))</x:f>
        <x:v>2025</x:v>
      </x:c>
      <x:c r="AC202" s="80" t="str">
        <x:v>Cancelled (excluded from completed-sales summary)</x:v>
      </x:c>
      <x:c r="AD202" s="80" t="str">
        <x:v>Excluded</x:v>
      </x:c>
      <x:c r="AE202" s="80" t="str">
        <x:f>IF(OR($AH202&lt;&gt;"Valid",$AI202&lt;&gt;"Valid",$AJ202&lt;&gt;"Valid",LEFT($AM202,7)="Invalid",IFERROR(ABS($AQ202)&gt;0.01,FALSE),IFERROR(ABS($AR202)&gt;0.01,FALSE),COUNTIF($AS202,"*Conflicting duplicate*")&gt;0,COUNTIF($AS202,"*Completed order not paid*")&gt;0),"Invalid",IF(OR($H202="Unknown",$N202="Unknown",$AM202="Missing discount imputed as 0"),"Warning","Clean"))</x:f>
        <x:v>Clean</x:v>
      </x:c>
      <x:c r="AF202" s="80" t="str">
        <x:v>Pass</x:v>
      </x:c>
      <x:c r="AG202" s="80" t="str">
        <x:v>No text cleanup required</x:v>
      </x:c>
      <x:c r="AH202" s="12" t="str">
        <x:f>IF(C202="","Missing date",IF(ISNUMBER(C202),"Valid","Unrecognized/invalid date"))</x:f>
        <x:v>Valid</x:v>
      </x:c>
      <x:c r="AI202" s="12" t="str">
        <x:f>IF(D202="","Missing date",IF(ISNUMBER(D202),"Valid","Unrecognized/invalid date"))</x:f>
        <x:v>Valid</x:v>
      </x:c>
      <x:c r="AJ202" s="12" t="str">
        <x:v>Valid</x:v>
      </x:c>
      <x:c r="AK202" s="12" t="str">
        <x:v>Pass</x:v>
      </x:c>
      <x:c r="AL202" s="12" t="str">
        <x:v>Cancelled order – excluded from completed sales</x:v>
      </x:c>
      <x:c r="AM202" s="12" t="str">
        <x:v>Valid</x:v>
      </x:c>
      <x:c r="AN202" s="12" t="str">
        <x:v>Exclude from completed sales</x:v>
      </x:c>
      <x:c r="AO202" s="12" t="str">
        <x:v>Not a refunded record</x:v>
      </x:c>
      <x:c r="AP202" s="37" t="n">
        <x:f>IF(LEFT($AM202,7)="Invalid","",IF($AM202="Missing discount imputed as 0",IF(AND(COUNT($O202,$P202,$R202,$S202)=4,$O202&gt;0,$P202&gt;=0,$R202&gt;=0,$S202&gt;=0),0,""),IF(AND(ISNUMBER($Q202),$Q202&gt;=0,$Q202&lt;=0.5),$Q202,"")))</x:f>
        <x:v>0.1</x:v>
      </x:c>
      <x:c r="AQ202" s="152" t="n">
        <x:f>IF(OR($W202="",NOT(ISNUMBER($R202))),"",ROUND($R202-$W202,2))</x:f>
        <x:v>0</x:v>
      </x:c>
      <x:c r="AR202" s="152" t="n">
        <x:f>IF(OR($X202="",NOT(ISNUMBER($T202))),"",ROUND($T202-$X202,2))</x:f>
        <x:v>0</x:v>
      </x:c>
      <x:c r="AS202" s="14" t="str">
        <x:v>OK</x:v>
      </x:c>
    </x:row>
    <x:row r="203">
      <x:c r="A203" s="80" t="n">
        <x:v>203</x:v>
      </x:c>
      <x:c r="B203" s="80" t="str">
        <x:v>ORD-2025-10202</x:v>
      </x:c>
      <x:c r="C203" s="81" t="n">
        <x:v>45864</x:v>
      </x:c>
      <x:c r="D203" s="81" t="n">
        <x:v>45872</x:v>
      </x:c>
      <x:c r="E203" s="80" t="str">
        <x:v>CUST-8005</x:v>
      </x:c>
      <x:c r="F203" s="80" t="str">
        <x:v>Vikram Iyer</x:v>
      </x:c>
      <x:c r="G203" s="80" t="str">
        <x:v>Consumer</x:v>
      </x:c>
      <x:c r="H203" s="80" t="str">
        <x:v>West</x:v>
      </x:c>
      <x:c r="I203" s="80" t="str">
        <x:v>Madhya Pradesh</x:v>
      </x:c>
      <x:c r="J203" s="80" t="str">
        <x:v>Indore</x:v>
      </x:c>
      <x:c r="K203" s="80" t="str">
        <x:v>Office Supplies</x:v>
      </x:c>
      <x:c r="L203" s="80" t="str">
        <x:v>Labels</x:v>
      </x:c>
      <x:c r="M203" s="80" t="str">
        <x:v>Basic Labels 511</x:v>
      </x:c>
      <x:c r="N203" s="80" t="str">
        <x:v>Second Class</x:v>
      </x:c>
      <x:c r="O203" s="82" t="n">
        <x:v>2</x:v>
      </x:c>
      <x:c r="P203" s="83" t="n">
        <x:v>2503.53</x:v>
      </x:c>
      <x:c r="Q203" s="84" t="n">
        <x:v>-0.16</x:v>
      </x:c>
      <x:c r="R203" s="83" t="n">
        <x:v>4756.71</x:v>
      </x:c>
      <x:c r="S203" s="83" t="n">
        <x:v>2954.86</x:v>
      </x:c>
      <x:c r="T203" s="83" t="n">
        <x:v>1801.85</x:v>
      </x:c>
      <x:c r="U203" s="83" t="str">
        <x:v>Refunded</x:v>
      </x:c>
      <x:c r="V203" s="83" t="str">
        <x:v>Cancelled</x:v>
      </x:c>
      <x:c r="W203" s="151" t="str">
        <x:f>IF(OR(NOT(ISNUMBER($AP203)),COUNT($O203,$P203)&lt;2,$O203&lt;=0,$P203&lt;0),"",ROUND($O203*$P203*(1-$AP203),2))</x:f>
      </x:c>
      <x:c r="X203" s="151" t="str">
        <x:f>IF(OR(NOT(ISNUMBER($W203)),NOT(ISNUMBER($S203))),"",ROUND($W203-$S203,2))</x:f>
      </x:c>
      <x:c r="Y203" s="85" t="str">
        <x:f>IF(OR(NOT(ISNUMBER($W203)),NOT(ISNUMBER($X203)),$W203=0),"",ROUND($X203/$W203,4))</x:f>
      </x:c>
      <x:c r="Z203" s="82" t="n">
        <x:f>IF(OR($AH203&lt;&gt;"Valid",$AI203&lt;&gt;"Valid"),"",INT($D203-$C203))</x:f>
        <x:v>8</x:v>
      </x:c>
      <x:c r="AA203" s="86" t="str">
        <x:f>IF($AH203&lt;&gt;"Valid","",TEXT($C203,"mmmm"))</x:f>
        <x:v>July</x:v>
      </x:c>
      <x:c r="AB203" s="82" t="n">
        <x:f>IF($AH203&lt;&gt;"Valid","",YEAR($C203))</x:f>
        <x:v>2025</x:v>
      </x:c>
      <x:c r="AC203" s="80" t="str">
        <x:v>Cancelled (excluded from completed-sales summary)</x:v>
      </x:c>
      <x:c r="AD203" s="80" t="str">
        <x:v>Excluded</x:v>
      </x:c>
      <x:c r="AE203" s="80" t="str">
        <x:f>IF(OR($AH203&lt;&gt;"Valid",$AI203&lt;&gt;"Valid",$AJ203&lt;&gt;"Valid",LEFT($AM203,7)="Invalid",IFERROR(ABS($AQ203)&gt;0.01,FALSE),IFERROR(ABS($AR203)&gt;0.01,FALSE),COUNTIF($AS203,"*Conflicting duplicate*")&gt;0,COUNTIF($AS203,"*Completed order not paid*")&gt;0),"Invalid",IF(OR($H203="Unknown",$N203="Unknown",$AM203="Missing discount imputed as 0"),"Warning","Clean"))</x:f>
        <x:v>Invalid</x:v>
      </x:c>
      <x:c r="AF203" s="80" t="str">
        <x:v>Review</x:v>
      </x:c>
      <x:c r="AG203" s="80" t="str">
        <x:v>No text cleanup required</x:v>
      </x:c>
      <x:c r="AH203" s="12" t="str">
        <x:f>IF(C203="","Missing date",IF(ISNUMBER(C203),"Valid","Unrecognized/invalid date"))</x:f>
        <x:v>Valid</x:v>
      </x:c>
      <x:c r="AI203" s="12" t="str">
        <x:f>IF(D203="","Missing date",IF(ISNUMBER(D203),"Valid","Unrecognized/invalid date"))</x:f>
        <x:v>Valid</x:v>
      </x:c>
      <x:c r="AJ203" s="12" t="str">
        <x:v>Valid</x:v>
      </x:c>
      <x:c r="AK203" s="12" t="str">
        <x:v>Pass</x:v>
      </x:c>
      <x:c r="AL203" s="12" t="str">
        <x:v>Cancelled order – excluded from completed sales; Refunded payment – separately summarized</x:v>
      </x:c>
      <x:c r="AM203" s="12" t="str">
        <x:v>Invalid discount – negative</x:v>
      </x:c>
      <x:c r="AN203" s="12" t="str">
        <x:v>Exclude from completed sales</x:v>
      </x:c>
      <x:c r="AO203" s="12" t="str">
        <x:v>Include in refunded summary</x:v>
      </x:c>
      <x:c r="AP203" s="37" t="str">
        <x:f>IF(LEFT($AM203,7)="Invalid","",IF($AM203="Missing discount imputed as 0",IF(AND(COUNT($O203,$P203,$R203,$S203)=4,$O203&gt;0,$P203&gt;=0,$R203&gt;=0,$S203&gt;=0),0,""),IF(AND(ISNUMBER($Q203),$Q203&gt;=0,$Q203&lt;=0.5),$Q203,"")))</x:f>
      </x:c>
      <x:c r="AQ203" s="152" t="str">
        <x:f>IF(OR($W203="",NOT(ISNUMBER($R203))),"",ROUND($R203-$W203,2))</x:f>
      </x:c>
      <x:c r="AR203" s="152" t="str">
        <x:f>IF(OR($X203="",NOT(ISNUMBER($T203))),"",ROUND($T203-$X203,2))</x:f>
      </x:c>
      <x:c r="AS203" s="14" t="str">
        <x:v>Negative discount</x:v>
      </x:c>
    </x:row>
    <x:row r="204">
      <x:c r="A204" s="80" t="n">
        <x:v>204</x:v>
      </x:c>
      <x:c r="B204" s="80" t="str">
        <x:v>ORD-2025-10203</x:v>
      </x:c>
      <x:c r="C204" s="81" t="n">
        <x:v>45744</x:v>
      </x:c>
      <x:c r="D204" s="81" t="n">
        <x:v>45744</x:v>
      </x:c>
      <x:c r="E204" s="80" t="str">
        <x:v>CUST-9378</x:v>
      </x:c>
      <x:c r="F204" s="80" t="str">
        <x:v>Sneha Kapoor</x:v>
      </x:c>
      <x:c r="G204" s="80" t="str">
        <x:v>Corporate</x:v>
      </x:c>
      <x:c r="H204" s="80" t="str">
        <x:v>West</x:v>
      </x:c>
      <x:c r="I204" s="80" t="str">
        <x:v>Goa</x:v>
      </x:c>
      <x:c r="J204" s="80" t="str">
        <x:v>Panaji</x:v>
      </x:c>
      <x:c r="K204" s="80" t="str">
        <x:v>Technology</x:v>
      </x:c>
      <x:c r="L204" s="80" t="str">
        <x:v>Accessories</x:v>
      </x:c>
      <x:c r="M204" s="80" t="str">
        <x:v>Prime Accessories 733</x:v>
      </x:c>
      <x:c r="N204" s="80" t="str">
        <x:v>Standard Class</x:v>
      </x:c>
      <x:c r="O204" s="82" t="n">
        <x:v>8</x:v>
      </x:c>
      <x:c r="P204" s="83" t="n">
        <x:v>1740.94</x:v>
      </x:c>
      <x:c r="Q204" s="84" t="n">
        <x:v>0.05</x:v>
      </x:c>
      <x:c r="R204" s="83" t="n">
        <x:v>13231.14</x:v>
      </x:c>
      <x:c r="S204" s="83" t="n">
        <x:v>11290.06</x:v>
      </x:c>
      <x:c r="T204" s="83" t="n">
        <x:v>1941.08</x:v>
      </x:c>
      <x:c r="U204" s="83" t="str">
        <x:v>Paid</x:v>
      </x:c>
      <x:c r="V204" s="83" t="str">
        <x:v>Completed</x:v>
      </x:c>
      <x:c r="W204" s="151" t="n">
        <x:f>IF(OR(NOT(ISNUMBER($AP204)),COUNT($O204,$P204)&lt;2,$O204&lt;=0,$P204&lt;0),"",ROUND($O204*$P204*(1-$AP204),2))</x:f>
        <x:v>13231.14</x:v>
      </x:c>
      <x:c r="X204" s="151" t="n">
        <x:f>IF(OR(NOT(ISNUMBER($W204)),NOT(ISNUMBER($S204))),"",ROUND($W204-$S204,2))</x:f>
        <x:v>1941.08</x:v>
      </x:c>
      <x:c r="Y204" s="85" t="n">
        <x:f>IF(OR(NOT(ISNUMBER($W204)),NOT(ISNUMBER($X204)),$W204=0),"",ROUND($X204/$W204,4))</x:f>
        <x:v>0.1467</x:v>
      </x:c>
      <x:c r="Z204" s="82" t="n">
        <x:f>IF(OR($AH204&lt;&gt;"Valid",$AI204&lt;&gt;"Valid"),"",INT($D204-$C204))</x:f>
        <x:v>0</x:v>
      </x:c>
      <x:c r="AA204" s="86" t="str">
        <x:f>IF($AH204&lt;&gt;"Valid","",TEXT($C204,"mmmm"))</x:f>
        <x:v>March</x:v>
      </x:c>
      <x:c r="AB204" s="82" t="n">
        <x:f>IF($AH204&lt;&gt;"Valid","",YEAR($C204))</x:f>
        <x:v>2025</x:v>
      </x:c>
      <x:c r="AC204" s="80" t="str">
        <x:v>Consistent</x:v>
      </x:c>
      <x:c r="AD204" s="80" t="str">
        <x:v>Eligible</x:v>
      </x:c>
      <x:c r="AE204" s="80" t="str">
        <x:f>IF(OR($AH204&lt;&gt;"Valid",$AI204&lt;&gt;"Valid",$AJ204&lt;&gt;"Valid",LEFT($AM204,7)="Invalid",IFERROR(ABS($AQ204)&gt;0.01,FALSE),IFERROR(ABS($AR204)&gt;0.01,FALSE),COUNTIF($AS204,"*Conflicting duplicate*")&gt;0,COUNTIF($AS204,"*Completed order not paid*")&gt;0),"Invalid",IF(OR($H204="Unknown",$N204="Unknown",$AM204="Missing discount imputed as 0"),"Warning","Clean"))</x:f>
        <x:v>Clean</x:v>
      </x:c>
      <x:c r="AF204" s="80" t="str">
        <x:v>Pass</x:v>
      </x:c>
      <x:c r="AG204" s="80" t="str">
        <x:v>No text cleanup required</x:v>
      </x:c>
      <x:c r="AH204" s="12" t="str">
        <x:f>IF(C204="","Missing date",IF(ISNUMBER(C204),"Valid","Unrecognized/invalid date"))</x:f>
        <x:v>Valid</x:v>
      </x:c>
      <x:c r="AI204" s="12" t="str">
        <x:f>IF(D204="","Missing date",IF(ISNUMBER(D204),"Valid","Unrecognized/invalid date"))</x:f>
        <x:v>Valid</x:v>
      </x:c>
      <x:c r="AJ204" s="12" t="str">
        <x:v>Valid</x:v>
      </x:c>
      <x:c r="AK204" s="12" t="str">
        <x:v>Pass</x:v>
      </x:c>
      <x:c r="AL204" s="12" t="str">
        <x:v>None</x:v>
      </x:c>
      <x:c r="AM204" s="12" t="str">
        <x:v>Valid</x:v>
      </x:c>
      <x:c r="AN204" s="12" t="str">
        <x:v>Include in completed sales</x:v>
      </x:c>
      <x:c r="AO204" s="12" t="str">
        <x:v>Not a refunded record</x:v>
      </x:c>
      <x:c r="AP204" s="37" t="n">
        <x:f>IF(LEFT($AM204,7)="Invalid","",IF($AM204="Missing discount imputed as 0",IF(AND(COUNT($O204,$P204,$R204,$S204)=4,$O204&gt;0,$P204&gt;=0,$R204&gt;=0,$S204&gt;=0),0,""),IF(AND(ISNUMBER($Q204),$Q204&gt;=0,$Q204&lt;=0.5),$Q204,"")))</x:f>
        <x:v>0.05</x:v>
      </x:c>
      <x:c r="AQ204" s="152" t="n">
        <x:f>IF(OR($W204="",NOT(ISNUMBER($R204))),"",ROUND($R204-$W204,2))</x:f>
        <x:v>0</x:v>
      </x:c>
      <x:c r="AR204" s="152" t="n">
        <x:f>IF(OR($X204="",NOT(ISNUMBER($T204))),"",ROUND($T204-$X204,2))</x:f>
        <x:v>0</x:v>
      </x:c>
      <x:c r="AS204" s="14" t="str">
        <x:v>OK</x:v>
      </x:c>
    </x:row>
    <x:row r="205">
      <x:c r="A205" s="80" t="n">
        <x:v>205</x:v>
      </x:c>
      <x:c r="B205" s="80" t="str">
        <x:v>ORD-2024-10204</x:v>
      </x:c>
      <x:c r="C205" s="81" t="n">
        <x:v>45379</x:v>
      </x:c>
      <x:c r="D205" s="81" t="n">
        <x:v>45381</x:v>
      </x:c>
      <x:c r="E205" s="80" t="str">
        <x:v>CUST-3384</x:v>
      </x:c>
      <x:c r="F205" s="80" t="str">
        <x:v>Sneha Kapoor</x:v>
      </x:c>
      <x:c r="G205" s="80" t="str">
        <x:v>Corporate</x:v>
      </x:c>
      <x:c r="H205" s="80" t="str">
        <x:v>West</x:v>
      </x:c>
      <x:c r="I205" s="80" t="str">
        <x:v>Rajasthan</x:v>
      </x:c>
      <x:c r="J205" s="80" t="str">
        <x:v>Udaipur</x:v>
      </x:c>
      <x:c r="K205" s="80" t="str">
        <x:v>Technology</x:v>
      </x:c>
      <x:c r="L205" s="80" t="str">
        <x:v>Accessories</x:v>
      </x:c>
      <x:c r="M205" s="80" t="str">
        <x:v>Max Accessories 186</x:v>
      </x:c>
      <x:c r="N205" s="80" t="str">
        <x:v>Second Class</x:v>
      </x:c>
      <x:c r="O205" s="82" t="n">
        <x:v>1</x:v>
      </x:c>
      <x:c r="P205" s="83" t="n">
        <x:v>570.34</x:v>
      </x:c>
      <x:c r="Q205" s="84" t="n">
        <x:v>0.15</x:v>
      </x:c>
      <x:c r="R205" s="83" t="n">
        <x:v>484.79</x:v>
      </x:c>
      <x:c r="S205" s="83" t="n">
        <x:v>333.54</x:v>
      </x:c>
      <x:c r="T205" s="83" t="n">
        <x:v>151.25</x:v>
      </x:c>
      <x:c r="U205" s="83" t="str">
        <x:v>Paid</x:v>
      </x:c>
      <x:c r="V205" s="83" t="str">
        <x:v>Completed</x:v>
      </x:c>
      <x:c r="W205" s="151" t="n">
        <x:f>IF(OR(NOT(ISNUMBER($AP205)),COUNT($O205,$P205)&lt;2,$O205&lt;=0,$P205&lt;0),"",ROUND($O205*$P205*(1-$AP205),2))</x:f>
        <x:v>484.79</x:v>
      </x:c>
      <x:c r="X205" s="151" t="n">
        <x:f>IF(OR(NOT(ISNUMBER($W205)),NOT(ISNUMBER($S205))),"",ROUND($W205-$S205,2))</x:f>
        <x:v>151.25</x:v>
      </x:c>
      <x:c r="Y205" s="85" t="n">
        <x:f>IF(OR(NOT(ISNUMBER($W205)),NOT(ISNUMBER($X205)),$W205=0),"",ROUND($X205/$W205,4))</x:f>
        <x:v>0.312</x:v>
      </x:c>
      <x:c r="Z205" s="82" t="n">
        <x:f>IF(OR($AH205&lt;&gt;"Valid",$AI205&lt;&gt;"Valid"),"",INT($D205-$C205))</x:f>
        <x:v>2</x:v>
      </x:c>
      <x:c r="AA205" s="86" t="str">
        <x:f>IF($AH205&lt;&gt;"Valid","",TEXT($C205,"mmmm"))</x:f>
        <x:v>March</x:v>
      </x:c>
      <x:c r="AB205" s="82" t="n">
        <x:f>IF($AH205&lt;&gt;"Valid","",YEAR($C205))</x:f>
        <x:v>2024</x:v>
      </x:c>
      <x:c r="AC205" s="80" t="str">
        <x:v>Consistent</x:v>
      </x:c>
      <x:c r="AD205" s="80" t="str">
        <x:v>Eligible</x:v>
      </x:c>
      <x:c r="AE205" s="80" t="str">
        <x:f>IF(OR($AH205&lt;&gt;"Valid",$AI205&lt;&gt;"Valid",$AJ205&lt;&gt;"Valid",LEFT($AM205,7)="Invalid",IFERROR(ABS($AQ205)&gt;0.01,FALSE),IFERROR(ABS($AR205)&gt;0.01,FALSE),COUNTIF($AS205,"*Conflicting duplicate*")&gt;0,COUNTIF($AS205,"*Completed order not paid*")&gt;0),"Invalid",IF(OR($H205="Unknown",$N205="Unknown",$AM205="Missing discount imputed as 0"),"Warning","Clean"))</x:f>
        <x:v>Clean</x:v>
      </x:c>
      <x:c r="AF205" s="80" t="str">
        <x:v>Pass</x:v>
      </x:c>
      <x:c r="AG205" s="80" t="str">
        <x:v>No text cleanup required</x:v>
      </x:c>
      <x:c r="AH205" s="12" t="str">
        <x:f>IF(C205="","Missing date",IF(ISNUMBER(C205),"Valid","Unrecognized/invalid date"))</x:f>
        <x:v>Valid</x:v>
      </x:c>
      <x:c r="AI205" s="12" t="str">
        <x:f>IF(D205="","Missing date",IF(ISNUMBER(D205),"Valid","Unrecognized/invalid date"))</x:f>
        <x:v>Valid</x:v>
      </x:c>
      <x:c r="AJ205" s="12" t="str">
        <x:v>Valid</x:v>
      </x:c>
      <x:c r="AK205" s="12" t="str">
        <x:v>Pass</x:v>
      </x:c>
      <x:c r="AL205" s="12" t="str">
        <x:v>None</x:v>
      </x:c>
      <x:c r="AM205" s="12" t="str">
        <x:v>Valid</x:v>
      </x:c>
      <x:c r="AN205" s="12" t="str">
        <x:v>Include in completed sales</x:v>
      </x:c>
      <x:c r="AO205" s="12" t="str">
        <x:v>Not a refunded record</x:v>
      </x:c>
      <x:c r="AP205" s="37" t="n">
        <x:f>IF(LEFT($AM205,7)="Invalid","",IF($AM205="Missing discount imputed as 0",IF(AND(COUNT($O205,$P205,$R205,$S205)=4,$O205&gt;0,$P205&gt;=0,$R205&gt;=0,$S205&gt;=0),0,""),IF(AND(ISNUMBER($Q205),$Q205&gt;=0,$Q205&lt;=0.5),$Q205,"")))</x:f>
        <x:v>0.15</x:v>
      </x:c>
      <x:c r="AQ205" s="152" t="n">
        <x:f>IF(OR($W205="",NOT(ISNUMBER($R205))),"",ROUND($R205-$W205,2))</x:f>
        <x:v>0</x:v>
      </x:c>
      <x:c r="AR205" s="152" t="n">
        <x:f>IF(OR($X205="",NOT(ISNUMBER($T205))),"",ROUND($T205-$X205,2))</x:f>
        <x:v>0</x:v>
      </x:c>
      <x:c r="AS205" s="14" t="str">
        <x:v>OK</x:v>
      </x:c>
    </x:row>
    <x:row r="206">
      <x:c r="A206" s="80" t="n">
        <x:v>206</x:v>
      </x:c>
      <x:c r="B206" s="80" t="str">
        <x:v>ORD-2025-10205</x:v>
      </x:c>
      <x:c r="C206" s="81" t="n">
        <x:v>45858</x:v>
      </x:c>
      <x:c r="D206" s="81" t="n">
        <x:v>45861</x:v>
      </x:c>
      <x:c r="E206" s="80" t="str">
        <x:v>CUST-1986</x:v>
      </x:c>
      <x:c r="F206" s="80" t="str">
        <x:v>Mira Das</x:v>
      </x:c>
      <x:c r="G206" s="80" t="str">
        <x:v>Home Office</x:v>
      </x:c>
      <x:c r="H206" s="80" t="str">
        <x:v>East</x:v>
      </x:c>
      <x:c r="I206" s="80" t="str">
        <x:v>West Bengal</x:v>
      </x:c>
      <x:c r="J206" s="80" t="str">
        <x:v>Kolkata</x:v>
      </x:c>
      <x:c r="K206" s="80" t="str">
        <x:v>Furniture</x:v>
      </x:c>
      <x:c r="L206" s="80" t="str">
        <x:v>Tables</x:v>
      </x:c>
      <x:c r="M206" s="80" t="str">
        <x:v>Elite Tables 318</x:v>
      </x:c>
      <x:c r="N206" s="80" t="str">
        <x:v>Second Class</x:v>
      </x:c>
      <x:c r="O206" s="82" t="n">
        <x:v>4</x:v>
      </x:c>
      <x:c r="P206" s="83" t="n">
        <x:v>477.69</x:v>
      </x:c>
      <x:c r="Q206" s="84" t="n">
        <x:v>0.15</x:v>
      </x:c>
      <x:c r="R206" s="83" t="n">
        <x:v>1624.15</x:v>
      </x:c>
      <x:c r="S206" s="83" t="n">
        <x:v>1217.99</x:v>
      </x:c>
      <x:c r="T206" s="83" t="n">
        <x:v>406.16</x:v>
      </x:c>
      <x:c r="U206" s="83" t="str">
        <x:v>Paid</x:v>
      </x:c>
      <x:c r="V206" s="83" t="str">
        <x:v>Completed</x:v>
      </x:c>
      <x:c r="W206" s="151" t="n">
        <x:f>IF(OR(NOT(ISNUMBER($AP206)),COUNT($O206,$P206)&lt;2,$O206&lt;=0,$P206&lt;0),"",ROUND($O206*$P206*(1-$AP206),2))</x:f>
        <x:v>1624.15</x:v>
      </x:c>
      <x:c r="X206" s="151" t="n">
        <x:f>IF(OR(NOT(ISNUMBER($W206)),NOT(ISNUMBER($S206))),"",ROUND($W206-$S206,2))</x:f>
        <x:v>406.16</x:v>
      </x:c>
      <x:c r="Y206" s="85" t="n">
        <x:f>IF(OR(NOT(ISNUMBER($W206)),NOT(ISNUMBER($X206)),$W206=0),"",ROUND($X206/$W206,4))</x:f>
        <x:v>0.2501</x:v>
      </x:c>
      <x:c r="Z206" s="82" t="n">
        <x:f>IF(OR($AH206&lt;&gt;"Valid",$AI206&lt;&gt;"Valid"),"",INT($D206-$C206))</x:f>
        <x:v>3</x:v>
      </x:c>
      <x:c r="AA206" s="86" t="str">
        <x:f>IF($AH206&lt;&gt;"Valid","",TEXT($C206,"mmmm"))</x:f>
        <x:v>July</x:v>
      </x:c>
      <x:c r="AB206" s="82" t="n">
        <x:f>IF($AH206&lt;&gt;"Valid","",YEAR($C206))</x:f>
        <x:v>2025</x:v>
      </x:c>
      <x:c r="AC206" s="80" t="str">
        <x:v>Consistent</x:v>
      </x:c>
      <x:c r="AD206" s="80" t="str">
        <x:v>Eligible</x:v>
      </x:c>
      <x:c r="AE206" s="80" t="str">
        <x:f>IF(OR($AH206&lt;&gt;"Valid",$AI206&lt;&gt;"Valid",$AJ206&lt;&gt;"Valid",LEFT($AM206,7)="Invalid",IFERROR(ABS($AQ206)&gt;0.01,FALSE),IFERROR(ABS($AR206)&gt;0.01,FALSE),COUNTIF($AS206,"*Conflicting duplicate*")&gt;0,COUNTIF($AS206,"*Completed order not paid*")&gt;0),"Invalid",IF(OR($H206="Unknown",$N206="Unknown",$AM206="Missing discount imputed as 0"),"Warning","Clean"))</x:f>
        <x:v>Clean</x:v>
      </x:c>
      <x:c r="AF206" s="80" t="str">
        <x:v>Pass</x:v>
      </x:c>
      <x:c r="AG206" s="80" t="str">
        <x:v>No text cleanup required</x:v>
      </x:c>
      <x:c r="AH206" s="12" t="str">
        <x:f>IF(C206="","Missing date",IF(ISNUMBER(C206),"Valid","Unrecognized/invalid date"))</x:f>
        <x:v>Valid</x:v>
      </x:c>
      <x:c r="AI206" s="12" t="str">
        <x:f>IF(D206="","Missing date",IF(ISNUMBER(D206),"Valid","Unrecognized/invalid date"))</x:f>
        <x:v>Valid</x:v>
      </x:c>
      <x:c r="AJ206" s="12" t="str">
        <x:v>Valid</x:v>
      </x:c>
      <x:c r="AK206" s="12" t="str">
        <x:v>Pass</x:v>
      </x:c>
      <x:c r="AL206" s="12" t="str">
        <x:v>None</x:v>
      </x:c>
      <x:c r="AM206" s="12" t="str">
        <x:v>Valid</x:v>
      </x:c>
      <x:c r="AN206" s="12" t="str">
        <x:v>Include in completed sales</x:v>
      </x:c>
      <x:c r="AO206" s="12" t="str">
        <x:v>Not a refunded record</x:v>
      </x:c>
      <x:c r="AP206" s="37" t="n">
        <x:f>IF(LEFT($AM206,7)="Invalid","",IF($AM206="Missing discount imputed as 0",IF(AND(COUNT($O206,$P206,$R206,$S206)=4,$O206&gt;0,$P206&gt;=0,$R206&gt;=0,$S206&gt;=0),0,""),IF(AND(ISNUMBER($Q206),$Q206&gt;=0,$Q206&lt;=0.5),$Q206,"")))</x:f>
        <x:v>0.15</x:v>
      </x:c>
      <x:c r="AQ206" s="152" t="n">
        <x:f>IF(OR($W206="",NOT(ISNUMBER($R206))),"",ROUND($R206-$W206,2))</x:f>
        <x:v>0</x:v>
      </x:c>
      <x:c r="AR206" s="152" t="n">
        <x:f>IF(OR($X206="",NOT(ISNUMBER($T206))),"",ROUND($T206-$X206,2))</x:f>
        <x:v>0</x:v>
      </x:c>
      <x:c r="AS206" s="14" t="str">
        <x:v>OK</x:v>
      </x:c>
    </x:row>
    <x:row r="207">
      <x:c r="A207" s="80" t="n">
        <x:v>207</x:v>
      </x:c>
      <x:c r="B207" s="80" t="str">
        <x:v>ORD-2025-10206</x:v>
      </x:c>
      <x:c r="C207" s="81" t="n">
        <x:v>45768</x:v>
      </x:c>
      <x:c r="D207" s="81" t="n">
        <x:v>45773</x:v>
      </x:c>
      <x:c r="E207" s="80" t="str">
        <x:v>CUST-3338</x:v>
      </x:c>
      <x:c r="F207" s="80" t="str">
        <x:v>Ananya Rao</x:v>
      </x:c>
      <x:c r="G207" s="80" t="str">
        <x:v>Consumer</x:v>
      </x:c>
      <x:c r="H207" s="80" t="str">
        <x:v>West</x:v>
      </x:c>
      <x:c r="I207" s="80" t="str">
        <x:v>Maharashtra</x:v>
      </x:c>
      <x:c r="J207" s="80" t="str">
        <x:v>Mumbai</x:v>
      </x:c>
      <x:c r="K207" s="80" t="str">
        <x:v>Office Supplies</x:v>
      </x:c>
      <x:c r="L207" s="80" t="str">
        <x:v>Labels</x:v>
      </x:c>
      <x:c r="M207" s="80" t="str">
        <x:v>Smart Labels 354</x:v>
      </x:c>
      <x:c r="N207" s="80" t="str">
        <x:v>Same Day</x:v>
      </x:c>
      <x:c r="O207" s="82" t="n">
        <x:v>6</x:v>
      </x:c>
      <x:c r="P207" s="83" t="n">
        <x:v>873.59</x:v>
      </x:c>
      <x:c r="Q207" s="84" t="n">
        <x:v>0.2</x:v>
      </x:c>
      <x:c r="R207" s="83" t="n">
        <x:v>4193.23</x:v>
      </x:c>
      <x:c r="S207" s="83" t="n">
        <x:v>3329.99</x:v>
      </x:c>
      <x:c r="T207" s="83" t="n">
        <x:v>863.24</x:v>
      </x:c>
      <x:c r="U207" s="83" t="str">
        <x:v>Paid</x:v>
      </x:c>
      <x:c r="V207" s="83" t="str">
        <x:v>Completed</x:v>
      </x:c>
      <x:c r="W207" s="151" t="n">
        <x:f>IF(OR(NOT(ISNUMBER($AP207)),COUNT($O207,$P207)&lt;2,$O207&lt;=0,$P207&lt;0),"",ROUND($O207*$P207*(1-$AP207),2))</x:f>
        <x:v>4193.23</x:v>
      </x:c>
      <x:c r="X207" s="151" t="n">
        <x:f>IF(OR(NOT(ISNUMBER($W207)),NOT(ISNUMBER($S207))),"",ROUND($W207-$S207,2))</x:f>
        <x:v>863.24</x:v>
      </x:c>
      <x:c r="Y207" s="85" t="n">
        <x:f>IF(OR(NOT(ISNUMBER($W207)),NOT(ISNUMBER($X207)),$W207=0),"",ROUND($X207/$W207,4))</x:f>
        <x:v>0.2059</x:v>
      </x:c>
      <x:c r="Z207" s="82" t="n">
        <x:f>IF(OR($AH207&lt;&gt;"Valid",$AI207&lt;&gt;"Valid"),"",INT($D207-$C207))</x:f>
        <x:v>5</x:v>
      </x:c>
      <x:c r="AA207" s="86" t="str">
        <x:f>IF($AH207&lt;&gt;"Valid","",TEXT($C207,"mmmm"))</x:f>
        <x:v>April</x:v>
      </x:c>
      <x:c r="AB207" s="82" t="n">
        <x:f>IF($AH207&lt;&gt;"Valid","",YEAR($C207))</x:f>
        <x:v>2025</x:v>
      </x:c>
      <x:c r="AC207" s="80" t="str">
        <x:v>Consistent</x:v>
      </x:c>
      <x:c r="AD207" s="80" t="str">
        <x:v>Eligible</x:v>
      </x:c>
      <x:c r="AE207" s="80" t="str">
        <x:f>IF(OR($AH207&lt;&gt;"Valid",$AI207&lt;&gt;"Valid",$AJ207&lt;&gt;"Valid",LEFT($AM207,7)="Invalid",IFERROR(ABS($AQ207)&gt;0.01,FALSE),IFERROR(ABS($AR207)&gt;0.01,FALSE),COUNTIF($AS207,"*Conflicting duplicate*")&gt;0,COUNTIF($AS207,"*Completed order not paid*")&gt;0),"Invalid",IF(OR($H207="Unknown",$N207="Unknown",$AM207="Missing discount imputed as 0"),"Warning","Clean"))</x:f>
        <x:v>Clean</x:v>
      </x:c>
      <x:c r="AF207" s="80" t="str">
        <x:v>Cleaned</x:v>
      </x:c>
      <x:c r="AG207" s="80" t="str">
        <x:v>category: Case standardization</x:v>
      </x:c>
      <x:c r="AH207" s="12" t="str">
        <x:f>IF(C207="","Missing date",IF(ISNUMBER(C207),"Valid","Unrecognized/invalid date"))</x:f>
        <x:v>Valid</x:v>
      </x:c>
      <x:c r="AI207" s="12" t="str">
        <x:f>IF(D207="","Missing date",IF(ISNUMBER(D207),"Valid","Unrecognized/invalid date"))</x:f>
        <x:v>Valid</x:v>
      </x:c>
      <x:c r="AJ207" s="12" t="str">
        <x:v>Valid</x:v>
      </x:c>
      <x:c r="AK207" s="12" t="str">
        <x:v>Pass</x:v>
      </x:c>
      <x:c r="AL207" s="12" t="str">
        <x:v>None</x:v>
      </x:c>
      <x:c r="AM207" s="12" t="str">
        <x:v>Valid</x:v>
      </x:c>
      <x:c r="AN207" s="12" t="str">
        <x:v>Include in completed sales</x:v>
      </x:c>
      <x:c r="AO207" s="12" t="str">
        <x:v>Not a refunded record</x:v>
      </x:c>
      <x:c r="AP207" s="37" t="n">
        <x:f>IF(LEFT($AM207,7)="Invalid","",IF($AM207="Missing discount imputed as 0",IF(AND(COUNT($O207,$P207,$R207,$S207)=4,$O207&gt;0,$P207&gt;=0,$R207&gt;=0,$S207&gt;=0),0,""),IF(AND(ISNUMBER($Q207),$Q207&gt;=0,$Q207&lt;=0.5),$Q207,"")))</x:f>
        <x:v>0.2</x:v>
      </x:c>
      <x:c r="AQ207" s="152" t="n">
        <x:f>IF(OR($W207="",NOT(ISNUMBER($R207))),"",ROUND($R207-$W207,2))</x:f>
        <x:v>0</x:v>
      </x:c>
      <x:c r="AR207" s="152" t="n">
        <x:f>IF(OR($X207="",NOT(ISNUMBER($T207))),"",ROUND($T207-$X207,2))</x:f>
        <x:v>0</x:v>
      </x:c>
      <x:c r="AS207" s="14" t="str">
        <x:v>OK</x:v>
      </x:c>
    </x:row>
    <x:row r="208">
      <x:c r="A208" s="80" t="n">
        <x:v>208</x:v>
      </x:c>
      <x:c r="B208" s="80" t="str">
        <x:v>ORD-2025-10207</x:v>
      </x:c>
      <x:c r="C208" s="81" t="n">
        <x:v>45795</x:v>
      </x:c>
      <x:c r="D208" s="81" t="n">
        <x:v>45797</x:v>
      </x:c>
      <x:c r="E208" s="80" t="str">
        <x:v>CUST-2343</x:v>
      </x:c>
      <x:c r="F208" s="80" t="str">
        <x:v>Diya Patel</x:v>
      </x:c>
      <x:c r="G208" s="80" t="str">
        <x:v>Small Business</x:v>
      </x:c>
      <x:c r="H208" s="80" t="str">
        <x:v>North</x:v>
      </x:c>
      <x:c r="I208" s="80" t="str">
        <x:v>Uttar Pradesh</x:v>
      </x:c>
      <x:c r="J208" s="80" t="str">
        <x:v>Noida</x:v>
      </x:c>
      <x:c r="K208" s="80" t="str">
        <x:v>Furniture</x:v>
      </x:c>
      <x:c r="L208" s="80" t="str">
        <x:v>Furnishings</x:v>
      </x:c>
      <x:c r="M208" s="80" t="str">
        <x:v>Pro Furnishings 981</x:v>
      </x:c>
      <x:c r="N208" s="80" t="str">
        <x:v>First Class</x:v>
      </x:c>
      <x:c r="O208" s="82" t="n">
        <x:v>2</x:v>
      </x:c>
      <x:c r="P208" s="83" t="n">
        <x:v>215.13</x:v>
      </x:c>
      <x:c r="Q208" s="84" t="n">
        <x:v>0</x:v>
      </x:c>
      <x:c r="R208" s="83" t="n">
        <x:v>430.26</x:v>
      </x:c>
      <x:c r="S208" s="83" t="n">
        <x:v>286.38</x:v>
      </x:c>
      <x:c r="T208" s="83" t="n">
        <x:v>143.88</x:v>
      </x:c>
      <x:c r="U208" s="83" t="str">
        <x:v>Paid</x:v>
      </x:c>
      <x:c r="V208" s="83" t="str">
        <x:v>Completed</x:v>
      </x:c>
      <x:c r="W208" s="151" t="n">
        <x:f>IF(OR(NOT(ISNUMBER($AP208)),COUNT($O208,$P208)&lt;2,$O208&lt;=0,$P208&lt;0),"",ROUND($O208*$P208*(1-$AP208),2))</x:f>
        <x:v>430.26</x:v>
      </x:c>
      <x:c r="X208" s="151" t="n">
        <x:f>IF(OR(NOT(ISNUMBER($W208)),NOT(ISNUMBER($S208))),"",ROUND($W208-$S208,2))</x:f>
        <x:v>143.88</x:v>
      </x:c>
      <x:c r="Y208" s="85" t="n">
        <x:f>IF(OR(NOT(ISNUMBER($W208)),NOT(ISNUMBER($X208)),$W208=0),"",ROUND($X208/$W208,4))</x:f>
        <x:v>0.3344</x:v>
      </x:c>
      <x:c r="Z208" s="82" t="n">
        <x:f>IF(OR($AH208&lt;&gt;"Valid",$AI208&lt;&gt;"Valid"),"",INT($D208-$C208))</x:f>
        <x:v>2</x:v>
      </x:c>
      <x:c r="AA208" s="86" t="str">
        <x:f>IF($AH208&lt;&gt;"Valid","",TEXT($C208,"mmmm"))</x:f>
        <x:v>May</x:v>
      </x:c>
      <x:c r="AB208" s="82" t="n">
        <x:f>IF($AH208&lt;&gt;"Valid","",YEAR($C208))</x:f>
        <x:v>2025</x:v>
      </x:c>
      <x:c r="AC208" s="80" t="str">
        <x:v>Consistent</x:v>
      </x:c>
      <x:c r="AD208" s="80" t="str">
        <x:v>Eligible</x:v>
      </x:c>
      <x:c r="AE208" s="80" t="str">
        <x:f>IF(OR($AH208&lt;&gt;"Valid",$AI208&lt;&gt;"Valid",$AJ208&lt;&gt;"Valid",LEFT($AM208,7)="Invalid",IFERROR(ABS($AQ208)&gt;0.01,FALSE),IFERROR(ABS($AR208)&gt;0.01,FALSE),COUNTIF($AS208,"*Conflicting duplicate*")&gt;0,COUNTIF($AS208,"*Completed order not paid*")&gt;0),"Invalid",IF(OR($H208="Unknown",$N208="Unknown",$AM208="Missing discount imputed as 0"),"Warning","Clean"))</x:f>
        <x:v>Clean</x:v>
      </x:c>
      <x:c r="AF208" s="80" t="str">
        <x:v>Cleaned</x:v>
      </x:c>
      <x:c r="AG208" s="80" t="str">
        <x:v>region: TRIM/SUBSTITUTE whitespace cleanup</x:v>
      </x:c>
      <x:c r="AH208" s="12" t="str">
        <x:f>IF(C208="","Missing date",IF(ISNUMBER(C208),"Valid","Unrecognized/invalid date"))</x:f>
        <x:v>Valid</x:v>
      </x:c>
      <x:c r="AI208" s="12" t="str">
        <x:f>IF(D208="","Missing date",IF(ISNUMBER(D208),"Valid","Unrecognized/invalid date"))</x:f>
        <x:v>Valid</x:v>
      </x:c>
      <x:c r="AJ208" s="12" t="str">
        <x:v>Valid</x:v>
      </x:c>
      <x:c r="AK208" s="12" t="str">
        <x:v>Pass</x:v>
      </x:c>
      <x:c r="AL208" s="12" t="str">
        <x:v>None</x:v>
      </x:c>
      <x:c r="AM208" s="12" t="str">
        <x:v>Valid</x:v>
      </x:c>
      <x:c r="AN208" s="12" t="str">
        <x:v>Include in completed sales</x:v>
      </x:c>
      <x:c r="AO208" s="12" t="str">
        <x:v>Not a refunded record</x:v>
      </x:c>
      <x:c r="AP208" s="37" t="n">
        <x:f>IF(LEFT($AM208,7)="Invalid","",IF($AM208="Missing discount imputed as 0",IF(AND(COUNT($O208,$P208,$R208,$S208)=4,$O208&gt;0,$P208&gt;=0,$R208&gt;=0,$S208&gt;=0),0,""),IF(AND(ISNUMBER($Q208),$Q208&gt;=0,$Q208&lt;=0.5),$Q208,"")))</x:f>
        <x:v>0</x:v>
      </x:c>
      <x:c r="AQ208" s="152" t="n">
        <x:f>IF(OR($W208="",NOT(ISNUMBER($R208))),"",ROUND($R208-$W208,2))</x:f>
        <x:v>0</x:v>
      </x:c>
      <x:c r="AR208" s="152" t="n">
        <x:f>IF(OR($X208="",NOT(ISNUMBER($T208))),"",ROUND($T208-$X208,2))</x:f>
        <x:v>0</x:v>
      </x:c>
      <x:c r="AS208" s="14" t="str">
        <x:v>OK</x:v>
      </x:c>
    </x:row>
    <x:row r="209">
      <x:c r="A209" s="80" t="n">
        <x:v>209</x:v>
      </x:c>
      <x:c r="B209" s="80" t="str">
        <x:v>ORD-2024-10208</x:v>
      </x:c>
      <x:c r="C209" s="81" t="n">
        <x:v>45483</x:v>
      </x:c>
      <x:c r="D209" s="81" t="n">
        <x:v>45489</x:v>
      </x:c>
      <x:c r="E209" s="80" t="str">
        <x:v>CUST-3362</x:v>
      </x:c>
      <x:c r="F209" s="80" t="str">
        <x:v>Aarav Sharma</x:v>
      </x:c>
      <x:c r="G209" s="80" t="str">
        <x:v>Home Office</x:v>
      </x:c>
      <x:c r="H209" s="80" t="str">
        <x:v>West</x:v>
      </x:c>
      <x:c r="I209" s="80" t="str">
        <x:v>Goa</x:v>
      </x:c>
      <x:c r="J209" s="80" t="str">
        <x:v>Panaji</x:v>
      </x:c>
      <x:c r="K209" s="80" t="str">
        <x:v>Furniture</x:v>
      </x:c>
      <x:c r="L209" s="80" t="str">
        <x:v>Bookcases</x:v>
      </x:c>
      <x:c r="M209" s="80" t="str">
        <x:v>Eco Bookcases 671</x:v>
      </x:c>
      <x:c r="N209" s="80" t="str">
        <x:v>Second Class</x:v>
      </x:c>
      <x:c r="O209" s="82" t="n">
        <x:v>2</x:v>
      </x:c>
      <x:c r="P209" s="83" t="n">
        <x:v>1095.45</x:v>
      </x:c>
      <x:c r="Q209" s="84" t="n">
        <x:v>0.2</x:v>
      </x:c>
      <x:c r="R209" s="83" t="n">
        <x:v>1752.72</x:v>
      </x:c>
      <x:c r="S209" s="83" t="n">
        <x:v>996.41</x:v>
      </x:c>
      <x:c r="T209" s="83" t="n">
        <x:v>756.31</x:v>
      </x:c>
      <x:c r="U209" s="83" t="str">
        <x:v>Paid</x:v>
      </x:c>
      <x:c r="V209" s="83" t="str">
        <x:v>Completed</x:v>
      </x:c>
      <x:c r="W209" s="151" t="n">
        <x:f>IF(OR(NOT(ISNUMBER($AP209)),COUNT($O209,$P209)&lt;2,$O209&lt;=0,$P209&lt;0),"",ROUND($O209*$P209*(1-$AP209),2))</x:f>
        <x:v>1752.72</x:v>
      </x:c>
      <x:c r="X209" s="151" t="n">
        <x:f>IF(OR(NOT(ISNUMBER($W209)),NOT(ISNUMBER($S209))),"",ROUND($W209-$S209,2))</x:f>
        <x:v>756.31</x:v>
      </x:c>
      <x:c r="Y209" s="85" t="n">
        <x:f>IF(OR(NOT(ISNUMBER($W209)),NOT(ISNUMBER($X209)),$W209=0),"",ROUND($X209/$W209,4))</x:f>
        <x:v>0.4315</x:v>
      </x:c>
      <x:c r="Z209" s="82" t="n">
        <x:f>IF(OR($AH209&lt;&gt;"Valid",$AI209&lt;&gt;"Valid"),"",INT($D209-$C209))</x:f>
        <x:v>6</x:v>
      </x:c>
      <x:c r="AA209" s="86" t="str">
        <x:f>IF($AH209&lt;&gt;"Valid","",TEXT($C209,"mmmm"))</x:f>
        <x:v>July</x:v>
      </x:c>
      <x:c r="AB209" s="82" t="n">
        <x:f>IF($AH209&lt;&gt;"Valid","",YEAR($C209))</x:f>
        <x:v>2024</x:v>
      </x:c>
      <x:c r="AC209" s="80" t="str">
        <x:v>Consistent</x:v>
      </x:c>
      <x:c r="AD209" s="80" t="str">
        <x:v>Eligible</x:v>
      </x:c>
      <x:c r="AE209" s="80" t="str">
        <x:f>IF(OR($AH209&lt;&gt;"Valid",$AI209&lt;&gt;"Valid",$AJ209&lt;&gt;"Valid",LEFT($AM209,7)="Invalid",IFERROR(ABS($AQ209)&gt;0.01,FALSE),IFERROR(ABS($AR209)&gt;0.01,FALSE),COUNTIF($AS209,"*Conflicting duplicate*")&gt;0,COUNTIF($AS209,"*Completed order not paid*")&gt;0),"Invalid",IF(OR($H209="Unknown",$N209="Unknown",$AM209="Missing discount imputed as 0"),"Warning","Clean"))</x:f>
        <x:v>Clean</x:v>
      </x:c>
      <x:c r="AF209" s="80" t="str">
        <x:v>Pass</x:v>
      </x:c>
      <x:c r="AG209" s="80" t="str">
        <x:v>No text cleanup required</x:v>
      </x:c>
      <x:c r="AH209" s="12" t="str">
        <x:f>IF(C209="","Missing date",IF(ISNUMBER(C209),"Valid","Unrecognized/invalid date"))</x:f>
        <x:v>Valid</x:v>
      </x:c>
      <x:c r="AI209" s="12" t="str">
        <x:f>IF(D209="","Missing date",IF(ISNUMBER(D209),"Valid","Unrecognized/invalid date"))</x:f>
        <x:v>Valid</x:v>
      </x:c>
      <x:c r="AJ209" s="12" t="str">
        <x:v>Valid</x:v>
      </x:c>
      <x:c r="AK209" s="12" t="str">
        <x:v>Pass</x:v>
      </x:c>
      <x:c r="AL209" s="12" t="str">
        <x:v>None</x:v>
      </x:c>
      <x:c r="AM209" s="12" t="str">
        <x:v>Valid</x:v>
      </x:c>
      <x:c r="AN209" s="12" t="str">
        <x:v>Include in completed sales</x:v>
      </x:c>
      <x:c r="AO209" s="12" t="str">
        <x:v>Not a refunded record</x:v>
      </x:c>
      <x:c r="AP209" s="37" t="n">
        <x:f>IF(LEFT($AM209,7)="Invalid","",IF($AM209="Missing discount imputed as 0",IF(AND(COUNT($O209,$P209,$R209,$S209)=4,$O209&gt;0,$P209&gt;=0,$R209&gt;=0,$S209&gt;=0),0,""),IF(AND(ISNUMBER($Q209),$Q209&gt;=0,$Q209&lt;=0.5),$Q209,"")))</x:f>
        <x:v>0.2</x:v>
      </x:c>
      <x:c r="AQ209" s="152" t="n">
        <x:f>IF(OR($W209="",NOT(ISNUMBER($R209))),"",ROUND($R209-$W209,2))</x:f>
        <x:v>0</x:v>
      </x:c>
      <x:c r="AR209" s="152" t="n">
        <x:f>IF(OR($X209="",NOT(ISNUMBER($T209))),"",ROUND($T209-$X209,2))</x:f>
        <x:v>0</x:v>
      </x:c>
      <x:c r="AS209" s="14" t="str">
        <x:v>OK</x:v>
      </x:c>
    </x:row>
    <x:row r="210">
      <x:c r="A210" s="80" t="n">
        <x:v>210</x:v>
      </x:c>
      <x:c r="B210" s="80" t="str">
        <x:v>ORD-2025-10209</x:v>
      </x:c>
      <x:c r="C210" s="81" t="n">
        <x:v>45837</x:v>
      </x:c>
      <x:c r="D210" s="81" t="n">
        <x:v>45843</x:v>
      </x:c>
      <x:c r="E210" s="80" t="str">
        <x:v>CUST-3662</x:v>
      </x:c>
      <x:c r="F210" s="80" t="str">
        <x:v>Diya Patel</x:v>
      </x:c>
      <x:c r="G210" s="80" t="str">
        <x:v>Consumer</x:v>
      </x:c>
      <x:c r="H210" s="80" t="str">
        <x:v>North</x:v>
      </x:c>
      <x:c r="I210" s="80" t="str">
        <x:v>Punjab</x:v>
      </x:c>
      <x:c r="J210" s="80" t="str">
        <x:v>Ludhiana</x:v>
      </x:c>
      <x:c r="K210" s="80" t="str">
        <x:v>Furniture</x:v>
      </x:c>
      <x:c r="L210" s="80" t="str">
        <x:v>Chairs</x:v>
      </x:c>
      <x:c r="M210" s="80" t="str">
        <x:v>Max Chairs 151</x:v>
      </x:c>
      <x:c r="N210" s="80" t="str">
        <x:v>Same Day</x:v>
      </x:c>
      <x:c r="O210" s="82" t="n">
        <x:v>1</x:v>
      </x:c>
      <x:c r="P210" s="83" t="n">
        <x:v>999.83</x:v>
      </x:c>
      <x:c r="Q210" s="84" t="n">
        <x:v>0</x:v>
      </x:c>
      <x:c r="R210" s="83" t="n">
        <x:v>999.83</x:v>
      </x:c>
      <x:c r="S210" s="83" t="n">
        <x:v>634.91</x:v>
      </x:c>
      <x:c r="T210" s="83" t="n">
        <x:v>364.92</x:v>
      </x:c>
      <x:c r="U210" s="83" t="str">
        <x:v>Paid</x:v>
      </x:c>
      <x:c r="V210" s="83" t="str">
        <x:v>Completed</x:v>
      </x:c>
      <x:c r="W210" s="151" t="n">
        <x:f>IF(OR(NOT(ISNUMBER($AP210)),COUNT($O210,$P210)&lt;2,$O210&lt;=0,$P210&lt;0),"",ROUND($O210*$P210*(1-$AP210),2))</x:f>
        <x:v>999.83</x:v>
      </x:c>
      <x:c r="X210" s="151" t="n">
        <x:f>IF(OR(NOT(ISNUMBER($W210)),NOT(ISNUMBER($S210))),"",ROUND($W210-$S210,2))</x:f>
        <x:v>364.92</x:v>
      </x:c>
      <x:c r="Y210" s="85" t="n">
        <x:f>IF(OR(NOT(ISNUMBER($W210)),NOT(ISNUMBER($X210)),$W210=0),"",ROUND($X210/$W210,4))</x:f>
        <x:v>0.365</x:v>
      </x:c>
      <x:c r="Z210" s="82" t="n">
        <x:f>IF(OR($AH210&lt;&gt;"Valid",$AI210&lt;&gt;"Valid"),"",INT($D210-$C210))</x:f>
        <x:v>6</x:v>
      </x:c>
      <x:c r="AA210" s="86" t="str">
        <x:f>IF($AH210&lt;&gt;"Valid","",TEXT($C210,"mmmm"))</x:f>
        <x:v>June</x:v>
      </x:c>
      <x:c r="AB210" s="82" t="n">
        <x:f>IF($AH210&lt;&gt;"Valid","",YEAR($C210))</x:f>
        <x:v>2025</x:v>
      </x:c>
      <x:c r="AC210" s="80" t="str">
        <x:v>Consistent</x:v>
      </x:c>
      <x:c r="AD210" s="80" t="str">
        <x:v>Eligible</x:v>
      </x:c>
      <x:c r="AE210" s="80" t="str">
        <x:f>IF(OR($AH210&lt;&gt;"Valid",$AI210&lt;&gt;"Valid",$AJ210&lt;&gt;"Valid",LEFT($AM210,7)="Invalid",IFERROR(ABS($AQ210)&gt;0.01,FALSE),IFERROR(ABS($AR210)&gt;0.01,FALSE),COUNTIF($AS210,"*Conflicting duplicate*")&gt;0,COUNTIF($AS210,"*Completed order not paid*")&gt;0),"Invalid",IF(OR($H210="Unknown",$N210="Unknown",$AM210="Missing discount imputed as 0"),"Warning","Clean"))</x:f>
        <x:v>Clean</x:v>
      </x:c>
      <x:c r="AF210" s="80" t="str">
        <x:v>Pass</x:v>
      </x:c>
      <x:c r="AG210" s="80" t="str">
        <x:v>No text cleanup required</x:v>
      </x:c>
      <x:c r="AH210" s="12" t="str">
        <x:f>IF(C210="","Missing date",IF(ISNUMBER(C210),"Valid","Unrecognized/invalid date"))</x:f>
        <x:v>Valid</x:v>
      </x:c>
      <x:c r="AI210" s="12" t="str">
        <x:f>IF(D210="","Missing date",IF(ISNUMBER(D210),"Valid","Unrecognized/invalid date"))</x:f>
        <x:v>Valid</x:v>
      </x:c>
      <x:c r="AJ210" s="12" t="str">
        <x:v>Valid</x:v>
      </x:c>
      <x:c r="AK210" s="12" t="str">
        <x:v>Pass</x:v>
      </x:c>
      <x:c r="AL210" s="12" t="str">
        <x:v>None</x:v>
      </x:c>
      <x:c r="AM210" s="12" t="str">
        <x:v>Valid</x:v>
      </x:c>
      <x:c r="AN210" s="12" t="str">
        <x:v>Include in completed sales</x:v>
      </x:c>
      <x:c r="AO210" s="12" t="str">
        <x:v>Not a refunded record</x:v>
      </x:c>
      <x:c r="AP210" s="37" t="n">
        <x:f>IF(LEFT($AM210,7)="Invalid","",IF($AM210="Missing discount imputed as 0",IF(AND(COUNT($O210,$P210,$R210,$S210)=4,$O210&gt;0,$P210&gt;=0,$R210&gt;=0,$S210&gt;=0),0,""),IF(AND(ISNUMBER($Q210),$Q210&gt;=0,$Q210&lt;=0.5),$Q210,"")))</x:f>
        <x:v>0</x:v>
      </x:c>
      <x:c r="AQ210" s="152" t="n">
        <x:f>IF(OR($W210="",NOT(ISNUMBER($R210))),"",ROUND($R210-$W210,2))</x:f>
        <x:v>0</x:v>
      </x:c>
      <x:c r="AR210" s="152" t="n">
        <x:f>IF(OR($X210="",NOT(ISNUMBER($T210))),"",ROUND($T210-$X210,2))</x:f>
        <x:v>0</x:v>
      </x:c>
      <x:c r="AS210" s="14" t="str">
        <x:v>OK</x:v>
      </x:c>
    </x:row>
    <x:row r="211">
      <x:c r="A211" s="80" t="n">
        <x:v>211</x:v>
      </x:c>
      <x:c r="B211" s="80" t="str">
        <x:v>ORD-2025-10210</x:v>
      </x:c>
      <x:c r="C211" s="81" t="n">
        <x:v>45882</x:v>
      </x:c>
      <x:c r="D211" s="81" t="n">
        <x:v>45883</x:v>
      </x:c>
      <x:c r="E211" s="80" t="str">
        <x:v>CUST-4947</x:v>
      </x:c>
      <x:c r="F211" s="80" t="str">
        <x:v>Rohan Mehta</x:v>
      </x:c>
      <x:c r="G211" s="80" t="str">
        <x:v>Small Business</x:v>
      </x:c>
      <x:c r="H211" s="80" t="str">
        <x:v>South</x:v>
      </x:c>
      <x:c r="I211" s="80" t="str">
        <x:v>Andhra Pradesh</x:v>
      </x:c>
      <x:c r="J211" s="80" t="str">
        <x:v>Vijayawada</x:v>
      </x:c>
      <x:c r="K211" s="80" t="str">
        <x:v>Office Supplies</x:v>
      </x:c>
      <x:c r="L211" s="80" t="str">
        <x:v>Paper</x:v>
      </x:c>
      <x:c r="M211" s="80" t="str">
        <x:v>Prime Paper 903</x:v>
      </x:c>
      <x:c r="N211" s="80" t="str">
        <x:v>First Class</x:v>
      </x:c>
      <x:c r="O211" s="82" t="n">
        <x:v>9</x:v>
      </x:c>
      <x:c r="P211" s="83" t="n">
        <x:v>864.98</x:v>
      </x:c>
      <x:c r="Q211" s="84" t="n">
        <x:v>0.1</x:v>
      </x:c>
      <x:c r="R211" s="83" t="n">
        <x:v>7006.34</x:v>
      </x:c>
      <x:c r="S211" s="83" t="n">
        <x:v>4640.88</x:v>
      </x:c>
      <x:c r="T211" s="83" t="n">
        <x:v>2365.46</x:v>
      </x:c>
      <x:c r="U211" s="83" t="str">
        <x:v>Paid</x:v>
      </x:c>
      <x:c r="V211" s="83" t="str">
        <x:v>Completed</x:v>
      </x:c>
      <x:c r="W211" s="151" t="n">
        <x:f>IF(OR(NOT(ISNUMBER($AP211)),COUNT($O211,$P211)&lt;2,$O211&lt;=0,$P211&lt;0),"",ROUND($O211*$P211*(1-$AP211),2))</x:f>
        <x:v>7006.34</x:v>
      </x:c>
      <x:c r="X211" s="151" t="n">
        <x:f>IF(OR(NOT(ISNUMBER($W211)),NOT(ISNUMBER($S211))),"",ROUND($W211-$S211,2))</x:f>
        <x:v>2365.46</x:v>
      </x:c>
      <x:c r="Y211" s="85" t="n">
        <x:f>IF(OR(NOT(ISNUMBER($W211)),NOT(ISNUMBER($X211)),$W211=0),"",ROUND($X211/$W211,4))</x:f>
        <x:v>0.3376</x:v>
      </x:c>
      <x:c r="Z211" s="82" t="n">
        <x:f>IF(OR($AH211&lt;&gt;"Valid",$AI211&lt;&gt;"Valid"),"",INT($D211-$C211))</x:f>
        <x:v>1</x:v>
      </x:c>
      <x:c r="AA211" s="86" t="str">
        <x:f>IF($AH211&lt;&gt;"Valid","",TEXT($C211,"mmmm"))</x:f>
        <x:v>August</x:v>
      </x:c>
      <x:c r="AB211" s="82" t="n">
        <x:f>IF($AH211&lt;&gt;"Valid","",YEAR($C211))</x:f>
        <x:v>2025</x:v>
      </x:c>
      <x:c r="AC211" s="80" t="str">
        <x:v>Consistent</x:v>
      </x:c>
      <x:c r="AD211" s="80" t="str">
        <x:v>Eligible</x:v>
      </x:c>
      <x:c r="AE211" s="80" t="str">
        <x:f>IF(OR($AH211&lt;&gt;"Valid",$AI211&lt;&gt;"Valid",$AJ211&lt;&gt;"Valid",LEFT($AM211,7)="Invalid",IFERROR(ABS($AQ211)&gt;0.01,FALSE),IFERROR(ABS($AR211)&gt;0.01,FALSE),COUNTIF($AS211,"*Conflicting duplicate*")&gt;0,COUNTIF($AS211,"*Completed order not paid*")&gt;0),"Invalid",IF(OR($H211="Unknown",$N211="Unknown",$AM211="Missing discount imputed as 0"),"Warning","Clean"))</x:f>
        <x:v>Clean</x:v>
      </x:c>
      <x:c r="AF211" s="80" t="str">
        <x:v>Pass</x:v>
      </x:c>
      <x:c r="AG211" s="80" t="str">
        <x:v>No text cleanup required</x:v>
      </x:c>
      <x:c r="AH211" s="12" t="str">
        <x:f>IF(C211="","Missing date",IF(ISNUMBER(C211),"Valid","Unrecognized/invalid date"))</x:f>
        <x:v>Valid</x:v>
      </x:c>
      <x:c r="AI211" s="12" t="str">
        <x:f>IF(D211="","Missing date",IF(ISNUMBER(D211),"Valid","Unrecognized/invalid date"))</x:f>
        <x:v>Valid</x:v>
      </x:c>
      <x:c r="AJ211" s="12" t="str">
        <x:v>Valid</x:v>
      </x:c>
      <x:c r="AK211" s="12" t="str">
        <x:v>Pass</x:v>
      </x:c>
      <x:c r="AL211" s="12" t="str">
        <x:v>None</x:v>
      </x:c>
      <x:c r="AM211" s="12" t="str">
        <x:v>Valid</x:v>
      </x:c>
      <x:c r="AN211" s="12" t="str">
        <x:v>Include in completed sales</x:v>
      </x:c>
      <x:c r="AO211" s="12" t="str">
        <x:v>Not a refunded record</x:v>
      </x:c>
      <x:c r="AP211" s="37" t="n">
        <x:f>IF(LEFT($AM211,7)="Invalid","",IF($AM211="Missing discount imputed as 0",IF(AND(COUNT($O211,$P211,$R211,$S211)=4,$O211&gt;0,$P211&gt;=0,$R211&gt;=0,$S211&gt;=0),0,""),IF(AND(ISNUMBER($Q211),$Q211&gt;=0,$Q211&lt;=0.5),$Q211,"")))</x:f>
        <x:v>0.1</x:v>
      </x:c>
      <x:c r="AQ211" s="152" t="n">
        <x:f>IF(OR($W211="",NOT(ISNUMBER($R211))),"",ROUND($R211-$W211,2))</x:f>
        <x:v>0</x:v>
      </x:c>
      <x:c r="AR211" s="152" t="n">
        <x:f>IF(OR($X211="",NOT(ISNUMBER($T211))),"",ROUND($T211-$X211,2))</x:f>
        <x:v>0</x:v>
      </x:c>
      <x:c r="AS211" s="14" t="str">
        <x:v>OK</x:v>
      </x:c>
    </x:row>
    <x:row r="212">
      <x:c r="A212" s="80" t="n">
        <x:v>212</x:v>
      </x:c>
      <x:c r="B212" s="80" t="str">
        <x:v>ORD-2024-10211</x:v>
      </x:c>
      <x:c r="C212" s="81" t="n">
        <x:v>45366</x:v>
      </x:c>
      <x:c r="D212" s="81" t="n">
        <x:v>45369</x:v>
      </x:c>
      <x:c r="E212" s="80" t="str">
        <x:v>CUST-3076</x:v>
      </x:c>
      <x:c r="F212" s="80" t="str">
        <x:v>Kabir Singh</x:v>
      </x:c>
      <x:c r="G212" s="80" t="str">
        <x:v>Home Office</x:v>
      </x:c>
      <x:c r="H212" s="80" t="str">
        <x:v>South</x:v>
      </x:c>
      <x:c r="I212" s="80" t="str">
        <x:v>Karnataka</x:v>
      </x:c>
      <x:c r="J212" s="80" t="str">
        <x:v>Bengaluru</x:v>
      </x:c>
      <x:c r="K212" s="80" t="str">
        <x:v>Technology</x:v>
      </x:c>
      <x:c r="L212" s="80" t="str">
        <x:v>Machines</x:v>
      </x:c>
      <x:c r="M212" s="80" t="str">
        <x:v>Classic Machines 944</x:v>
      </x:c>
      <x:c r="N212" s="80" t="str">
        <x:v>Second Class</x:v>
      </x:c>
      <x:c r="O212" s="82" t="n">
        <x:v>1</x:v>
      </x:c>
      <x:c r="P212" s="83" t="n">
        <x:v>4131.36</x:v>
      </x:c>
      <x:c r="Q212" s="84" t="n">
        <x:v>0</x:v>
      </x:c>
      <x:c r="R212" s="83" t="n">
        <x:v>4131.36</x:v>
      </x:c>
      <x:c r="S212" s="83" t="n">
        <x:v>2937.07</x:v>
      </x:c>
      <x:c r="T212" s="83" t="n">
        <x:v>1194.29</x:v>
      </x:c>
      <x:c r="U212" s="83" t="str">
        <x:v>Failed</x:v>
      </x:c>
      <x:c r="V212" s="83" t="str">
        <x:v>Returned</x:v>
      </x:c>
      <x:c r="W212" s="151" t="n">
        <x:f>IF(OR(NOT(ISNUMBER($AP212)),COUNT($O212,$P212)&lt;2,$O212&lt;=0,$P212&lt;0),"",ROUND($O212*$P212*(1-$AP212),2))</x:f>
        <x:v>4131.36</x:v>
      </x:c>
      <x:c r="X212" s="151" t="n">
        <x:f>IF(OR(NOT(ISNUMBER($W212)),NOT(ISNUMBER($S212))),"",ROUND($W212-$S212,2))</x:f>
        <x:v>1194.29</x:v>
      </x:c>
      <x:c r="Y212" s="85" t="n">
        <x:f>IF(OR(NOT(ISNUMBER($W212)),NOT(ISNUMBER($X212)),$W212=0),"",ROUND($X212/$W212,4))</x:f>
        <x:v>0.2891</x:v>
      </x:c>
      <x:c r="Z212" s="82" t="n">
        <x:f>IF(OR($AH212&lt;&gt;"Valid",$AI212&lt;&gt;"Valid"),"",INT($D212-$C212))</x:f>
        <x:v>3</x:v>
      </x:c>
      <x:c r="AA212" s="86" t="str">
        <x:f>IF($AH212&lt;&gt;"Valid","",TEXT($C212,"mmmm"))</x:f>
        <x:v>March</x:v>
      </x:c>
      <x:c r="AB212" s="82" t="n">
        <x:f>IF($AH212&lt;&gt;"Valid","",YEAR($C212))</x:f>
        <x:v>2024</x:v>
      </x:c>
      <x:c r="AC212" s="80" t="str">
        <x:v>Failed payment (excluded from completed-sales summary)</x:v>
      </x:c>
      <x:c r="AD212" s="80" t="str">
        <x:v>Excluded</x:v>
      </x:c>
      <x:c r="AE212" s="80" t="str">
        <x:f>IF(OR($AH212&lt;&gt;"Valid",$AI212&lt;&gt;"Valid",$AJ212&lt;&gt;"Valid",LEFT($AM212,7)="Invalid",IFERROR(ABS($AQ212)&gt;0.01,FALSE),IFERROR(ABS($AR212)&gt;0.01,FALSE),COUNTIF($AS212,"*Conflicting duplicate*")&gt;0,COUNTIF($AS212,"*Completed order not paid*")&gt;0),"Invalid",IF(OR($H212="Unknown",$N212="Unknown",$AM212="Missing discount imputed as 0"),"Warning","Clean"))</x:f>
        <x:v>Clean</x:v>
      </x:c>
      <x:c r="AF212" s="80" t="str">
        <x:v>Pass</x:v>
      </x:c>
      <x:c r="AG212" s="80" t="str">
        <x:v>No text cleanup required</x:v>
      </x:c>
      <x:c r="AH212" s="12" t="str">
        <x:f>IF(C212="","Missing date",IF(ISNUMBER(C212),"Valid","Unrecognized/invalid date"))</x:f>
        <x:v>Valid</x:v>
      </x:c>
      <x:c r="AI212" s="12" t="str">
        <x:f>IF(D212="","Missing date",IF(ISNUMBER(D212),"Valid","Unrecognized/invalid date"))</x:f>
        <x:v>Valid</x:v>
      </x:c>
      <x:c r="AJ212" s="12" t="str">
        <x:v>Valid</x:v>
      </x:c>
      <x:c r="AK212" s="12" t="str">
        <x:v>Pass</x:v>
      </x:c>
      <x:c r="AL212" s="12" t="str">
        <x:v>Failed payment – excluded from completed sales</x:v>
      </x:c>
      <x:c r="AM212" s="12" t="str">
        <x:v>Valid</x:v>
      </x:c>
      <x:c r="AN212" s="12" t="str">
        <x:v>Exclude from completed sales</x:v>
      </x:c>
      <x:c r="AO212" s="12" t="str">
        <x:v>Not a refunded record</x:v>
      </x:c>
      <x:c r="AP212" s="37" t="n">
        <x:f>IF(LEFT($AM212,7)="Invalid","",IF($AM212="Missing discount imputed as 0",IF(AND(COUNT($O212,$P212,$R212,$S212)=4,$O212&gt;0,$P212&gt;=0,$R212&gt;=0,$S212&gt;=0),0,""),IF(AND(ISNUMBER($Q212),$Q212&gt;=0,$Q212&lt;=0.5),$Q212,"")))</x:f>
        <x:v>0</x:v>
      </x:c>
      <x:c r="AQ212" s="152" t="n">
        <x:f>IF(OR($W212="",NOT(ISNUMBER($R212))),"",ROUND($R212-$W212,2))</x:f>
        <x:v>0</x:v>
      </x:c>
      <x:c r="AR212" s="152" t="n">
        <x:f>IF(OR($X212="",NOT(ISNUMBER($T212))),"",ROUND($T212-$X212,2))</x:f>
        <x:v>0</x:v>
      </x:c>
      <x:c r="AS212" s="14" t="str">
        <x:v>OK</x:v>
      </x:c>
    </x:row>
    <x:row r="213">
      <x:c r="A213" s="80" t="n">
        <x:v>213</x:v>
      </x:c>
      <x:c r="B213" s="80" t="str">
        <x:v>ORD-2024-10212</x:v>
      </x:c>
      <x:c r="C213" s="81" t="n">
        <x:v>45428</x:v>
      </x:c>
      <x:c r="D213" s="81" t="n">
        <x:v>45429</x:v>
      </x:c>
      <x:c r="E213" s="80" t="str">
        <x:v>CUST-2222</x:v>
      </x:c>
      <x:c r="F213" s="80" t="str">
        <x:v>Rohan Mehta</x:v>
      </x:c>
      <x:c r="G213" s="80" t="str">
        <x:v>Corporate</x:v>
      </x:c>
      <x:c r="H213" s="80" t="str">
        <x:v>East</x:v>
      </x:c>
      <x:c r="I213" s="80" t="str">
        <x:v>West Bengal</x:v>
      </x:c>
      <x:c r="J213" s="80" t="str">
        <x:v>Kolkata</x:v>
      </x:c>
      <x:c r="K213" s="80" t="str">
        <x:v>Technology</x:v>
      </x:c>
      <x:c r="L213" s="80" t="str">
        <x:v>Copiers</x:v>
      </x:c>
      <x:c r="M213" s="80" t="str">
        <x:v>Basic Copiers 222</x:v>
      </x:c>
      <x:c r="N213" s="80" t="str">
        <x:v>Second Class</x:v>
      </x:c>
      <x:c r="O213" s="82" t="n">
        <x:v>8</x:v>
      </x:c>
      <x:c r="P213" s="83" t="n">
        <x:v>4221.95</x:v>
      </x:c>
      <x:c r="Q213" s="84" t="n">
        <x:v>0.2</x:v>
      </x:c>
      <x:c r="R213" s="83" t="n">
        <x:v>27020.48</x:v>
      </x:c>
      <x:c r="S213" s="83" t="n">
        <x:v>22885.24</x:v>
      </x:c>
      <x:c r="T213" s="83" t="n">
        <x:v>4135.24</x:v>
      </x:c>
      <x:c r="U213" s="83" t="str">
        <x:v>Paid</x:v>
      </x:c>
      <x:c r="V213" s="83" t="str">
        <x:v>Completed</x:v>
      </x:c>
      <x:c r="W213" s="151" t="n">
        <x:f>IF(OR(NOT(ISNUMBER($AP213)),COUNT($O213,$P213)&lt;2,$O213&lt;=0,$P213&lt;0),"",ROUND($O213*$P213*(1-$AP213),2))</x:f>
        <x:v>27020.48</x:v>
      </x:c>
      <x:c r="X213" s="151" t="n">
        <x:f>IF(OR(NOT(ISNUMBER($W213)),NOT(ISNUMBER($S213))),"",ROUND($W213-$S213,2))</x:f>
        <x:v>4135.24</x:v>
      </x:c>
      <x:c r="Y213" s="85" t="n">
        <x:f>IF(OR(NOT(ISNUMBER($W213)),NOT(ISNUMBER($X213)),$W213=0),"",ROUND($X213/$W213,4))</x:f>
        <x:v>0.153</x:v>
      </x:c>
      <x:c r="Z213" s="82" t="n">
        <x:f>IF(OR($AH213&lt;&gt;"Valid",$AI213&lt;&gt;"Valid"),"",INT($D213-$C213))</x:f>
        <x:v>1</x:v>
      </x:c>
      <x:c r="AA213" s="86" t="str">
        <x:f>IF($AH213&lt;&gt;"Valid","",TEXT($C213,"mmmm"))</x:f>
        <x:v>May</x:v>
      </x:c>
      <x:c r="AB213" s="82" t="n">
        <x:f>IF($AH213&lt;&gt;"Valid","",YEAR($C213))</x:f>
        <x:v>2024</x:v>
      </x:c>
      <x:c r="AC213" s="80" t="str">
        <x:v>Consistent</x:v>
      </x:c>
      <x:c r="AD213" s="80" t="str">
        <x:v>Eligible</x:v>
      </x:c>
      <x:c r="AE213" s="80" t="str">
        <x:f>IF(OR($AH213&lt;&gt;"Valid",$AI213&lt;&gt;"Valid",$AJ213&lt;&gt;"Valid",LEFT($AM213,7)="Invalid",IFERROR(ABS($AQ213)&gt;0.01,FALSE),IFERROR(ABS($AR213)&gt;0.01,FALSE),COUNTIF($AS213,"*Conflicting duplicate*")&gt;0,COUNTIF($AS213,"*Completed order not paid*")&gt;0),"Invalid",IF(OR($H213="Unknown",$N213="Unknown",$AM213="Missing discount imputed as 0"),"Warning","Clean"))</x:f>
        <x:v>Clean</x:v>
      </x:c>
      <x:c r="AF213" s="80" t="str">
        <x:v>Cleaned</x:v>
      </x:c>
      <x:c r="AG213" s="80" t="str">
        <x:v>region: Case standardization</x:v>
      </x:c>
      <x:c r="AH213" s="12" t="str">
        <x:f>IF(C213="","Missing date",IF(ISNUMBER(C213),"Valid","Unrecognized/invalid date"))</x:f>
        <x:v>Valid</x:v>
      </x:c>
      <x:c r="AI213" s="12" t="str">
        <x:f>IF(D213="","Missing date",IF(ISNUMBER(D213),"Valid","Unrecognized/invalid date"))</x:f>
        <x:v>Valid</x:v>
      </x:c>
      <x:c r="AJ213" s="12" t="str">
        <x:v>Valid</x:v>
      </x:c>
      <x:c r="AK213" s="12" t="str">
        <x:v>Pass</x:v>
      </x:c>
      <x:c r="AL213" s="12" t="str">
        <x:v>None</x:v>
      </x:c>
      <x:c r="AM213" s="12" t="str">
        <x:v>Valid</x:v>
      </x:c>
      <x:c r="AN213" s="12" t="str">
        <x:v>Include in completed sales</x:v>
      </x:c>
      <x:c r="AO213" s="12" t="str">
        <x:v>Not a refunded record</x:v>
      </x:c>
      <x:c r="AP213" s="37" t="n">
        <x:f>IF(LEFT($AM213,7)="Invalid","",IF($AM213="Missing discount imputed as 0",IF(AND(COUNT($O213,$P213,$R213,$S213)=4,$O213&gt;0,$P213&gt;=0,$R213&gt;=0,$S213&gt;=0),0,""),IF(AND(ISNUMBER($Q213),$Q213&gt;=0,$Q213&lt;=0.5),$Q213,"")))</x:f>
        <x:v>0.2</x:v>
      </x:c>
      <x:c r="AQ213" s="152" t="n">
        <x:f>IF(OR($W213="",NOT(ISNUMBER($R213))),"",ROUND($R213-$W213,2))</x:f>
        <x:v>0</x:v>
      </x:c>
      <x:c r="AR213" s="152" t="n">
        <x:f>IF(OR($X213="",NOT(ISNUMBER($T213))),"",ROUND($T213-$X213,2))</x:f>
        <x:v>0</x:v>
      </x:c>
      <x:c r="AS213" s="14" t="str">
        <x:v>OK</x:v>
      </x:c>
    </x:row>
    <x:row r="214">
      <x:c r="A214" s="80" t="n">
        <x:v>214</x:v>
      </x:c>
      <x:c r="B214" s="80" t="str">
        <x:v>ORD-2024-10213</x:v>
      </x:c>
      <x:c r="C214" s="81" t="n">
        <x:v>45556</x:v>
      </x:c>
      <x:c r="D214" s="81" t="n">
        <x:v>45556</x:v>
      </x:c>
      <x:c r="E214" s="80" t="str">
        <x:v>CUST-3610</x:v>
      </x:c>
      <x:c r="F214" s="80" t="str">
        <x:v>Ananya Rao</x:v>
      </x:c>
      <x:c r="G214" s="80" t="str">
        <x:v>Small Business</x:v>
      </x:c>
      <x:c r="H214" s="80" t="str">
        <x:v>East</x:v>
      </x:c>
      <x:c r="I214" s="80" t="str">
        <x:v>Odisha</x:v>
      </x:c>
      <x:c r="J214" s="80" t="str">
        <x:v>Bhubaneswar</x:v>
      </x:c>
      <x:c r="K214" s="80" t="str">
        <x:v>Technology</x:v>
      </x:c>
      <x:c r="L214" s="80" t="str">
        <x:v>Phones</x:v>
      </x:c>
      <x:c r="M214" s="80" t="str">
        <x:v>Max Phones 329</x:v>
      </x:c>
      <x:c r="N214" s="80" t="str">
        <x:v>Same Day</x:v>
      </x:c>
      <x:c r="O214" s="82" t="n">
        <x:v>2</x:v>
      </x:c>
      <x:c r="P214" s="83" t="n">
        <x:v>214.5</x:v>
      </x:c>
      <x:c r="Q214" s="84" t="n">
        <x:v>0.15</x:v>
      </x:c>
      <x:c r="R214" s="83" t="n">
        <x:v>364.65</x:v>
      </x:c>
      <x:c r="S214" s="83" t="n">
        <x:v>280.74</x:v>
      </x:c>
      <x:c r="T214" s="83" t="n">
        <x:v>83.91</x:v>
      </x:c>
      <x:c r="U214" s="83" t="str">
        <x:v>Paid</x:v>
      </x:c>
      <x:c r="V214" s="83" t="str">
        <x:v>Completed</x:v>
      </x:c>
      <x:c r="W214" s="151" t="n">
        <x:f>IF(OR(NOT(ISNUMBER($AP214)),COUNT($O214,$P214)&lt;2,$O214&lt;=0,$P214&lt;0),"",ROUND($O214*$P214*(1-$AP214),2))</x:f>
        <x:v>364.65</x:v>
      </x:c>
      <x:c r="X214" s="151" t="n">
        <x:f>IF(OR(NOT(ISNUMBER($W214)),NOT(ISNUMBER($S214))),"",ROUND($W214-$S214,2))</x:f>
        <x:v>83.91</x:v>
      </x:c>
      <x:c r="Y214" s="85" t="n">
        <x:f>IF(OR(NOT(ISNUMBER($W214)),NOT(ISNUMBER($X214)),$W214=0),"",ROUND($X214/$W214,4))</x:f>
        <x:v>0.2301</x:v>
      </x:c>
      <x:c r="Z214" s="82" t="n">
        <x:f>IF(OR($AH214&lt;&gt;"Valid",$AI214&lt;&gt;"Valid"),"",INT($D214-$C214))</x:f>
        <x:v>0</x:v>
      </x:c>
      <x:c r="AA214" s="86" t="str">
        <x:f>IF($AH214&lt;&gt;"Valid","",TEXT($C214,"mmmm"))</x:f>
        <x:v>September</x:v>
      </x:c>
      <x:c r="AB214" s="82" t="n">
        <x:f>IF($AH214&lt;&gt;"Valid","",YEAR($C214))</x:f>
        <x:v>2024</x:v>
      </x:c>
      <x:c r="AC214" s="80" t="str">
        <x:v>Consistent</x:v>
      </x:c>
      <x:c r="AD214" s="80" t="str">
        <x:v>Eligible</x:v>
      </x:c>
      <x:c r="AE214" s="80" t="str">
        <x:f>IF(OR($AH214&lt;&gt;"Valid",$AI214&lt;&gt;"Valid",$AJ214&lt;&gt;"Valid",LEFT($AM214,7)="Invalid",IFERROR(ABS($AQ214)&gt;0.01,FALSE),IFERROR(ABS($AR214)&gt;0.01,FALSE),COUNTIF($AS214,"*Conflicting duplicate*")&gt;0,COUNTIF($AS214,"*Completed order not paid*")&gt;0),"Invalid",IF(OR($H214="Unknown",$N214="Unknown",$AM214="Missing discount imputed as 0"),"Warning","Clean"))</x:f>
        <x:v>Clean</x:v>
      </x:c>
      <x:c r="AF214" s="80" t="str">
        <x:v>Pass</x:v>
      </x:c>
      <x:c r="AG214" s="80" t="str">
        <x:v>No text cleanup required</x:v>
      </x:c>
      <x:c r="AH214" s="12" t="str">
        <x:f>IF(C214="","Missing date",IF(ISNUMBER(C214),"Valid","Unrecognized/invalid date"))</x:f>
        <x:v>Valid</x:v>
      </x:c>
      <x:c r="AI214" s="12" t="str">
        <x:f>IF(D214="","Missing date",IF(ISNUMBER(D214),"Valid","Unrecognized/invalid date"))</x:f>
        <x:v>Valid</x:v>
      </x:c>
      <x:c r="AJ214" s="12" t="str">
        <x:v>Valid</x:v>
      </x:c>
      <x:c r="AK214" s="12" t="str">
        <x:v>Pass</x:v>
      </x:c>
      <x:c r="AL214" s="12" t="str">
        <x:v>None</x:v>
      </x:c>
      <x:c r="AM214" s="12" t="str">
        <x:v>Valid</x:v>
      </x:c>
      <x:c r="AN214" s="12" t="str">
        <x:v>Include in completed sales</x:v>
      </x:c>
      <x:c r="AO214" s="12" t="str">
        <x:v>Not a refunded record</x:v>
      </x:c>
      <x:c r="AP214" s="37" t="n">
        <x:f>IF(LEFT($AM214,7)="Invalid","",IF($AM214="Missing discount imputed as 0",IF(AND(COUNT($O214,$P214,$R214,$S214)=4,$O214&gt;0,$P214&gt;=0,$R214&gt;=0,$S214&gt;=0),0,""),IF(AND(ISNUMBER($Q214),$Q214&gt;=0,$Q214&lt;=0.5),$Q214,"")))</x:f>
        <x:v>0.15</x:v>
      </x:c>
      <x:c r="AQ214" s="152" t="n">
        <x:f>IF(OR($W214="",NOT(ISNUMBER($R214))),"",ROUND($R214-$W214,2))</x:f>
        <x:v>0</x:v>
      </x:c>
      <x:c r="AR214" s="152" t="n">
        <x:f>IF(OR($X214="",NOT(ISNUMBER($T214))),"",ROUND($T214-$X214,2))</x:f>
        <x:v>0</x:v>
      </x:c>
      <x:c r="AS214" s="14" t="str">
        <x:v>OK</x:v>
      </x:c>
    </x:row>
    <x:row r="215">
      <x:c r="A215" s="80" t="n">
        <x:v>215</x:v>
      </x:c>
      <x:c r="B215" s="80" t="str">
        <x:v>ORD-2024-10214</x:v>
      </x:c>
      <x:c r="C215" s="81" t="n">
        <x:v>45427</x:v>
      </x:c>
      <x:c r="D215" s="81" t="n">
        <x:v>45433</x:v>
      </x:c>
      <x:c r="E215" s="80" t="str">
        <x:v>CUST-9136</x:v>
      </x:c>
      <x:c r="F215" s="80" t="str">
        <x:v>Isha Nair</x:v>
      </x:c>
      <x:c r="G215" s="80" t="str">
        <x:v>Small Business</x:v>
      </x:c>
      <x:c r="H215" s="80" t="str">
        <x:v>East</x:v>
      </x:c>
      <x:c r="I215" s="80" t="str">
        <x:v>Bihar</x:v>
      </x:c>
      <x:c r="J215" s="80" t="str">
        <x:v>Patna</x:v>
      </x:c>
      <x:c r="K215" s="80" t="str">
        <x:v>Technology</x:v>
      </x:c>
      <x:c r="L215" s="80" t="str">
        <x:v>Accessories</x:v>
      </x:c>
      <x:c r="M215" s="80" t="str">
        <x:v>Classic Accessories 840</x:v>
      </x:c>
      <x:c r="N215" s="80" t="str">
        <x:v>Second Class</x:v>
      </x:c>
      <x:c r="O215" s="82" t="n">
        <x:v>4</x:v>
      </x:c>
      <x:c r="P215" s="83" t="n">
        <x:v>4332.73</x:v>
      </x:c>
      <x:c r="Q215" s="84" t="n">
        <x:v>0.2</x:v>
      </x:c>
      <x:c r="R215" s="83" t="n">
        <x:v>13864.74</x:v>
      </x:c>
      <x:c r="S215" s="83" t="n">
        <x:v>11294.06</x:v>
      </x:c>
      <x:c r="T215" s="83" t="n">
        <x:v>2570.68</x:v>
      </x:c>
      <x:c r="U215" s="83" t="str">
        <x:v>Paid</x:v>
      </x:c>
      <x:c r="V215" s="83" t="str">
        <x:v>Completed</x:v>
      </x:c>
      <x:c r="W215" s="151" t="n">
        <x:f>IF(OR(NOT(ISNUMBER($AP215)),COUNT($O215,$P215)&lt;2,$O215&lt;=0,$P215&lt;0),"",ROUND($O215*$P215*(1-$AP215),2))</x:f>
        <x:v>13864.74</x:v>
      </x:c>
      <x:c r="X215" s="151" t="n">
        <x:f>IF(OR(NOT(ISNUMBER($W215)),NOT(ISNUMBER($S215))),"",ROUND($W215-$S215,2))</x:f>
        <x:v>2570.68</x:v>
      </x:c>
      <x:c r="Y215" s="85" t="n">
        <x:f>IF(OR(NOT(ISNUMBER($W215)),NOT(ISNUMBER($X215)),$W215=0),"",ROUND($X215/$W215,4))</x:f>
        <x:v>0.1854</x:v>
      </x:c>
      <x:c r="Z215" s="82" t="n">
        <x:f>IF(OR($AH215&lt;&gt;"Valid",$AI215&lt;&gt;"Valid"),"",INT($D215-$C215))</x:f>
        <x:v>6</x:v>
      </x:c>
      <x:c r="AA215" s="86" t="str">
        <x:f>IF($AH215&lt;&gt;"Valid","",TEXT($C215,"mmmm"))</x:f>
        <x:v>May</x:v>
      </x:c>
      <x:c r="AB215" s="82" t="n">
        <x:f>IF($AH215&lt;&gt;"Valid","",YEAR($C215))</x:f>
        <x:v>2024</x:v>
      </x:c>
      <x:c r="AC215" s="80" t="str">
        <x:v>Consistent</x:v>
      </x:c>
      <x:c r="AD215" s="80" t="str">
        <x:v>Eligible</x:v>
      </x:c>
      <x:c r="AE215" s="80" t="str">
        <x:f>IF(OR($AH215&lt;&gt;"Valid",$AI215&lt;&gt;"Valid",$AJ215&lt;&gt;"Valid",LEFT($AM215,7)="Invalid",IFERROR(ABS($AQ215)&gt;0.01,FALSE),IFERROR(ABS($AR215)&gt;0.01,FALSE),COUNTIF($AS215,"*Conflicting duplicate*")&gt;0,COUNTIF($AS215,"*Completed order not paid*")&gt;0),"Invalid",IF(OR($H215="Unknown",$N215="Unknown",$AM215="Missing discount imputed as 0"),"Warning","Clean"))</x:f>
        <x:v>Clean</x:v>
      </x:c>
      <x:c r="AF215" s="80" t="str">
        <x:v>Cleaned</x:v>
      </x:c>
      <x:c r="AG215" s="80" t="str">
        <x:v>ship_mode: TRIM/SUBSTITUTE whitespace cleanup</x:v>
      </x:c>
      <x:c r="AH215" s="12" t="str">
        <x:f>IF(C215="","Missing date",IF(ISNUMBER(C215),"Valid","Unrecognized/invalid date"))</x:f>
        <x:v>Valid</x:v>
      </x:c>
      <x:c r="AI215" s="12" t="str">
        <x:f>IF(D215="","Missing date",IF(ISNUMBER(D215),"Valid","Unrecognized/invalid date"))</x:f>
        <x:v>Valid</x:v>
      </x:c>
      <x:c r="AJ215" s="12" t="str">
        <x:v>Valid</x:v>
      </x:c>
      <x:c r="AK215" s="12" t="str">
        <x:v>Pass</x:v>
      </x:c>
      <x:c r="AL215" s="12" t="str">
        <x:v>None</x:v>
      </x:c>
      <x:c r="AM215" s="12" t="str">
        <x:v>Valid</x:v>
      </x:c>
      <x:c r="AN215" s="12" t="str">
        <x:v>Include in completed sales</x:v>
      </x:c>
      <x:c r="AO215" s="12" t="str">
        <x:v>Not a refunded record</x:v>
      </x:c>
      <x:c r="AP215" s="37" t="n">
        <x:f>IF(LEFT($AM215,7)="Invalid","",IF($AM215="Missing discount imputed as 0",IF(AND(COUNT($O215,$P215,$R215,$S215)=4,$O215&gt;0,$P215&gt;=0,$R215&gt;=0,$S215&gt;=0),0,""),IF(AND(ISNUMBER($Q215),$Q215&gt;=0,$Q215&lt;=0.5),$Q215,"")))</x:f>
        <x:v>0.2</x:v>
      </x:c>
      <x:c r="AQ215" s="152" t="n">
        <x:f>IF(OR($W215="",NOT(ISNUMBER($R215))),"",ROUND($R215-$W215,2))</x:f>
        <x:v>0</x:v>
      </x:c>
      <x:c r="AR215" s="152" t="n">
        <x:f>IF(OR($X215="",NOT(ISNUMBER($T215))),"",ROUND($T215-$X215,2))</x:f>
        <x:v>0</x:v>
      </x:c>
      <x:c r="AS215" s="14" t="str">
        <x:v>OK</x:v>
      </x:c>
    </x:row>
    <x:row r="216">
      <x:c r="A216" s="80" t="n">
        <x:v>216</x:v>
      </x:c>
      <x:c r="B216" s="80" t="str">
        <x:v>ORD-2024-10215</x:v>
      </x:c>
      <x:c r="C216" s="81" t="n">
        <x:v>45368</x:v>
      </x:c>
      <x:c r="D216" s="81" t="n">
        <x:v>45374</x:v>
      </x:c>
      <x:c r="E216" s="80" t="str">
        <x:v>CUST-1301</x:v>
      </x:c>
      <x:c r="F216" s="80" t="str">
        <x:v>Rahul Verma</x:v>
      </x:c>
      <x:c r="G216" s="80" t="str">
        <x:v>Consumer</x:v>
      </x:c>
      <x:c r="H216" s="80" t="str">
        <x:v>North</x:v>
      </x:c>
      <x:c r="I216" s="80" t="str">
        <x:v>Haryana</x:v>
      </x:c>
      <x:c r="J216" s="80" t="str">
        <x:v>Gurugram</x:v>
      </x:c>
      <x:c r="K216" s="80" t="str">
        <x:v>Technology</x:v>
      </x:c>
      <x:c r="L216" s="80" t="str">
        <x:v>Accessories</x:v>
      </x:c>
      <x:c r="M216" s="80" t="str">
        <x:v>Classic Accessories 757</x:v>
      </x:c>
      <x:c r="N216" s="80" t="str">
        <x:v>First Class</x:v>
      </x:c>
      <x:c r="O216" s="82" t="n">
        <x:v>3</x:v>
      </x:c>
      <x:c r="P216" s="83" t="n">
        <x:v>248.18</x:v>
      </x:c>
      <x:c r="Q216" s="84" t="n">
        <x:v>0.05</x:v>
      </x:c>
      <x:c r="R216" s="83" t="n">
        <x:v>707.31</x:v>
      </x:c>
      <x:c r="S216" s="83" t="n">
        <x:v>569</x:v>
      </x:c>
      <x:c r="T216" s="83" t="n">
        <x:v>138.31</x:v>
      </x:c>
      <x:c r="U216" s="83" t="str">
        <x:v>Paid</x:v>
      </x:c>
      <x:c r="V216" s="83" t="str">
        <x:v>Completed</x:v>
      </x:c>
      <x:c r="W216" s="151" t="n">
        <x:f>IF(OR(NOT(ISNUMBER($AP216)),COUNT($O216,$P216)&lt;2,$O216&lt;=0,$P216&lt;0),"",ROUND($O216*$P216*(1-$AP216),2))</x:f>
        <x:v>707.31</x:v>
      </x:c>
      <x:c r="X216" s="151" t="n">
        <x:f>IF(OR(NOT(ISNUMBER($W216)),NOT(ISNUMBER($S216))),"",ROUND($W216-$S216,2))</x:f>
        <x:v>138.31</x:v>
      </x:c>
      <x:c r="Y216" s="85" t="n">
        <x:f>IF(OR(NOT(ISNUMBER($W216)),NOT(ISNUMBER($X216)),$W216=0),"",ROUND($X216/$W216,4))</x:f>
        <x:v>0.1955</x:v>
      </x:c>
      <x:c r="Z216" s="82" t="n">
        <x:f>IF(OR($AH216&lt;&gt;"Valid",$AI216&lt;&gt;"Valid"),"",INT($D216-$C216))</x:f>
        <x:v>6</x:v>
      </x:c>
      <x:c r="AA216" s="86" t="str">
        <x:f>IF($AH216&lt;&gt;"Valid","",TEXT($C216,"mmmm"))</x:f>
        <x:v>March</x:v>
      </x:c>
      <x:c r="AB216" s="82" t="n">
        <x:f>IF($AH216&lt;&gt;"Valid","",YEAR($C216))</x:f>
        <x:v>2024</x:v>
      </x:c>
      <x:c r="AC216" s="80" t="str">
        <x:v>Consistent</x:v>
      </x:c>
      <x:c r="AD216" s="80" t="str">
        <x:v>Eligible</x:v>
      </x:c>
      <x:c r="AE216" s="80" t="str">
        <x:f>IF(OR($AH216&lt;&gt;"Valid",$AI216&lt;&gt;"Valid",$AJ216&lt;&gt;"Valid",LEFT($AM216,7)="Invalid",IFERROR(ABS($AQ216)&gt;0.01,FALSE),IFERROR(ABS($AR216)&gt;0.01,FALSE),COUNTIF($AS216,"*Conflicting duplicate*")&gt;0,COUNTIF($AS216,"*Completed order not paid*")&gt;0),"Invalid",IF(OR($H216="Unknown",$N216="Unknown",$AM216="Missing discount imputed as 0"),"Warning","Clean"))</x:f>
        <x:v>Clean</x:v>
      </x:c>
      <x:c r="AF216" s="80" t="str">
        <x:v>Cleaned</x:v>
      </x:c>
      <x:c r="AG216" s="80" t="str">
        <x:v>ship_mode: TRIM/SUBSTITUTE whitespace cleanup</x:v>
      </x:c>
      <x:c r="AH216" s="12" t="str">
        <x:f>IF(C216="","Missing date",IF(ISNUMBER(C216),"Valid","Unrecognized/invalid date"))</x:f>
        <x:v>Valid</x:v>
      </x:c>
      <x:c r="AI216" s="12" t="str">
        <x:f>IF(D216="","Missing date",IF(ISNUMBER(D216),"Valid","Unrecognized/invalid date"))</x:f>
        <x:v>Valid</x:v>
      </x:c>
      <x:c r="AJ216" s="12" t="str">
        <x:v>Valid</x:v>
      </x:c>
      <x:c r="AK216" s="12" t="str">
        <x:v>Pass</x:v>
      </x:c>
      <x:c r="AL216" s="12" t="str">
        <x:v>None</x:v>
      </x:c>
      <x:c r="AM216" s="12" t="str">
        <x:v>Valid</x:v>
      </x:c>
      <x:c r="AN216" s="12" t="str">
        <x:v>Include in completed sales</x:v>
      </x:c>
      <x:c r="AO216" s="12" t="str">
        <x:v>Not a refunded record</x:v>
      </x:c>
      <x:c r="AP216" s="37" t="n">
        <x:f>IF(LEFT($AM216,7)="Invalid","",IF($AM216="Missing discount imputed as 0",IF(AND(COUNT($O216,$P216,$R216,$S216)=4,$O216&gt;0,$P216&gt;=0,$R216&gt;=0,$S216&gt;=0),0,""),IF(AND(ISNUMBER($Q216),$Q216&gt;=0,$Q216&lt;=0.5),$Q216,"")))</x:f>
        <x:v>0.05</x:v>
      </x:c>
      <x:c r="AQ216" s="152" t="n">
        <x:f>IF(OR($W216="",NOT(ISNUMBER($R216))),"",ROUND($R216-$W216,2))</x:f>
        <x:v>0</x:v>
      </x:c>
      <x:c r="AR216" s="152" t="n">
        <x:f>IF(OR($X216="",NOT(ISNUMBER($T216))),"",ROUND($T216-$X216,2))</x:f>
        <x:v>0</x:v>
      </x:c>
      <x:c r="AS216" s="14" t="str">
        <x:v>OK</x:v>
      </x:c>
    </x:row>
    <x:row r="217">
      <x:c r="A217" s="80" t="n">
        <x:v>217</x:v>
      </x:c>
      <x:c r="B217" s="80" t="str">
        <x:v>ORD-2024-10216</x:v>
      </x:c>
      <x:c r="C217" s="81" t="n">
        <x:v>45352</x:v>
      </x:c>
      <x:c r="D217" s="81" t="n">
        <x:v>45355</x:v>
      </x:c>
      <x:c r="E217" s="80" t="str">
        <x:v>CUST-8603</x:v>
      </x:c>
      <x:c r="F217" s="80" t="str">
        <x:v>Mira Das</x:v>
      </x:c>
      <x:c r="G217" s="80" t="str">
        <x:v>Consumer</x:v>
      </x:c>
      <x:c r="H217" s="80" t="str">
        <x:v>West</x:v>
      </x:c>
      <x:c r="I217" s="80" t="str">
        <x:v>Madhya Pradesh</x:v>
      </x:c>
      <x:c r="J217" s="80" t="str">
        <x:v>Indore</x:v>
      </x:c>
      <x:c r="K217" s="80" t="str">
        <x:v>Office Supplies</x:v>
      </x:c>
      <x:c r="L217" s="80" t="str">
        <x:v>Paper</x:v>
      </x:c>
      <x:c r="M217" s="80" t="str">
        <x:v>Prime Paper 286</x:v>
      </x:c>
      <x:c r="N217" s="80" t="str">
        <x:v>First Class</x:v>
      </x:c>
      <x:c r="O217" s="82" t="n">
        <x:v>8</x:v>
      </x:c>
      <x:c r="P217" s="83" t="n">
        <x:v>3202.4</x:v>
      </x:c>
      <x:c r="Q217" s="84" t="n">
        <x:v>0.25</x:v>
      </x:c>
      <x:c r="R217" s="83" t="n">
        <x:v>19214.4</x:v>
      </x:c>
      <x:c r="S217" s="83" t="n">
        <x:v>10916.01</x:v>
      </x:c>
      <x:c r="T217" s="83" t="n">
        <x:v>8298.39</x:v>
      </x:c>
      <x:c r="U217" s="83" t="str">
        <x:v>Paid</x:v>
      </x:c>
      <x:c r="V217" s="83" t="str">
        <x:v>Completed</x:v>
      </x:c>
      <x:c r="W217" s="151" t="n">
        <x:f>IF(OR(NOT(ISNUMBER($AP217)),COUNT($O217,$P217)&lt;2,$O217&lt;=0,$P217&lt;0),"",ROUND($O217*$P217*(1-$AP217),2))</x:f>
        <x:v>19214.4</x:v>
      </x:c>
      <x:c r="X217" s="151" t="n">
        <x:f>IF(OR(NOT(ISNUMBER($W217)),NOT(ISNUMBER($S217))),"",ROUND($W217-$S217,2))</x:f>
        <x:v>8298.39</x:v>
      </x:c>
      <x:c r="Y217" s="85" t="n">
        <x:f>IF(OR(NOT(ISNUMBER($W217)),NOT(ISNUMBER($X217)),$W217=0),"",ROUND($X217/$W217,4))</x:f>
        <x:v>0.4319</x:v>
      </x:c>
      <x:c r="Z217" s="82" t="n">
        <x:f>IF(OR($AH217&lt;&gt;"Valid",$AI217&lt;&gt;"Valid"),"",INT($D217-$C217))</x:f>
        <x:v>3</x:v>
      </x:c>
      <x:c r="AA217" s="86" t="str">
        <x:f>IF($AH217&lt;&gt;"Valid","",TEXT($C217,"mmmm"))</x:f>
        <x:v>March</x:v>
      </x:c>
      <x:c r="AB217" s="82" t="n">
        <x:f>IF($AH217&lt;&gt;"Valid","",YEAR($C217))</x:f>
        <x:v>2024</x:v>
      </x:c>
      <x:c r="AC217" s="80" t="str">
        <x:v>Consistent</x:v>
      </x:c>
      <x:c r="AD217" s="80" t="str">
        <x:v>Eligible</x:v>
      </x:c>
      <x:c r="AE217" s="80" t="str">
        <x:f>IF(OR($AH217&lt;&gt;"Valid",$AI217&lt;&gt;"Valid",$AJ217&lt;&gt;"Valid",LEFT($AM217,7)="Invalid",IFERROR(ABS($AQ217)&gt;0.01,FALSE),IFERROR(ABS($AR217)&gt;0.01,FALSE),COUNTIF($AS217,"*Conflicting duplicate*")&gt;0,COUNTIF($AS217,"*Completed order not paid*")&gt;0),"Invalid",IF(OR($H217="Unknown",$N217="Unknown",$AM217="Missing discount imputed as 0"),"Warning","Clean"))</x:f>
        <x:v>Clean</x:v>
      </x:c>
      <x:c r="AF217" s="80" t="str">
        <x:v>Pass</x:v>
      </x:c>
      <x:c r="AG217" s="80" t="str">
        <x:v>No text cleanup required</x:v>
      </x:c>
      <x:c r="AH217" s="12" t="str">
        <x:f>IF(C217="","Missing date",IF(ISNUMBER(C217),"Valid","Unrecognized/invalid date"))</x:f>
        <x:v>Valid</x:v>
      </x:c>
      <x:c r="AI217" s="12" t="str">
        <x:f>IF(D217="","Missing date",IF(ISNUMBER(D217),"Valid","Unrecognized/invalid date"))</x:f>
        <x:v>Valid</x:v>
      </x:c>
      <x:c r="AJ217" s="12" t="str">
        <x:v>Valid</x:v>
      </x:c>
      <x:c r="AK217" s="12" t="str">
        <x:v>Pass</x:v>
      </x:c>
      <x:c r="AL217" s="12" t="str">
        <x:v>None</x:v>
      </x:c>
      <x:c r="AM217" s="12" t="str">
        <x:v>Valid</x:v>
      </x:c>
      <x:c r="AN217" s="12" t="str">
        <x:v>Include in completed sales</x:v>
      </x:c>
      <x:c r="AO217" s="12" t="str">
        <x:v>Not a refunded record</x:v>
      </x:c>
      <x:c r="AP217" s="37" t="n">
        <x:f>IF(LEFT($AM217,7)="Invalid","",IF($AM217="Missing discount imputed as 0",IF(AND(COUNT($O217,$P217,$R217,$S217)=4,$O217&gt;0,$P217&gt;=0,$R217&gt;=0,$S217&gt;=0),0,""),IF(AND(ISNUMBER($Q217),$Q217&gt;=0,$Q217&lt;=0.5),$Q217,"")))</x:f>
        <x:v>0.25</x:v>
      </x:c>
      <x:c r="AQ217" s="152" t="n">
        <x:f>IF(OR($W217="",NOT(ISNUMBER($R217))),"",ROUND($R217-$W217,2))</x:f>
        <x:v>0</x:v>
      </x:c>
      <x:c r="AR217" s="152" t="n">
        <x:f>IF(OR($X217="",NOT(ISNUMBER($T217))),"",ROUND($T217-$X217,2))</x:f>
        <x:v>0</x:v>
      </x:c>
      <x:c r="AS217" s="14" t="str">
        <x:v>OK</x:v>
      </x:c>
    </x:row>
    <x:row r="218">
      <x:c r="A218" s="80" t="n">
        <x:v>218</x:v>
      </x:c>
      <x:c r="B218" s="80" t="str">
        <x:v>ORD-2025-10217</x:v>
      </x:c>
      <x:c r="C218" s="81" t="n">
        <x:v>45757</x:v>
      </x:c>
      <x:c r="D218" s="81" t="n">
        <x:v>45762</x:v>
      </x:c>
      <x:c r="E218" s="80" t="str">
        <x:v>CUST-4330</x:v>
      </x:c>
      <x:c r="F218" s="80" t="str">
        <x:v>Isha Nair</x:v>
      </x:c>
      <x:c r="G218" s="80" t="str">
        <x:v>Consumer</x:v>
      </x:c>
      <x:c r="H218" s="80" t="str">
        <x:v>West</x:v>
      </x:c>
      <x:c r="I218" s="80" t="str">
        <x:v>Gujarat</x:v>
      </x:c>
      <x:c r="J218" s="80" t="str">
        <x:v>Ahmedabad</x:v>
      </x:c>
      <x:c r="K218" s="80" t="str">
        <x:v>Furniture</x:v>
      </x:c>
      <x:c r="L218" s="80" t="str">
        <x:v>Tables</x:v>
      </x:c>
      <x:c r="M218" s="80" t="str">
        <x:v>Basic Tables 400</x:v>
      </x:c>
      <x:c r="N218" s="80" t="str">
        <x:v>Standard Class</x:v>
      </x:c>
      <x:c r="O218" s="82" t="n">
        <x:v>8</x:v>
      </x:c>
      <x:c r="P218" s="83" t="n">
        <x:v>1839.87</x:v>
      </x:c>
      <x:c r="Q218" s="84" t="n">
        <x:v>0.25</x:v>
      </x:c>
      <x:c r="R218" s="83" t="n">
        <x:v>11039.22</x:v>
      </x:c>
      <x:c r="S218" s="83" t="n">
        <x:v>7642.91</x:v>
      </x:c>
      <x:c r="T218" s="83" t="n">
        <x:v>3396.31</x:v>
      </x:c>
      <x:c r="U218" s="83" t="str">
        <x:v>Failed</x:v>
      </x:c>
      <x:c r="V218" s="83" t="str">
        <x:v>Returned</x:v>
      </x:c>
      <x:c r="W218" s="151" t="n">
        <x:f>IF(OR(NOT(ISNUMBER($AP218)),COUNT($O218,$P218)&lt;2,$O218&lt;=0,$P218&lt;0),"",ROUND($O218*$P218*(1-$AP218),2))</x:f>
        <x:v>11039.22</x:v>
      </x:c>
      <x:c r="X218" s="151" t="n">
        <x:f>IF(OR(NOT(ISNUMBER($W218)),NOT(ISNUMBER($S218))),"",ROUND($W218-$S218,2))</x:f>
        <x:v>3396.31</x:v>
      </x:c>
      <x:c r="Y218" s="85" t="n">
        <x:f>IF(OR(NOT(ISNUMBER($W218)),NOT(ISNUMBER($X218)),$W218=0),"",ROUND($X218/$W218,4))</x:f>
        <x:v>0.3077</x:v>
      </x:c>
      <x:c r="Z218" s="82" t="n">
        <x:f>IF(OR($AH218&lt;&gt;"Valid",$AI218&lt;&gt;"Valid"),"",INT($D218-$C218))</x:f>
        <x:v>5</x:v>
      </x:c>
      <x:c r="AA218" s="86" t="str">
        <x:f>IF($AH218&lt;&gt;"Valid","",TEXT($C218,"mmmm"))</x:f>
        <x:v>April</x:v>
      </x:c>
      <x:c r="AB218" s="82" t="n">
        <x:f>IF($AH218&lt;&gt;"Valid","",YEAR($C218))</x:f>
        <x:v>2025</x:v>
      </x:c>
      <x:c r="AC218" s="80" t="str">
        <x:v>Failed payment (excluded from completed-sales summary)</x:v>
      </x:c>
      <x:c r="AD218" s="80" t="str">
        <x:v>Excluded</x:v>
      </x:c>
      <x:c r="AE218" s="80" t="str">
        <x:f>IF(OR($AH218&lt;&gt;"Valid",$AI218&lt;&gt;"Valid",$AJ218&lt;&gt;"Valid",LEFT($AM218,7)="Invalid",IFERROR(ABS($AQ218)&gt;0.01,FALSE),IFERROR(ABS($AR218)&gt;0.01,FALSE),COUNTIF($AS218,"*Conflicting duplicate*")&gt;0,COUNTIF($AS218,"*Completed order not paid*")&gt;0),"Invalid",IF(OR($H218="Unknown",$N218="Unknown",$AM218="Missing discount imputed as 0"),"Warning","Clean"))</x:f>
        <x:v>Clean</x:v>
      </x:c>
      <x:c r="AF218" s="80" t="str">
        <x:v>Pass</x:v>
      </x:c>
      <x:c r="AG218" s="80" t="str">
        <x:v>No text cleanup required</x:v>
      </x:c>
      <x:c r="AH218" s="12" t="str">
        <x:f>IF(C218="","Missing date",IF(ISNUMBER(C218),"Valid","Unrecognized/invalid date"))</x:f>
        <x:v>Valid</x:v>
      </x:c>
      <x:c r="AI218" s="12" t="str">
        <x:f>IF(D218="","Missing date",IF(ISNUMBER(D218),"Valid","Unrecognized/invalid date"))</x:f>
        <x:v>Valid</x:v>
      </x:c>
      <x:c r="AJ218" s="12" t="str">
        <x:v>Valid</x:v>
      </x:c>
      <x:c r="AK218" s="12" t="str">
        <x:v>Pass</x:v>
      </x:c>
      <x:c r="AL218" s="12" t="str">
        <x:v>Failed payment – excluded from completed sales</x:v>
      </x:c>
      <x:c r="AM218" s="12" t="str">
        <x:v>Valid</x:v>
      </x:c>
      <x:c r="AN218" s="12" t="str">
        <x:v>Exclude from completed sales</x:v>
      </x:c>
      <x:c r="AO218" s="12" t="str">
        <x:v>Not a refunded record</x:v>
      </x:c>
      <x:c r="AP218" s="37" t="n">
        <x:f>IF(LEFT($AM218,7)="Invalid","",IF($AM218="Missing discount imputed as 0",IF(AND(COUNT($O218,$P218,$R218,$S218)=4,$O218&gt;0,$P218&gt;=0,$R218&gt;=0,$S218&gt;=0),0,""),IF(AND(ISNUMBER($Q218),$Q218&gt;=0,$Q218&lt;=0.5),$Q218,"")))</x:f>
        <x:v>0.25</x:v>
      </x:c>
      <x:c r="AQ218" s="152" t="n">
        <x:f>IF(OR($W218="",NOT(ISNUMBER($R218))),"",ROUND($R218-$W218,2))</x:f>
        <x:v>0</x:v>
      </x:c>
      <x:c r="AR218" s="152" t="n">
        <x:f>IF(OR($X218="",NOT(ISNUMBER($T218))),"",ROUND($T218-$X218,2))</x:f>
        <x:v>0</x:v>
      </x:c>
      <x:c r="AS218" s="14" t="str">
        <x:v>OK</x:v>
      </x:c>
    </x:row>
    <x:row r="219">
      <x:c r="A219" s="80" t="n">
        <x:v>219</x:v>
      </x:c>
      <x:c r="B219" s="80" t="str">
        <x:v>ORD-2025-10218</x:v>
      </x:c>
      <x:c r="C219" s="81" t="n">
        <x:v>45748</x:v>
      </x:c>
      <x:c r="D219" s="81" t="n">
        <x:v>45755</x:v>
      </x:c>
      <x:c r="E219" s="80" t="str">
        <x:v>CUST-4533</x:v>
      </x:c>
      <x:c r="F219" s="80" t="str">
        <x:v>Aditi Sen</x:v>
      </x:c>
      <x:c r="G219" s="80" t="str">
        <x:v>Consumer</x:v>
      </x:c>
      <x:c r="H219" s="80" t="str">
        <x:v>East</x:v>
      </x:c>
      <x:c r="I219" s="80" t="str">
        <x:v>Odisha</x:v>
      </x:c>
      <x:c r="J219" s="80" t="str">
        <x:v>Bhubaneswar</x:v>
      </x:c>
      <x:c r="K219" s="80" t="str">
        <x:v>Furniture</x:v>
      </x:c>
      <x:c r="L219" s="80" t="str">
        <x:v>Bookcases</x:v>
      </x:c>
      <x:c r="M219" s="80" t="str">
        <x:v>Basic Bookcases 405</x:v>
      </x:c>
      <x:c r="N219" s="80" t="str">
        <x:v>Second Class</x:v>
      </x:c>
      <x:c r="O219" s="82" t="n">
        <x:v>5</x:v>
      </x:c>
      <x:c r="P219" s="83" t="n">
        <x:v>1021.28</x:v>
      </x:c>
      <x:c r="Q219" s="84" t="n">
        <x:v>0.1</x:v>
      </x:c>
      <x:c r="R219" s="83" t="n">
        <x:v>4595.76</x:v>
      </x:c>
      <x:c r="S219" s="83" t="n">
        <x:v>3396.8</x:v>
      </x:c>
      <x:c r="T219" s="83" t="n">
        <x:v>1198.96</x:v>
      </x:c>
      <x:c r="U219" s="83" t="str">
        <x:v>Refunded</x:v>
      </x:c>
      <x:c r="V219" s="83" t="str">
        <x:v>Cancelled</x:v>
      </x:c>
      <x:c r="W219" s="151" t="n">
        <x:f>IF(OR(NOT(ISNUMBER($AP219)),COUNT($O219,$P219)&lt;2,$O219&lt;=0,$P219&lt;0),"",ROUND($O219*$P219*(1-$AP219),2))</x:f>
        <x:v>4595.76</x:v>
      </x:c>
      <x:c r="X219" s="151" t="n">
        <x:f>IF(OR(NOT(ISNUMBER($W219)),NOT(ISNUMBER($S219))),"",ROUND($W219-$S219,2))</x:f>
        <x:v>1198.96</x:v>
      </x:c>
      <x:c r="Y219" s="85" t="n">
        <x:f>IF(OR(NOT(ISNUMBER($W219)),NOT(ISNUMBER($X219)),$W219=0),"",ROUND($X219/$W219,4))</x:f>
        <x:v>0.2609</x:v>
      </x:c>
      <x:c r="Z219" s="82" t="n">
        <x:f>IF(OR($AH219&lt;&gt;"Valid",$AI219&lt;&gt;"Valid"),"",INT($D219-$C219))</x:f>
        <x:v>7</x:v>
      </x:c>
      <x:c r="AA219" s="86" t="str">
        <x:f>IF($AH219&lt;&gt;"Valid","",TEXT($C219,"mmmm"))</x:f>
        <x:v>April</x:v>
      </x:c>
      <x:c r="AB219" s="82" t="n">
        <x:f>IF($AH219&lt;&gt;"Valid","",YEAR($C219))</x:f>
        <x:v>2025</x:v>
      </x:c>
      <x:c r="AC219" s="80" t="str">
        <x:v>Cancelled (excluded from completed-sales summary)</x:v>
      </x:c>
      <x:c r="AD219" s="80" t="str">
        <x:v>Excluded</x:v>
      </x:c>
      <x:c r="AE219" s="80" t="str">
        <x:f>IF(OR($AH219&lt;&gt;"Valid",$AI219&lt;&gt;"Valid",$AJ219&lt;&gt;"Valid",LEFT($AM219,7)="Invalid",IFERROR(ABS($AQ219)&gt;0.01,FALSE),IFERROR(ABS($AR219)&gt;0.01,FALSE),COUNTIF($AS219,"*Conflicting duplicate*")&gt;0,COUNTIF($AS219,"*Completed order not paid*")&gt;0),"Invalid",IF(OR($H219="Unknown",$N219="Unknown",$AM219="Missing discount imputed as 0"),"Warning","Clean"))</x:f>
        <x:v>Clean</x:v>
      </x:c>
      <x:c r="AF219" s="80" t="str">
        <x:v>Pass</x:v>
      </x:c>
      <x:c r="AG219" s="80" t="str">
        <x:v>No text cleanup required</x:v>
      </x:c>
      <x:c r="AH219" s="12" t="str">
        <x:f>IF(C219="","Missing date",IF(ISNUMBER(C219),"Valid","Unrecognized/invalid date"))</x:f>
        <x:v>Valid</x:v>
      </x:c>
      <x:c r="AI219" s="12" t="str">
        <x:f>IF(D219="","Missing date",IF(ISNUMBER(D219),"Valid","Unrecognized/invalid date"))</x:f>
        <x:v>Valid</x:v>
      </x:c>
      <x:c r="AJ219" s="12" t="str">
        <x:v>Valid</x:v>
      </x:c>
      <x:c r="AK219" s="12" t="str">
        <x:v>Pass</x:v>
      </x:c>
      <x:c r="AL219" s="12" t="str">
        <x:v>Cancelled order – excluded from completed sales; Refunded payment – separately summarized</x:v>
      </x:c>
      <x:c r="AM219" s="12" t="str">
        <x:v>Valid</x:v>
      </x:c>
      <x:c r="AN219" s="12" t="str">
        <x:v>Exclude from completed sales</x:v>
      </x:c>
      <x:c r="AO219" s="12" t="str">
        <x:v>Include in refunded summary</x:v>
      </x:c>
      <x:c r="AP219" s="37" t="n">
        <x:f>IF(LEFT($AM219,7)="Invalid","",IF($AM219="Missing discount imputed as 0",IF(AND(COUNT($O219,$P219,$R219,$S219)=4,$O219&gt;0,$P219&gt;=0,$R219&gt;=0,$S219&gt;=0),0,""),IF(AND(ISNUMBER($Q219),$Q219&gt;=0,$Q219&lt;=0.5),$Q219,"")))</x:f>
        <x:v>0.1</x:v>
      </x:c>
      <x:c r="AQ219" s="152" t="n">
        <x:f>IF(OR($W219="",NOT(ISNUMBER($R219))),"",ROUND($R219-$W219,2))</x:f>
        <x:v>0</x:v>
      </x:c>
      <x:c r="AR219" s="152" t="n">
        <x:f>IF(OR($X219="",NOT(ISNUMBER($T219))),"",ROUND($T219-$X219,2))</x:f>
        <x:v>0</x:v>
      </x:c>
      <x:c r="AS219" s="14" t="str">
        <x:v>OK</x:v>
      </x:c>
    </x:row>
    <x:row r="220">
      <x:c r="A220" s="80" t="n">
        <x:v>220</x:v>
      </x:c>
      <x:c r="B220" s="80" t="str">
        <x:v>ORD-2025-10219</x:v>
      </x:c>
      <x:c r="C220" s="81" t="n">
        <x:v>45714</x:v>
      </x:c>
      <x:c r="D220" s="81" t="n">
        <x:v>45715</x:v>
      </x:c>
      <x:c r="E220" s="80" t="str">
        <x:v>CUST-8270</x:v>
      </x:c>
      <x:c r="F220" s="80" t="str">
        <x:v>Priya Menon</x:v>
      </x:c>
      <x:c r="G220" s="80" t="str">
        <x:v>Corporate</x:v>
      </x:c>
      <x:c r="H220" s="80" t="str">
        <x:v>West</x:v>
      </x:c>
      <x:c r="I220" s="80" t="str">
        <x:v>Gujarat</x:v>
      </x:c>
      <x:c r="J220" s="80" t="str">
        <x:v>Ahmedabad</x:v>
      </x:c>
      <x:c r="K220" s="80" t="str">
        <x:v>Furniture</x:v>
      </x:c>
      <x:c r="L220" s="80" t="str">
        <x:v>Bookcases</x:v>
      </x:c>
      <x:c r="M220" s="80" t="str">
        <x:v>Classic Bookcases 139</x:v>
      </x:c>
      <x:c r="N220" s="80" t="str">
        <x:v>Standard Class</x:v>
      </x:c>
      <x:c r="O220" s="82" t="n">
        <x:v>5</x:v>
      </x:c>
      <x:c r="P220" s="83" t="n">
        <x:v>258.28</x:v>
      </x:c>
      <x:c r="Q220" s="84" t="n">
        <x:v>0</x:v>
      </x:c>
      <x:c r="R220" s="83" t="n">
        <x:v>1291.4</x:v>
      </x:c>
      <x:c r="S220" s="83" t="n">
        <x:v>756.93</x:v>
      </x:c>
      <x:c r="T220" s="83" t="n">
        <x:v>534.47</x:v>
      </x:c>
      <x:c r="U220" s="83" t="str">
        <x:v>Paid</x:v>
      </x:c>
      <x:c r="V220" s="83" t="str">
        <x:v>Completed</x:v>
      </x:c>
      <x:c r="W220" s="151" t="n">
        <x:f>IF(OR(NOT(ISNUMBER($AP220)),COUNT($O220,$P220)&lt;2,$O220&lt;=0,$P220&lt;0),"",ROUND($O220*$P220*(1-$AP220),2))</x:f>
        <x:v>1291.4</x:v>
      </x:c>
      <x:c r="X220" s="151" t="n">
        <x:f>IF(OR(NOT(ISNUMBER($W220)),NOT(ISNUMBER($S220))),"",ROUND($W220-$S220,2))</x:f>
        <x:v>534.47</x:v>
      </x:c>
      <x:c r="Y220" s="85" t="n">
        <x:f>IF(OR(NOT(ISNUMBER($W220)),NOT(ISNUMBER($X220)),$W220=0),"",ROUND($X220/$W220,4))</x:f>
        <x:v>0.4139</x:v>
      </x:c>
      <x:c r="Z220" s="82" t="n">
        <x:f>IF(OR($AH220&lt;&gt;"Valid",$AI220&lt;&gt;"Valid"),"",INT($D220-$C220))</x:f>
        <x:v>1</x:v>
      </x:c>
      <x:c r="AA220" s="86" t="str">
        <x:f>IF($AH220&lt;&gt;"Valid","",TEXT($C220,"mmmm"))</x:f>
        <x:v>February</x:v>
      </x:c>
      <x:c r="AB220" s="82" t="n">
        <x:f>IF($AH220&lt;&gt;"Valid","",YEAR($C220))</x:f>
        <x:v>2025</x:v>
      </x:c>
      <x:c r="AC220" s="80" t="str">
        <x:v>Consistent</x:v>
      </x:c>
      <x:c r="AD220" s="80" t="str">
        <x:v>Eligible</x:v>
      </x:c>
      <x:c r="AE220" s="80" t="str">
        <x:f>IF(OR($AH220&lt;&gt;"Valid",$AI220&lt;&gt;"Valid",$AJ220&lt;&gt;"Valid",LEFT($AM220,7)="Invalid",IFERROR(ABS($AQ220)&gt;0.01,FALSE),IFERROR(ABS($AR220)&gt;0.01,FALSE),COUNTIF($AS220,"*Conflicting duplicate*")&gt;0,COUNTIF($AS220,"*Completed order not paid*")&gt;0),"Invalid",IF(OR($H220="Unknown",$N220="Unknown",$AM220="Missing discount imputed as 0"),"Warning","Clean"))</x:f>
        <x:v>Clean</x:v>
      </x:c>
      <x:c r="AF220" s="80" t="str">
        <x:v>Pass</x:v>
      </x:c>
      <x:c r="AG220" s="80" t="str">
        <x:v>No text cleanup required</x:v>
      </x:c>
      <x:c r="AH220" s="12" t="str">
        <x:f>IF(C220="","Missing date",IF(ISNUMBER(C220),"Valid","Unrecognized/invalid date"))</x:f>
        <x:v>Valid</x:v>
      </x:c>
      <x:c r="AI220" s="12" t="str">
        <x:f>IF(D220="","Missing date",IF(ISNUMBER(D220),"Valid","Unrecognized/invalid date"))</x:f>
        <x:v>Valid</x:v>
      </x:c>
      <x:c r="AJ220" s="12" t="str">
        <x:v>Valid</x:v>
      </x:c>
      <x:c r="AK220" s="12" t="str">
        <x:v>Pass</x:v>
      </x:c>
      <x:c r="AL220" s="12" t="str">
        <x:v>None</x:v>
      </x:c>
      <x:c r="AM220" s="12" t="str">
        <x:v>Valid</x:v>
      </x:c>
      <x:c r="AN220" s="12" t="str">
        <x:v>Include in completed sales</x:v>
      </x:c>
      <x:c r="AO220" s="12" t="str">
        <x:v>Not a refunded record</x:v>
      </x:c>
      <x:c r="AP220" s="37" t="n">
        <x:f>IF(LEFT($AM220,7)="Invalid","",IF($AM220="Missing discount imputed as 0",IF(AND(COUNT($O220,$P220,$R220,$S220)=4,$O220&gt;0,$P220&gt;=0,$R220&gt;=0,$S220&gt;=0),0,""),IF(AND(ISNUMBER($Q220),$Q220&gt;=0,$Q220&lt;=0.5),$Q220,"")))</x:f>
        <x:v>0</x:v>
      </x:c>
      <x:c r="AQ220" s="152" t="n">
        <x:f>IF(OR($W220="",NOT(ISNUMBER($R220))),"",ROUND($R220-$W220,2))</x:f>
        <x:v>0</x:v>
      </x:c>
      <x:c r="AR220" s="152" t="n">
        <x:f>IF(OR($X220="",NOT(ISNUMBER($T220))),"",ROUND($T220-$X220,2))</x:f>
        <x:v>0</x:v>
      </x:c>
      <x:c r="AS220" s="14" t="str">
        <x:v>OK</x:v>
      </x:c>
    </x:row>
    <x:row r="221">
      <x:c r="A221" s="80" t="n">
        <x:v>221</x:v>
      </x:c>
      <x:c r="B221" s="80" t="str">
        <x:v>ORD-2024-10220</x:v>
      </x:c>
      <x:c r="C221" s="81" t="n">
        <x:v>45461</x:v>
      </x:c>
      <x:c r="D221" s="81" t="n">
        <x:v>45462</x:v>
      </x:c>
      <x:c r="E221" s="80" t="str">
        <x:v>CUST-1472</x:v>
      </x:c>
      <x:c r="F221" s="80" t="str">
        <x:v>Rahul Verma</x:v>
      </x:c>
      <x:c r="G221" s="80" t="str">
        <x:v>Consumer</x:v>
      </x:c>
      <x:c r="H221" s="80" t="str">
        <x:v>East</x:v>
      </x:c>
      <x:c r="I221" s="80" t="str">
        <x:v>Bihar</x:v>
      </x:c>
      <x:c r="J221" s="80" t="str">
        <x:v>Patna</x:v>
      </x:c>
      <x:c r="K221" s="80" t="str">
        <x:v>Technology</x:v>
      </x:c>
      <x:c r="L221" s="80" t="str">
        <x:v>Machines</x:v>
      </x:c>
      <x:c r="M221" s="80" t="str">
        <x:v>Elite Machines 290</x:v>
      </x:c>
      <x:c r="N221" s="80" t="str">
        <x:v>First Class</x:v>
      </x:c>
      <x:c r="O221" s="82" t="n">
        <x:v>2</x:v>
      </x:c>
      <x:c r="P221" s="83" t="n">
        <x:v>121.49</x:v>
      </x:c>
      <x:c r="Q221" s="84" t="n">
        <x:v>0.85</x:v>
      </x:c>
      <x:c r="R221" s="83" t="n">
        <x:v>242.98</x:v>
      </x:c>
      <x:c r="S221" s="83" t="n">
        <x:v>161.42</x:v>
      </x:c>
      <x:c r="T221" s="83" t="n">
        <x:v>81.56</x:v>
      </x:c>
      <x:c r="U221" s="83" t="str">
        <x:v>Paid</x:v>
      </x:c>
      <x:c r="V221" s="83" t="str">
        <x:v>Completed</x:v>
      </x:c>
      <x:c r="W221" s="151" t="str">
        <x:f>IF(OR(NOT(ISNUMBER($AP221)),COUNT($O221,$P221)&lt;2,$O221&lt;=0,$P221&lt;0),"",ROUND($O221*$P221*(1-$AP221),2))</x:f>
      </x:c>
      <x:c r="X221" s="151" t="str">
        <x:f>IF(OR(NOT(ISNUMBER($W221)),NOT(ISNUMBER($S221))),"",ROUND($W221-$S221,2))</x:f>
      </x:c>
      <x:c r="Y221" s="85" t="str">
        <x:f>IF(OR(NOT(ISNUMBER($W221)),NOT(ISNUMBER($X221)),$W221=0),"",ROUND($X221/$W221,4))</x:f>
      </x:c>
      <x:c r="Z221" s="82" t="n">
        <x:f>IF(OR($AH221&lt;&gt;"Valid",$AI221&lt;&gt;"Valid"),"",INT($D221-$C221))</x:f>
        <x:v>1</x:v>
      </x:c>
      <x:c r="AA221" s="86" t="str">
        <x:f>IF($AH221&lt;&gt;"Valid","",TEXT($C221,"mmmm"))</x:f>
        <x:v>June</x:v>
      </x:c>
      <x:c r="AB221" s="82" t="n">
        <x:f>IF($AH221&lt;&gt;"Valid","",YEAR($C221))</x:f>
        <x:v>2024</x:v>
      </x:c>
      <x:c r="AC221" s="80" t="str">
        <x:v>Consistent</x:v>
      </x:c>
      <x:c r="AD221" s="80" t="str">
        <x:v>Excluded</x:v>
      </x:c>
      <x:c r="AE221" s="80" t="str">
        <x:f>IF(OR($AH221&lt;&gt;"Valid",$AI221&lt;&gt;"Valid",$AJ221&lt;&gt;"Valid",LEFT($AM221,7)="Invalid",IFERROR(ABS($AQ221)&gt;0.01,FALSE),IFERROR(ABS($AR221)&gt;0.01,FALSE),COUNTIF($AS221,"*Conflicting duplicate*")&gt;0,COUNTIF($AS221,"*Completed order not paid*")&gt;0),"Invalid",IF(OR($H221="Unknown",$N221="Unknown",$AM221="Missing discount imputed as 0"),"Warning","Clean"))</x:f>
        <x:v>Invalid</x:v>
      </x:c>
      <x:c r="AF221" s="80" t="str">
        <x:v>Review</x:v>
      </x:c>
      <x:c r="AG221" s="80" t="str">
        <x:v>discount: Percent text converted</x:v>
      </x:c>
      <x:c r="AH221" s="12" t="str">
        <x:f>IF(C221="","Missing date",IF(ISNUMBER(C221),"Valid","Unrecognized/invalid date"))</x:f>
        <x:v>Valid</x:v>
      </x:c>
      <x:c r="AI221" s="12" t="str">
        <x:f>IF(D221="","Missing date",IF(ISNUMBER(D221),"Valid","Unrecognized/invalid date"))</x:f>
        <x:v>Valid</x:v>
      </x:c>
      <x:c r="AJ221" s="12" t="str">
        <x:v>Valid</x:v>
      </x:c>
      <x:c r="AK221" s="12" t="str">
        <x:v>Pass</x:v>
      </x:c>
      <x:c r="AL221" s="12" t="str">
        <x:v>None</x:v>
      </x:c>
      <x:c r="AM221" s="12" t="str">
        <x:v>Invalid discount – above 50% allowed range</x:v>
      </x:c>
      <x:c r="AN221" s="12" t="str">
        <x:v>Exclude from completed sales</x:v>
      </x:c>
      <x:c r="AO221" s="12" t="str">
        <x:v>Not a refunded record</x:v>
      </x:c>
      <x:c r="AP221" s="37" t="str">
        <x:f>IF(LEFT($AM221,7)="Invalid","",IF($AM221="Missing discount imputed as 0",IF(AND(COUNT($O221,$P221,$R221,$S221)=4,$O221&gt;0,$P221&gt;=0,$R221&gt;=0,$S221&gt;=0),0,""),IF(AND(ISNUMBER($Q221),$Q221&gt;=0,$Q221&lt;=0.5),$Q221,"")))</x:f>
      </x:c>
      <x:c r="AQ221" s="152" t="str">
        <x:f>IF(OR($W221="",NOT(ISNUMBER($R221))),"",ROUND($R221-$W221,2))</x:f>
      </x:c>
      <x:c r="AR221" s="152" t="str">
        <x:f>IF(OR($X221="",NOT(ISNUMBER($T221))),"",ROUND($T221-$X221,2))</x:f>
      </x:c>
      <x:c r="AS221" s="14" t="str">
        <x:v>Discount above allowed range (&gt;50%)</x:v>
      </x:c>
    </x:row>
    <x:row r="222">
      <x:c r="A222" s="80" t="n">
        <x:v>222</x:v>
      </x:c>
      <x:c r="B222" s="80" t="str">
        <x:v>ORD-2024-10221</x:v>
      </x:c>
      <x:c r="C222" s="81" t="n">
        <x:v>45538</x:v>
      </x:c>
      <x:c r="D222" s="81" t="n">
        <x:v>45538</x:v>
      </x:c>
      <x:c r="E222" s="80" t="str">
        <x:v>CUST-1031</x:v>
      </x:c>
      <x:c r="F222" s="80" t="str">
        <x:v>Sneha Kapoor</x:v>
      </x:c>
      <x:c r="G222" s="80" t="str">
        <x:v>Consumer</x:v>
      </x:c>
      <x:c r="H222" s="80" t="str">
        <x:v>South</x:v>
      </x:c>
      <x:c r="I222" s="80" t="str">
        <x:v>Kerala</x:v>
      </x:c>
      <x:c r="J222" s="80" t="str">
        <x:v>Kochi</x:v>
      </x:c>
      <x:c r="K222" s="80" t="str">
        <x:v>Office Supplies</x:v>
      </x:c>
      <x:c r="L222" s="80" t="str">
        <x:v>Storage</x:v>
      </x:c>
      <x:c r="M222" s="80" t="str">
        <x:v>Elite Storage 925</x:v>
      </x:c>
      <x:c r="N222" s="80" t="str">
        <x:v>First Class</x:v>
      </x:c>
      <x:c r="O222" s="82" t="n">
        <x:v>4</x:v>
      </x:c>
      <x:c r="P222" s="83" t="n">
        <x:v>2810.17</x:v>
      </x:c>
      <x:c r="Q222" s="84" t="n">
        <x:v>0.15</x:v>
      </x:c>
      <x:c r="R222" s="83" t="n">
        <x:v>9554.58</x:v>
      </x:c>
      <x:c r="S222" s="83" t="n">
        <x:v>6068.47</x:v>
      </x:c>
      <x:c r="T222" s="83" t="n">
        <x:v>3486.11</x:v>
      </x:c>
      <x:c r="U222" s="83" t="str">
        <x:v>Refunded</x:v>
      </x:c>
      <x:c r="V222" s="83" t="str">
        <x:v>Cancelled</x:v>
      </x:c>
      <x:c r="W222" s="151" t="n">
        <x:f>IF(OR(NOT(ISNUMBER($AP222)),COUNT($O222,$P222)&lt;2,$O222&lt;=0,$P222&lt;0),"",ROUND($O222*$P222*(1-$AP222),2))</x:f>
        <x:v>9554.58</x:v>
      </x:c>
      <x:c r="X222" s="151" t="n">
        <x:f>IF(OR(NOT(ISNUMBER($W222)),NOT(ISNUMBER($S222))),"",ROUND($W222-$S222,2))</x:f>
        <x:v>3486.11</x:v>
      </x:c>
      <x:c r="Y222" s="85" t="n">
        <x:f>IF(OR(NOT(ISNUMBER($W222)),NOT(ISNUMBER($X222)),$W222=0),"",ROUND($X222/$W222,4))</x:f>
        <x:v>0.3649</x:v>
      </x:c>
      <x:c r="Z222" s="82" t="n">
        <x:f>IF(OR($AH222&lt;&gt;"Valid",$AI222&lt;&gt;"Valid"),"",INT($D222-$C222))</x:f>
        <x:v>0</x:v>
      </x:c>
      <x:c r="AA222" s="86" t="str">
        <x:f>IF($AH222&lt;&gt;"Valid","",TEXT($C222,"mmmm"))</x:f>
        <x:v>September</x:v>
      </x:c>
      <x:c r="AB222" s="82" t="n">
        <x:f>IF($AH222&lt;&gt;"Valid","",YEAR($C222))</x:f>
        <x:v>2024</x:v>
      </x:c>
      <x:c r="AC222" s="80" t="str">
        <x:v>Cancelled (excluded from completed-sales summary)</x:v>
      </x:c>
      <x:c r="AD222" s="80" t="str">
        <x:v>Excluded</x:v>
      </x:c>
      <x:c r="AE222" s="80" t="str">
        <x:f>IF(OR($AH222&lt;&gt;"Valid",$AI222&lt;&gt;"Valid",$AJ222&lt;&gt;"Valid",LEFT($AM222,7)="Invalid",IFERROR(ABS($AQ222)&gt;0.01,FALSE),IFERROR(ABS($AR222)&gt;0.01,FALSE),COUNTIF($AS222,"*Conflicting duplicate*")&gt;0,COUNTIF($AS222,"*Completed order not paid*")&gt;0),"Invalid",IF(OR($H222="Unknown",$N222="Unknown",$AM222="Missing discount imputed as 0"),"Warning","Clean"))</x:f>
        <x:v>Clean</x:v>
      </x:c>
      <x:c r="AF222" s="80" t="str">
        <x:v>Pass</x:v>
      </x:c>
      <x:c r="AG222" s="80" t="str">
        <x:v>No text cleanup required</x:v>
      </x:c>
      <x:c r="AH222" s="12" t="str">
        <x:f>IF(C222="","Missing date",IF(ISNUMBER(C222),"Valid","Unrecognized/invalid date"))</x:f>
        <x:v>Valid</x:v>
      </x:c>
      <x:c r="AI222" s="12" t="str">
        <x:f>IF(D222="","Missing date",IF(ISNUMBER(D222),"Valid","Unrecognized/invalid date"))</x:f>
        <x:v>Valid</x:v>
      </x:c>
      <x:c r="AJ222" s="12" t="str">
        <x:v>Valid</x:v>
      </x:c>
      <x:c r="AK222" s="12" t="str">
        <x:v>Pass</x:v>
      </x:c>
      <x:c r="AL222" s="12" t="str">
        <x:v>Cancelled order – excluded from completed sales; Refunded payment – separately summarized</x:v>
      </x:c>
      <x:c r="AM222" s="12" t="str">
        <x:v>Valid</x:v>
      </x:c>
      <x:c r="AN222" s="12" t="str">
        <x:v>Exclude from completed sales</x:v>
      </x:c>
      <x:c r="AO222" s="12" t="str">
        <x:v>Include in refunded summary</x:v>
      </x:c>
      <x:c r="AP222" s="37" t="n">
        <x:f>IF(LEFT($AM222,7)="Invalid","",IF($AM222="Missing discount imputed as 0",IF(AND(COUNT($O222,$P222,$R222,$S222)=4,$O222&gt;0,$P222&gt;=0,$R222&gt;=0,$S222&gt;=0),0,""),IF(AND(ISNUMBER($Q222),$Q222&gt;=0,$Q222&lt;=0.5),$Q222,"")))</x:f>
        <x:v>0.15</x:v>
      </x:c>
      <x:c r="AQ222" s="152" t="n">
        <x:f>IF(OR($W222="",NOT(ISNUMBER($R222))),"",ROUND($R222-$W222,2))</x:f>
        <x:v>0</x:v>
      </x:c>
      <x:c r="AR222" s="152" t="n">
        <x:f>IF(OR($X222="",NOT(ISNUMBER($T222))),"",ROUND($T222-$X222,2))</x:f>
        <x:v>0</x:v>
      </x:c>
      <x:c r="AS222" s="14" t="str">
        <x:v>OK</x:v>
      </x:c>
    </x:row>
    <x:row r="223">
      <x:c r="A223" s="80" t="n">
        <x:v>223</x:v>
      </x:c>
      <x:c r="B223" s="80" t="str">
        <x:v>ORD-2025-10222</x:v>
      </x:c>
      <x:c r="C223" s="81" t="n">
        <x:v>45669</x:v>
      </x:c>
      <x:c r="D223" s="81" t="n">
        <x:v>45672</x:v>
      </x:c>
      <x:c r="E223" s="80" t="str">
        <x:v>CUST-2495</x:v>
      </x:c>
      <x:c r="F223" s="80" t="str">
        <x:v>Mira Das</x:v>
      </x:c>
      <x:c r="G223" s="80" t="str">
        <x:v>Corporate</x:v>
      </x:c>
      <x:c r="H223" s="80" t="str">
        <x:v>South</x:v>
      </x:c>
      <x:c r="I223" s="80" t="str">
        <x:v>Karnataka</x:v>
      </x:c>
      <x:c r="J223" s="80" t="str">
        <x:v>Bengaluru</x:v>
      </x:c>
      <x:c r="K223" s="80" t="str">
        <x:v>Furniture</x:v>
      </x:c>
      <x:c r="L223" s="80" t="str">
        <x:v>Chairs</x:v>
      </x:c>
      <x:c r="M223" s="80" t="str">
        <x:v>Classic Chairs 231</x:v>
      </x:c>
      <x:c r="N223" s="80" t="str">
        <x:v>Same Day</x:v>
      </x:c>
      <x:c r="O223" s="82" t="n">
        <x:v>4</x:v>
      </x:c>
      <x:c r="P223" s="83" t="n">
        <x:v>1531.53</x:v>
      </x:c>
      <x:c r="Q223" s="84" t="n">
        <x:v>0.2</x:v>
      </x:c>
      <x:c r="R223" s="83" t="n">
        <x:v>4900.9</x:v>
      </x:c>
      <x:c r="S223" s="83" t="n">
        <x:v>3552.69</x:v>
      </x:c>
      <x:c r="T223" s="83" t="n">
        <x:v>1348.21</x:v>
      </x:c>
      <x:c r="U223" s="83" t="str">
        <x:v>Paid</x:v>
      </x:c>
      <x:c r="V223" s="83" t="str">
        <x:v>Completed</x:v>
      </x:c>
      <x:c r="W223" s="151" t="n">
        <x:f>IF(OR(NOT(ISNUMBER($AP223)),COUNT($O223,$P223)&lt;2,$O223&lt;=0,$P223&lt;0),"",ROUND($O223*$P223*(1-$AP223),2))</x:f>
        <x:v>4900.9</x:v>
      </x:c>
      <x:c r="X223" s="151" t="n">
        <x:f>IF(OR(NOT(ISNUMBER($W223)),NOT(ISNUMBER($S223))),"",ROUND($W223-$S223,2))</x:f>
        <x:v>1348.21</x:v>
      </x:c>
      <x:c r="Y223" s="85" t="n">
        <x:f>IF(OR(NOT(ISNUMBER($W223)),NOT(ISNUMBER($X223)),$W223=0),"",ROUND($X223/$W223,4))</x:f>
        <x:v>0.2751</x:v>
      </x:c>
      <x:c r="Z223" s="82" t="n">
        <x:f>IF(OR($AH223&lt;&gt;"Valid",$AI223&lt;&gt;"Valid"),"",INT($D223-$C223))</x:f>
        <x:v>3</x:v>
      </x:c>
      <x:c r="AA223" s="86" t="str">
        <x:f>IF($AH223&lt;&gt;"Valid","",TEXT($C223,"mmmm"))</x:f>
        <x:v>January</x:v>
      </x:c>
      <x:c r="AB223" s="82" t="n">
        <x:f>IF($AH223&lt;&gt;"Valid","",YEAR($C223))</x:f>
        <x:v>2025</x:v>
      </x:c>
      <x:c r="AC223" s="80" t="str">
        <x:v>Consistent</x:v>
      </x:c>
      <x:c r="AD223" s="80" t="str">
        <x:v>Eligible</x:v>
      </x:c>
      <x:c r="AE223" s="80" t="str">
        <x:f>IF(OR($AH223&lt;&gt;"Valid",$AI223&lt;&gt;"Valid",$AJ223&lt;&gt;"Valid",LEFT($AM223,7)="Invalid",IFERROR(ABS($AQ223)&gt;0.01,FALSE),IFERROR(ABS($AR223)&gt;0.01,FALSE),COUNTIF($AS223,"*Conflicting duplicate*")&gt;0,COUNTIF($AS223,"*Completed order not paid*")&gt;0),"Invalid",IF(OR($H223="Unknown",$N223="Unknown",$AM223="Missing discount imputed as 0"),"Warning","Clean"))</x:f>
        <x:v>Clean</x:v>
      </x:c>
      <x:c r="AF223" s="80" t="str">
        <x:v>Pass</x:v>
      </x:c>
      <x:c r="AG223" s="80" t="str">
        <x:v>No text cleanup required</x:v>
      </x:c>
      <x:c r="AH223" s="12" t="str">
        <x:f>IF(C223="","Missing date",IF(ISNUMBER(C223),"Valid","Unrecognized/invalid date"))</x:f>
        <x:v>Valid</x:v>
      </x:c>
      <x:c r="AI223" s="12" t="str">
        <x:f>IF(D223="","Missing date",IF(ISNUMBER(D223),"Valid","Unrecognized/invalid date"))</x:f>
        <x:v>Valid</x:v>
      </x:c>
      <x:c r="AJ223" s="12" t="str">
        <x:v>Valid</x:v>
      </x:c>
      <x:c r="AK223" s="12" t="str">
        <x:v>Pass</x:v>
      </x:c>
      <x:c r="AL223" s="12" t="str">
        <x:v>None</x:v>
      </x:c>
      <x:c r="AM223" s="12" t="str">
        <x:v>Valid</x:v>
      </x:c>
      <x:c r="AN223" s="12" t="str">
        <x:v>Include in completed sales</x:v>
      </x:c>
      <x:c r="AO223" s="12" t="str">
        <x:v>Not a refunded record</x:v>
      </x:c>
      <x:c r="AP223" s="37" t="n">
        <x:f>IF(LEFT($AM223,7)="Invalid","",IF($AM223="Missing discount imputed as 0",IF(AND(COUNT($O223,$P223,$R223,$S223)=4,$O223&gt;0,$P223&gt;=0,$R223&gt;=0,$S223&gt;=0),0,""),IF(AND(ISNUMBER($Q223),$Q223&gt;=0,$Q223&lt;=0.5),$Q223,"")))</x:f>
        <x:v>0.2</x:v>
      </x:c>
      <x:c r="AQ223" s="152" t="n">
        <x:f>IF(OR($W223="",NOT(ISNUMBER($R223))),"",ROUND($R223-$W223,2))</x:f>
        <x:v>0</x:v>
      </x:c>
      <x:c r="AR223" s="152" t="n">
        <x:f>IF(OR($X223="",NOT(ISNUMBER($T223))),"",ROUND($T223-$X223,2))</x:f>
        <x:v>0</x:v>
      </x:c>
      <x:c r="AS223" s="14" t="str">
        <x:v>OK</x:v>
      </x:c>
    </x:row>
    <x:row r="224">
      <x:c r="A224" s="80" t="n">
        <x:v>224</x:v>
      </x:c>
      <x:c r="B224" s="80" t="str">
        <x:v>ORD-2025-10223</x:v>
      </x:c>
      <x:c r="C224" s="81" t="n">
        <x:v>45776</x:v>
      </x:c>
      <x:c r="D224" s="81" t="n">
        <x:v>45779</x:v>
      </x:c>
      <x:c r="E224" s="80" t="str">
        <x:v>CUST-4583</x:v>
      </x:c>
      <x:c r="F224" s="80" t="str">
        <x:v>Vikram Iyer</x:v>
      </x:c>
      <x:c r="G224" s="80" t="str">
        <x:v>Small Business</x:v>
      </x:c>
      <x:c r="H224" s="80" t="str">
        <x:v>West</x:v>
      </x:c>
      <x:c r="I224" s="80" t="str">
        <x:v>Goa</x:v>
      </x:c>
      <x:c r="J224" s="80" t="str">
        <x:v>Panaji</x:v>
      </x:c>
      <x:c r="K224" s="80" t="str">
        <x:v>Office Supplies</x:v>
      </x:c>
      <x:c r="L224" s="80" t="str">
        <x:v>Storage</x:v>
      </x:c>
      <x:c r="M224" s="80" t="str">
        <x:v>Prime Storage 818</x:v>
      </x:c>
      <x:c r="N224" s="80" t="str">
        <x:v>First Class</x:v>
      </x:c>
      <x:c r="O224" s="82" t="n">
        <x:v>6</x:v>
      </x:c>
      <x:c r="P224" s="83" t="n">
        <x:v>4308.09</x:v>
      </x:c>
      <x:c r="Q224" s="84" t="n">
        <x:v>0</x:v>
      </x:c>
      <x:c r="R224" s="83" t="n">
        <x:v>25848.54</x:v>
      </x:c>
      <x:c r="S224" s="83" t="n">
        <x:v>17729.09</x:v>
      </x:c>
      <x:c r="T224" s="83" t="n">
        <x:v>8119.45</x:v>
      </x:c>
      <x:c r="U224" s="83" t="str">
        <x:v>Paid</x:v>
      </x:c>
      <x:c r="V224" s="83" t="str">
        <x:v>Completed</x:v>
      </x:c>
      <x:c r="W224" s="151" t="n">
        <x:f>IF(OR(NOT(ISNUMBER($AP224)),COUNT($O224,$P224)&lt;2,$O224&lt;=0,$P224&lt;0),"",ROUND($O224*$P224*(1-$AP224),2))</x:f>
        <x:v>25848.54</x:v>
      </x:c>
      <x:c r="X224" s="151" t="n">
        <x:f>IF(OR(NOT(ISNUMBER($W224)),NOT(ISNUMBER($S224))),"",ROUND($W224-$S224,2))</x:f>
        <x:v>8119.45</x:v>
      </x:c>
      <x:c r="Y224" s="85" t="n">
        <x:f>IF(OR(NOT(ISNUMBER($W224)),NOT(ISNUMBER($X224)),$W224=0),"",ROUND($X224/$W224,4))</x:f>
        <x:v>0.3141</x:v>
      </x:c>
      <x:c r="Z224" s="82" t="n">
        <x:f>IF(OR($AH224&lt;&gt;"Valid",$AI224&lt;&gt;"Valid"),"",INT($D224-$C224))</x:f>
        <x:v>3</x:v>
      </x:c>
      <x:c r="AA224" s="86" t="str">
        <x:f>IF($AH224&lt;&gt;"Valid","",TEXT($C224,"mmmm"))</x:f>
        <x:v>April</x:v>
      </x:c>
      <x:c r="AB224" s="82" t="n">
        <x:f>IF($AH224&lt;&gt;"Valid","",YEAR($C224))</x:f>
        <x:v>2025</x:v>
      </x:c>
      <x:c r="AC224" s="80" t="str">
        <x:v>Consistent</x:v>
      </x:c>
      <x:c r="AD224" s="80" t="str">
        <x:v>Eligible</x:v>
      </x:c>
      <x:c r="AE224" s="80" t="str">
        <x:f>IF(OR($AH224&lt;&gt;"Valid",$AI224&lt;&gt;"Valid",$AJ224&lt;&gt;"Valid",LEFT($AM224,7)="Invalid",IFERROR(ABS($AQ224)&gt;0.01,FALSE),IFERROR(ABS($AR224)&gt;0.01,FALSE),COUNTIF($AS224,"*Conflicting duplicate*")&gt;0,COUNTIF($AS224,"*Completed order not paid*")&gt;0),"Invalid",IF(OR($H224="Unknown",$N224="Unknown",$AM224="Missing discount imputed as 0"),"Warning","Clean"))</x:f>
        <x:v>Clean</x:v>
      </x:c>
      <x:c r="AF224" s="80" t="str">
        <x:v>Pass</x:v>
      </x:c>
      <x:c r="AG224" s="80" t="str">
        <x:v>No text cleanup required</x:v>
      </x:c>
      <x:c r="AH224" s="12" t="str">
        <x:f>IF(C224="","Missing date",IF(ISNUMBER(C224),"Valid","Unrecognized/invalid date"))</x:f>
        <x:v>Valid</x:v>
      </x:c>
      <x:c r="AI224" s="12" t="str">
        <x:f>IF(D224="","Missing date",IF(ISNUMBER(D224),"Valid","Unrecognized/invalid date"))</x:f>
        <x:v>Valid</x:v>
      </x:c>
      <x:c r="AJ224" s="12" t="str">
        <x:v>Valid</x:v>
      </x:c>
      <x:c r="AK224" s="12" t="str">
        <x:v>Pass</x:v>
      </x:c>
      <x:c r="AL224" s="12" t="str">
        <x:v>None</x:v>
      </x:c>
      <x:c r="AM224" s="12" t="str">
        <x:v>Valid</x:v>
      </x:c>
      <x:c r="AN224" s="12" t="str">
        <x:v>Include in completed sales</x:v>
      </x:c>
      <x:c r="AO224" s="12" t="str">
        <x:v>Not a refunded record</x:v>
      </x:c>
      <x:c r="AP224" s="37" t="n">
        <x:f>IF(LEFT($AM224,7)="Invalid","",IF($AM224="Missing discount imputed as 0",IF(AND(COUNT($O224,$P224,$R224,$S224)=4,$O224&gt;0,$P224&gt;=0,$R224&gt;=0,$S224&gt;=0),0,""),IF(AND(ISNUMBER($Q224),$Q224&gt;=0,$Q224&lt;=0.5),$Q224,"")))</x:f>
        <x:v>0</x:v>
      </x:c>
      <x:c r="AQ224" s="152" t="n">
        <x:f>IF(OR($W224="",NOT(ISNUMBER($R224))),"",ROUND($R224-$W224,2))</x:f>
        <x:v>0</x:v>
      </x:c>
      <x:c r="AR224" s="152" t="n">
        <x:f>IF(OR($X224="",NOT(ISNUMBER($T224))),"",ROUND($T224-$X224,2))</x:f>
        <x:v>0</x:v>
      </x:c>
      <x:c r="AS224" s="14" t="str">
        <x:v>OK</x:v>
      </x:c>
    </x:row>
    <x:row r="225">
      <x:c r="A225" s="80" t="n">
        <x:v>225</x:v>
      </x:c>
      <x:c r="B225" s="80" t="str">
        <x:v>ORD-2025-10224</x:v>
      </x:c>
      <x:c r="C225" s="81" t="n">
        <x:v>45707</x:v>
      </x:c>
      <x:c r="D225" s="81" t="n">
        <x:v>45714</x:v>
      </x:c>
      <x:c r="E225" s="80" t="str">
        <x:v>CUST-5319</x:v>
      </x:c>
      <x:c r="F225" s="80" t="str">
        <x:v>Mira Das</x:v>
      </x:c>
      <x:c r="G225" s="80" t="str">
        <x:v>Corporate</x:v>
      </x:c>
      <x:c r="H225" s="80" t="str">
        <x:v>West</x:v>
      </x:c>
      <x:c r="I225" s="80" t="str">
        <x:v>Maharashtra</x:v>
      </x:c>
      <x:c r="J225" s="80" t="str">
        <x:v>Mumbai</x:v>
      </x:c>
      <x:c r="K225" s="80" t="str">
        <x:v>Furniture</x:v>
      </x:c>
      <x:c r="L225" s="80" t="str">
        <x:v>Furnishings</x:v>
      </x:c>
      <x:c r="M225" s="80" t="str">
        <x:v>Elite Furnishings 449</x:v>
      </x:c>
      <x:c r="N225" s="80" t="str">
        <x:v>First Class</x:v>
      </x:c>
      <x:c r="O225" s="82" t="n">
        <x:v>3</x:v>
      </x:c>
      <x:c r="P225" s="83" t="n">
        <x:v>490.3</x:v>
      </x:c>
      <x:c r="Q225" s="84" t="n">
        <x:v>0.2</x:v>
      </x:c>
      <x:c r="R225" s="83" t="n">
        <x:v>1176.72</x:v>
      </x:c>
      <x:c r="S225" s="83" t="n">
        <x:v>654.33</x:v>
      </x:c>
      <x:c r="T225" s="83" t="n">
        <x:v>522.39</x:v>
      </x:c>
      <x:c r="U225" s="83" t="str">
        <x:v>Pending</x:v>
      </x:c>
      <x:c r="V225" s="83" t="str">
        <x:v>Returned</x:v>
      </x:c>
      <x:c r="W225" s="151" t="n">
        <x:f>IF(OR(NOT(ISNUMBER($AP225)),COUNT($O225,$P225)&lt;2,$O225&lt;=0,$P225&lt;0),"",ROUND($O225*$P225*(1-$AP225),2))</x:f>
        <x:v>1176.72</x:v>
      </x:c>
      <x:c r="X225" s="151" t="n">
        <x:f>IF(OR(NOT(ISNUMBER($W225)),NOT(ISNUMBER($S225))),"",ROUND($W225-$S225,2))</x:f>
        <x:v>522.39</x:v>
      </x:c>
      <x:c r="Y225" s="85" t="n">
        <x:f>IF(OR(NOT(ISNUMBER($W225)),NOT(ISNUMBER($X225)),$W225=0),"",ROUND($X225/$W225,4))</x:f>
        <x:v>0.4439</x:v>
      </x:c>
      <x:c r="Z225" s="82" t="n">
        <x:f>IF(OR($AH225&lt;&gt;"Valid",$AI225&lt;&gt;"Valid"),"",INT($D225-$C225))</x:f>
        <x:v>7</x:v>
      </x:c>
      <x:c r="AA225" s="86" t="str">
        <x:f>IF($AH225&lt;&gt;"Valid","",TEXT($C225,"mmmm"))</x:f>
        <x:v>February</x:v>
      </x:c>
      <x:c r="AB225" s="82" t="n">
        <x:f>IF($AH225&lt;&gt;"Valid","",YEAR($C225))</x:f>
        <x:v>2025</x:v>
      </x:c>
      <x:c r="AC225" s="80" t="str">
        <x:v>Consistent</x:v>
      </x:c>
      <x:c r="AD225" s="80" t="str">
        <x:v>Excluded</x:v>
      </x:c>
      <x:c r="AE225" s="80" t="str">
        <x:f>IF(OR($AH225&lt;&gt;"Valid",$AI225&lt;&gt;"Valid",$AJ225&lt;&gt;"Valid",LEFT($AM225,7)="Invalid",IFERROR(ABS($AQ225)&gt;0.01,FALSE),IFERROR(ABS($AR225)&gt;0.01,FALSE),COUNTIF($AS225,"*Conflicting duplicate*")&gt;0,COUNTIF($AS225,"*Completed order not paid*")&gt;0),"Invalid",IF(OR($H225="Unknown",$N225="Unknown",$AM225="Missing discount imputed as 0"),"Warning","Clean"))</x:f>
        <x:v>Clean</x:v>
      </x:c>
      <x:c r="AF225" s="80" t="str">
        <x:v>Pass</x:v>
      </x:c>
      <x:c r="AG225" s="80" t="str">
        <x:v>No text cleanup required</x:v>
      </x:c>
      <x:c r="AH225" s="12" t="str">
        <x:f>IF(C225="","Missing date",IF(ISNUMBER(C225),"Valid","Unrecognized/invalid date"))</x:f>
        <x:v>Valid</x:v>
      </x:c>
      <x:c r="AI225" s="12" t="str">
        <x:f>IF(D225="","Missing date",IF(ISNUMBER(D225),"Valid","Unrecognized/invalid date"))</x:f>
        <x:v>Valid</x:v>
      </x:c>
      <x:c r="AJ225" s="12" t="str">
        <x:v>Valid</x:v>
      </x:c>
      <x:c r="AK225" s="12" t="str">
        <x:v>Pass</x:v>
      </x:c>
      <x:c r="AL225" s="12" t="str">
        <x:v>None</x:v>
      </x:c>
      <x:c r="AM225" s="12" t="str">
        <x:v>Valid</x:v>
      </x:c>
      <x:c r="AN225" s="12" t="str">
        <x:v>Exclude from completed sales</x:v>
      </x:c>
      <x:c r="AO225" s="12" t="str">
        <x:v>Not a refunded record</x:v>
      </x:c>
      <x:c r="AP225" s="37" t="n">
        <x:f>IF(LEFT($AM225,7)="Invalid","",IF($AM225="Missing discount imputed as 0",IF(AND(COUNT($O225,$P225,$R225,$S225)=4,$O225&gt;0,$P225&gt;=0,$R225&gt;=0,$S225&gt;=0),0,""),IF(AND(ISNUMBER($Q225),$Q225&gt;=0,$Q225&lt;=0.5),$Q225,"")))</x:f>
        <x:v>0.2</x:v>
      </x:c>
      <x:c r="AQ225" s="152" t="n">
        <x:f>IF(OR($W225="",NOT(ISNUMBER($R225))),"",ROUND($R225-$W225,2))</x:f>
        <x:v>0</x:v>
      </x:c>
      <x:c r="AR225" s="152" t="n">
        <x:f>IF(OR($X225="",NOT(ISNUMBER($T225))),"",ROUND($T225-$X225,2))</x:f>
        <x:v>0</x:v>
      </x:c>
      <x:c r="AS225" s="14" t="str">
        <x:v>OK</x:v>
      </x:c>
    </x:row>
    <x:row r="226">
      <x:c r="A226" s="80" t="n">
        <x:v>226</x:v>
      </x:c>
      <x:c r="B226" s="80" t="str">
        <x:v>ORD-2025-10225</x:v>
      </x:c>
      <x:c r="C226" s="81" t="n">
        <x:v>45932</x:v>
      </x:c>
      <x:c r="D226" s="81" t="n">
        <x:v>45938</x:v>
      </x:c>
      <x:c r="E226" s="80" t="str">
        <x:v>CUST-9871</x:v>
      </x:c>
      <x:c r="F226" s="80" t="str">
        <x:v>Isha Nair</x:v>
      </x:c>
      <x:c r="G226" s="80" t="str">
        <x:v>Small Business</x:v>
      </x:c>
      <x:c r="H226" s="80" t="str">
        <x:v>North</x:v>
      </x:c>
      <x:c r="I226" s="80" t="str">
        <x:v>Punjab</x:v>
      </x:c>
      <x:c r="J226" s="80" t="str">
        <x:v>Ludhiana</x:v>
      </x:c>
      <x:c r="K226" s="80" t="str">
        <x:v>Furniture</x:v>
      </x:c>
      <x:c r="L226" s="80" t="str">
        <x:v>Furnishings</x:v>
      </x:c>
      <x:c r="M226" s="80" t="str">
        <x:v>Classic Furnishings 109</x:v>
      </x:c>
      <x:c r="N226" s="80" t="str">
        <x:v>Standard Class</x:v>
      </x:c>
      <x:c r="O226" s="82" t="n">
        <x:v>4</x:v>
      </x:c>
      <x:c r="P226" s="83" t="n">
        <x:v>3944.64</x:v>
      </x:c>
      <x:c r="Q226" s="84" t="n">
        <x:v>0.25</x:v>
      </x:c>
      <x:c r="R226" s="83" t="n">
        <x:v>11833.92</x:v>
      </x:c>
      <x:c r="S226" s="83" t="n">
        <x:v>6682.92</x:v>
      </x:c>
      <x:c r="T226" s="83" t="n">
        <x:v>5151</x:v>
      </x:c>
      <x:c r="U226" s="83" t="str">
        <x:v>Paid</x:v>
      </x:c>
      <x:c r="V226" s="83" t="str">
        <x:v>Cancelled</x:v>
      </x:c>
      <x:c r="W226" s="151" t="n">
        <x:f>IF(OR(NOT(ISNUMBER($AP226)),COUNT($O226,$P226)&lt;2,$O226&lt;=0,$P226&lt;0),"",ROUND($O226*$P226*(1-$AP226),2))</x:f>
        <x:v>11833.92</x:v>
      </x:c>
      <x:c r="X226" s="151" t="n">
        <x:f>IF(OR(NOT(ISNUMBER($W226)),NOT(ISNUMBER($S226))),"",ROUND($W226-$S226,2))</x:f>
        <x:v>5151</x:v>
      </x:c>
      <x:c r="Y226" s="85" t="n">
        <x:f>IF(OR(NOT(ISNUMBER($W226)),NOT(ISNUMBER($X226)),$W226=0),"",ROUND($X226/$W226,4))</x:f>
        <x:v>0.4353</x:v>
      </x:c>
      <x:c r="Z226" s="82" t="n">
        <x:f>IF(OR($AH226&lt;&gt;"Valid",$AI226&lt;&gt;"Valid"),"",INT($D226-$C226))</x:f>
        <x:v>6</x:v>
      </x:c>
      <x:c r="AA226" s="86" t="str">
        <x:f>IF($AH226&lt;&gt;"Valid","",TEXT($C226,"mmmm"))</x:f>
        <x:v>October</x:v>
      </x:c>
      <x:c r="AB226" s="82" t="n">
        <x:f>IF($AH226&lt;&gt;"Valid","",YEAR($C226))</x:f>
        <x:v>2025</x:v>
      </x:c>
      <x:c r="AC226" s="80" t="str">
        <x:v>Cancelled (excluded from completed-sales summary)</x:v>
      </x:c>
      <x:c r="AD226" s="80" t="str">
        <x:v>Excluded</x:v>
      </x:c>
      <x:c r="AE226" s="80" t="str">
        <x:f>IF(OR($AH226&lt;&gt;"Valid",$AI226&lt;&gt;"Valid",$AJ226&lt;&gt;"Valid",LEFT($AM226,7)="Invalid",IFERROR(ABS($AQ226)&gt;0.01,FALSE),IFERROR(ABS($AR226)&gt;0.01,FALSE),COUNTIF($AS226,"*Conflicting duplicate*")&gt;0,COUNTIF($AS226,"*Completed order not paid*")&gt;0),"Invalid",IF(OR($H226="Unknown",$N226="Unknown",$AM226="Missing discount imputed as 0"),"Warning","Clean"))</x:f>
        <x:v>Clean</x:v>
      </x:c>
      <x:c r="AF226" s="80" t="str">
        <x:v>Review</x:v>
      </x:c>
      <x:c r="AG226" s="80" t="str">
        <x:v>No text cleanup required</x:v>
      </x:c>
      <x:c r="AH226" s="12" t="str">
        <x:f>IF(C226="","Missing date",IF(ISNUMBER(C226),"Valid","Unrecognized/invalid date"))</x:f>
        <x:v>Valid</x:v>
      </x:c>
      <x:c r="AI226" s="12" t="str">
        <x:f>IF(D226="","Missing date",IF(ISNUMBER(D226),"Valid","Unrecognized/invalid date"))</x:f>
        <x:v>Valid</x:v>
      </x:c>
      <x:c r="AJ226" s="12" t="str">
        <x:v>Valid</x:v>
      </x:c>
      <x:c r="AK226" s="12" t="str">
        <x:v>Pass</x:v>
      </x:c>
      <x:c r="AL226" s="12" t="str">
        <x:v>Cancelled order – excluded from completed sales</x:v>
      </x:c>
      <x:c r="AM226" s="12" t="str">
        <x:v>Valid</x:v>
      </x:c>
      <x:c r="AN226" s="12" t="str">
        <x:v>Exclude from completed sales</x:v>
      </x:c>
      <x:c r="AO226" s="12" t="str">
        <x:v>Not a refunded record</x:v>
      </x:c>
      <x:c r="AP226" s="37" t="n">
        <x:f>IF(LEFT($AM226,7)="Invalid","",IF($AM226="Missing discount imputed as 0",IF(AND(COUNT($O226,$P226,$R226,$S226)=4,$O226&gt;0,$P226&gt;=0,$R226&gt;=0,$S226&gt;=0),0,""),IF(AND(ISNUMBER($Q226),$Q226&gt;=0,$Q226&lt;=0.5),$Q226,"")))</x:f>
        <x:v>0.25</x:v>
      </x:c>
      <x:c r="AQ226" s="152" t="n">
        <x:f>IF(OR($W226="",NOT(ISNUMBER($R226))),"",ROUND($R226-$W226,2))</x:f>
        <x:v>0</x:v>
      </x:c>
      <x:c r="AR226" s="152" t="n">
        <x:f>IF(OR($X226="",NOT(ISNUMBER($T226))),"",ROUND($T226-$X226,2))</x:f>
        <x:v>0</x:v>
      </x:c>
      <x:c r="AS226" s="14" t="str">
        <x:v>Conflicting duplicate order ID</x:v>
      </x:c>
    </x:row>
    <x:row r="227">
      <x:c r="A227" s="80" t="n">
        <x:v>227</x:v>
      </x:c>
      <x:c r="B227" s="80" t="str">
        <x:v>ORD-2024-10226</x:v>
      </x:c>
      <x:c r="C227" s="81" t="n">
        <x:v>45537</x:v>
      </x:c>
      <x:c r="D227" s="81" t="n">
        <x:v>45545</x:v>
      </x:c>
      <x:c r="E227" s="80" t="str">
        <x:v>CUST-1266</x:v>
      </x:c>
      <x:c r="F227" s="80" t="str">
        <x:v>Mira Das</x:v>
      </x:c>
      <x:c r="G227" s="80" t="str">
        <x:v>Corporate</x:v>
      </x:c>
      <x:c r="H227" s="80" t="str">
        <x:v>West</x:v>
      </x:c>
      <x:c r="I227" s="80" t="str">
        <x:v>Goa</x:v>
      </x:c>
      <x:c r="J227" s="80" t="str">
        <x:v>Panaji</x:v>
      </x:c>
      <x:c r="K227" s="80" t="str">
        <x:v>Technology</x:v>
      </x:c>
      <x:c r="L227" s="80" t="str">
        <x:v>Phones</x:v>
      </x:c>
      <x:c r="M227" s="80" t="str">
        <x:v>Classic Phones 548</x:v>
      </x:c>
      <x:c r="N227" s="80" t="str">
        <x:v>Standard Class</x:v>
      </x:c>
      <x:c r="O227" s="82" t="n">
        <x:v>6</x:v>
      </x:c>
      <x:c r="P227" s="83" t="n">
        <x:v>1032.47</x:v>
      </x:c>
      <x:c r="Q227" s="84" t="n">
        <x:v>0.15</x:v>
      </x:c>
      <x:c r="R227" s="83" t="n">
        <x:v>5265.6</x:v>
      </x:c>
      <x:c r="S227" s="83" t="n">
        <x:v>4293.11</x:v>
      </x:c>
      <x:c r="T227" s="83" t="n">
        <x:v>787.57</x:v>
      </x:c>
      <x:c r="U227" s="83" t="str">
        <x:v>Paid</x:v>
      </x:c>
      <x:c r="V227" s="83" t="str">
        <x:v>Completed</x:v>
      </x:c>
      <x:c r="W227" s="151" t="n">
        <x:f>IF(OR(NOT(ISNUMBER($AP227)),COUNT($O227,$P227)&lt;2,$O227&lt;=0,$P227&lt;0),"",ROUND($O227*$P227*(1-$AP227),2))</x:f>
        <x:v>5265.6</x:v>
      </x:c>
      <x:c r="X227" s="151" t="n">
        <x:f>IF(OR(NOT(ISNUMBER($W227)),NOT(ISNUMBER($S227))),"",ROUND($W227-$S227,2))</x:f>
        <x:v>972.49</x:v>
      </x:c>
      <x:c r="Y227" s="85" t="n">
        <x:f>IF(OR(NOT(ISNUMBER($W227)),NOT(ISNUMBER($X227)),$W227=0),"",ROUND($X227/$W227,4))</x:f>
        <x:v>0.1847</x:v>
      </x:c>
      <x:c r="Z227" s="82" t="n">
        <x:f>IF(OR($AH227&lt;&gt;"Valid",$AI227&lt;&gt;"Valid"),"",INT($D227-$C227))</x:f>
        <x:v>8</x:v>
      </x:c>
      <x:c r="AA227" s="86" t="str">
        <x:f>IF($AH227&lt;&gt;"Valid","",TEXT($C227,"mmmm"))</x:f>
        <x:v>September</x:v>
      </x:c>
      <x:c r="AB227" s="82" t="n">
        <x:f>IF($AH227&lt;&gt;"Valid","",YEAR($C227))</x:f>
        <x:v>2024</x:v>
      </x:c>
      <x:c r="AC227" s="80" t="str">
        <x:v>Consistent</x:v>
      </x:c>
      <x:c r="AD227" s="80" t="str">
        <x:v>Excluded</x:v>
      </x:c>
      <x:c r="AE227" s="80" t="str">
        <x:f>IF(OR($AH227&lt;&gt;"Valid",$AI227&lt;&gt;"Valid",$AJ227&lt;&gt;"Valid",LEFT($AM227,7)="Invalid",IFERROR(ABS($AQ227)&gt;0.01,FALSE),IFERROR(ABS($AR227)&gt;0.01,FALSE),COUNTIF($AS227,"*Conflicting duplicate*")&gt;0,COUNTIF($AS227,"*Completed order not paid*")&gt;0),"Invalid",IF(OR($H227="Unknown",$N227="Unknown",$AM227="Missing discount imputed as 0"),"Warning","Clean"))</x:f>
        <x:v>Invalid</x:v>
      </x:c>
      <x:c r="AF227" s="80" t="str">
        <x:v>Review</x:v>
      </x:c>
      <x:c r="AG227" s="80" t="str">
        <x:v>No text cleanup required</x:v>
      </x:c>
      <x:c r="AH227" s="12" t="str">
        <x:f>IF(C227="","Missing date",IF(ISNUMBER(C227),"Valid","Unrecognized/invalid date"))</x:f>
        <x:v>Valid</x:v>
      </x:c>
      <x:c r="AI227" s="12" t="str">
        <x:f>IF(D227="","Missing date",IF(ISNUMBER(D227),"Valid","Unrecognized/invalid date"))</x:f>
        <x:v>Valid</x:v>
      </x:c>
      <x:c r="AJ227" s="12" t="str">
        <x:v>Valid</x:v>
      </x:c>
      <x:c r="AK227" s="12" t="str">
        <x:v>Pass</x:v>
      </x:c>
      <x:c r="AL227" s="12" t="str">
        <x:v>None</x:v>
      </x:c>
      <x:c r="AM227" s="12" t="str">
        <x:v>Valid</x:v>
      </x:c>
      <x:c r="AN227" s="12" t="str">
        <x:v>Exclude from completed sales</x:v>
      </x:c>
      <x:c r="AO227" s="12" t="str">
        <x:v>Not a refunded record</x:v>
      </x:c>
      <x:c r="AP227" s="37" t="n">
        <x:f>IF(LEFT($AM227,7)="Invalid","",IF($AM227="Missing discount imputed as 0",IF(AND(COUNT($O227,$P227,$R227,$S227)=4,$O227&gt;0,$P227&gt;=0,$R227&gt;=0,$S227&gt;=0),0,""),IF(AND(ISNUMBER($Q227),$Q227&gt;=0,$Q227&lt;=0.5),$Q227,"")))</x:f>
        <x:v>0.15</x:v>
      </x:c>
      <x:c r="AQ227" s="152" t="n">
        <x:f>IF(OR($W227="",NOT(ISNUMBER($R227))),"",ROUND($R227-$W227,2))</x:f>
        <x:v>0</x:v>
      </x:c>
      <x:c r="AR227" s="152" t="n">
        <x:f>IF(OR($X227="",NOT(ISNUMBER($T227))),"",ROUND($T227-$X227,2))</x:f>
        <x:v>-184.92</x:v>
      </x:c>
      <x:c r="AS227" s="14" t="str">
        <x:v>Profit calculation mismatch</x:v>
      </x:c>
    </x:row>
    <x:row r="228">
      <x:c r="A228" s="80" t="n">
        <x:v>228</x:v>
      </x:c>
      <x:c r="B228" s="80" t="str">
        <x:v>ORD-2025-10227</x:v>
      </x:c>
      <x:c r="C228" s="81" t="n">
        <x:v>45757</x:v>
      </x:c>
      <x:c r="D228" s="81" t="n">
        <x:v>45762</x:v>
      </x:c>
      <x:c r="E228" s="80" t="str">
        <x:v>CUST-2545</x:v>
      </x:c>
      <x:c r="F228" s="80" t="str">
        <x:v>Diya Patel</x:v>
      </x:c>
      <x:c r="G228" s="80" t="str">
        <x:v>Home Office</x:v>
      </x:c>
      <x:c r="H228" s="80" t="str">
        <x:v>Unknown</x:v>
      </x:c>
      <x:c r="I228" s="80" t="str">
        <x:v>Kerala</x:v>
      </x:c>
      <x:c r="J228" s="80" t="str">
        <x:v>Kochi</x:v>
      </x:c>
      <x:c r="K228" s="80" t="str">
        <x:v>Technology</x:v>
      </x:c>
      <x:c r="L228" s="80" t="str">
        <x:v>Copiers</x:v>
      </x:c>
      <x:c r="M228" s="80" t="str">
        <x:v>Max Copiers 363</x:v>
      </x:c>
      <x:c r="N228" s="80" t="str">
        <x:v>Same Day</x:v>
      </x:c>
      <x:c r="O228" s="82" t="n">
        <x:v>1</x:v>
      </x:c>
      <x:c r="P228" s="83" t="n">
        <x:v>2208.27</x:v>
      </x:c>
      <x:c r="Q228" s="84" t="n">
        <x:v>0.1</x:v>
      </x:c>
      <x:c r="R228" s="83" t="n">
        <x:v>1987.44</x:v>
      </x:c>
      <x:c r="S228" s="83" t="n">
        <x:v>1110.23</x:v>
      </x:c>
      <x:c r="T228" s="83" t="n">
        <x:v>877.21</x:v>
      </x:c>
      <x:c r="U228" s="83" t="str">
        <x:v>Paid</x:v>
      </x:c>
      <x:c r="V228" s="83" t="str">
        <x:v>Completed</x:v>
      </x:c>
      <x:c r="W228" s="151" t="n">
        <x:f>IF(OR(NOT(ISNUMBER($AP228)),COUNT($O228,$P228)&lt;2,$O228&lt;=0,$P228&lt;0),"",ROUND($O228*$P228*(1-$AP228),2))</x:f>
        <x:v>1987.44</x:v>
      </x:c>
      <x:c r="X228" s="151" t="n">
        <x:f>IF(OR(NOT(ISNUMBER($W228)),NOT(ISNUMBER($S228))),"",ROUND($W228-$S228,2))</x:f>
        <x:v>877.21</x:v>
      </x:c>
      <x:c r="Y228" s="85" t="n">
        <x:f>IF(OR(NOT(ISNUMBER($W228)),NOT(ISNUMBER($X228)),$W228=0),"",ROUND($X228/$W228,4))</x:f>
        <x:v>0.4414</x:v>
      </x:c>
      <x:c r="Z228" s="82" t="n">
        <x:f>IF(OR($AH228&lt;&gt;"Valid",$AI228&lt;&gt;"Valid"),"",INT($D228-$C228))</x:f>
        <x:v>5</x:v>
      </x:c>
      <x:c r="AA228" s="86" t="str">
        <x:f>IF($AH228&lt;&gt;"Valid","",TEXT($C228,"mmmm"))</x:f>
        <x:v>April</x:v>
      </x:c>
      <x:c r="AB228" s="82" t="n">
        <x:f>IF($AH228&lt;&gt;"Valid","",YEAR($C228))</x:f>
        <x:v>2025</x:v>
      </x:c>
      <x:c r="AC228" s="80" t="str">
        <x:v>Consistent</x:v>
      </x:c>
      <x:c r="AD228" s="80" t="str">
        <x:v>Eligible</x:v>
      </x:c>
      <x:c r="AE228" s="80" t="str">
        <x:f>IF(OR($AH228&lt;&gt;"Valid",$AI228&lt;&gt;"Valid",$AJ228&lt;&gt;"Valid",LEFT($AM228,7)="Invalid",IFERROR(ABS($AQ228)&gt;0.01,FALSE),IFERROR(ABS($AR228)&gt;0.01,FALSE),COUNTIF($AS228,"*Conflicting duplicate*")&gt;0,COUNTIF($AS228,"*Completed order not paid*")&gt;0),"Invalid",IF(OR($H228="Unknown",$N228="Unknown",$AM228="Missing discount imputed as 0"),"Warning","Clean"))</x:f>
        <x:v>Warning</x:v>
      </x:c>
      <x:c r="AF228" s="80" t="str">
        <x:v>Cleaned</x:v>
      </x:c>
      <x:c r="AG228" s="80" t="str">
        <x:v>region: Missing value filled as Unknown</x:v>
      </x:c>
      <x:c r="AH228" s="12" t="str">
        <x:f>IF(C228="","Missing date",IF(ISNUMBER(C228),"Valid","Unrecognized/invalid date"))</x:f>
        <x:v>Valid</x:v>
      </x:c>
      <x:c r="AI228" s="12" t="str">
        <x:f>IF(D228="","Missing date",IF(ISNUMBER(D228),"Valid","Unrecognized/invalid date"))</x:f>
        <x:v>Valid</x:v>
      </x:c>
      <x:c r="AJ228" s="12" t="str">
        <x:v>Valid</x:v>
      </x:c>
      <x:c r="AK228" s="12" t="str">
        <x:v>Pass</x:v>
      </x:c>
      <x:c r="AL228" s="12" t="str">
        <x:v>Missing region filled as Unknown</x:v>
      </x:c>
      <x:c r="AM228" s="12" t="str">
        <x:v>Valid</x:v>
      </x:c>
      <x:c r="AN228" s="12" t="str">
        <x:v>Include in completed sales</x:v>
      </x:c>
      <x:c r="AO228" s="12" t="str">
        <x:v>Not a refunded record</x:v>
      </x:c>
      <x:c r="AP228" s="37" t="n">
        <x:f>IF(LEFT($AM228,7)="Invalid","",IF($AM228="Missing discount imputed as 0",IF(AND(COUNT($O228,$P228,$R228,$S228)=4,$O228&gt;0,$P228&gt;=0,$R228&gt;=0,$S228&gt;=0),0,""),IF(AND(ISNUMBER($Q228),$Q228&gt;=0,$Q228&lt;=0.5),$Q228,"")))</x:f>
        <x:v>0.1</x:v>
      </x:c>
      <x:c r="AQ228" s="152" t="n">
        <x:f>IF(OR($W228="",NOT(ISNUMBER($R228))),"",ROUND($R228-$W228,2))</x:f>
        <x:v>0</x:v>
      </x:c>
      <x:c r="AR228" s="152" t="n">
        <x:f>IF(OR($X228="",NOT(ISNUMBER($T228))),"",ROUND($T228-$X228,2))</x:f>
        <x:v>0</x:v>
      </x:c>
      <x:c r="AS228" s="14" t="str">
        <x:v>OK</x:v>
      </x:c>
    </x:row>
    <x:row r="229">
      <x:c r="A229" s="80" t="n">
        <x:v>229</x:v>
      </x:c>
      <x:c r="B229" s="80" t="str">
        <x:v>ORD-2024-10228</x:v>
      </x:c>
      <x:c r="C229" s="81" t="n">
        <x:v>45478</x:v>
      </x:c>
      <x:c r="D229" s="81" t="n">
        <x:v>45485</x:v>
      </x:c>
      <x:c r="E229" s="80" t="str">
        <x:v>CUST-2819</x:v>
      </x:c>
      <x:c r="F229" s="80" t="str">
        <x:v>Ananya Rao</x:v>
      </x:c>
      <x:c r="G229" s="80" t="str">
        <x:v>Small Business</x:v>
      </x:c>
      <x:c r="H229" s="80" t="str">
        <x:v>West</x:v>
      </x:c>
      <x:c r="I229" s="80" t="str">
        <x:v>Goa</x:v>
      </x:c>
      <x:c r="J229" s="80" t="str">
        <x:v>Panaji</x:v>
      </x:c>
      <x:c r="K229" s="80" t="str">
        <x:v>Office Supplies</x:v>
      </x:c>
      <x:c r="L229" s="80" t="str">
        <x:v>Binders</x:v>
      </x:c>
      <x:c r="M229" s="80" t="str">
        <x:v>Prime Binders 507</x:v>
      </x:c>
      <x:c r="N229" s="80" t="str">
        <x:v>First Class</x:v>
      </x:c>
      <x:c r="O229" s="82" t="n">
        <x:v>3</x:v>
      </x:c>
      <x:c r="P229" s="83" t="n">
        <x:v>577.75</x:v>
      </x:c>
      <x:c r="Q229" s="84" t="n">
        <x:v>0.15</x:v>
      </x:c>
      <x:c r="R229" s="83" t="n">
        <x:v>1473.26</x:v>
      </x:c>
      <x:c r="S229" s="83" t="n">
        <x:v>899.86</x:v>
      </x:c>
      <x:c r="T229" s="83" t="n">
        <x:v>573.4</x:v>
      </x:c>
      <x:c r="U229" s="83" t="str">
        <x:v>Paid</x:v>
      </x:c>
      <x:c r="V229" s="83" t="str">
        <x:v>Completed</x:v>
      </x:c>
      <x:c r="W229" s="151" t="n">
        <x:f>IF(OR(NOT(ISNUMBER($AP229)),COUNT($O229,$P229)&lt;2,$O229&lt;=0,$P229&lt;0),"",ROUND($O229*$P229*(1-$AP229),2))</x:f>
        <x:v>1473.26</x:v>
      </x:c>
      <x:c r="X229" s="151" t="n">
        <x:f>IF(OR(NOT(ISNUMBER($W229)),NOT(ISNUMBER($S229))),"",ROUND($W229-$S229,2))</x:f>
        <x:v>573.4</x:v>
      </x:c>
      <x:c r="Y229" s="85" t="n">
        <x:f>IF(OR(NOT(ISNUMBER($W229)),NOT(ISNUMBER($X229)),$W229=0),"",ROUND($X229/$W229,4))</x:f>
        <x:v>0.3892</x:v>
      </x:c>
      <x:c r="Z229" s="82" t="n">
        <x:f>IF(OR($AH229&lt;&gt;"Valid",$AI229&lt;&gt;"Valid"),"",INT($D229-$C229))</x:f>
        <x:v>7</x:v>
      </x:c>
      <x:c r="AA229" s="86" t="str">
        <x:f>IF($AH229&lt;&gt;"Valid","",TEXT($C229,"mmmm"))</x:f>
        <x:v>July</x:v>
      </x:c>
      <x:c r="AB229" s="82" t="n">
        <x:f>IF($AH229&lt;&gt;"Valid","",YEAR($C229))</x:f>
        <x:v>2024</x:v>
      </x:c>
      <x:c r="AC229" s="80" t="str">
        <x:v>Consistent</x:v>
      </x:c>
      <x:c r="AD229" s="80" t="str">
        <x:v>Eligible</x:v>
      </x:c>
      <x:c r="AE229" s="80" t="str">
        <x:f>IF(OR($AH229&lt;&gt;"Valid",$AI229&lt;&gt;"Valid",$AJ229&lt;&gt;"Valid",LEFT($AM229,7)="Invalid",IFERROR(ABS($AQ229)&gt;0.01,FALSE),IFERROR(ABS($AR229)&gt;0.01,FALSE),COUNTIF($AS229,"*Conflicting duplicate*")&gt;0,COUNTIF($AS229,"*Completed order not paid*")&gt;0),"Invalid",IF(OR($H229="Unknown",$N229="Unknown",$AM229="Missing discount imputed as 0"),"Warning","Clean"))</x:f>
        <x:v>Clean</x:v>
      </x:c>
      <x:c r="AF229" s="80" t="str">
        <x:v>Cleaned</x:v>
      </x:c>
      <x:c r="AG229" s="80" t="str">
        <x:v>segment: Case standardization</x:v>
      </x:c>
      <x:c r="AH229" s="12" t="str">
        <x:f>IF(C229="","Missing date",IF(ISNUMBER(C229),"Valid","Unrecognized/invalid date"))</x:f>
        <x:v>Valid</x:v>
      </x:c>
      <x:c r="AI229" s="12" t="str">
        <x:f>IF(D229="","Missing date",IF(ISNUMBER(D229),"Valid","Unrecognized/invalid date"))</x:f>
        <x:v>Valid</x:v>
      </x:c>
      <x:c r="AJ229" s="12" t="str">
        <x:v>Valid</x:v>
      </x:c>
      <x:c r="AK229" s="12" t="str">
        <x:v>Pass</x:v>
      </x:c>
      <x:c r="AL229" s="12" t="str">
        <x:v>None</x:v>
      </x:c>
      <x:c r="AM229" s="12" t="str">
        <x:v>Valid</x:v>
      </x:c>
      <x:c r="AN229" s="12" t="str">
        <x:v>Include in completed sales</x:v>
      </x:c>
      <x:c r="AO229" s="12" t="str">
        <x:v>Not a refunded record</x:v>
      </x:c>
      <x:c r="AP229" s="37" t="n">
        <x:f>IF(LEFT($AM229,7)="Invalid","",IF($AM229="Missing discount imputed as 0",IF(AND(COUNT($O229,$P229,$R229,$S229)=4,$O229&gt;0,$P229&gt;=0,$R229&gt;=0,$S229&gt;=0),0,""),IF(AND(ISNUMBER($Q229),$Q229&gt;=0,$Q229&lt;=0.5),$Q229,"")))</x:f>
        <x:v>0.15</x:v>
      </x:c>
      <x:c r="AQ229" s="152" t="n">
        <x:f>IF(OR($W229="",NOT(ISNUMBER($R229))),"",ROUND($R229-$W229,2))</x:f>
        <x:v>0</x:v>
      </x:c>
      <x:c r="AR229" s="152" t="n">
        <x:f>IF(OR($X229="",NOT(ISNUMBER($T229))),"",ROUND($T229-$X229,2))</x:f>
        <x:v>0</x:v>
      </x:c>
      <x:c r="AS229" s="14" t="str">
        <x:v>OK</x:v>
      </x:c>
    </x:row>
    <x:row r="230">
      <x:c r="A230" s="80" t="n">
        <x:v>230</x:v>
      </x:c>
      <x:c r="B230" s="80" t="str">
        <x:v>ORD-2024-10229</x:v>
      </x:c>
      <x:c r="C230" s="81" t="n">
        <x:v>45406</x:v>
      </x:c>
      <x:c r="D230" s="81" t="n">
        <x:v>45410</x:v>
      </x:c>
      <x:c r="E230" s="80" t="str">
        <x:v>CUST-1076</x:v>
      </x:c>
      <x:c r="F230" s="80" t="str">
        <x:v>Karan Malhotra</x:v>
      </x:c>
      <x:c r="G230" s="80" t="str">
        <x:v>Small Business</x:v>
      </x:c>
      <x:c r="H230" s="80" t="str">
        <x:v>South</x:v>
      </x:c>
      <x:c r="I230" s="80" t="str">
        <x:v>Telangana</x:v>
      </x:c>
      <x:c r="J230" s="80" t="str">
        <x:v>Hyderabad</x:v>
      </x:c>
      <x:c r="K230" s="80" t="str">
        <x:v>Office Supplies</x:v>
      </x:c>
      <x:c r="L230" s="80" t="str">
        <x:v>Labels</x:v>
      </x:c>
      <x:c r="M230" s="80" t="str">
        <x:v>Smart Labels 914</x:v>
      </x:c>
      <x:c r="N230" s="80" t="str">
        <x:v>Second Class</x:v>
      </x:c>
      <x:c r="O230" s="82" t="n">
        <x:v>1</x:v>
      </x:c>
      <x:c r="P230" s="83" t="n">
        <x:v>3194.37</x:v>
      </x:c>
      <x:c r="Q230" s="84" t="n">
        <x:v>0.15</x:v>
      </x:c>
      <x:c r="R230" s="83" t="n">
        <x:v>2715.21</x:v>
      </x:c>
      <x:c r="S230" s="83" t="n">
        <x:v>1551.55</x:v>
      </x:c>
      <x:c r="T230" s="83" t="n">
        <x:v>1163.66</x:v>
      </x:c>
      <x:c r="U230" s="83" t="str">
        <x:v>Paid</x:v>
      </x:c>
      <x:c r="V230" s="83" t="str">
        <x:v>Completed</x:v>
      </x:c>
      <x:c r="W230" s="151" t="n">
        <x:f>IF(OR(NOT(ISNUMBER($AP230)),COUNT($O230,$P230)&lt;2,$O230&lt;=0,$P230&lt;0),"",ROUND($O230*$P230*(1-$AP230),2))</x:f>
        <x:v>2715.21</x:v>
      </x:c>
      <x:c r="X230" s="151" t="n">
        <x:f>IF(OR(NOT(ISNUMBER($W230)),NOT(ISNUMBER($S230))),"",ROUND($W230-$S230,2))</x:f>
        <x:v>1163.66</x:v>
      </x:c>
      <x:c r="Y230" s="85" t="n">
        <x:f>IF(OR(NOT(ISNUMBER($W230)),NOT(ISNUMBER($X230)),$W230=0),"",ROUND($X230/$W230,4))</x:f>
        <x:v>0.4286</x:v>
      </x:c>
      <x:c r="Z230" s="82" t="n">
        <x:f>IF(OR($AH230&lt;&gt;"Valid",$AI230&lt;&gt;"Valid"),"",INT($D230-$C230))</x:f>
        <x:v>4</x:v>
      </x:c>
      <x:c r="AA230" s="86" t="str">
        <x:f>IF($AH230&lt;&gt;"Valid","",TEXT($C230,"mmmm"))</x:f>
        <x:v>April</x:v>
      </x:c>
      <x:c r="AB230" s="82" t="n">
        <x:f>IF($AH230&lt;&gt;"Valid","",YEAR($C230))</x:f>
        <x:v>2024</x:v>
      </x:c>
      <x:c r="AC230" s="80" t="str">
        <x:v>Consistent</x:v>
      </x:c>
      <x:c r="AD230" s="80" t="str">
        <x:v>Eligible</x:v>
      </x:c>
      <x:c r="AE230" s="80" t="str">
        <x:f>IF(OR($AH230&lt;&gt;"Valid",$AI230&lt;&gt;"Valid",$AJ230&lt;&gt;"Valid",LEFT($AM230,7)="Invalid",IFERROR(ABS($AQ230)&gt;0.01,FALSE),IFERROR(ABS($AR230)&gt;0.01,FALSE),COUNTIF($AS230,"*Conflicting duplicate*")&gt;0,COUNTIF($AS230,"*Completed order not paid*")&gt;0),"Invalid",IF(OR($H230="Unknown",$N230="Unknown",$AM230="Missing discount imputed as 0"),"Warning","Clean"))</x:f>
        <x:v>Clean</x:v>
      </x:c>
      <x:c r="AF230" s="80" t="str">
        <x:v>Pass</x:v>
      </x:c>
      <x:c r="AG230" s="80" t="str">
        <x:v>No text cleanup required</x:v>
      </x:c>
      <x:c r="AH230" s="12" t="str">
        <x:f>IF(C230="","Missing date",IF(ISNUMBER(C230),"Valid","Unrecognized/invalid date"))</x:f>
        <x:v>Valid</x:v>
      </x:c>
      <x:c r="AI230" s="12" t="str">
        <x:f>IF(D230="","Missing date",IF(ISNUMBER(D230),"Valid","Unrecognized/invalid date"))</x:f>
        <x:v>Valid</x:v>
      </x:c>
      <x:c r="AJ230" s="12" t="str">
        <x:v>Valid</x:v>
      </x:c>
      <x:c r="AK230" s="12" t="str">
        <x:v>Pass</x:v>
      </x:c>
      <x:c r="AL230" s="12" t="str">
        <x:v>None</x:v>
      </x:c>
      <x:c r="AM230" s="12" t="str">
        <x:v>Valid</x:v>
      </x:c>
      <x:c r="AN230" s="12" t="str">
        <x:v>Include in completed sales</x:v>
      </x:c>
      <x:c r="AO230" s="12" t="str">
        <x:v>Not a refunded record</x:v>
      </x:c>
      <x:c r="AP230" s="37" t="n">
        <x:f>IF(LEFT($AM230,7)="Invalid","",IF($AM230="Missing discount imputed as 0",IF(AND(COUNT($O230,$P230,$R230,$S230)=4,$O230&gt;0,$P230&gt;=0,$R230&gt;=0,$S230&gt;=0),0,""),IF(AND(ISNUMBER($Q230),$Q230&gt;=0,$Q230&lt;=0.5),$Q230,"")))</x:f>
        <x:v>0.15</x:v>
      </x:c>
      <x:c r="AQ230" s="152" t="n">
        <x:f>IF(OR($W230="",NOT(ISNUMBER($R230))),"",ROUND($R230-$W230,2))</x:f>
        <x:v>0</x:v>
      </x:c>
      <x:c r="AR230" s="152" t="n">
        <x:f>IF(OR($X230="",NOT(ISNUMBER($T230))),"",ROUND($T230-$X230,2))</x:f>
        <x:v>0</x:v>
      </x:c>
      <x:c r="AS230" s="14" t="str">
        <x:v>OK</x:v>
      </x:c>
    </x:row>
    <x:row r="231">
      <x:c r="A231" s="80" t="n">
        <x:v>231</x:v>
      </x:c>
      <x:c r="B231" s="80" t="str">
        <x:v>ORD-2025-10230</x:v>
      </x:c>
      <x:c r="C231" s="81" t="n">
        <x:v>45836</x:v>
      </x:c>
      <x:c r="D231" s="81" t="n">
        <x:v>45842</x:v>
      </x:c>
      <x:c r="E231" s="80" t="str">
        <x:v>CUST-1943</x:v>
      </x:c>
      <x:c r="F231" s="80" t="str">
        <x:v>Rohan Mehta</x:v>
      </x:c>
      <x:c r="G231" s="80" t="str">
        <x:v>Consumer</x:v>
      </x:c>
      <x:c r="H231" s="80" t="str">
        <x:v>South</x:v>
      </x:c>
      <x:c r="I231" s="80" t="str">
        <x:v>Telangana</x:v>
      </x:c>
      <x:c r="J231" s="80" t="str">
        <x:v>Hyderabad</x:v>
      </x:c>
      <x:c r="K231" s="80" t="str">
        <x:v>Furniture</x:v>
      </x:c>
      <x:c r="L231" s="80" t="str">
        <x:v>Bookcases</x:v>
      </x:c>
      <x:c r="M231" s="80" t="str">
        <x:v>Smart Bookcases 662</x:v>
      </x:c>
      <x:c r="N231" s="80" t="str">
        <x:v>First Class</x:v>
      </x:c>
      <x:c r="O231" s="82" t="n">
        <x:v>3</x:v>
      </x:c>
      <x:c r="P231" s="83" t="n">
        <x:v>2886.23</x:v>
      </x:c>
      <x:c r="Q231" s="84" t="n">
        <x:v>0</x:v>
      </x:c>
      <x:c r="R231" s="83" t="n">
        <x:v>8658.69</x:v>
      </x:c>
      <x:c r="S231" s="83" t="n">
        <x:v>5535.94</x:v>
      </x:c>
      <x:c r="T231" s="83" t="n">
        <x:v>3122.75</x:v>
      </x:c>
      <x:c r="U231" s="83" t="str">
        <x:v>Refunded</x:v>
      </x:c>
      <x:c r="V231" s="83" t="str">
        <x:v>Returned</x:v>
      </x:c>
      <x:c r="W231" s="151" t="n">
        <x:f>IF(OR(NOT(ISNUMBER($AP231)),COUNT($O231,$P231)&lt;2,$O231&lt;=0,$P231&lt;0),"",ROUND($O231*$P231*(1-$AP231),2))</x:f>
        <x:v>8658.69</x:v>
      </x:c>
      <x:c r="X231" s="151" t="n">
        <x:f>IF(OR(NOT(ISNUMBER($W231)),NOT(ISNUMBER($S231))),"",ROUND($W231-$S231,2))</x:f>
        <x:v>3122.75</x:v>
      </x:c>
      <x:c r="Y231" s="85" t="n">
        <x:f>IF(OR(NOT(ISNUMBER($W231)),NOT(ISNUMBER($X231)),$W231=0),"",ROUND($X231/$W231,4))</x:f>
        <x:v>0.3606</x:v>
      </x:c>
      <x:c r="Z231" s="82" t="n">
        <x:f>IF(OR($AH231&lt;&gt;"Valid",$AI231&lt;&gt;"Valid"),"",INT($D231-$C231))</x:f>
        <x:v>6</x:v>
      </x:c>
      <x:c r="AA231" s="86" t="str">
        <x:f>IF($AH231&lt;&gt;"Valid","",TEXT($C231,"mmmm"))</x:f>
        <x:v>June</x:v>
      </x:c>
      <x:c r="AB231" s="82" t="n">
        <x:f>IF($AH231&lt;&gt;"Valid","",YEAR($C231))</x:f>
        <x:v>2025</x:v>
      </x:c>
      <x:c r="AC231" s="80" t="str">
        <x:v>Refunded (separately summarized)</x:v>
      </x:c>
      <x:c r="AD231" s="80" t="str">
        <x:v>Excluded</x:v>
      </x:c>
      <x:c r="AE231" s="80" t="str">
        <x:f>IF(OR($AH231&lt;&gt;"Valid",$AI231&lt;&gt;"Valid",$AJ231&lt;&gt;"Valid",LEFT($AM231,7)="Invalid",IFERROR(ABS($AQ231)&gt;0.01,FALSE),IFERROR(ABS($AR231)&gt;0.01,FALSE),COUNTIF($AS231,"*Conflicting duplicate*")&gt;0,COUNTIF($AS231,"*Completed order not paid*")&gt;0),"Invalid",IF(OR($H231="Unknown",$N231="Unknown",$AM231="Missing discount imputed as 0"),"Warning","Clean"))</x:f>
        <x:v>Clean</x:v>
      </x:c>
      <x:c r="AF231" s="80" t="str">
        <x:v>Pass</x:v>
      </x:c>
      <x:c r="AG231" s="80" t="str">
        <x:v>No text cleanup required</x:v>
      </x:c>
      <x:c r="AH231" s="12" t="str">
        <x:f>IF(C231="","Missing date",IF(ISNUMBER(C231),"Valid","Unrecognized/invalid date"))</x:f>
        <x:v>Valid</x:v>
      </x:c>
      <x:c r="AI231" s="12" t="str">
        <x:f>IF(D231="","Missing date",IF(ISNUMBER(D231),"Valid","Unrecognized/invalid date"))</x:f>
        <x:v>Valid</x:v>
      </x:c>
      <x:c r="AJ231" s="12" t="str">
        <x:v>Valid</x:v>
      </x:c>
      <x:c r="AK231" s="12" t="str">
        <x:v>Pass</x:v>
      </x:c>
      <x:c r="AL231" s="12" t="str">
        <x:v>Refunded payment – separately summarized</x:v>
      </x:c>
      <x:c r="AM231" s="12" t="str">
        <x:v>Valid</x:v>
      </x:c>
      <x:c r="AN231" s="12" t="str">
        <x:v>Exclude from completed sales</x:v>
      </x:c>
      <x:c r="AO231" s="12" t="str">
        <x:v>Include in refunded summary</x:v>
      </x:c>
      <x:c r="AP231" s="37" t="n">
        <x:f>IF(LEFT($AM231,7)="Invalid","",IF($AM231="Missing discount imputed as 0",IF(AND(COUNT($O231,$P231,$R231,$S231)=4,$O231&gt;0,$P231&gt;=0,$R231&gt;=0,$S231&gt;=0),0,""),IF(AND(ISNUMBER($Q231),$Q231&gt;=0,$Q231&lt;=0.5),$Q231,"")))</x:f>
        <x:v>0</x:v>
      </x:c>
      <x:c r="AQ231" s="152" t="n">
        <x:f>IF(OR($W231="",NOT(ISNUMBER($R231))),"",ROUND($R231-$W231,2))</x:f>
        <x:v>0</x:v>
      </x:c>
      <x:c r="AR231" s="152" t="n">
        <x:f>IF(OR($X231="",NOT(ISNUMBER($T231))),"",ROUND($T231-$X231,2))</x:f>
        <x:v>0</x:v>
      </x:c>
      <x:c r="AS231" s="14" t="str">
        <x:v>OK</x:v>
      </x:c>
    </x:row>
    <x:row r="232">
      <x:c r="A232" s="80" t="n">
        <x:v>232</x:v>
      </x:c>
      <x:c r="B232" s="80" t="str">
        <x:v>ORD-2024-10231</x:v>
      </x:c>
      <x:c r="C232" s="81" t="n">
        <x:v>45440</x:v>
      </x:c>
      <x:c r="D232" s="81" t="n">
        <x:v>45446</x:v>
      </x:c>
      <x:c r="E232" s="80" t="str">
        <x:v>CUST-3434</x:v>
      </x:c>
      <x:c r="F232" s="80" t="str">
        <x:v>Neha Gupta</x:v>
      </x:c>
      <x:c r="G232" s="80" t="str">
        <x:v>Small Business</x:v>
      </x:c>
      <x:c r="H232" s="80" t="str">
        <x:v>North</x:v>
      </x:c>
      <x:c r="I232" s="80" t="str">
        <x:v>Rajasthan</x:v>
      </x:c>
      <x:c r="J232" s="80" t="str">
        <x:v>Jaipur</x:v>
      </x:c>
      <x:c r="K232" s="80" t="str">
        <x:v>Office Supplies</x:v>
      </x:c>
      <x:c r="L232" s="80" t="str">
        <x:v>Paper</x:v>
      </x:c>
      <x:c r="M232" s="80" t="str">
        <x:v>Eco Paper 937</x:v>
      </x:c>
      <x:c r="N232" s="80" t="str">
        <x:v>Standard Class</x:v>
      </x:c>
      <x:c r="O232" s="82" t="n">
        <x:v>8</x:v>
      </x:c>
      <x:c r="P232" s="83" t="n">
        <x:v>1540.33</x:v>
      </x:c>
      <x:c r="Q232" s="84" t="n">
        <x:v>0.1</x:v>
      </x:c>
      <x:c r="R232" s="83" t="n">
        <x:v>11090.38</x:v>
      </x:c>
      <x:c r="S232" s="83" t="n">
        <x:v>8840.95</x:v>
      </x:c>
      <x:c r="T232" s="83" t="n">
        <x:v>2249.43</x:v>
      </x:c>
      <x:c r="U232" s="83" t="str">
        <x:v>Paid</x:v>
      </x:c>
      <x:c r="V232" s="83" t="str">
        <x:v>Completed</x:v>
      </x:c>
      <x:c r="W232" s="151" t="n">
        <x:f>IF(OR(NOT(ISNUMBER($AP232)),COUNT($O232,$P232)&lt;2,$O232&lt;=0,$P232&lt;0),"",ROUND($O232*$P232*(1-$AP232),2))</x:f>
        <x:v>11090.38</x:v>
      </x:c>
      <x:c r="X232" s="151" t="n">
        <x:f>IF(OR(NOT(ISNUMBER($W232)),NOT(ISNUMBER($S232))),"",ROUND($W232-$S232,2))</x:f>
        <x:v>2249.43</x:v>
      </x:c>
      <x:c r="Y232" s="85" t="n">
        <x:f>IF(OR(NOT(ISNUMBER($W232)),NOT(ISNUMBER($X232)),$W232=0),"",ROUND($X232/$W232,4))</x:f>
        <x:v>0.2028</x:v>
      </x:c>
      <x:c r="Z232" s="82" t="n">
        <x:f>IF(OR($AH232&lt;&gt;"Valid",$AI232&lt;&gt;"Valid"),"",INT($D232-$C232))</x:f>
        <x:v>6</x:v>
      </x:c>
      <x:c r="AA232" s="86" t="str">
        <x:f>IF($AH232&lt;&gt;"Valid","",TEXT($C232,"mmmm"))</x:f>
        <x:v>May</x:v>
      </x:c>
      <x:c r="AB232" s="82" t="n">
        <x:f>IF($AH232&lt;&gt;"Valid","",YEAR($C232))</x:f>
        <x:v>2024</x:v>
      </x:c>
      <x:c r="AC232" s="80" t="str">
        <x:v>Consistent</x:v>
      </x:c>
      <x:c r="AD232" s="80" t="str">
        <x:v>Eligible</x:v>
      </x:c>
      <x:c r="AE232" s="80" t="str">
        <x:f>IF(OR($AH232&lt;&gt;"Valid",$AI232&lt;&gt;"Valid",$AJ232&lt;&gt;"Valid",LEFT($AM232,7)="Invalid",IFERROR(ABS($AQ232)&gt;0.01,FALSE),IFERROR(ABS($AR232)&gt;0.01,FALSE),COUNTIF($AS232,"*Conflicting duplicate*")&gt;0,COUNTIF($AS232,"*Completed order not paid*")&gt;0),"Invalid",IF(OR($H232="Unknown",$N232="Unknown",$AM232="Missing discount imputed as 0"),"Warning","Clean"))</x:f>
        <x:v>Clean</x:v>
      </x:c>
      <x:c r="AF232" s="80" t="str">
        <x:v>Pass</x:v>
      </x:c>
      <x:c r="AG232" s="80" t="str">
        <x:v>No text cleanup required</x:v>
      </x:c>
      <x:c r="AH232" s="12" t="str">
        <x:f>IF(C232="","Missing date",IF(ISNUMBER(C232),"Valid","Unrecognized/invalid date"))</x:f>
        <x:v>Valid</x:v>
      </x:c>
      <x:c r="AI232" s="12" t="str">
        <x:f>IF(D232="","Missing date",IF(ISNUMBER(D232),"Valid","Unrecognized/invalid date"))</x:f>
        <x:v>Valid</x:v>
      </x:c>
      <x:c r="AJ232" s="12" t="str">
        <x:v>Valid</x:v>
      </x:c>
      <x:c r="AK232" s="12" t="str">
        <x:v>Pass</x:v>
      </x:c>
      <x:c r="AL232" s="12" t="str">
        <x:v>None</x:v>
      </x:c>
      <x:c r="AM232" s="12" t="str">
        <x:v>Valid</x:v>
      </x:c>
      <x:c r="AN232" s="12" t="str">
        <x:v>Include in completed sales</x:v>
      </x:c>
      <x:c r="AO232" s="12" t="str">
        <x:v>Not a refunded record</x:v>
      </x:c>
      <x:c r="AP232" s="37" t="n">
        <x:f>IF(LEFT($AM232,7)="Invalid","",IF($AM232="Missing discount imputed as 0",IF(AND(COUNT($O232,$P232,$R232,$S232)=4,$O232&gt;0,$P232&gt;=0,$R232&gt;=0,$S232&gt;=0),0,""),IF(AND(ISNUMBER($Q232),$Q232&gt;=0,$Q232&lt;=0.5),$Q232,"")))</x:f>
        <x:v>0.1</x:v>
      </x:c>
      <x:c r="AQ232" s="152" t="n">
        <x:f>IF(OR($W232="",NOT(ISNUMBER($R232))),"",ROUND($R232-$W232,2))</x:f>
        <x:v>0</x:v>
      </x:c>
      <x:c r="AR232" s="152" t="n">
        <x:f>IF(OR($X232="",NOT(ISNUMBER($T232))),"",ROUND($T232-$X232,2))</x:f>
        <x:v>0</x:v>
      </x:c>
      <x:c r="AS232" s="14" t="str">
        <x:v>OK</x:v>
      </x:c>
    </x:row>
    <x:row r="233">
      <x:c r="A233" s="80" t="n">
        <x:v>233</x:v>
      </x:c>
      <x:c r="B233" s="80" t="str">
        <x:v>ORD-2024-10232</x:v>
      </x:c>
      <x:c r="C233" s="81" t="n">
        <x:v>45414</x:v>
      </x:c>
      <x:c r="D233" s="81" t="n">
        <x:v>45414</x:v>
      </x:c>
      <x:c r="E233" s="80" t="str">
        <x:v>CUST-9139</x:v>
      </x:c>
      <x:c r="F233" s="80" t="str">
        <x:v>Ananya Rao</x:v>
      </x:c>
      <x:c r="G233" s="80" t="str">
        <x:v>Corporate</x:v>
      </x:c>
      <x:c r="H233" s="80" t="str">
        <x:v>North</x:v>
      </x:c>
      <x:c r="I233" s="80" t="str">
        <x:v>Rajasthan</x:v>
      </x:c>
      <x:c r="J233" s="80" t="str">
        <x:v>Jaipur</x:v>
      </x:c>
      <x:c r="K233" s="80" t="str">
        <x:v>Office Supplies</x:v>
      </x:c>
      <x:c r="L233" s="80" t="str">
        <x:v>Labels</x:v>
      </x:c>
      <x:c r="M233" s="80" t="str">
        <x:v>Max Labels 370</x:v>
      </x:c>
      <x:c r="N233" s="80" t="str">
        <x:v>First Class</x:v>
      </x:c>
      <x:c r="O233" s="82" t="n">
        <x:v>7</x:v>
      </x:c>
      <x:c r="P233" s="83" t="n">
        <x:v>2183.38</x:v>
      </x:c>
      <x:c r="Q233" s="84" t="n">
        <x:v>0.25</x:v>
      </x:c>
      <x:c r="R233" s="83" t="n">
        <x:v>11462.74</x:v>
      </x:c>
      <x:c r="S233" s="83" t="n">
        <x:v>7163.54</x:v>
      </x:c>
      <x:c r="T233" s="83" t="n">
        <x:v>4299.2</x:v>
      </x:c>
      <x:c r="U233" s="83" t="str">
        <x:v>Refunded</x:v>
      </x:c>
      <x:c r="V233" s="83" t="str">
        <x:v>Cancelled</x:v>
      </x:c>
      <x:c r="W233" s="151" t="n">
        <x:f>IF(OR(NOT(ISNUMBER($AP233)),COUNT($O233,$P233)&lt;2,$O233&lt;=0,$P233&lt;0),"",ROUND($O233*$P233*(1-$AP233),2))</x:f>
        <x:v>11462.75</x:v>
      </x:c>
      <x:c r="X233" s="151" t="n">
        <x:f>IF(OR(NOT(ISNUMBER($W233)),NOT(ISNUMBER($S233))),"",ROUND($W233-$S233,2))</x:f>
        <x:v>4299.21</x:v>
      </x:c>
      <x:c r="Y233" s="85" t="n">
        <x:f>IF(OR(NOT(ISNUMBER($W233)),NOT(ISNUMBER($X233)),$W233=0),"",ROUND($X233/$W233,4))</x:f>
        <x:v>0.3751</x:v>
      </x:c>
      <x:c r="Z233" s="82" t="n">
        <x:f>IF(OR($AH233&lt;&gt;"Valid",$AI233&lt;&gt;"Valid"),"",INT($D233-$C233))</x:f>
        <x:v>0</x:v>
      </x:c>
      <x:c r="AA233" s="86" t="str">
        <x:f>IF($AH233&lt;&gt;"Valid","",TEXT($C233,"mmmm"))</x:f>
        <x:v>May</x:v>
      </x:c>
      <x:c r="AB233" s="82" t="n">
        <x:f>IF($AH233&lt;&gt;"Valid","",YEAR($C233))</x:f>
        <x:v>2024</x:v>
      </x:c>
      <x:c r="AC233" s="80" t="str">
        <x:v>Cancelled (excluded from completed-sales summary)</x:v>
      </x:c>
      <x:c r="AD233" s="80" t="str">
        <x:v>Excluded</x:v>
      </x:c>
      <x:c r="AE233" s="80" t="str">
        <x:f>IF(OR($AH233&lt;&gt;"Valid",$AI233&lt;&gt;"Valid",$AJ233&lt;&gt;"Valid",LEFT($AM233,7)="Invalid",IFERROR(ABS($AQ233)&gt;0.01,FALSE),IFERROR(ABS($AR233)&gt;0.01,FALSE),COUNTIF($AS233,"*Conflicting duplicate*")&gt;0,COUNTIF($AS233,"*Completed order not paid*")&gt;0),"Invalid",IF(OR($H233="Unknown",$N233="Unknown",$AM233="Missing discount imputed as 0"),"Warning","Clean"))</x:f>
        <x:v>Clean</x:v>
      </x:c>
      <x:c r="AF233" s="80" t="str">
        <x:v>Cleaned</x:v>
      </x:c>
      <x:c r="AG233" s="80" t="str">
        <x:v>category: TRIM/SUBSTITUTE whitespace cleanup</x:v>
      </x:c>
      <x:c r="AH233" s="12" t="str">
        <x:f>IF(C233="","Missing date",IF(ISNUMBER(C233),"Valid","Unrecognized/invalid date"))</x:f>
        <x:v>Valid</x:v>
      </x:c>
      <x:c r="AI233" s="12" t="str">
        <x:f>IF(D233="","Missing date",IF(ISNUMBER(D233),"Valid","Unrecognized/invalid date"))</x:f>
        <x:v>Valid</x:v>
      </x:c>
      <x:c r="AJ233" s="12" t="str">
        <x:v>Valid</x:v>
      </x:c>
      <x:c r="AK233" s="12" t="str">
        <x:v>Pass</x:v>
      </x:c>
      <x:c r="AL233" s="12" t="str">
        <x:v>Cancelled order – excluded from completed sales; Refunded payment – separately summarized</x:v>
      </x:c>
      <x:c r="AM233" s="12" t="str">
        <x:v>Valid</x:v>
      </x:c>
      <x:c r="AN233" s="12" t="str">
        <x:v>Exclude from completed sales</x:v>
      </x:c>
      <x:c r="AO233" s="12" t="str">
        <x:v>Include in refunded summary</x:v>
      </x:c>
      <x:c r="AP233" s="37" t="n">
        <x:f>IF(LEFT($AM233,7)="Invalid","",IF($AM233="Missing discount imputed as 0",IF(AND(COUNT($O233,$P233,$R233,$S233)=4,$O233&gt;0,$P233&gt;=0,$R233&gt;=0,$S233&gt;=0),0,""),IF(AND(ISNUMBER($Q233),$Q233&gt;=0,$Q233&lt;=0.5),$Q233,"")))</x:f>
        <x:v>0.25</x:v>
      </x:c>
      <x:c r="AQ233" s="152" t="n">
        <x:f>IF(OR($W233="",NOT(ISNUMBER($R233))),"",ROUND($R233-$W233,2))</x:f>
        <x:v>-0.01</x:v>
      </x:c>
      <x:c r="AR233" s="152" t="n">
        <x:f>IF(OR($X233="",NOT(ISNUMBER($T233))),"",ROUND($T233-$X233,2))</x:f>
        <x:v>-0.01</x:v>
      </x:c>
      <x:c r="AS233" s="14" t="str">
        <x:v>OK</x:v>
      </x:c>
    </x:row>
    <x:row r="234">
      <x:c r="A234" s="80" t="n">
        <x:v>234</x:v>
      </x:c>
      <x:c r="B234" s="80" t="str">
        <x:v>ORD-2025-10233</x:v>
      </x:c>
      <x:c r="C234" s="81" t="n">
        <x:v>45812</x:v>
      </x:c>
      <x:c r="D234" s="81" t="n">
        <x:v>45818</x:v>
      </x:c>
      <x:c r="E234" s="80" t="str">
        <x:v>CUST-5341</x:v>
      </x:c>
      <x:c r="F234" s="80" t="str">
        <x:v>Rahul Verma</x:v>
      </x:c>
      <x:c r="G234" s="80" t="str">
        <x:v>Consumer</x:v>
      </x:c>
      <x:c r="H234" s="80" t="str">
        <x:v>South</x:v>
      </x:c>
      <x:c r="I234" s="80" t="str">
        <x:v>Andhra Pradesh</x:v>
      </x:c>
      <x:c r="J234" s="80" t="str">
        <x:v>Vijayawada</x:v>
      </x:c>
      <x:c r="K234" s="80" t="str">
        <x:v>Technology</x:v>
      </x:c>
      <x:c r="L234" s="80" t="str">
        <x:v>Phones</x:v>
      </x:c>
      <x:c r="M234" s="80" t="str">
        <x:v>Classic Phones 530</x:v>
      </x:c>
      <x:c r="N234" s="80" t="str">
        <x:v>Standard Class</x:v>
      </x:c>
      <x:c r="O234" s="82" t="n">
        <x:v>4</x:v>
      </x:c>
      <x:c r="P234" s="83" t="n">
        <x:v>223.37</x:v>
      </x:c>
      <x:c r="Q234" s="84" t="n">
        <x:v>0.25</x:v>
      </x:c>
      <x:c r="R234" s="83" t="n">
        <x:v>670.11</x:v>
      </x:c>
      <x:c r="S234" s="83" t="n">
        <x:v>559.57</x:v>
      </x:c>
      <x:c r="T234" s="83" t="n">
        <x:v>110.54</x:v>
      </x:c>
      <x:c r="U234" s="83" t="str">
        <x:v>Paid</x:v>
      </x:c>
      <x:c r="V234" s="83" t="str">
        <x:v>Completed</x:v>
      </x:c>
      <x:c r="W234" s="151" t="n">
        <x:f>IF(OR(NOT(ISNUMBER($AP234)),COUNT($O234,$P234)&lt;2,$O234&lt;=0,$P234&lt;0),"",ROUND($O234*$P234*(1-$AP234),2))</x:f>
        <x:v>670.11</x:v>
      </x:c>
      <x:c r="X234" s="151" t="n">
        <x:f>IF(OR(NOT(ISNUMBER($W234)),NOT(ISNUMBER($S234))),"",ROUND($W234-$S234,2))</x:f>
        <x:v>110.54</x:v>
      </x:c>
      <x:c r="Y234" s="85" t="n">
        <x:f>IF(OR(NOT(ISNUMBER($W234)),NOT(ISNUMBER($X234)),$W234=0),"",ROUND($X234/$W234,4))</x:f>
        <x:v>0.165</x:v>
      </x:c>
      <x:c r="Z234" s="82" t="n">
        <x:f>IF(OR($AH234&lt;&gt;"Valid",$AI234&lt;&gt;"Valid"),"",INT($D234-$C234))</x:f>
        <x:v>6</x:v>
      </x:c>
      <x:c r="AA234" s="86" t="str">
        <x:f>IF($AH234&lt;&gt;"Valid","",TEXT($C234,"mmmm"))</x:f>
        <x:v>June</x:v>
      </x:c>
      <x:c r="AB234" s="82" t="n">
        <x:f>IF($AH234&lt;&gt;"Valid","",YEAR($C234))</x:f>
        <x:v>2025</x:v>
      </x:c>
      <x:c r="AC234" s="80" t="str">
        <x:v>Consistent</x:v>
      </x:c>
      <x:c r="AD234" s="80" t="str">
        <x:v>Eligible</x:v>
      </x:c>
      <x:c r="AE234" s="80" t="str">
        <x:f>IF(OR($AH234&lt;&gt;"Valid",$AI234&lt;&gt;"Valid",$AJ234&lt;&gt;"Valid",LEFT($AM234,7)="Invalid",IFERROR(ABS($AQ234)&gt;0.01,FALSE),IFERROR(ABS($AR234)&gt;0.01,FALSE),COUNTIF($AS234,"*Conflicting duplicate*")&gt;0,COUNTIF($AS234,"*Completed order not paid*")&gt;0),"Invalid",IF(OR($H234="Unknown",$N234="Unknown",$AM234="Missing discount imputed as 0"),"Warning","Clean"))</x:f>
        <x:v>Clean</x:v>
      </x:c>
      <x:c r="AF234" s="80" t="str">
        <x:v>Pass</x:v>
      </x:c>
      <x:c r="AG234" s="80" t="str">
        <x:v>No text cleanup required</x:v>
      </x:c>
      <x:c r="AH234" s="12" t="str">
        <x:f>IF(C234="","Missing date",IF(ISNUMBER(C234),"Valid","Unrecognized/invalid date"))</x:f>
        <x:v>Valid</x:v>
      </x:c>
      <x:c r="AI234" s="12" t="str">
        <x:f>IF(D234="","Missing date",IF(ISNUMBER(D234),"Valid","Unrecognized/invalid date"))</x:f>
        <x:v>Valid</x:v>
      </x:c>
      <x:c r="AJ234" s="12" t="str">
        <x:v>Valid</x:v>
      </x:c>
      <x:c r="AK234" s="12" t="str">
        <x:v>Pass</x:v>
      </x:c>
      <x:c r="AL234" s="12" t="str">
        <x:v>None</x:v>
      </x:c>
      <x:c r="AM234" s="12" t="str">
        <x:v>Valid</x:v>
      </x:c>
      <x:c r="AN234" s="12" t="str">
        <x:v>Include in completed sales</x:v>
      </x:c>
      <x:c r="AO234" s="12" t="str">
        <x:v>Not a refunded record</x:v>
      </x:c>
      <x:c r="AP234" s="37" t="n">
        <x:f>IF(LEFT($AM234,7)="Invalid","",IF($AM234="Missing discount imputed as 0",IF(AND(COUNT($O234,$P234,$R234,$S234)=4,$O234&gt;0,$P234&gt;=0,$R234&gt;=0,$S234&gt;=0),0,""),IF(AND(ISNUMBER($Q234),$Q234&gt;=0,$Q234&lt;=0.5),$Q234,"")))</x:f>
        <x:v>0.25</x:v>
      </x:c>
      <x:c r="AQ234" s="152" t="n">
        <x:f>IF(OR($W234="",NOT(ISNUMBER($R234))),"",ROUND($R234-$W234,2))</x:f>
        <x:v>0</x:v>
      </x:c>
      <x:c r="AR234" s="152" t="n">
        <x:f>IF(OR($X234="",NOT(ISNUMBER($T234))),"",ROUND($T234-$X234,2))</x:f>
        <x:v>0</x:v>
      </x:c>
      <x:c r="AS234" s="14" t="str">
        <x:v>OK</x:v>
      </x:c>
    </x:row>
    <x:row r="235">
      <x:c r="A235" s="80" t="n">
        <x:v>235</x:v>
      </x:c>
      <x:c r="B235" s="80" t="str">
        <x:v>ORD-2024-10234</x:v>
      </x:c>
      <x:c r="C235" s="81" t="n">
        <x:v>45579</x:v>
      </x:c>
      <x:c r="D235" s="81" t="n">
        <x:v>45579</x:v>
      </x:c>
      <x:c r="E235" s="80" t="str">
        <x:v>CUST-3710</x:v>
      </x:c>
      <x:c r="F235" s="80" t="str">
        <x:v>Vikram Iyer</x:v>
      </x:c>
      <x:c r="G235" s="80" t="str">
        <x:v>Corporate</x:v>
      </x:c>
      <x:c r="H235" s="80" t="str">
        <x:v>South</x:v>
      </x:c>
      <x:c r="I235" s="80" t="str">
        <x:v>Karnataka</x:v>
      </x:c>
      <x:c r="J235" s="80" t="str">
        <x:v>Bengaluru</x:v>
      </x:c>
      <x:c r="K235" s="80" t="str">
        <x:v>Furniture</x:v>
      </x:c>
      <x:c r="L235" s="80" t="str">
        <x:v>Bookcases</x:v>
      </x:c>
      <x:c r="M235" s="80" t="str">
        <x:v>Smart Bookcases 328</x:v>
      </x:c>
      <x:c r="N235" s="80" t="str">
        <x:v>Unknown</x:v>
      </x:c>
      <x:c r="O235" s="82" t="n">
        <x:v>8</x:v>
      </x:c>
      <x:c r="P235" s="83" t="n">
        <x:v>3904.59</x:v>
      </x:c>
      <x:c r="Q235" s="84" t="n">
        <x:v>0</x:v>
      </x:c>
      <x:c r="R235" s="83" t="n">
        <x:v>31236.72</x:v>
      </x:c>
      <x:c r="S235" s="83" t="n">
        <x:v>26377.7</x:v>
      </x:c>
      <x:c r="T235" s="83" t="n">
        <x:v>4859.02</x:v>
      </x:c>
      <x:c r="U235" s="83" t="str">
        <x:v>Paid</x:v>
      </x:c>
      <x:c r="V235" s="83" t="str">
        <x:v>Completed</x:v>
      </x:c>
      <x:c r="W235" s="151" t="n">
        <x:f>IF(OR(NOT(ISNUMBER($AP235)),COUNT($O235,$P235)&lt;2,$O235&lt;=0,$P235&lt;0),"",ROUND($O235*$P235*(1-$AP235),2))</x:f>
        <x:v>31236.72</x:v>
      </x:c>
      <x:c r="X235" s="151" t="n">
        <x:f>IF(OR(NOT(ISNUMBER($W235)),NOT(ISNUMBER($S235))),"",ROUND($W235-$S235,2))</x:f>
        <x:v>4859.02</x:v>
      </x:c>
      <x:c r="Y235" s="85" t="n">
        <x:f>IF(OR(NOT(ISNUMBER($W235)),NOT(ISNUMBER($X235)),$W235=0),"",ROUND($X235/$W235,4))</x:f>
        <x:v>0.1556</x:v>
      </x:c>
      <x:c r="Z235" s="82" t="n">
        <x:f>IF(OR($AH235&lt;&gt;"Valid",$AI235&lt;&gt;"Valid"),"",INT($D235-$C235))</x:f>
        <x:v>0</x:v>
      </x:c>
      <x:c r="AA235" s="86" t="str">
        <x:f>IF($AH235&lt;&gt;"Valid","",TEXT($C235,"mmmm"))</x:f>
        <x:v>October</x:v>
      </x:c>
      <x:c r="AB235" s="82" t="n">
        <x:f>IF($AH235&lt;&gt;"Valid","",YEAR($C235))</x:f>
        <x:v>2024</x:v>
      </x:c>
      <x:c r="AC235" s="80" t="str">
        <x:v>Consistent</x:v>
      </x:c>
      <x:c r="AD235" s="80" t="str">
        <x:v>Eligible</x:v>
      </x:c>
      <x:c r="AE235" s="80" t="str">
        <x:f>IF(OR($AH235&lt;&gt;"Valid",$AI235&lt;&gt;"Valid",$AJ235&lt;&gt;"Valid",LEFT($AM235,7)="Invalid",IFERROR(ABS($AQ235)&gt;0.01,FALSE),IFERROR(ABS($AR235)&gt;0.01,FALSE),COUNTIF($AS235,"*Conflicting duplicate*")&gt;0,COUNTIF($AS235,"*Completed order not paid*")&gt;0),"Invalid",IF(OR($H235="Unknown",$N235="Unknown",$AM235="Missing discount imputed as 0"),"Warning","Clean"))</x:f>
        <x:v>Warning</x:v>
      </x:c>
      <x:c r="AF235" s="80" t="str">
        <x:v>Cleaned</x:v>
      </x:c>
      <x:c r="AG235" s="80" t="str">
        <x:v>ship_mode: Missing value filled as Unknown</x:v>
      </x:c>
      <x:c r="AH235" s="12" t="str">
        <x:f>IF(C235="","Missing date",IF(ISNUMBER(C235),"Valid","Unrecognized/invalid date"))</x:f>
        <x:v>Valid</x:v>
      </x:c>
      <x:c r="AI235" s="12" t="str">
        <x:f>IF(D235="","Missing date",IF(ISNUMBER(D235),"Valid","Unrecognized/invalid date"))</x:f>
        <x:v>Valid</x:v>
      </x:c>
      <x:c r="AJ235" s="12" t="str">
        <x:v>Valid</x:v>
      </x:c>
      <x:c r="AK235" s="12" t="str">
        <x:v>Pass</x:v>
      </x:c>
      <x:c r="AL235" s="12" t="str">
        <x:v>Missing ship_mode filled as Unknown</x:v>
      </x:c>
      <x:c r="AM235" s="12" t="str">
        <x:v>Valid</x:v>
      </x:c>
      <x:c r="AN235" s="12" t="str">
        <x:v>Include in completed sales</x:v>
      </x:c>
      <x:c r="AO235" s="12" t="str">
        <x:v>Not a refunded record</x:v>
      </x:c>
      <x:c r="AP235" s="37" t="n">
        <x:f>IF(LEFT($AM235,7)="Invalid","",IF($AM235="Missing discount imputed as 0",IF(AND(COUNT($O235,$P235,$R235,$S235)=4,$O235&gt;0,$P235&gt;=0,$R235&gt;=0,$S235&gt;=0),0,""),IF(AND(ISNUMBER($Q235),$Q235&gt;=0,$Q235&lt;=0.5),$Q235,"")))</x:f>
        <x:v>0</x:v>
      </x:c>
      <x:c r="AQ235" s="152" t="n">
        <x:f>IF(OR($W235="",NOT(ISNUMBER($R235))),"",ROUND($R235-$W235,2))</x:f>
        <x:v>0</x:v>
      </x:c>
      <x:c r="AR235" s="152" t="n">
        <x:f>IF(OR($X235="",NOT(ISNUMBER($T235))),"",ROUND($T235-$X235,2))</x:f>
        <x:v>0</x:v>
      </x:c>
      <x:c r="AS235" s="14" t="str">
        <x:v>OK</x:v>
      </x:c>
    </x:row>
    <x:row r="236">
      <x:c r="A236" s="80" t="n">
        <x:v>236</x:v>
      </x:c>
      <x:c r="B236" s="80" t="str">
        <x:v>ORD-2024-10235</x:v>
      </x:c>
      <x:c r="C236" s="81" t="n">
        <x:v>45537</x:v>
      </x:c>
      <x:c r="D236" s="81" t="n">
        <x:v>45538</x:v>
      </x:c>
      <x:c r="E236" s="80" t="str">
        <x:v>CUST-9754</x:v>
      </x:c>
      <x:c r="F236" s="80" t="str">
        <x:v>Kabir Singh</x:v>
      </x:c>
      <x:c r="G236" s="80" t="str">
        <x:v>Home Office</x:v>
      </x:c>
      <x:c r="H236" s="80" t="str">
        <x:v>North</x:v>
      </x:c>
      <x:c r="I236" s="80" t="str">
        <x:v>Delhi</x:v>
      </x:c>
      <x:c r="J236" s="80" t="str">
        <x:v>New Delhi</x:v>
      </x:c>
      <x:c r="K236" s="80" t="str">
        <x:v>Furniture</x:v>
      </x:c>
      <x:c r="L236" s="80" t="str">
        <x:v>Furnishings</x:v>
      </x:c>
      <x:c r="M236" s="80" t="str">
        <x:v>Eco Furnishings 981</x:v>
      </x:c>
      <x:c r="N236" s="80" t="str">
        <x:v>First Class</x:v>
      </x:c>
      <x:c r="O236" s="82" t="n">
        <x:v>9</x:v>
      </x:c>
      <x:c r="P236" s="83" t="n">
        <x:v>1353.61</x:v>
      </x:c>
      <x:c r="Q236" s="84" t="n">
        <x:v>0.1</x:v>
      </x:c>
      <x:c r="R236" s="83" t="n">
        <x:v>10964.24</x:v>
      </x:c>
      <x:c r="S236" s="83" t="n">
        <x:v>9262.47</x:v>
      </x:c>
      <x:c r="T236" s="83" t="n">
        <x:v>1701.77</x:v>
      </x:c>
      <x:c r="U236" s="83" t="str">
        <x:v>Paid</x:v>
      </x:c>
      <x:c r="V236" s="83" t="str">
        <x:v>Completed</x:v>
      </x:c>
      <x:c r="W236" s="151" t="n">
        <x:f>IF(OR(NOT(ISNUMBER($AP236)),COUNT($O236,$P236)&lt;2,$O236&lt;=0,$P236&lt;0),"",ROUND($O236*$P236*(1-$AP236),2))</x:f>
        <x:v>10964.24</x:v>
      </x:c>
      <x:c r="X236" s="151" t="n">
        <x:f>IF(OR(NOT(ISNUMBER($W236)),NOT(ISNUMBER($S236))),"",ROUND($W236-$S236,2))</x:f>
        <x:v>1701.77</x:v>
      </x:c>
      <x:c r="Y236" s="85" t="n">
        <x:f>IF(OR(NOT(ISNUMBER($W236)),NOT(ISNUMBER($X236)),$W236=0),"",ROUND($X236/$W236,4))</x:f>
        <x:v>0.1552</x:v>
      </x:c>
      <x:c r="Z236" s="82" t="n">
        <x:f>IF(OR($AH236&lt;&gt;"Valid",$AI236&lt;&gt;"Valid"),"",INT($D236-$C236))</x:f>
        <x:v>1</x:v>
      </x:c>
      <x:c r="AA236" s="86" t="str">
        <x:f>IF($AH236&lt;&gt;"Valid","",TEXT($C236,"mmmm"))</x:f>
        <x:v>September</x:v>
      </x:c>
      <x:c r="AB236" s="82" t="n">
        <x:f>IF($AH236&lt;&gt;"Valid","",YEAR($C236))</x:f>
        <x:v>2024</x:v>
      </x:c>
      <x:c r="AC236" s="80" t="str">
        <x:v>Consistent</x:v>
      </x:c>
      <x:c r="AD236" s="80" t="str">
        <x:v>Eligible</x:v>
      </x:c>
      <x:c r="AE236" s="80" t="str">
        <x:f>IF(OR($AH236&lt;&gt;"Valid",$AI236&lt;&gt;"Valid",$AJ236&lt;&gt;"Valid",LEFT($AM236,7)="Invalid",IFERROR(ABS($AQ236)&gt;0.01,FALSE),IFERROR(ABS($AR236)&gt;0.01,FALSE),COUNTIF($AS236,"*Conflicting duplicate*")&gt;0,COUNTIF($AS236,"*Completed order not paid*")&gt;0),"Invalid",IF(OR($H236="Unknown",$N236="Unknown",$AM236="Missing discount imputed as 0"),"Warning","Clean"))</x:f>
        <x:v>Clean</x:v>
      </x:c>
      <x:c r="AF236" s="80" t="str">
        <x:v>Pass</x:v>
      </x:c>
      <x:c r="AG236" s="80" t="str">
        <x:v>No text cleanup required</x:v>
      </x:c>
      <x:c r="AH236" s="12" t="str">
        <x:f>IF(C236="","Missing date",IF(ISNUMBER(C236),"Valid","Unrecognized/invalid date"))</x:f>
        <x:v>Valid</x:v>
      </x:c>
      <x:c r="AI236" s="12" t="str">
        <x:f>IF(D236="","Missing date",IF(ISNUMBER(D236),"Valid","Unrecognized/invalid date"))</x:f>
        <x:v>Valid</x:v>
      </x:c>
      <x:c r="AJ236" s="12" t="str">
        <x:v>Valid</x:v>
      </x:c>
      <x:c r="AK236" s="12" t="str">
        <x:v>Pass</x:v>
      </x:c>
      <x:c r="AL236" s="12" t="str">
        <x:v>None</x:v>
      </x:c>
      <x:c r="AM236" s="12" t="str">
        <x:v>Valid</x:v>
      </x:c>
      <x:c r="AN236" s="12" t="str">
        <x:v>Include in completed sales</x:v>
      </x:c>
      <x:c r="AO236" s="12" t="str">
        <x:v>Not a refunded record</x:v>
      </x:c>
      <x:c r="AP236" s="37" t="n">
        <x:f>IF(LEFT($AM236,7)="Invalid","",IF($AM236="Missing discount imputed as 0",IF(AND(COUNT($O236,$P236,$R236,$S236)=4,$O236&gt;0,$P236&gt;=0,$R236&gt;=0,$S236&gt;=0),0,""),IF(AND(ISNUMBER($Q236),$Q236&gt;=0,$Q236&lt;=0.5),$Q236,"")))</x:f>
        <x:v>0.1</x:v>
      </x:c>
      <x:c r="AQ236" s="152" t="n">
        <x:f>IF(OR($W236="",NOT(ISNUMBER($R236))),"",ROUND($R236-$W236,2))</x:f>
        <x:v>0</x:v>
      </x:c>
      <x:c r="AR236" s="152" t="n">
        <x:f>IF(OR($X236="",NOT(ISNUMBER($T236))),"",ROUND($T236-$X236,2))</x:f>
        <x:v>0</x:v>
      </x:c>
      <x:c r="AS236" s="14" t="str">
        <x:v>OK</x:v>
      </x:c>
    </x:row>
    <x:row r="237">
      <x:c r="A237" s="80" t="n">
        <x:v>237</x:v>
      </x:c>
      <x:c r="B237" s="80" t="str">
        <x:v>ORD-2024-10236</x:v>
      </x:c>
      <x:c r="C237" s="81" t="n">
        <x:v>45598</x:v>
      </x:c>
      <x:c r="D237" s="81" t="n">
        <x:v>45599</x:v>
      </x:c>
      <x:c r="E237" s="80" t="str">
        <x:v>CUST-6256</x:v>
      </x:c>
      <x:c r="F237" s="80" t="str">
        <x:v>Rahul Verma</x:v>
      </x:c>
      <x:c r="G237" s="80" t="str">
        <x:v>Small Business</x:v>
      </x:c>
      <x:c r="H237" s="80" t="str">
        <x:v>West</x:v>
      </x:c>
      <x:c r="I237" s="80" t="str">
        <x:v>Rajasthan</x:v>
      </x:c>
      <x:c r="J237" s="80" t="str">
        <x:v>Udaipur</x:v>
      </x:c>
      <x:c r="K237" s="80" t="str">
        <x:v>Office Supplies</x:v>
      </x:c>
      <x:c r="L237" s="80" t="str">
        <x:v>Storage</x:v>
      </x:c>
      <x:c r="M237" s="80" t="str">
        <x:v>Basic Storage 195</x:v>
      </x:c>
      <x:c r="N237" s="80" t="str">
        <x:v>Standard Class</x:v>
      </x:c>
      <x:c r="O237" s="82" t="n">
        <x:v>6</x:v>
      </x:c>
      <x:c r="P237" s="83" t="n">
        <x:v>2671.29</x:v>
      </x:c>
      <x:c r="Q237" s="84" t="n">
        <x:v>0.05</x:v>
      </x:c>
      <x:c r="R237" s="83" t="n">
        <x:v>15226.35</x:v>
      </x:c>
      <x:c r="S237" s="83" t="n">
        <x:v>11145.28</x:v>
      </x:c>
      <x:c r="T237" s="83" t="n">
        <x:v>4081.07</x:v>
      </x:c>
      <x:c r="U237" s="83" t="str">
        <x:v>Paid</x:v>
      </x:c>
      <x:c r="V237" s="83" t="str">
        <x:v>Completed</x:v>
      </x:c>
      <x:c r="W237" s="151" t="n">
        <x:f>IF(OR(NOT(ISNUMBER($AP237)),COUNT($O237,$P237)&lt;2,$O237&lt;=0,$P237&lt;0),"",ROUND($O237*$P237*(1-$AP237),2))</x:f>
        <x:v>15226.35</x:v>
      </x:c>
      <x:c r="X237" s="151" t="n">
        <x:f>IF(OR(NOT(ISNUMBER($W237)),NOT(ISNUMBER($S237))),"",ROUND($W237-$S237,2))</x:f>
        <x:v>4081.07</x:v>
      </x:c>
      <x:c r="Y237" s="85" t="n">
        <x:f>IF(OR(NOT(ISNUMBER($W237)),NOT(ISNUMBER($X237)),$W237=0),"",ROUND($X237/$W237,4))</x:f>
        <x:v>0.268</x:v>
      </x:c>
      <x:c r="Z237" s="82" t="n">
        <x:f>IF(OR($AH237&lt;&gt;"Valid",$AI237&lt;&gt;"Valid"),"",INT($D237-$C237))</x:f>
        <x:v>1</x:v>
      </x:c>
      <x:c r="AA237" s="86" t="str">
        <x:f>IF($AH237&lt;&gt;"Valid","",TEXT($C237,"mmmm"))</x:f>
        <x:v>November</x:v>
      </x:c>
      <x:c r="AB237" s="82" t="n">
        <x:f>IF($AH237&lt;&gt;"Valid","",YEAR($C237))</x:f>
        <x:v>2024</x:v>
      </x:c>
      <x:c r="AC237" s="80" t="str">
        <x:v>Consistent</x:v>
      </x:c>
      <x:c r="AD237" s="80" t="str">
        <x:v>Eligible</x:v>
      </x:c>
      <x:c r="AE237" s="80" t="str">
        <x:f>IF(OR($AH237&lt;&gt;"Valid",$AI237&lt;&gt;"Valid",$AJ237&lt;&gt;"Valid",LEFT($AM237,7)="Invalid",IFERROR(ABS($AQ237)&gt;0.01,FALSE),IFERROR(ABS($AR237)&gt;0.01,FALSE),COUNTIF($AS237,"*Conflicting duplicate*")&gt;0,COUNTIF($AS237,"*Completed order not paid*")&gt;0),"Invalid",IF(OR($H237="Unknown",$N237="Unknown",$AM237="Missing discount imputed as 0"),"Warning","Clean"))</x:f>
        <x:v>Clean</x:v>
      </x:c>
      <x:c r="AF237" s="80" t="str">
        <x:v>Pass</x:v>
      </x:c>
      <x:c r="AG237" s="80" t="str">
        <x:v>No text cleanup required</x:v>
      </x:c>
      <x:c r="AH237" s="12" t="str">
        <x:f>IF(C237="","Missing date",IF(ISNUMBER(C237),"Valid","Unrecognized/invalid date"))</x:f>
        <x:v>Valid</x:v>
      </x:c>
      <x:c r="AI237" s="12" t="str">
        <x:f>IF(D237="","Missing date",IF(ISNUMBER(D237),"Valid","Unrecognized/invalid date"))</x:f>
        <x:v>Valid</x:v>
      </x:c>
      <x:c r="AJ237" s="12" t="str">
        <x:v>Valid</x:v>
      </x:c>
      <x:c r="AK237" s="12" t="str">
        <x:v>Pass</x:v>
      </x:c>
      <x:c r="AL237" s="12" t="str">
        <x:v>None</x:v>
      </x:c>
      <x:c r="AM237" s="12" t="str">
        <x:v>Valid</x:v>
      </x:c>
      <x:c r="AN237" s="12" t="str">
        <x:v>Include in completed sales</x:v>
      </x:c>
      <x:c r="AO237" s="12" t="str">
        <x:v>Not a refunded record</x:v>
      </x:c>
      <x:c r="AP237" s="37" t="n">
        <x:f>IF(LEFT($AM237,7)="Invalid","",IF($AM237="Missing discount imputed as 0",IF(AND(COUNT($O237,$P237,$R237,$S237)=4,$O237&gt;0,$P237&gt;=0,$R237&gt;=0,$S237&gt;=0),0,""),IF(AND(ISNUMBER($Q237),$Q237&gt;=0,$Q237&lt;=0.5),$Q237,"")))</x:f>
        <x:v>0.05</x:v>
      </x:c>
      <x:c r="AQ237" s="152" t="n">
        <x:f>IF(OR($W237="",NOT(ISNUMBER($R237))),"",ROUND($R237-$W237,2))</x:f>
        <x:v>0</x:v>
      </x:c>
      <x:c r="AR237" s="152" t="n">
        <x:f>IF(OR($X237="",NOT(ISNUMBER($T237))),"",ROUND($T237-$X237,2))</x:f>
        <x:v>0</x:v>
      </x:c>
      <x:c r="AS237" s="14" t="str">
        <x:v>OK</x:v>
      </x:c>
    </x:row>
    <x:row r="238">
      <x:c r="A238" s="80" t="n">
        <x:v>238</x:v>
      </x:c>
      <x:c r="B238" s="80" t="str">
        <x:v>ORD-2024-10237</x:v>
      </x:c>
      <x:c r="C238" s="81" t="n">
        <x:v>45579</x:v>
      </x:c>
      <x:c r="D238" s="81" t="n">
        <x:v>45586</x:v>
      </x:c>
      <x:c r="E238" s="80" t="str">
        <x:v>CUST-7113</x:v>
      </x:c>
      <x:c r="F238" s="80" t="str">
        <x:v>Priya Menon</x:v>
      </x:c>
      <x:c r="G238" s="80" t="str">
        <x:v>Corporate</x:v>
      </x:c>
      <x:c r="H238" s="80" t="str">
        <x:v>North</x:v>
      </x:c>
      <x:c r="I238" s="80" t="str">
        <x:v>Uttar Pradesh</x:v>
      </x:c>
      <x:c r="J238" s="80" t="str">
        <x:v>Noida</x:v>
      </x:c>
      <x:c r="K238" s="80" t="str">
        <x:v>Furniture</x:v>
      </x:c>
      <x:c r="L238" s="80" t="str">
        <x:v>Bookcases</x:v>
      </x:c>
      <x:c r="M238" s="80" t="str">
        <x:v>Elite Bookcases 907</x:v>
      </x:c>
      <x:c r="N238" s="80" t="str">
        <x:v>First Class</x:v>
      </x:c>
      <x:c r="O238" s="82" t="n">
        <x:v>6</x:v>
      </x:c>
      <x:c r="P238" s="83" t="n">
        <x:v>4062.78</x:v>
      </x:c>
      <x:c r="Q238" s="84" t="n">
        <x:v>0</x:v>
      </x:c>
      <x:c r="R238" s="83" t="n">
        <x:v>24376.68</x:v>
      </x:c>
      <x:c r="S238" s="83" t="n">
        <x:v>18533.39</x:v>
      </x:c>
      <x:c r="T238" s="83" t="n">
        <x:v>5843.29</x:v>
      </x:c>
      <x:c r="U238" s="83" t="str">
        <x:v>Paid</x:v>
      </x:c>
      <x:c r="V238" s="83" t="str">
        <x:v>Completed</x:v>
      </x:c>
      <x:c r="W238" s="151" t="n">
        <x:f>IF(OR(NOT(ISNUMBER($AP238)),COUNT($O238,$P238)&lt;2,$O238&lt;=0,$P238&lt;0),"",ROUND($O238*$P238*(1-$AP238),2))</x:f>
        <x:v>24376.68</x:v>
      </x:c>
      <x:c r="X238" s="151" t="n">
        <x:f>IF(OR(NOT(ISNUMBER($W238)),NOT(ISNUMBER($S238))),"",ROUND($W238-$S238,2))</x:f>
        <x:v>5843.29</x:v>
      </x:c>
      <x:c r="Y238" s="85" t="n">
        <x:f>IF(OR(NOT(ISNUMBER($W238)),NOT(ISNUMBER($X238)),$W238=0),"",ROUND($X238/$W238,4))</x:f>
        <x:v>0.2397</x:v>
      </x:c>
      <x:c r="Z238" s="82" t="n">
        <x:f>IF(OR($AH238&lt;&gt;"Valid",$AI238&lt;&gt;"Valid"),"",INT($D238-$C238))</x:f>
        <x:v>7</x:v>
      </x:c>
      <x:c r="AA238" s="86" t="str">
        <x:f>IF($AH238&lt;&gt;"Valid","",TEXT($C238,"mmmm"))</x:f>
        <x:v>October</x:v>
      </x:c>
      <x:c r="AB238" s="82" t="n">
        <x:f>IF($AH238&lt;&gt;"Valid","",YEAR($C238))</x:f>
        <x:v>2024</x:v>
      </x:c>
      <x:c r="AC238" s="80" t="str">
        <x:v>Consistent</x:v>
      </x:c>
      <x:c r="AD238" s="80" t="str">
        <x:v>Eligible</x:v>
      </x:c>
      <x:c r="AE238" s="80" t="str">
        <x:f>IF(OR($AH238&lt;&gt;"Valid",$AI238&lt;&gt;"Valid",$AJ238&lt;&gt;"Valid",LEFT($AM238,7)="Invalid",IFERROR(ABS($AQ238)&gt;0.01,FALSE),IFERROR(ABS($AR238)&gt;0.01,FALSE),COUNTIF($AS238,"*Conflicting duplicate*")&gt;0,COUNTIF($AS238,"*Completed order not paid*")&gt;0),"Invalid",IF(OR($H238="Unknown",$N238="Unknown",$AM238="Missing discount imputed as 0"),"Warning","Clean"))</x:f>
        <x:v>Clean</x:v>
      </x:c>
      <x:c r="AF238" s="80" t="str">
        <x:v>Pass</x:v>
      </x:c>
      <x:c r="AG238" s="80" t="str">
        <x:v>No text cleanup required</x:v>
      </x:c>
      <x:c r="AH238" s="12" t="str">
        <x:f>IF(C238="","Missing date",IF(ISNUMBER(C238),"Valid","Unrecognized/invalid date"))</x:f>
        <x:v>Valid</x:v>
      </x:c>
      <x:c r="AI238" s="12" t="str">
        <x:f>IF(D238="","Missing date",IF(ISNUMBER(D238),"Valid","Unrecognized/invalid date"))</x:f>
        <x:v>Valid</x:v>
      </x:c>
      <x:c r="AJ238" s="12" t="str">
        <x:v>Valid</x:v>
      </x:c>
      <x:c r="AK238" s="12" t="str">
        <x:v>Pass</x:v>
      </x:c>
      <x:c r="AL238" s="12" t="str">
        <x:v>None</x:v>
      </x:c>
      <x:c r="AM238" s="12" t="str">
        <x:v>Valid</x:v>
      </x:c>
      <x:c r="AN238" s="12" t="str">
        <x:v>Include in completed sales</x:v>
      </x:c>
      <x:c r="AO238" s="12" t="str">
        <x:v>Not a refunded record</x:v>
      </x:c>
      <x:c r="AP238" s="37" t="n">
        <x:f>IF(LEFT($AM238,7)="Invalid","",IF($AM238="Missing discount imputed as 0",IF(AND(COUNT($O238,$P238,$R238,$S238)=4,$O238&gt;0,$P238&gt;=0,$R238&gt;=0,$S238&gt;=0),0,""),IF(AND(ISNUMBER($Q238),$Q238&gt;=0,$Q238&lt;=0.5),$Q238,"")))</x:f>
        <x:v>0</x:v>
      </x:c>
      <x:c r="AQ238" s="152" t="n">
        <x:f>IF(OR($W238="",NOT(ISNUMBER($R238))),"",ROUND($R238-$W238,2))</x:f>
        <x:v>0</x:v>
      </x:c>
      <x:c r="AR238" s="152" t="n">
        <x:f>IF(OR($X238="",NOT(ISNUMBER($T238))),"",ROUND($T238-$X238,2))</x:f>
        <x:v>0</x:v>
      </x:c>
      <x:c r="AS238" s="14" t="str">
        <x:v>OK</x:v>
      </x:c>
    </x:row>
    <x:row r="239">
      <x:c r="A239" s="80" t="n">
        <x:v>239</x:v>
      </x:c>
      <x:c r="B239" s="80" t="str">
        <x:v>ORD-2024-10238</x:v>
      </x:c>
      <x:c r="C239" s="81" t="n">
        <x:v>45531</x:v>
      </x:c>
      <x:c r="D239" s="81" t="n">
        <x:v>45531</x:v>
      </x:c>
      <x:c r="E239" s="80" t="str">
        <x:v>CUST-3827</x:v>
      </x:c>
      <x:c r="F239" s="80" t="str">
        <x:v>Mira Das</x:v>
      </x:c>
      <x:c r="G239" s="80" t="str">
        <x:v>Consumer</x:v>
      </x:c>
      <x:c r="H239" s="80" t="str">
        <x:v>North</x:v>
      </x:c>
      <x:c r="I239" s="80" t="str">
        <x:v>Haryana</x:v>
      </x:c>
      <x:c r="J239" s="80" t="str">
        <x:v>Gurugram</x:v>
      </x:c>
      <x:c r="K239" s="80" t="str">
        <x:v>Technology</x:v>
      </x:c>
      <x:c r="L239" s="80" t="str">
        <x:v>Copiers</x:v>
      </x:c>
      <x:c r="M239" s="80" t="str">
        <x:v>Smart Copiers 471</x:v>
      </x:c>
      <x:c r="N239" s="80" t="str">
        <x:v>Standard Class</x:v>
      </x:c>
      <x:c r="O239" s="82" t="n">
        <x:v>9</x:v>
      </x:c>
      <x:c r="P239" s="83" t="n">
        <x:v>2330.3</x:v>
      </x:c>
      <x:c r="Q239" s="84" t="n">
        <x:v>0</x:v>
      </x:c>
      <x:c r="R239" s="83" t="n">
        <x:v>20972.7</x:v>
      </x:c>
      <x:c r="S239" s="83" t="n">
        <x:v>13504.88</x:v>
      </x:c>
      <x:c r="T239" s="83" t="n">
        <x:v>7467.82</x:v>
      </x:c>
      <x:c r="U239" s="83" t="str">
        <x:v>Paid</x:v>
      </x:c>
      <x:c r="V239" s="83" t="str">
        <x:v>Completed</x:v>
      </x:c>
      <x:c r="W239" s="151" t="n">
        <x:f>IF(OR(NOT(ISNUMBER($AP239)),COUNT($O239,$P239)&lt;2,$O239&lt;=0,$P239&lt;0),"",ROUND($O239*$P239*(1-$AP239),2))</x:f>
        <x:v>20972.7</x:v>
      </x:c>
      <x:c r="X239" s="151" t="n">
        <x:f>IF(OR(NOT(ISNUMBER($W239)),NOT(ISNUMBER($S239))),"",ROUND($W239-$S239,2))</x:f>
        <x:v>7467.82</x:v>
      </x:c>
      <x:c r="Y239" s="85" t="n">
        <x:f>IF(OR(NOT(ISNUMBER($W239)),NOT(ISNUMBER($X239)),$W239=0),"",ROUND($X239/$W239,4))</x:f>
        <x:v>0.3561</x:v>
      </x:c>
      <x:c r="Z239" s="82" t="n">
        <x:f>IF(OR($AH239&lt;&gt;"Valid",$AI239&lt;&gt;"Valid"),"",INT($D239-$C239))</x:f>
        <x:v>0</x:v>
      </x:c>
      <x:c r="AA239" s="86" t="str">
        <x:f>IF($AH239&lt;&gt;"Valid","",TEXT($C239,"mmmm"))</x:f>
        <x:v>August</x:v>
      </x:c>
      <x:c r="AB239" s="82" t="n">
        <x:f>IF($AH239&lt;&gt;"Valid","",YEAR($C239))</x:f>
        <x:v>2024</x:v>
      </x:c>
      <x:c r="AC239" s="80" t="str">
        <x:v>Consistent</x:v>
      </x:c>
      <x:c r="AD239" s="80" t="str">
        <x:v>Eligible</x:v>
      </x:c>
      <x:c r="AE239" s="80" t="str">
        <x:f>IF(OR($AH239&lt;&gt;"Valid",$AI239&lt;&gt;"Valid",$AJ239&lt;&gt;"Valid",LEFT($AM239,7)="Invalid",IFERROR(ABS($AQ239)&gt;0.01,FALSE),IFERROR(ABS($AR239)&gt;0.01,FALSE),COUNTIF($AS239,"*Conflicting duplicate*")&gt;0,COUNTIF($AS239,"*Completed order not paid*")&gt;0),"Invalid",IF(OR($H239="Unknown",$N239="Unknown",$AM239="Missing discount imputed as 0"),"Warning","Clean"))</x:f>
        <x:v>Clean</x:v>
      </x:c>
      <x:c r="AF239" s="80" t="str">
        <x:v>Pass</x:v>
      </x:c>
      <x:c r="AG239" s="80" t="str">
        <x:v>No text cleanup required</x:v>
      </x:c>
      <x:c r="AH239" s="12" t="str">
        <x:f>IF(C239="","Missing date",IF(ISNUMBER(C239),"Valid","Unrecognized/invalid date"))</x:f>
        <x:v>Valid</x:v>
      </x:c>
      <x:c r="AI239" s="12" t="str">
        <x:f>IF(D239="","Missing date",IF(ISNUMBER(D239),"Valid","Unrecognized/invalid date"))</x:f>
        <x:v>Valid</x:v>
      </x:c>
      <x:c r="AJ239" s="12" t="str">
        <x:v>Valid</x:v>
      </x:c>
      <x:c r="AK239" s="12" t="str">
        <x:v>Pass</x:v>
      </x:c>
      <x:c r="AL239" s="12" t="str">
        <x:v>None</x:v>
      </x:c>
      <x:c r="AM239" s="12" t="str">
        <x:v>Valid</x:v>
      </x:c>
      <x:c r="AN239" s="12" t="str">
        <x:v>Include in completed sales</x:v>
      </x:c>
      <x:c r="AO239" s="12" t="str">
        <x:v>Not a refunded record</x:v>
      </x:c>
      <x:c r="AP239" s="37" t="n">
        <x:f>IF(LEFT($AM239,7)="Invalid","",IF($AM239="Missing discount imputed as 0",IF(AND(COUNT($O239,$P239,$R239,$S239)=4,$O239&gt;0,$P239&gt;=0,$R239&gt;=0,$S239&gt;=0),0,""),IF(AND(ISNUMBER($Q239),$Q239&gt;=0,$Q239&lt;=0.5),$Q239,"")))</x:f>
        <x:v>0</x:v>
      </x:c>
      <x:c r="AQ239" s="152" t="n">
        <x:f>IF(OR($W239="",NOT(ISNUMBER($R239))),"",ROUND($R239-$W239,2))</x:f>
        <x:v>0</x:v>
      </x:c>
      <x:c r="AR239" s="152" t="n">
        <x:f>IF(OR($X239="",NOT(ISNUMBER($T239))),"",ROUND($T239-$X239,2))</x:f>
        <x:v>0</x:v>
      </x:c>
      <x:c r="AS239" s="14" t="str">
        <x:v>OK</x:v>
      </x:c>
    </x:row>
    <x:row r="240">
      <x:c r="A240" s="80" t="n">
        <x:v>240</x:v>
      </x:c>
      <x:c r="B240" s="80" t="str">
        <x:v>ORD-2024-10239</x:v>
      </x:c>
      <x:c r="C240" s="81" t="n">
        <x:v>45303</x:v>
      </x:c>
      <x:c r="D240" s="81" t="n">
        <x:v>45308</x:v>
      </x:c>
      <x:c r="E240" s="80" t="str">
        <x:v>CUST-2375</x:v>
      </x:c>
      <x:c r="F240" s="80" t="str">
        <x:v>Arjun Bose</x:v>
      </x:c>
      <x:c r="G240" s="80" t="str">
        <x:v>Consumer</x:v>
      </x:c>
      <x:c r="H240" s="80" t="str">
        <x:v>South</x:v>
      </x:c>
      <x:c r="I240" s="80" t="str">
        <x:v>Andhra Pradesh</x:v>
      </x:c>
      <x:c r="J240" s="80" t="str">
        <x:v>Vijayawada</x:v>
      </x:c>
      <x:c r="K240" s="80" t="str">
        <x:v>Office Supplies</x:v>
      </x:c>
      <x:c r="L240" s="80" t="str">
        <x:v>Storage</x:v>
      </x:c>
      <x:c r="M240" s="80" t="str">
        <x:v>Prime Storage 625</x:v>
      </x:c>
      <x:c r="N240" s="80" t="str">
        <x:v>First Class</x:v>
      </x:c>
      <x:c r="O240" s="82" t="n">
        <x:v>7</x:v>
      </x:c>
      <x:c r="P240" s="83" t="n">
        <x:v>4005.05</x:v>
      </x:c>
      <x:c r="Q240" s="84" t="n">
        <x:v>0.55</x:v>
      </x:c>
      <x:c r="R240" s="83" t="n">
        <x:v>26633.58</x:v>
      </x:c>
      <x:c r="S240" s="83" t="n">
        <x:v>18838.75</x:v>
      </x:c>
      <x:c r="T240" s="83" t="n">
        <x:v>7794.83</x:v>
      </x:c>
      <x:c r="U240" s="83" t="str">
        <x:v>Paid</x:v>
      </x:c>
      <x:c r="V240" s="83" t="str">
        <x:v>Completed</x:v>
      </x:c>
      <x:c r="W240" s="151" t="str">
        <x:f>IF(OR(NOT(ISNUMBER($AP240)),COUNT($O240,$P240)&lt;2,$O240&lt;=0,$P240&lt;0),"",ROUND($O240*$P240*(1-$AP240),2))</x:f>
      </x:c>
      <x:c r="X240" s="151" t="str">
        <x:f>IF(OR(NOT(ISNUMBER($W240)),NOT(ISNUMBER($S240))),"",ROUND($W240-$S240,2))</x:f>
      </x:c>
      <x:c r="Y240" s="85" t="str">
        <x:f>IF(OR(NOT(ISNUMBER($W240)),NOT(ISNUMBER($X240)),$W240=0),"",ROUND($X240/$W240,4))</x:f>
      </x:c>
      <x:c r="Z240" s="82" t="n">
        <x:f>IF(OR($AH240&lt;&gt;"Valid",$AI240&lt;&gt;"Valid"),"",INT($D240-$C240))</x:f>
        <x:v>5</x:v>
      </x:c>
      <x:c r="AA240" s="86" t="str">
        <x:f>IF($AH240&lt;&gt;"Valid","",TEXT($C240,"mmmm"))</x:f>
        <x:v>January</x:v>
      </x:c>
      <x:c r="AB240" s="82" t="n">
        <x:f>IF($AH240&lt;&gt;"Valid","",YEAR($C240))</x:f>
        <x:v>2024</x:v>
      </x:c>
      <x:c r="AC240" s="80" t="str">
        <x:v>Consistent</x:v>
      </x:c>
      <x:c r="AD240" s="80" t="str">
        <x:v>Excluded</x:v>
      </x:c>
      <x:c r="AE240" s="80" t="str">
        <x:f>IF(OR($AH240&lt;&gt;"Valid",$AI240&lt;&gt;"Valid",$AJ240&lt;&gt;"Valid",LEFT($AM240,7)="Invalid",IFERROR(ABS($AQ240)&gt;0.01,FALSE),IFERROR(ABS($AR240)&gt;0.01,FALSE),COUNTIF($AS240,"*Conflicting duplicate*")&gt;0,COUNTIF($AS240,"*Completed order not paid*")&gt;0),"Invalid",IF(OR($H240="Unknown",$N240="Unknown",$AM240="Missing discount imputed as 0"),"Warning","Clean"))</x:f>
        <x:v>Invalid</x:v>
      </x:c>
      <x:c r="AF240" s="80" t="str">
        <x:v>Review</x:v>
      </x:c>
      <x:c r="AG240" s="80" t="str">
        <x:v>No text cleanup required</x:v>
      </x:c>
      <x:c r="AH240" s="12" t="str">
        <x:f>IF(C240="","Missing date",IF(ISNUMBER(C240),"Valid","Unrecognized/invalid date"))</x:f>
        <x:v>Valid</x:v>
      </x:c>
      <x:c r="AI240" s="12" t="str">
        <x:f>IF(D240="","Missing date",IF(ISNUMBER(D240),"Valid","Unrecognized/invalid date"))</x:f>
        <x:v>Valid</x:v>
      </x:c>
      <x:c r="AJ240" s="12" t="str">
        <x:v>Valid</x:v>
      </x:c>
      <x:c r="AK240" s="12" t="str">
        <x:v>Pass</x:v>
      </x:c>
      <x:c r="AL240" s="12" t="str">
        <x:v>None</x:v>
      </x:c>
      <x:c r="AM240" s="12" t="str">
        <x:v>Invalid discount – above 50% allowed range</x:v>
      </x:c>
      <x:c r="AN240" s="12" t="str">
        <x:v>Exclude from completed sales</x:v>
      </x:c>
      <x:c r="AO240" s="12" t="str">
        <x:v>Not a refunded record</x:v>
      </x:c>
      <x:c r="AP240" s="37" t="str">
        <x:f>IF(LEFT($AM240,7)="Invalid","",IF($AM240="Missing discount imputed as 0",IF(AND(COUNT($O240,$P240,$R240,$S240)=4,$O240&gt;0,$P240&gt;=0,$R240&gt;=0,$S240&gt;=0),0,""),IF(AND(ISNUMBER($Q240),$Q240&gt;=0,$Q240&lt;=0.5),$Q240,"")))</x:f>
      </x:c>
      <x:c r="AQ240" s="152" t="str">
        <x:f>IF(OR($W240="",NOT(ISNUMBER($R240))),"",ROUND($R240-$W240,2))</x:f>
      </x:c>
      <x:c r="AR240" s="152" t="str">
        <x:f>IF(OR($X240="",NOT(ISNUMBER($T240))),"",ROUND($T240-$X240,2))</x:f>
      </x:c>
      <x:c r="AS240" s="14" t="str">
        <x:v>Discount above allowed range (&gt;50%)</x:v>
      </x:c>
    </x:row>
    <x:row r="241">
      <x:c r="A241" s="80" t="n">
        <x:v>241</x:v>
      </x:c>
      <x:c r="B241" s="80" t="str">
        <x:v>ORD-2024-10240</x:v>
      </x:c>
      <x:c r="C241" s="81" t="n">
        <x:v>45556</x:v>
      </x:c>
      <x:c r="D241" s="81" t="n">
        <x:v>45556</x:v>
      </x:c>
      <x:c r="E241" s="80" t="str">
        <x:v>CUST-2233</x:v>
      </x:c>
      <x:c r="F241" s="80" t="str">
        <x:v>Kabir Singh</x:v>
      </x:c>
      <x:c r="G241" s="80" t="str">
        <x:v>Corporate</x:v>
      </x:c>
      <x:c r="H241" s="80" t="str">
        <x:v>South</x:v>
      </x:c>
      <x:c r="I241" s="80" t="str">
        <x:v>Karnataka</x:v>
      </x:c>
      <x:c r="J241" s="80" t="str">
        <x:v>Bengaluru</x:v>
      </x:c>
      <x:c r="K241" s="80" t="str">
        <x:v>Technology</x:v>
      </x:c>
      <x:c r="L241" s="80" t="str">
        <x:v>Machines</x:v>
      </x:c>
      <x:c r="M241" s="80" t="str">
        <x:v>Smart Machines 801</x:v>
      </x:c>
      <x:c r="N241" s="80" t="str">
        <x:v>First Class</x:v>
      </x:c>
      <x:c r="O241" s="82" t="n">
        <x:v>2</x:v>
      </x:c>
      <x:c r="P241" s="83" t="n">
        <x:v>1960.06</x:v>
      </x:c>
      <x:c r="Q241" s="84" t="n">
        <x:v>0.2</x:v>
      </x:c>
      <x:c r="R241" s="83" t="n">
        <x:v>3136.1</x:v>
      </x:c>
      <x:c r="S241" s="83" t="n">
        <x:v>2279.49</x:v>
      </x:c>
      <x:c r="T241" s="83" t="n">
        <x:v>856.61</x:v>
      </x:c>
      <x:c r="U241" s="83" t="str">
        <x:v>Paid</x:v>
      </x:c>
      <x:c r="V241" s="83" t="str">
        <x:v>Completed</x:v>
      </x:c>
      <x:c r="W241" s="151" t="n">
        <x:f>IF(OR(NOT(ISNUMBER($AP241)),COUNT($O241,$P241)&lt;2,$O241&lt;=0,$P241&lt;0),"",ROUND($O241*$P241*(1-$AP241),2))</x:f>
        <x:v>3136.1</x:v>
      </x:c>
      <x:c r="X241" s="151" t="n">
        <x:f>IF(OR(NOT(ISNUMBER($W241)),NOT(ISNUMBER($S241))),"",ROUND($W241-$S241,2))</x:f>
        <x:v>856.61</x:v>
      </x:c>
      <x:c r="Y241" s="85" t="n">
        <x:f>IF(OR(NOT(ISNUMBER($W241)),NOT(ISNUMBER($X241)),$W241=0),"",ROUND($X241/$W241,4))</x:f>
        <x:v>0.2731</x:v>
      </x:c>
      <x:c r="Z241" s="82" t="n">
        <x:f>IF(OR($AH241&lt;&gt;"Valid",$AI241&lt;&gt;"Valid"),"",INT($D241-$C241))</x:f>
        <x:v>0</x:v>
      </x:c>
      <x:c r="AA241" s="86" t="str">
        <x:f>IF($AH241&lt;&gt;"Valid","",TEXT($C241,"mmmm"))</x:f>
        <x:v>September</x:v>
      </x:c>
      <x:c r="AB241" s="82" t="n">
        <x:f>IF($AH241&lt;&gt;"Valid","",YEAR($C241))</x:f>
        <x:v>2024</x:v>
      </x:c>
      <x:c r="AC241" s="80" t="str">
        <x:v>Consistent</x:v>
      </x:c>
      <x:c r="AD241" s="80" t="str">
        <x:v>Eligible</x:v>
      </x:c>
      <x:c r="AE241" s="80" t="str">
        <x:f>IF(OR($AH241&lt;&gt;"Valid",$AI241&lt;&gt;"Valid",$AJ241&lt;&gt;"Valid",LEFT($AM241,7)="Invalid",IFERROR(ABS($AQ241)&gt;0.01,FALSE),IFERROR(ABS($AR241)&gt;0.01,FALSE),COUNTIF($AS241,"*Conflicting duplicate*")&gt;0,COUNTIF($AS241,"*Completed order not paid*")&gt;0),"Invalid",IF(OR($H241="Unknown",$N241="Unknown",$AM241="Missing discount imputed as 0"),"Warning","Clean"))</x:f>
        <x:v>Clean</x:v>
      </x:c>
      <x:c r="AF241" s="80" t="str">
        <x:v>Pass</x:v>
      </x:c>
      <x:c r="AG241" s="80" t="str">
        <x:v>No text cleanup required</x:v>
      </x:c>
      <x:c r="AH241" s="12" t="str">
        <x:f>IF(C241="","Missing date",IF(ISNUMBER(C241),"Valid","Unrecognized/invalid date"))</x:f>
        <x:v>Valid</x:v>
      </x:c>
      <x:c r="AI241" s="12" t="str">
        <x:f>IF(D241="","Missing date",IF(ISNUMBER(D241),"Valid","Unrecognized/invalid date"))</x:f>
        <x:v>Valid</x:v>
      </x:c>
      <x:c r="AJ241" s="12" t="str">
        <x:v>Valid</x:v>
      </x:c>
      <x:c r="AK241" s="12" t="str">
        <x:v>Pass</x:v>
      </x:c>
      <x:c r="AL241" s="12" t="str">
        <x:v>None</x:v>
      </x:c>
      <x:c r="AM241" s="12" t="str">
        <x:v>Valid</x:v>
      </x:c>
      <x:c r="AN241" s="12" t="str">
        <x:v>Include in completed sales</x:v>
      </x:c>
      <x:c r="AO241" s="12" t="str">
        <x:v>Not a refunded record</x:v>
      </x:c>
      <x:c r="AP241" s="37" t="n">
        <x:f>IF(LEFT($AM241,7)="Invalid","",IF($AM241="Missing discount imputed as 0",IF(AND(COUNT($O241,$P241,$R241,$S241)=4,$O241&gt;0,$P241&gt;=0,$R241&gt;=0,$S241&gt;=0),0,""),IF(AND(ISNUMBER($Q241),$Q241&gt;=0,$Q241&lt;=0.5),$Q241,"")))</x:f>
        <x:v>0.2</x:v>
      </x:c>
      <x:c r="AQ241" s="152" t="n">
        <x:f>IF(OR($W241="",NOT(ISNUMBER($R241))),"",ROUND($R241-$W241,2))</x:f>
        <x:v>0</x:v>
      </x:c>
      <x:c r="AR241" s="152" t="n">
        <x:f>IF(OR($X241="",NOT(ISNUMBER($T241))),"",ROUND($T241-$X241,2))</x:f>
        <x:v>0</x:v>
      </x:c>
      <x:c r="AS241" s="14" t="str">
        <x:v>OK</x:v>
      </x:c>
    </x:row>
    <x:row r="242">
      <x:c r="A242" s="80" t="n">
        <x:v>242</x:v>
      </x:c>
      <x:c r="B242" s="80" t="str">
        <x:v>ORD-2024-10241</x:v>
      </x:c>
      <x:c r="C242" s="81" t="n">
        <x:v>45643</x:v>
      </x:c>
      <x:c r="D242" s="81" t="n">
        <x:v>45649</x:v>
      </x:c>
      <x:c r="E242" s="80" t="str">
        <x:v>CUST-9778</x:v>
      </x:c>
      <x:c r="F242" s="80" t="str">
        <x:v>Aarav Sharma</x:v>
      </x:c>
      <x:c r="G242" s="80" t="str">
        <x:v>Corporate</x:v>
      </x:c>
      <x:c r="H242" s="80" t="str">
        <x:v>South</x:v>
      </x:c>
      <x:c r="I242" s="80" t="str">
        <x:v>Telangana</x:v>
      </x:c>
      <x:c r="J242" s="80" t="str">
        <x:v>Hyderabad</x:v>
      </x:c>
      <x:c r="K242" s="80" t="str">
        <x:v>Office Supplies</x:v>
      </x:c>
      <x:c r="L242" s="80" t="str">
        <x:v>Binders</x:v>
      </x:c>
      <x:c r="M242" s="80" t="str">
        <x:v>Max Binders 170</x:v>
      </x:c>
      <x:c r="N242" s="80" t="str">
        <x:v>First Class</x:v>
      </x:c>
      <x:c r="O242" s="82" t="n">
        <x:v>9</x:v>
      </x:c>
      <x:c r="P242" s="83" t="n">
        <x:v>2315.1</x:v>
      </x:c>
      <x:c r="Q242" s="84" t="n">
        <x:v>0</x:v>
      </x:c>
      <x:c r="R242" s="83" t="n">
        <x:v>20835.9</x:v>
      </x:c>
      <x:c r="S242" s="83" t="n">
        <x:v>13928.19</x:v>
      </x:c>
      <x:c r="T242" s="83" t="n">
        <x:v>6907.71</x:v>
      </x:c>
      <x:c r="U242" s="83" t="str">
        <x:v>Paid</x:v>
      </x:c>
      <x:c r="V242" s="83" t="str">
        <x:v>Completed</x:v>
      </x:c>
      <x:c r="W242" s="151" t="n">
        <x:f>IF(OR(NOT(ISNUMBER($AP242)),COUNT($O242,$P242)&lt;2,$O242&lt;=0,$P242&lt;0),"",ROUND($O242*$P242*(1-$AP242),2))</x:f>
        <x:v>20835.9</x:v>
      </x:c>
      <x:c r="X242" s="151" t="n">
        <x:f>IF(OR(NOT(ISNUMBER($W242)),NOT(ISNUMBER($S242))),"",ROUND($W242-$S242,2))</x:f>
        <x:v>6907.71</x:v>
      </x:c>
      <x:c r="Y242" s="85" t="n">
        <x:f>IF(OR(NOT(ISNUMBER($W242)),NOT(ISNUMBER($X242)),$W242=0),"",ROUND($X242/$W242,4))</x:f>
        <x:v>0.3315</x:v>
      </x:c>
      <x:c r="Z242" s="82" t="n">
        <x:f>IF(OR($AH242&lt;&gt;"Valid",$AI242&lt;&gt;"Valid"),"",INT($D242-$C242))</x:f>
        <x:v>6</x:v>
      </x:c>
      <x:c r="AA242" s="86" t="str">
        <x:f>IF($AH242&lt;&gt;"Valid","",TEXT($C242,"mmmm"))</x:f>
        <x:v>December</x:v>
      </x:c>
      <x:c r="AB242" s="82" t="n">
        <x:f>IF($AH242&lt;&gt;"Valid","",YEAR($C242))</x:f>
        <x:v>2024</x:v>
      </x:c>
      <x:c r="AC242" s="80" t="str">
        <x:v>Consistent</x:v>
      </x:c>
      <x:c r="AD242" s="80" t="str">
        <x:v>Eligible</x:v>
      </x:c>
      <x:c r="AE242" s="80" t="str">
        <x:f>IF(OR($AH242&lt;&gt;"Valid",$AI242&lt;&gt;"Valid",$AJ242&lt;&gt;"Valid",LEFT($AM242,7)="Invalid",IFERROR(ABS($AQ242)&gt;0.01,FALSE),IFERROR(ABS($AR242)&gt;0.01,FALSE),COUNTIF($AS242,"*Conflicting duplicate*")&gt;0,COUNTIF($AS242,"*Completed order not paid*")&gt;0),"Invalid",IF(OR($H242="Unknown",$N242="Unknown",$AM242="Missing discount imputed as 0"),"Warning","Clean"))</x:f>
        <x:v>Clean</x:v>
      </x:c>
      <x:c r="AF242" s="80" t="str">
        <x:v>Pass</x:v>
      </x:c>
      <x:c r="AG242" s="80" t="str">
        <x:v>No text cleanup required</x:v>
      </x:c>
      <x:c r="AH242" s="12" t="str">
        <x:f>IF(C242="","Missing date",IF(ISNUMBER(C242),"Valid","Unrecognized/invalid date"))</x:f>
        <x:v>Valid</x:v>
      </x:c>
      <x:c r="AI242" s="12" t="str">
        <x:f>IF(D242="","Missing date",IF(ISNUMBER(D242),"Valid","Unrecognized/invalid date"))</x:f>
        <x:v>Valid</x:v>
      </x:c>
      <x:c r="AJ242" s="12" t="str">
        <x:v>Valid</x:v>
      </x:c>
      <x:c r="AK242" s="12" t="str">
        <x:v>Pass</x:v>
      </x:c>
      <x:c r="AL242" s="12" t="str">
        <x:v>None</x:v>
      </x:c>
      <x:c r="AM242" s="12" t="str">
        <x:v>Valid</x:v>
      </x:c>
      <x:c r="AN242" s="12" t="str">
        <x:v>Include in completed sales</x:v>
      </x:c>
      <x:c r="AO242" s="12" t="str">
        <x:v>Not a refunded record</x:v>
      </x:c>
      <x:c r="AP242" s="37" t="n">
        <x:f>IF(LEFT($AM242,7)="Invalid","",IF($AM242="Missing discount imputed as 0",IF(AND(COUNT($O242,$P242,$R242,$S242)=4,$O242&gt;0,$P242&gt;=0,$R242&gt;=0,$S242&gt;=0),0,""),IF(AND(ISNUMBER($Q242),$Q242&gt;=0,$Q242&lt;=0.5),$Q242,"")))</x:f>
        <x:v>0</x:v>
      </x:c>
      <x:c r="AQ242" s="152" t="n">
        <x:f>IF(OR($W242="",NOT(ISNUMBER($R242))),"",ROUND($R242-$W242,2))</x:f>
        <x:v>0</x:v>
      </x:c>
      <x:c r="AR242" s="152" t="n">
        <x:f>IF(OR($X242="",NOT(ISNUMBER($T242))),"",ROUND($T242-$X242,2))</x:f>
        <x:v>0</x:v>
      </x:c>
      <x:c r="AS242" s="14" t="str">
        <x:v>OK</x:v>
      </x:c>
    </x:row>
    <x:row r="243">
      <x:c r="A243" s="80" t="n">
        <x:v>243</x:v>
      </x:c>
      <x:c r="B243" s="80" t="str">
        <x:v>ORD-2025-10242</x:v>
      </x:c>
      <x:c r="C243" s="81" t="n">
        <x:v>45844</x:v>
      </x:c>
      <x:c r="D243" s="81" t="n">
        <x:v>45844</x:v>
      </x:c>
      <x:c r="E243" s="80" t="str">
        <x:v>CUST-6949</x:v>
      </x:c>
      <x:c r="F243" s="80" t="str">
        <x:v>Sneha Kapoor</x:v>
      </x:c>
      <x:c r="G243" s="80" t="str">
        <x:v>Corporate</x:v>
      </x:c>
      <x:c r="H243" s="80" t="str">
        <x:v>North</x:v>
      </x:c>
      <x:c r="I243" s="80" t="str">
        <x:v>Haryana</x:v>
      </x:c>
      <x:c r="J243" s="80" t="str">
        <x:v>Gurugram</x:v>
      </x:c>
      <x:c r="K243" s="80" t="str">
        <x:v>Office Supplies</x:v>
      </x:c>
      <x:c r="L243" s="80" t="str">
        <x:v>Storage</x:v>
      </x:c>
      <x:c r="M243" s="80" t="str">
        <x:v>Basic Storage 737</x:v>
      </x:c>
      <x:c r="N243" s="80" t="str">
        <x:v>Standard Class</x:v>
      </x:c>
      <x:c r="O243" s="82" t="n">
        <x:v>1</x:v>
      </x:c>
      <x:c r="P243" s="83" t="n">
        <x:v>1617.2</x:v>
      </x:c>
      <x:c r="Q243" s="84" t="n">
        <x:v>0.25</x:v>
      </x:c>
      <x:c r="R243" s="83" t="n">
        <x:v>1212.9</x:v>
      </x:c>
      <x:c r="S243" s="83" t="n">
        <x:v>690.52</x:v>
      </x:c>
      <x:c r="T243" s="83" t="n">
        <x:v>522.38</x:v>
      </x:c>
      <x:c r="U243" s="83" t="str">
        <x:v>Pending</x:v>
      </x:c>
      <x:c r="V243" s="83" t="str">
        <x:v>Returned</x:v>
      </x:c>
      <x:c r="W243" s="151" t="n">
        <x:f>IF(OR(NOT(ISNUMBER($AP243)),COUNT($O243,$P243)&lt;2,$O243&lt;=0,$P243&lt;0),"",ROUND($O243*$P243*(1-$AP243),2))</x:f>
        <x:v>1212.9</x:v>
      </x:c>
      <x:c r="X243" s="151" t="n">
        <x:f>IF(OR(NOT(ISNUMBER($W243)),NOT(ISNUMBER($S243))),"",ROUND($W243-$S243,2))</x:f>
        <x:v>522.38</x:v>
      </x:c>
      <x:c r="Y243" s="85" t="n">
        <x:f>IF(OR(NOT(ISNUMBER($W243)),NOT(ISNUMBER($X243)),$W243=0),"",ROUND($X243/$W243,4))</x:f>
        <x:v>0.4307</x:v>
      </x:c>
      <x:c r="Z243" s="82" t="n">
        <x:f>IF(OR($AH243&lt;&gt;"Valid",$AI243&lt;&gt;"Valid"),"",INT($D243-$C243))</x:f>
        <x:v>0</x:v>
      </x:c>
      <x:c r="AA243" s="86" t="str">
        <x:f>IF($AH243&lt;&gt;"Valid","",TEXT($C243,"mmmm"))</x:f>
        <x:v>July</x:v>
      </x:c>
      <x:c r="AB243" s="82" t="n">
        <x:f>IF($AH243&lt;&gt;"Valid","",YEAR($C243))</x:f>
        <x:v>2025</x:v>
      </x:c>
      <x:c r="AC243" s="80" t="str">
        <x:v>Consistent</x:v>
      </x:c>
      <x:c r="AD243" s="80" t="str">
        <x:v>Excluded</x:v>
      </x:c>
      <x:c r="AE243" s="80" t="str">
        <x:f>IF(OR($AH243&lt;&gt;"Valid",$AI243&lt;&gt;"Valid",$AJ243&lt;&gt;"Valid",LEFT($AM243,7)="Invalid",IFERROR(ABS($AQ243)&gt;0.01,FALSE),IFERROR(ABS($AR243)&gt;0.01,FALSE),COUNTIF($AS243,"*Conflicting duplicate*")&gt;0,COUNTIF($AS243,"*Completed order not paid*")&gt;0),"Invalid",IF(OR($H243="Unknown",$N243="Unknown",$AM243="Missing discount imputed as 0"),"Warning","Clean"))</x:f>
        <x:v>Clean</x:v>
      </x:c>
      <x:c r="AF243" s="80" t="str">
        <x:v>Pass</x:v>
      </x:c>
      <x:c r="AG243" s="80" t="str">
        <x:v>No text cleanup required</x:v>
      </x:c>
      <x:c r="AH243" s="12" t="str">
        <x:f>IF(C243="","Missing date",IF(ISNUMBER(C243),"Valid","Unrecognized/invalid date"))</x:f>
        <x:v>Valid</x:v>
      </x:c>
      <x:c r="AI243" s="12" t="str">
        <x:f>IF(D243="","Missing date",IF(ISNUMBER(D243),"Valid","Unrecognized/invalid date"))</x:f>
        <x:v>Valid</x:v>
      </x:c>
      <x:c r="AJ243" s="12" t="str">
        <x:v>Valid</x:v>
      </x:c>
      <x:c r="AK243" s="12" t="str">
        <x:v>Pass</x:v>
      </x:c>
      <x:c r="AL243" s="12" t="str">
        <x:v>None</x:v>
      </x:c>
      <x:c r="AM243" s="12" t="str">
        <x:v>Valid</x:v>
      </x:c>
      <x:c r="AN243" s="12" t="str">
        <x:v>Exclude from completed sales</x:v>
      </x:c>
      <x:c r="AO243" s="12" t="str">
        <x:v>Not a refunded record</x:v>
      </x:c>
      <x:c r="AP243" s="37" t="n">
        <x:f>IF(LEFT($AM243,7)="Invalid","",IF($AM243="Missing discount imputed as 0",IF(AND(COUNT($O243,$P243,$R243,$S243)=4,$O243&gt;0,$P243&gt;=0,$R243&gt;=0,$S243&gt;=0),0,""),IF(AND(ISNUMBER($Q243),$Q243&gt;=0,$Q243&lt;=0.5),$Q243,"")))</x:f>
        <x:v>0.25</x:v>
      </x:c>
      <x:c r="AQ243" s="152" t="n">
        <x:f>IF(OR($W243="",NOT(ISNUMBER($R243))),"",ROUND($R243-$W243,2))</x:f>
        <x:v>0</x:v>
      </x:c>
      <x:c r="AR243" s="152" t="n">
        <x:f>IF(OR($X243="",NOT(ISNUMBER($T243))),"",ROUND($T243-$X243,2))</x:f>
        <x:v>0</x:v>
      </x:c>
      <x:c r="AS243" s="14" t="str">
        <x:v>OK</x:v>
      </x:c>
    </x:row>
    <x:row r="244">
      <x:c r="A244" s="80" t="n">
        <x:v>244</x:v>
      </x:c>
      <x:c r="B244" s="80" t="str">
        <x:v>ORD-2025-10243</x:v>
      </x:c>
      <x:c r="C244" s="81" t="n">
        <x:v>45695</x:v>
      </x:c>
      <x:c r="D244" s="81" t="n">
        <x:v>45695</x:v>
      </x:c>
      <x:c r="E244" s="80" t="str">
        <x:v>CUST-3430</x:v>
      </x:c>
      <x:c r="F244" s="80" t="str">
        <x:v>Arjun Bose</x:v>
      </x:c>
      <x:c r="G244" s="80" t="str">
        <x:v>Consumer</x:v>
      </x:c>
      <x:c r="H244" s="80" t="str">
        <x:v>North</x:v>
      </x:c>
      <x:c r="I244" s="80" t="str">
        <x:v>Uttar Pradesh</x:v>
      </x:c>
      <x:c r="J244" s="80" t="str">
        <x:v>Noida</x:v>
      </x:c>
      <x:c r="K244" s="80" t="str">
        <x:v>Office Supplies</x:v>
      </x:c>
      <x:c r="L244" s="80" t="str">
        <x:v>Art</x:v>
      </x:c>
      <x:c r="M244" s="80" t="str">
        <x:v>Classic Art 126</x:v>
      </x:c>
      <x:c r="N244" s="80" t="str">
        <x:v>Second Class</x:v>
      </x:c>
      <x:c r="O244" s="82" t="n">
        <x:v>3</x:v>
      </x:c>
      <x:c r="P244" s="83" t="n">
        <x:v>1999.24</x:v>
      </x:c>
      <x:c r="Q244" s="84" t="n">
        <x:v>0.05</x:v>
      </x:c>
      <x:c r="R244" s="83" t="n">
        <x:v>5697.83</x:v>
      </x:c>
      <x:c r="S244" s="83" t="n">
        <x:v>4251.5</x:v>
      </x:c>
      <x:c r="T244" s="83" t="n">
        <x:v>1446.33</x:v>
      </x:c>
      <x:c r="U244" s="83" t="str">
        <x:v>Paid</x:v>
      </x:c>
      <x:c r="V244" s="83" t="str">
        <x:v>Completed</x:v>
      </x:c>
      <x:c r="W244" s="151" t="n">
        <x:f>IF(OR(NOT(ISNUMBER($AP244)),COUNT($O244,$P244)&lt;2,$O244&lt;=0,$P244&lt;0),"",ROUND($O244*$P244*(1-$AP244),2))</x:f>
        <x:v>5697.83</x:v>
      </x:c>
      <x:c r="X244" s="151" t="n">
        <x:f>IF(OR(NOT(ISNUMBER($W244)),NOT(ISNUMBER($S244))),"",ROUND($W244-$S244,2))</x:f>
        <x:v>1446.33</x:v>
      </x:c>
      <x:c r="Y244" s="85" t="n">
        <x:f>IF(OR(NOT(ISNUMBER($W244)),NOT(ISNUMBER($X244)),$W244=0),"",ROUND($X244/$W244,4))</x:f>
        <x:v>0.2538</x:v>
      </x:c>
      <x:c r="Z244" s="82" t="n">
        <x:f>IF(OR($AH244&lt;&gt;"Valid",$AI244&lt;&gt;"Valid"),"",INT($D244-$C244))</x:f>
        <x:v>0</x:v>
      </x:c>
      <x:c r="AA244" s="86" t="str">
        <x:f>IF($AH244&lt;&gt;"Valid","",TEXT($C244,"mmmm"))</x:f>
        <x:v>February</x:v>
      </x:c>
      <x:c r="AB244" s="82" t="n">
        <x:f>IF($AH244&lt;&gt;"Valid","",YEAR($C244))</x:f>
        <x:v>2025</x:v>
      </x:c>
      <x:c r="AC244" s="80" t="str">
        <x:v>Consistent</x:v>
      </x:c>
      <x:c r="AD244" s="80" t="str">
        <x:v>Eligible</x:v>
      </x:c>
      <x:c r="AE244" s="80" t="str">
        <x:f>IF(OR($AH244&lt;&gt;"Valid",$AI244&lt;&gt;"Valid",$AJ244&lt;&gt;"Valid",LEFT($AM244,7)="Invalid",IFERROR(ABS($AQ244)&gt;0.01,FALSE),IFERROR(ABS($AR244)&gt;0.01,FALSE),COUNTIF($AS244,"*Conflicting duplicate*")&gt;0,COUNTIF($AS244,"*Completed order not paid*")&gt;0),"Invalid",IF(OR($H244="Unknown",$N244="Unknown",$AM244="Missing discount imputed as 0"),"Warning","Clean"))</x:f>
        <x:v>Clean</x:v>
      </x:c>
      <x:c r="AF244" s="80" t="str">
        <x:v>Pass</x:v>
      </x:c>
      <x:c r="AG244" s="80" t="str">
        <x:v>No text cleanup required</x:v>
      </x:c>
      <x:c r="AH244" s="12" t="str">
        <x:f>IF(C244="","Missing date",IF(ISNUMBER(C244),"Valid","Unrecognized/invalid date"))</x:f>
        <x:v>Valid</x:v>
      </x:c>
      <x:c r="AI244" s="12" t="str">
        <x:f>IF(D244="","Missing date",IF(ISNUMBER(D244),"Valid","Unrecognized/invalid date"))</x:f>
        <x:v>Valid</x:v>
      </x:c>
      <x:c r="AJ244" s="12" t="str">
        <x:v>Valid</x:v>
      </x:c>
      <x:c r="AK244" s="12" t="str">
        <x:v>Pass</x:v>
      </x:c>
      <x:c r="AL244" s="12" t="str">
        <x:v>None</x:v>
      </x:c>
      <x:c r="AM244" s="12" t="str">
        <x:v>Valid</x:v>
      </x:c>
      <x:c r="AN244" s="12" t="str">
        <x:v>Include in completed sales</x:v>
      </x:c>
      <x:c r="AO244" s="12" t="str">
        <x:v>Not a refunded record</x:v>
      </x:c>
      <x:c r="AP244" s="37" t="n">
        <x:f>IF(LEFT($AM244,7)="Invalid","",IF($AM244="Missing discount imputed as 0",IF(AND(COUNT($O244,$P244,$R244,$S244)=4,$O244&gt;0,$P244&gt;=0,$R244&gt;=0,$S244&gt;=0),0,""),IF(AND(ISNUMBER($Q244),$Q244&gt;=0,$Q244&lt;=0.5),$Q244,"")))</x:f>
        <x:v>0.05</x:v>
      </x:c>
      <x:c r="AQ244" s="152" t="n">
        <x:f>IF(OR($W244="",NOT(ISNUMBER($R244))),"",ROUND($R244-$W244,2))</x:f>
        <x:v>0</x:v>
      </x:c>
      <x:c r="AR244" s="152" t="n">
        <x:f>IF(OR($X244="",NOT(ISNUMBER($T244))),"",ROUND($T244-$X244,2))</x:f>
        <x:v>0</x:v>
      </x:c>
      <x:c r="AS244" s="14" t="str">
        <x:v>OK</x:v>
      </x:c>
    </x:row>
    <x:row r="245">
      <x:c r="A245" s="80" t="n">
        <x:v>245</x:v>
      </x:c>
      <x:c r="B245" s="80" t="str">
        <x:v>ORD-2025-10244</x:v>
      </x:c>
      <x:c r="C245" s="81" t="n">
        <x:v>45867</x:v>
      </x:c>
      <x:c r="D245" s="81" t="n">
        <x:v>45871</x:v>
      </x:c>
      <x:c r="E245" s="80" t="str">
        <x:v>CUST-6310</x:v>
      </x:c>
      <x:c r="F245" s="80" t="str">
        <x:v>Sneha Kapoor</x:v>
      </x:c>
      <x:c r="G245" s="80" t="str">
        <x:v>Small Business</x:v>
      </x:c>
      <x:c r="H245" s="80" t="str">
        <x:v>Unknown</x:v>
      </x:c>
      <x:c r="I245" s="80" t="str">
        <x:v>Madhya Pradesh</x:v>
      </x:c>
      <x:c r="J245" s="80" t="str">
        <x:v>Indore</x:v>
      </x:c>
      <x:c r="K245" s="80" t="str">
        <x:v>Technology</x:v>
      </x:c>
      <x:c r="L245" s="80" t="str">
        <x:v>Accessories</x:v>
      </x:c>
      <x:c r="M245" s="80" t="str">
        <x:v>Prime Accessories 243</x:v>
      </x:c>
      <x:c r="N245" s="80" t="str">
        <x:v>First Class</x:v>
      </x:c>
      <x:c r="O245" s="82" t="n">
        <x:v>1</x:v>
      </x:c>
      <x:c r="P245" s="83" t="n">
        <x:v>4499.46</x:v>
      </x:c>
      <x:c r="Q245" s="84" t="n">
        <x:v>0.1</x:v>
      </x:c>
      <x:c r="R245" s="83" t="n">
        <x:v>4049.51</x:v>
      </x:c>
      <x:c r="S245" s="83" t="n">
        <x:v>2509.2</x:v>
      </x:c>
      <x:c r="T245" s="83" t="n">
        <x:v>1540.31</x:v>
      </x:c>
      <x:c r="U245" s="83" t="str">
        <x:v>Paid</x:v>
      </x:c>
      <x:c r="V245" s="83" t="str">
        <x:v>Completed</x:v>
      </x:c>
      <x:c r="W245" s="151" t="n">
        <x:f>IF(OR(NOT(ISNUMBER($AP245)),COUNT($O245,$P245)&lt;2,$O245&lt;=0,$P245&lt;0),"",ROUND($O245*$P245*(1-$AP245),2))</x:f>
        <x:v>4049.51</x:v>
      </x:c>
      <x:c r="X245" s="151" t="n">
        <x:f>IF(OR(NOT(ISNUMBER($W245)),NOT(ISNUMBER($S245))),"",ROUND($W245-$S245,2))</x:f>
        <x:v>1540.31</x:v>
      </x:c>
      <x:c r="Y245" s="85" t="n">
        <x:f>IF(OR(NOT(ISNUMBER($W245)),NOT(ISNUMBER($X245)),$W245=0),"",ROUND($X245/$W245,4))</x:f>
        <x:v>0.3804</x:v>
      </x:c>
      <x:c r="Z245" s="82" t="n">
        <x:f>IF(OR($AH245&lt;&gt;"Valid",$AI245&lt;&gt;"Valid"),"",INT($D245-$C245))</x:f>
        <x:v>4</x:v>
      </x:c>
      <x:c r="AA245" s="86" t="str">
        <x:f>IF($AH245&lt;&gt;"Valid","",TEXT($C245,"mmmm"))</x:f>
        <x:v>July</x:v>
      </x:c>
      <x:c r="AB245" s="82" t="n">
        <x:f>IF($AH245&lt;&gt;"Valid","",YEAR($C245))</x:f>
        <x:v>2025</x:v>
      </x:c>
      <x:c r="AC245" s="80" t="str">
        <x:v>Consistent</x:v>
      </x:c>
      <x:c r="AD245" s="80" t="str">
        <x:v>Eligible</x:v>
      </x:c>
      <x:c r="AE245" s="80" t="str">
        <x:f>IF(OR($AH245&lt;&gt;"Valid",$AI245&lt;&gt;"Valid",$AJ245&lt;&gt;"Valid",LEFT($AM245,7)="Invalid",IFERROR(ABS($AQ245)&gt;0.01,FALSE),IFERROR(ABS($AR245)&gt;0.01,FALSE),COUNTIF($AS245,"*Conflicting duplicate*")&gt;0,COUNTIF($AS245,"*Completed order not paid*")&gt;0),"Invalid",IF(OR($H245="Unknown",$N245="Unknown",$AM245="Missing discount imputed as 0"),"Warning","Clean"))</x:f>
        <x:v>Warning</x:v>
      </x:c>
      <x:c r="AF245" s="80" t="str">
        <x:v>Cleaned</x:v>
      </x:c>
      <x:c r="AG245" s="80" t="str">
        <x:v>region: Missing value filled as Unknown; order_status: Case standardization</x:v>
      </x:c>
      <x:c r="AH245" s="12" t="str">
        <x:f>IF(C245="","Missing date",IF(ISNUMBER(C245),"Valid","Unrecognized/invalid date"))</x:f>
        <x:v>Valid</x:v>
      </x:c>
      <x:c r="AI245" s="12" t="str">
        <x:f>IF(D245="","Missing date",IF(ISNUMBER(D245),"Valid","Unrecognized/invalid date"))</x:f>
        <x:v>Valid</x:v>
      </x:c>
      <x:c r="AJ245" s="12" t="str">
        <x:v>Valid</x:v>
      </x:c>
      <x:c r="AK245" s="12" t="str">
        <x:v>Pass</x:v>
      </x:c>
      <x:c r="AL245" s="12" t="str">
        <x:v>Missing region filled as Unknown</x:v>
      </x:c>
      <x:c r="AM245" s="12" t="str">
        <x:v>Valid</x:v>
      </x:c>
      <x:c r="AN245" s="12" t="str">
        <x:v>Include in completed sales</x:v>
      </x:c>
      <x:c r="AO245" s="12" t="str">
        <x:v>Not a refunded record</x:v>
      </x:c>
      <x:c r="AP245" s="37" t="n">
        <x:f>IF(LEFT($AM245,7)="Invalid","",IF($AM245="Missing discount imputed as 0",IF(AND(COUNT($O245,$P245,$R245,$S245)=4,$O245&gt;0,$P245&gt;=0,$R245&gt;=0,$S245&gt;=0),0,""),IF(AND(ISNUMBER($Q245),$Q245&gt;=0,$Q245&lt;=0.5),$Q245,"")))</x:f>
        <x:v>0.1</x:v>
      </x:c>
      <x:c r="AQ245" s="152" t="n">
        <x:f>IF(OR($W245="",NOT(ISNUMBER($R245))),"",ROUND($R245-$W245,2))</x:f>
        <x:v>0</x:v>
      </x:c>
      <x:c r="AR245" s="152" t="n">
        <x:f>IF(OR($X245="",NOT(ISNUMBER($T245))),"",ROUND($T245-$X245,2))</x:f>
        <x:v>0</x:v>
      </x:c>
      <x:c r="AS245" s="14" t="str">
        <x:v>OK</x:v>
      </x:c>
    </x:row>
    <x:row r="246">
      <x:c r="A246" s="80" t="n">
        <x:v>246</x:v>
      </x:c>
      <x:c r="B246" s="80" t="str">
        <x:v>ORD-2024-10245</x:v>
      </x:c>
      <x:c r="C246" s="81" t="n">
        <x:v>45527</x:v>
      </x:c>
      <x:c r="D246" s="81" t="n">
        <x:v>45528</x:v>
      </x:c>
      <x:c r="E246" s="80" t="str">
        <x:v>CUST-6008</x:v>
      </x:c>
      <x:c r="F246" s="80" t="str">
        <x:v>Neha Gupta</x:v>
      </x:c>
      <x:c r="G246" s="80" t="str">
        <x:v>Consumer</x:v>
      </x:c>
      <x:c r="H246" s="80" t="str">
        <x:v>South</x:v>
      </x:c>
      <x:c r="I246" s="80" t="str">
        <x:v>Telangana</x:v>
      </x:c>
      <x:c r="J246" s="80" t="str">
        <x:v>Hyderabad</x:v>
      </x:c>
      <x:c r="K246" s="80" t="str">
        <x:v>Furniture</x:v>
      </x:c>
      <x:c r="L246" s="80" t="str">
        <x:v>Bookcases</x:v>
      </x:c>
      <x:c r="M246" s="80" t="str">
        <x:v>Eco Bookcases 768</x:v>
      </x:c>
      <x:c r="N246" s="80" t="str">
        <x:v>Same Day</x:v>
      </x:c>
      <x:c r="O246" s="82" t="n">
        <x:v>6</x:v>
      </x:c>
      <x:c r="P246" s="83" t="n">
        <x:v>1021.89</x:v>
      </x:c>
      <x:c r="Q246" s="84" t="n">
        <x:v>0</x:v>
      </x:c>
      <x:c r="R246" s="83" t="n">
        <x:v>6131.34</x:v>
      </x:c>
      <x:c r="S246" s="83" t="n">
        <x:v>4060.88</x:v>
      </x:c>
      <x:c r="T246" s="83" t="n">
        <x:v>2070.46</x:v>
      </x:c>
      <x:c r="U246" s="83" t="str">
        <x:v>Paid</x:v>
      </x:c>
      <x:c r="V246" s="83" t="str">
        <x:v>Completed</x:v>
      </x:c>
      <x:c r="W246" s="151" t="n">
        <x:f>IF(OR(NOT(ISNUMBER($AP246)),COUNT($O246,$P246)&lt;2,$O246&lt;=0,$P246&lt;0),"",ROUND($O246*$P246*(1-$AP246),2))</x:f>
        <x:v>6131.34</x:v>
      </x:c>
      <x:c r="X246" s="151" t="n">
        <x:f>IF(OR(NOT(ISNUMBER($W246)),NOT(ISNUMBER($S246))),"",ROUND($W246-$S246,2))</x:f>
        <x:v>2070.46</x:v>
      </x:c>
      <x:c r="Y246" s="85" t="n">
        <x:f>IF(OR(NOT(ISNUMBER($W246)),NOT(ISNUMBER($X246)),$W246=0),"",ROUND($X246/$W246,4))</x:f>
        <x:v>0.3377</x:v>
      </x:c>
      <x:c r="Z246" s="82" t="n">
        <x:f>IF(OR($AH246&lt;&gt;"Valid",$AI246&lt;&gt;"Valid"),"",INT($D246-$C246))</x:f>
        <x:v>1</x:v>
      </x:c>
      <x:c r="AA246" s="86" t="str">
        <x:f>IF($AH246&lt;&gt;"Valid","",TEXT($C246,"mmmm"))</x:f>
        <x:v>August</x:v>
      </x:c>
      <x:c r="AB246" s="82" t="n">
        <x:f>IF($AH246&lt;&gt;"Valid","",YEAR($C246))</x:f>
        <x:v>2024</x:v>
      </x:c>
      <x:c r="AC246" s="80" t="str">
        <x:v>Consistent</x:v>
      </x:c>
      <x:c r="AD246" s="80" t="str">
        <x:v>Eligible</x:v>
      </x:c>
      <x:c r="AE246" s="80" t="str">
        <x:f>IF(OR($AH246&lt;&gt;"Valid",$AI246&lt;&gt;"Valid",$AJ246&lt;&gt;"Valid",LEFT($AM246,7)="Invalid",IFERROR(ABS($AQ246)&gt;0.01,FALSE),IFERROR(ABS($AR246)&gt;0.01,FALSE),COUNTIF($AS246,"*Conflicting duplicate*")&gt;0,COUNTIF($AS246,"*Completed order not paid*")&gt;0),"Invalid",IF(OR($H246="Unknown",$N246="Unknown",$AM246="Missing discount imputed as 0"),"Warning","Clean"))</x:f>
        <x:v>Clean</x:v>
      </x:c>
      <x:c r="AF246" s="80" t="str">
        <x:v>Pass</x:v>
      </x:c>
      <x:c r="AG246" s="80" t="str">
        <x:v>No text cleanup required</x:v>
      </x:c>
      <x:c r="AH246" s="12" t="str">
        <x:f>IF(C246="","Missing date",IF(ISNUMBER(C246),"Valid","Unrecognized/invalid date"))</x:f>
        <x:v>Valid</x:v>
      </x:c>
      <x:c r="AI246" s="12" t="str">
        <x:f>IF(D246="","Missing date",IF(ISNUMBER(D246),"Valid","Unrecognized/invalid date"))</x:f>
        <x:v>Valid</x:v>
      </x:c>
      <x:c r="AJ246" s="12" t="str">
        <x:v>Valid</x:v>
      </x:c>
      <x:c r="AK246" s="12" t="str">
        <x:v>Pass</x:v>
      </x:c>
      <x:c r="AL246" s="12" t="str">
        <x:v>None</x:v>
      </x:c>
      <x:c r="AM246" s="12" t="str">
        <x:v>Valid</x:v>
      </x:c>
      <x:c r="AN246" s="12" t="str">
        <x:v>Include in completed sales</x:v>
      </x:c>
      <x:c r="AO246" s="12" t="str">
        <x:v>Not a refunded record</x:v>
      </x:c>
      <x:c r="AP246" s="37" t="n">
        <x:f>IF(LEFT($AM246,7)="Invalid","",IF($AM246="Missing discount imputed as 0",IF(AND(COUNT($O246,$P246,$R246,$S246)=4,$O246&gt;0,$P246&gt;=0,$R246&gt;=0,$S246&gt;=0),0,""),IF(AND(ISNUMBER($Q246),$Q246&gt;=0,$Q246&lt;=0.5),$Q246,"")))</x:f>
        <x:v>0</x:v>
      </x:c>
      <x:c r="AQ246" s="152" t="n">
        <x:f>IF(OR($W246="",NOT(ISNUMBER($R246))),"",ROUND($R246-$W246,2))</x:f>
        <x:v>0</x:v>
      </x:c>
      <x:c r="AR246" s="152" t="n">
        <x:f>IF(OR($X246="",NOT(ISNUMBER($T246))),"",ROUND($T246-$X246,2))</x:f>
        <x:v>0</x:v>
      </x:c>
      <x:c r="AS246" s="14" t="str">
        <x:v>OK</x:v>
      </x:c>
    </x:row>
    <x:row r="247">
      <x:c r="A247" s="80" t="n">
        <x:v>247</x:v>
      </x:c>
      <x:c r="B247" s="80" t="str">
        <x:v>ORD-2024-10246</x:v>
      </x:c>
      <x:c r="C247" s="81" t="n">
        <x:v>45583</x:v>
      </x:c>
      <x:c r="D247" s="81" t="n">
        <x:v>45589</x:v>
      </x:c>
      <x:c r="E247" s="80" t="str">
        <x:v>CUST-1704</x:v>
      </x:c>
      <x:c r="F247" s="80" t="str">
        <x:v>Neha Gupta</x:v>
      </x:c>
      <x:c r="G247" s="80" t="str">
        <x:v>Home Office</x:v>
      </x:c>
      <x:c r="H247" s="80" t="str">
        <x:v>South</x:v>
      </x:c>
      <x:c r="I247" s="80" t="str">
        <x:v>Kerala</x:v>
      </x:c>
      <x:c r="J247" s="80" t="str">
        <x:v>Kochi</x:v>
      </x:c>
      <x:c r="K247" s="80" t="str">
        <x:v>Furniture</x:v>
      </x:c>
      <x:c r="L247" s="80" t="str">
        <x:v>Chairs</x:v>
      </x:c>
      <x:c r="M247" s="80" t="str">
        <x:v>Pro Chairs 316</x:v>
      </x:c>
      <x:c r="N247" s="80" t="str">
        <x:v>Second Class</x:v>
      </x:c>
      <x:c r="O247" s="82" t="n">
        <x:v>3</x:v>
      </x:c>
      <x:c r="P247" s="83" t="n">
        <x:v>3275.93</x:v>
      </x:c>
      <x:c r="Q247" s="84" t="n">
        <x:v>0</x:v>
      </x:c>
      <x:c r="R247" s="83" t="n">
        <x:v>9827.79</x:v>
      </x:c>
      <x:c r="S247" s="83" t="n">
        <x:v>5478.28</x:v>
      </x:c>
      <x:c r="T247" s="83" t="n">
        <x:v>4349.51</x:v>
      </x:c>
      <x:c r="U247" s="83" t="str">
        <x:v>Paid</x:v>
      </x:c>
      <x:c r="V247" s="83" t="str">
        <x:v>Completed</x:v>
      </x:c>
      <x:c r="W247" s="151" t="n">
        <x:f>IF(OR(NOT(ISNUMBER($AP247)),COUNT($O247,$P247)&lt;2,$O247&lt;=0,$P247&lt;0),"",ROUND($O247*$P247*(1-$AP247),2))</x:f>
        <x:v>9827.79</x:v>
      </x:c>
      <x:c r="X247" s="151" t="n">
        <x:f>IF(OR(NOT(ISNUMBER($W247)),NOT(ISNUMBER($S247))),"",ROUND($W247-$S247,2))</x:f>
        <x:v>4349.51</x:v>
      </x:c>
      <x:c r="Y247" s="85" t="n">
        <x:f>IF(OR(NOT(ISNUMBER($W247)),NOT(ISNUMBER($X247)),$W247=0),"",ROUND($X247/$W247,4))</x:f>
        <x:v>0.4426</x:v>
      </x:c>
      <x:c r="Z247" s="82" t="n">
        <x:f>IF(OR($AH247&lt;&gt;"Valid",$AI247&lt;&gt;"Valid"),"",INT($D247-$C247))</x:f>
        <x:v>6</x:v>
      </x:c>
      <x:c r="AA247" s="86" t="str">
        <x:f>IF($AH247&lt;&gt;"Valid","",TEXT($C247,"mmmm"))</x:f>
        <x:v>October</x:v>
      </x:c>
      <x:c r="AB247" s="82" t="n">
        <x:f>IF($AH247&lt;&gt;"Valid","",YEAR($C247))</x:f>
        <x:v>2024</x:v>
      </x:c>
      <x:c r="AC247" s="80" t="str">
        <x:v>Consistent</x:v>
      </x:c>
      <x:c r="AD247" s="80" t="str">
        <x:v>Eligible</x:v>
      </x:c>
      <x:c r="AE247" s="80" t="str">
        <x:f>IF(OR($AH247&lt;&gt;"Valid",$AI247&lt;&gt;"Valid",$AJ247&lt;&gt;"Valid",LEFT($AM247,7)="Invalid",IFERROR(ABS($AQ247)&gt;0.01,FALSE),IFERROR(ABS($AR247)&gt;0.01,FALSE),COUNTIF($AS247,"*Conflicting duplicate*")&gt;0,COUNTIF($AS247,"*Completed order not paid*")&gt;0),"Invalid",IF(OR($H247="Unknown",$N247="Unknown",$AM247="Missing discount imputed as 0"),"Warning","Clean"))</x:f>
        <x:v>Clean</x:v>
      </x:c>
      <x:c r="AF247" s="80" t="str">
        <x:v>Cleaned</x:v>
      </x:c>
      <x:c r="AG247" s="80" t="str">
        <x:v>category: Case standardization</x:v>
      </x:c>
      <x:c r="AH247" s="12" t="str">
        <x:f>IF(C247="","Missing date",IF(ISNUMBER(C247),"Valid","Unrecognized/invalid date"))</x:f>
        <x:v>Valid</x:v>
      </x:c>
      <x:c r="AI247" s="12" t="str">
        <x:f>IF(D247="","Missing date",IF(ISNUMBER(D247),"Valid","Unrecognized/invalid date"))</x:f>
        <x:v>Valid</x:v>
      </x:c>
      <x:c r="AJ247" s="12" t="str">
        <x:v>Valid</x:v>
      </x:c>
      <x:c r="AK247" s="12" t="str">
        <x:v>Pass</x:v>
      </x:c>
      <x:c r="AL247" s="12" t="str">
        <x:v>None</x:v>
      </x:c>
      <x:c r="AM247" s="12" t="str">
        <x:v>Valid</x:v>
      </x:c>
      <x:c r="AN247" s="12" t="str">
        <x:v>Include in completed sales</x:v>
      </x:c>
      <x:c r="AO247" s="12" t="str">
        <x:v>Not a refunded record</x:v>
      </x:c>
      <x:c r="AP247" s="37" t="n">
        <x:f>IF(LEFT($AM247,7)="Invalid","",IF($AM247="Missing discount imputed as 0",IF(AND(COUNT($O247,$P247,$R247,$S247)=4,$O247&gt;0,$P247&gt;=0,$R247&gt;=0,$S247&gt;=0),0,""),IF(AND(ISNUMBER($Q247),$Q247&gt;=0,$Q247&lt;=0.5),$Q247,"")))</x:f>
        <x:v>0</x:v>
      </x:c>
      <x:c r="AQ247" s="152" t="n">
        <x:f>IF(OR($W247="",NOT(ISNUMBER($R247))),"",ROUND($R247-$W247,2))</x:f>
        <x:v>0</x:v>
      </x:c>
      <x:c r="AR247" s="152" t="n">
        <x:f>IF(OR($X247="",NOT(ISNUMBER($T247))),"",ROUND($T247-$X247,2))</x:f>
        <x:v>0</x:v>
      </x:c>
      <x:c r="AS247" s="14" t="str">
        <x:v>OK</x:v>
      </x:c>
    </x:row>
    <x:row r="248">
      <x:c r="A248" s="80" t="n">
        <x:v>248</x:v>
      </x:c>
      <x:c r="B248" s="80" t="str">
        <x:v>ORD-2024-10247</x:v>
      </x:c>
      <x:c r="C248" s="81" t="n">
        <x:v>45416</x:v>
      </x:c>
      <x:c r="D248" s="81" t="n">
        <x:v>45421</x:v>
      </x:c>
      <x:c r="E248" s="80" t="str">
        <x:v>CUST-1827</x:v>
      </x:c>
      <x:c r="F248" s="80" t="str">
        <x:v>Ananya Rao</x:v>
      </x:c>
      <x:c r="G248" s="80" t="str">
        <x:v>Corporate</x:v>
      </x:c>
      <x:c r="H248" s="80" t="str">
        <x:v>North</x:v>
      </x:c>
      <x:c r="I248" s="80" t="str">
        <x:v>Punjab</x:v>
      </x:c>
      <x:c r="J248" s="80" t="str">
        <x:v>Ludhiana</x:v>
      </x:c>
      <x:c r="K248" s="80" t="str">
        <x:v>Technology</x:v>
      </x:c>
      <x:c r="L248" s="80" t="str">
        <x:v>Machines</x:v>
      </x:c>
      <x:c r="M248" s="80" t="str">
        <x:v>Classic Machines 819</x:v>
      </x:c>
      <x:c r="N248" s="80" t="str">
        <x:v>Same Day</x:v>
      </x:c>
      <x:c r="O248" s="82" t="n">
        <x:v>3</x:v>
      </x:c>
      <x:c r="P248" s="83" t="n">
        <x:v>231.95</x:v>
      </x:c>
      <x:c r="Q248" s="84" t="n">
        <x:v>0.25</x:v>
      </x:c>
      <x:c r="R248" s="83" t="n">
        <x:v>521.89</x:v>
      </x:c>
      <x:c r="S248" s="83" t="n">
        <x:v>444.52</x:v>
      </x:c>
      <x:c r="T248" s="83" t="n">
        <x:v>77.37</x:v>
      </x:c>
      <x:c r="U248" s="83" t="str">
        <x:v>Refunded</x:v>
      </x:c>
      <x:c r="V248" s="83" t="str">
        <x:v>Cancelled</x:v>
      </x:c>
      <x:c r="W248" s="151" t="n">
        <x:f>IF(OR(NOT(ISNUMBER($AP248)),COUNT($O248,$P248)&lt;2,$O248&lt;=0,$P248&lt;0),"",ROUND($O248*$P248*(1-$AP248),2))</x:f>
        <x:v>521.89</x:v>
      </x:c>
      <x:c r="X248" s="151" t="n">
        <x:f>IF(OR(NOT(ISNUMBER($W248)),NOT(ISNUMBER($S248))),"",ROUND($W248-$S248,2))</x:f>
        <x:v>77.37</x:v>
      </x:c>
      <x:c r="Y248" s="85" t="n">
        <x:f>IF(OR(NOT(ISNUMBER($W248)),NOT(ISNUMBER($X248)),$W248=0),"",ROUND($X248/$W248,4))</x:f>
        <x:v>0.1482</x:v>
      </x:c>
      <x:c r="Z248" s="82" t="n">
        <x:f>IF(OR($AH248&lt;&gt;"Valid",$AI248&lt;&gt;"Valid"),"",INT($D248-$C248))</x:f>
        <x:v>5</x:v>
      </x:c>
      <x:c r="AA248" s="86" t="str">
        <x:f>IF($AH248&lt;&gt;"Valid","",TEXT($C248,"mmmm"))</x:f>
        <x:v>May</x:v>
      </x:c>
      <x:c r="AB248" s="82" t="n">
        <x:f>IF($AH248&lt;&gt;"Valid","",YEAR($C248))</x:f>
        <x:v>2024</x:v>
      </x:c>
      <x:c r="AC248" s="80" t="str">
        <x:v>Cancelled (excluded from completed-sales summary)</x:v>
      </x:c>
      <x:c r="AD248" s="80" t="str">
        <x:v>Excluded</x:v>
      </x:c>
      <x:c r="AE248" s="80" t="str">
        <x:f>IF(OR($AH248&lt;&gt;"Valid",$AI248&lt;&gt;"Valid",$AJ248&lt;&gt;"Valid",LEFT($AM248,7)="Invalid",IFERROR(ABS($AQ248)&gt;0.01,FALSE),IFERROR(ABS($AR248)&gt;0.01,FALSE),COUNTIF($AS248,"*Conflicting duplicate*")&gt;0,COUNTIF($AS248,"*Completed order not paid*")&gt;0),"Invalid",IF(OR($H248="Unknown",$N248="Unknown",$AM248="Missing discount imputed as 0"),"Warning","Clean"))</x:f>
        <x:v>Clean</x:v>
      </x:c>
      <x:c r="AF248" s="80" t="str">
        <x:v>Pass</x:v>
      </x:c>
      <x:c r="AG248" s="80" t="str">
        <x:v>No text cleanup required</x:v>
      </x:c>
      <x:c r="AH248" s="12" t="str">
        <x:f>IF(C248="","Missing date",IF(ISNUMBER(C248),"Valid","Unrecognized/invalid date"))</x:f>
        <x:v>Valid</x:v>
      </x:c>
      <x:c r="AI248" s="12" t="str">
        <x:f>IF(D248="","Missing date",IF(ISNUMBER(D248),"Valid","Unrecognized/invalid date"))</x:f>
        <x:v>Valid</x:v>
      </x:c>
      <x:c r="AJ248" s="12" t="str">
        <x:v>Valid</x:v>
      </x:c>
      <x:c r="AK248" s="12" t="str">
        <x:v>Pass</x:v>
      </x:c>
      <x:c r="AL248" s="12" t="str">
        <x:v>Cancelled order – excluded from completed sales; Refunded payment – separately summarized</x:v>
      </x:c>
      <x:c r="AM248" s="12" t="str">
        <x:v>Valid</x:v>
      </x:c>
      <x:c r="AN248" s="12" t="str">
        <x:v>Exclude from completed sales</x:v>
      </x:c>
      <x:c r="AO248" s="12" t="str">
        <x:v>Include in refunded summary</x:v>
      </x:c>
      <x:c r="AP248" s="37" t="n">
        <x:f>IF(LEFT($AM248,7)="Invalid","",IF($AM248="Missing discount imputed as 0",IF(AND(COUNT($O248,$P248,$R248,$S248)=4,$O248&gt;0,$P248&gt;=0,$R248&gt;=0,$S248&gt;=0),0,""),IF(AND(ISNUMBER($Q248),$Q248&gt;=0,$Q248&lt;=0.5),$Q248,"")))</x:f>
        <x:v>0.25</x:v>
      </x:c>
      <x:c r="AQ248" s="152" t="n">
        <x:f>IF(OR($W248="",NOT(ISNUMBER($R248))),"",ROUND($R248-$W248,2))</x:f>
        <x:v>0</x:v>
      </x:c>
      <x:c r="AR248" s="152" t="n">
        <x:f>IF(OR($X248="",NOT(ISNUMBER($T248))),"",ROUND($T248-$X248,2))</x:f>
        <x:v>0</x:v>
      </x:c>
      <x:c r="AS248" s="14" t="str">
        <x:v>OK</x:v>
      </x:c>
    </x:row>
    <x:row r="249">
      <x:c r="A249" s="80" t="n">
        <x:v>249</x:v>
      </x:c>
      <x:c r="B249" s="80" t="str">
        <x:v>ORD-2024-10248</x:v>
      </x:c>
      <x:c r="C249" s="81" t="n">
        <x:v>45498</x:v>
      </x:c>
      <x:c r="D249" s="81" t="n">
        <x:v>45505</x:v>
      </x:c>
      <x:c r="E249" s="80" t="str">
        <x:v>CUST-6663</x:v>
      </x:c>
      <x:c r="F249" s="80" t="str">
        <x:v>Rahul Verma</x:v>
      </x:c>
      <x:c r="G249" s="80" t="str">
        <x:v>Corporate</x:v>
      </x:c>
      <x:c r="H249" s="80" t="str">
        <x:v>North</x:v>
      </x:c>
      <x:c r="I249" s="80" t="str">
        <x:v>Rajasthan</x:v>
      </x:c>
      <x:c r="J249" s="80" t="str">
        <x:v>Jaipur</x:v>
      </x:c>
      <x:c r="K249" s="80" t="str">
        <x:v>Technology</x:v>
      </x:c>
      <x:c r="L249" s="80" t="str">
        <x:v>Accessories</x:v>
      </x:c>
      <x:c r="M249" s="80" t="str">
        <x:v>Smart Accessories 572</x:v>
      </x:c>
      <x:c r="N249" s="80" t="str">
        <x:v>Second Class</x:v>
      </x:c>
      <x:c r="O249" s="82" t="n">
        <x:v>8</x:v>
      </x:c>
      <x:c r="P249" s="83" t="n">
        <x:v>2493.4</x:v>
      </x:c>
      <x:c r="Q249" s="84" t="n">
        <x:v>0.25</x:v>
      </x:c>
      <x:c r="R249" s="83" t="n">
        <x:v>14960.4</x:v>
      </x:c>
      <x:c r="S249" s="83" t="n">
        <x:v>12500.84</x:v>
      </x:c>
      <x:c r="T249" s="83" t="n">
        <x:v>2459.56</x:v>
      </x:c>
      <x:c r="U249" s="83" t="str">
        <x:v>Paid</x:v>
      </x:c>
      <x:c r="V249" s="83" t="str">
        <x:v>Completed</x:v>
      </x:c>
      <x:c r="W249" s="151" t="n">
        <x:f>IF(OR(NOT(ISNUMBER($AP249)),COUNT($O249,$P249)&lt;2,$O249&lt;=0,$P249&lt;0),"",ROUND($O249*$P249*(1-$AP249),2))</x:f>
        <x:v>14960.4</x:v>
      </x:c>
      <x:c r="X249" s="151" t="n">
        <x:f>IF(OR(NOT(ISNUMBER($W249)),NOT(ISNUMBER($S249))),"",ROUND($W249-$S249,2))</x:f>
        <x:v>2459.56</x:v>
      </x:c>
      <x:c r="Y249" s="85" t="n">
        <x:f>IF(OR(NOT(ISNUMBER($W249)),NOT(ISNUMBER($X249)),$W249=0),"",ROUND($X249/$W249,4))</x:f>
        <x:v>0.1644</x:v>
      </x:c>
      <x:c r="Z249" s="82" t="n">
        <x:f>IF(OR($AH249&lt;&gt;"Valid",$AI249&lt;&gt;"Valid"),"",INT($D249-$C249))</x:f>
        <x:v>7</x:v>
      </x:c>
      <x:c r="AA249" s="86" t="str">
        <x:f>IF($AH249&lt;&gt;"Valid","",TEXT($C249,"mmmm"))</x:f>
        <x:v>July</x:v>
      </x:c>
      <x:c r="AB249" s="82" t="n">
        <x:f>IF($AH249&lt;&gt;"Valid","",YEAR($C249))</x:f>
        <x:v>2024</x:v>
      </x:c>
      <x:c r="AC249" s="80" t="str">
        <x:v>Consistent</x:v>
      </x:c>
      <x:c r="AD249" s="80" t="str">
        <x:v>Eligible</x:v>
      </x:c>
      <x:c r="AE249" s="80" t="str">
        <x:f>IF(OR($AH249&lt;&gt;"Valid",$AI249&lt;&gt;"Valid",$AJ249&lt;&gt;"Valid",LEFT($AM249,7)="Invalid",IFERROR(ABS($AQ249)&gt;0.01,FALSE),IFERROR(ABS($AR249)&gt;0.01,FALSE),COUNTIF($AS249,"*Conflicting duplicate*")&gt;0,COUNTIF($AS249,"*Completed order not paid*")&gt;0),"Invalid",IF(OR($H249="Unknown",$N249="Unknown",$AM249="Missing discount imputed as 0"),"Warning","Clean"))</x:f>
        <x:v>Clean</x:v>
      </x:c>
      <x:c r="AF249" s="80" t="str">
        <x:v>Pass</x:v>
      </x:c>
      <x:c r="AG249" s="80" t="str">
        <x:v>No text cleanup required</x:v>
      </x:c>
      <x:c r="AH249" s="12" t="str">
        <x:f>IF(C249="","Missing date",IF(ISNUMBER(C249),"Valid","Unrecognized/invalid date"))</x:f>
        <x:v>Valid</x:v>
      </x:c>
      <x:c r="AI249" s="12" t="str">
        <x:f>IF(D249="","Missing date",IF(ISNUMBER(D249),"Valid","Unrecognized/invalid date"))</x:f>
        <x:v>Valid</x:v>
      </x:c>
      <x:c r="AJ249" s="12" t="str">
        <x:v>Valid</x:v>
      </x:c>
      <x:c r="AK249" s="12" t="str">
        <x:v>Pass</x:v>
      </x:c>
      <x:c r="AL249" s="12" t="str">
        <x:v>None</x:v>
      </x:c>
      <x:c r="AM249" s="12" t="str">
        <x:v>Valid</x:v>
      </x:c>
      <x:c r="AN249" s="12" t="str">
        <x:v>Include in completed sales</x:v>
      </x:c>
      <x:c r="AO249" s="12" t="str">
        <x:v>Not a refunded record</x:v>
      </x:c>
      <x:c r="AP249" s="37" t="n">
        <x:f>IF(LEFT($AM249,7)="Invalid","",IF($AM249="Missing discount imputed as 0",IF(AND(COUNT($O249,$P249,$R249,$S249)=4,$O249&gt;0,$P249&gt;=0,$R249&gt;=0,$S249&gt;=0),0,""),IF(AND(ISNUMBER($Q249),$Q249&gt;=0,$Q249&lt;=0.5),$Q249,"")))</x:f>
        <x:v>0.25</x:v>
      </x:c>
      <x:c r="AQ249" s="152" t="n">
        <x:f>IF(OR($W249="",NOT(ISNUMBER($R249))),"",ROUND($R249-$W249,2))</x:f>
        <x:v>0</x:v>
      </x:c>
      <x:c r="AR249" s="152" t="n">
        <x:f>IF(OR($X249="",NOT(ISNUMBER($T249))),"",ROUND($T249-$X249,2))</x:f>
        <x:v>0</x:v>
      </x:c>
      <x:c r="AS249" s="14" t="str">
        <x:v>OK</x:v>
      </x:c>
    </x:row>
    <x:row r="250">
      <x:c r="A250" s="80" t="n">
        <x:v>250</x:v>
      </x:c>
      <x:c r="B250" s="80" t="str">
        <x:v>ORD-2024-10249</x:v>
      </x:c>
      <x:c r="C250" s="81" t="n">
        <x:v>45445</x:v>
      </x:c>
      <x:c r="D250" s="81" t="n">
        <x:v>45450</x:v>
      </x:c>
      <x:c r="E250" s="80" t="str">
        <x:v>CUST-6278</x:v>
      </x:c>
      <x:c r="F250" s="80" t="str">
        <x:v>Rohan Mehta</x:v>
      </x:c>
      <x:c r="G250" s="80" t="str">
        <x:v>Home Office</x:v>
      </x:c>
      <x:c r="H250" s="80" t="str">
        <x:v>East</x:v>
      </x:c>
      <x:c r="I250" s="80" t="str">
        <x:v>Odisha</x:v>
      </x:c>
      <x:c r="J250" s="80" t="str">
        <x:v>Bhubaneswar</x:v>
      </x:c>
      <x:c r="K250" s="80" t="str">
        <x:v>Office Supplies</x:v>
      </x:c>
      <x:c r="L250" s="80" t="str">
        <x:v>Labels</x:v>
      </x:c>
      <x:c r="M250" s="80" t="str">
        <x:v>Basic Labels 432</x:v>
      </x:c>
      <x:c r="N250" s="80" t="str">
        <x:v>Second Class</x:v>
      </x:c>
      <x:c r="O250" s="82" t="n">
        <x:v>9</x:v>
      </x:c>
      <x:c r="P250" s="83" t="n">
        <x:v>787.91</x:v>
      </x:c>
      <x:c r="Q250" s="84" t="n">
        <x:v>0.15</x:v>
      </x:c>
      <x:c r="R250" s="83" t="n">
        <x:v>6027.51</x:v>
      </x:c>
      <x:c r="S250" s="83" t="n">
        <x:v>4883.82</x:v>
      </x:c>
      <x:c r="T250" s="83" t="n">
        <x:v>1143.69</x:v>
      </x:c>
      <x:c r="U250" s="83" t="str">
        <x:v>Paid</x:v>
      </x:c>
      <x:c r="V250" s="83" t="str">
        <x:v>Completed</x:v>
      </x:c>
      <x:c r="W250" s="151" t="n">
        <x:f>IF(OR(NOT(ISNUMBER($AP250)),COUNT($O250,$P250)&lt;2,$O250&lt;=0,$P250&lt;0),"",ROUND($O250*$P250*(1-$AP250),2))</x:f>
        <x:v>6027.51</x:v>
      </x:c>
      <x:c r="X250" s="151" t="n">
        <x:f>IF(OR(NOT(ISNUMBER($W250)),NOT(ISNUMBER($S250))),"",ROUND($W250-$S250,2))</x:f>
        <x:v>1143.69</x:v>
      </x:c>
      <x:c r="Y250" s="85" t="n">
        <x:f>IF(OR(NOT(ISNUMBER($W250)),NOT(ISNUMBER($X250)),$W250=0),"",ROUND($X250/$W250,4))</x:f>
        <x:v>0.1897</x:v>
      </x:c>
      <x:c r="Z250" s="82" t="n">
        <x:f>IF(OR($AH250&lt;&gt;"Valid",$AI250&lt;&gt;"Valid"),"",INT($D250-$C250))</x:f>
        <x:v>5</x:v>
      </x:c>
      <x:c r="AA250" s="86" t="str">
        <x:f>IF($AH250&lt;&gt;"Valid","",TEXT($C250,"mmmm"))</x:f>
        <x:v>June</x:v>
      </x:c>
      <x:c r="AB250" s="82" t="n">
        <x:f>IF($AH250&lt;&gt;"Valid","",YEAR($C250))</x:f>
        <x:v>2024</x:v>
      </x:c>
      <x:c r="AC250" s="80" t="str">
        <x:v>Consistent</x:v>
      </x:c>
      <x:c r="AD250" s="80" t="str">
        <x:v>Eligible</x:v>
      </x:c>
      <x:c r="AE250" s="80" t="str">
        <x:f>IF(OR($AH250&lt;&gt;"Valid",$AI250&lt;&gt;"Valid",$AJ250&lt;&gt;"Valid",LEFT($AM250,7)="Invalid",IFERROR(ABS($AQ250)&gt;0.01,FALSE),IFERROR(ABS($AR250)&gt;0.01,FALSE),COUNTIF($AS250,"*Conflicting duplicate*")&gt;0,COUNTIF($AS250,"*Completed order not paid*")&gt;0),"Invalid",IF(OR($H250="Unknown",$N250="Unknown",$AM250="Missing discount imputed as 0"),"Warning","Clean"))</x:f>
        <x:v>Clean</x:v>
      </x:c>
      <x:c r="AF250" s="80" t="str">
        <x:v>Pass</x:v>
      </x:c>
      <x:c r="AG250" s="80" t="str">
        <x:v>No text cleanup required</x:v>
      </x:c>
      <x:c r="AH250" s="12" t="str">
        <x:f>IF(C250="","Missing date",IF(ISNUMBER(C250),"Valid","Unrecognized/invalid date"))</x:f>
        <x:v>Valid</x:v>
      </x:c>
      <x:c r="AI250" s="12" t="str">
        <x:f>IF(D250="","Missing date",IF(ISNUMBER(D250),"Valid","Unrecognized/invalid date"))</x:f>
        <x:v>Valid</x:v>
      </x:c>
      <x:c r="AJ250" s="12" t="str">
        <x:v>Valid</x:v>
      </x:c>
      <x:c r="AK250" s="12" t="str">
        <x:v>Pass</x:v>
      </x:c>
      <x:c r="AL250" s="12" t="str">
        <x:v>None</x:v>
      </x:c>
      <x:c r="AM250" s="12" t="str">
        <x:v>Valid</x:v>
      </x:c>
      <x:c r="AN250" s="12" t="str">
        <x:v>Include in completed sales</x:v>
      </x:c>
      <x:c r="AO250" s="12" t="str">
        <x:v>Not a refunded record</x:v>
      </x:c>
      <x:c r="AP250" s="37" t="n">
        <x:f>IF(LEFT($AM250,7)="Invalid","",IF($AM250="Missing discount imputed as 0",IF(AND(COUNT($O250,$P250,$R250,$S250)=4,$O250&gt;0,$P250&gt;=0,$R250&gt;=0,$S250&gt;=0),0,""),IF(AND(ISNUMBER($Q250),$Q250&gt;=0,$Q250&lt;=0.5),$Q250,"")))</x:f>
        <x:v>0.15</x:v>
      </x:c>
      <x:c r="AQ250" s="152" t="n">
        <x:f>IF(OR($W250="",NOT(ISNUMBER($R250))),"",ROUND($R250-$W250,2))</x:f>
        <x:v>0</x:v>
      </x:c>
      <x:c r="AR250" s="152" t="n">
        <x:f>IF(OR($X250="",NOT(ISNUMBER($T250))),"",ROUND($T250-$X250,2))</x:f>
        <x:v>0</x:v>
      </x:c>
      <x:c r="AS250" s="14" t="str">
        <x:v>OK</x:v>
      </x:c>
    </x:row>
    <x:row r="251">
      <x:c r="A251" s="80" t="n">
        <x:v>251</x:v>
      </x:c>
      <x:c r="B251" s="80" t="str">
        <x:v>ORD-2025-10250</x:v>
      </x:c>
      <x:c r="C251" s="81" t="n">
        <x:v>45870</x:v>
      </x:c>
      <x:c r="D251" s="81" t="n">
        <x:v>45871</x:v>
      </x:c>
      <x:c r="E251" s="80" t="str">
        <x:v>CUST-2305</x:v>
      </x:c>
      <x:c r="F251" s="80" t="str">
        <x:v>Mira Das</x:v>
      </x:c>
      <x:c r="G251" s="80" t="str">
        <x:v>Corporate</x:v>
      </x:c>
      <x:c r="H251" s="80" t="str">
        <x:v>North</x:v>
      </x:c>
      <x:c r="I251" s="80" t="str">
        <x:v>Rajasthan</x:v>
      </x:c>
      <x:c r="J251" s="80" t="str">
        <x:v>Jaipur</x:v>
      </x:c>
      <x:c r="K251" s="80" t="str">
        <x:v>Furniture</x:v>
      </x:c>
      <x:c r="L251" s="80" t="str">
        <x:v>Furnishings</x:v>
      </x:c>
      <x:c r="M251" s="80" t="str">
        <x:v>Classic Furnishings 378</x:v>
      </x:c>
      <x:c r="N251" s="80" t="str">
        <x:v>First Class</x:v>
      </x:c>
      <x:c r="O251" s="82" t="n">
        <x:v>4</x:v>
      </x:c>
      <x:c r="P251" s="83" t="n">
        <x:v>2790.29</x:v>
      </x:c>
      <x:c r="Q251" s="84" t="n">
        <x:v>0.2</x:v>
      </x:c>
      <x:c r="R251" s="83" t="n">
        <x:v>8928.93</x:v>
      </x:c>
      <x:c r="S251" s="83" t="n">
        <x:v>5634.38</x:v>
      </x:c>
      <x:c r="T251" s="83" t="n">
        <x:v>3294.55</x:v>
      </x:c>
      <x:c r="U251" s="83" t="str">
        <x:v>Paid</x:v>
      </x:c>
      <x:c r="V251" s="83" t="str">
        <x:v>Completed</x:v>
      </x:c>
      <x:c r="W251" s="151" t="n">
        <x:f>IF(OR(NOT(ISNUMBER($AP251)),COUNT($O251,$P251)&lt;2,$O251&lt;=0,$P251&lt;0),"",ROUND($O251*$P251*(1-$AP251),2))</x:f>
        <x:v>8928.93</x:v>
      </x:c>
      <x:c r="X251" s="151" t="n">
        <x:f>IF(OR(NOT(ISNUMBER($W251)),NOT(ISNUMBER($S251))),"",ROUND($W251-$S251,2))</x:f>
        <x:v>3294.55</x:v>
      </x:c>
      <x:c r="Y251" s="85" t="n">
        <x:f>IF(OR(NOT(ISNUMBER($W251)),NOT(ISNUMBER($X251)),$W251=0),"",ROUND($X251/$W251,4))</x:f>
        <x:v>0.369</x:v>
      </x:c>
      <x:c r="Z251" s="82" t="n">
        <x:f>IF(OR($AH251&lt;&gt;"Valid",$AI251&lt;&gt;"Valid"),"",INT($D251-$C251))</x:f>
        <x:v>1</x:v>
      </x:c>
      <x:c r="AA251" s="86" t="str">
        <x:f>IF($AH251&lt;&gt;"Valid","",TEXT($C251,"mmmm"))</x:f>
        <x:v>August</x:v>
      </x:c>
      <x:c r="AB251" s="82" t="n">
        <x:f>IF($AH251&lt;&gt;"Valid","",YEAR($C251))</x:f>
        <x:v>2025</x:v>
      </x:c>
      <x:c r="AC251" s="80" t="str">
        <x:v>Consistent</x:v>
      </x:c>
      <x:c r="AD251" s="80" t="str">
        <x:v>Eligible</x:v>
      </x:c>
      <x:c r="AE251" s="80" t="str">
        <x:f>IF(OR($AH251&lt;&gt;"Valid",$AI251&lt;&gt;"Valid",$AJ251&lt;&gt;"Valid",LEFT($AM251,7)="Invalid",IFERROR(ABS($AQ251)&gt;0.01,FALSE),IFERROR(ABS($AR251)&gt;0.01,FALSE),COUNTIF($AS251,"*Conflicting duplicate*")&gt;0,COUNTIF($AS251,"*Completed order not paid*")&gt;0),"Invalid",IF(OR($H251="Unknown",$N251="Unknown",$AM251="Missing discount imputed as 0"),"Warning","Clean"))</x:f>
        <x:v>Clean</x:v>
      </x:c>
      <x:c r="AF251" s="80" t="str">
        <x:v>Pass</x:v>
      </x:c>
      <x:c r="AG251" s="80" t="str">
        <x:v>No text cleanup required</x:v>
      </x:c>
      <x:c r="AH251" s="12" t="str">
        <x:f>IF(C251="","Missing date",IF(ISNUMBER(C251),"Valid","Unrecognized/invalid date"))</x:f>
        <x:v>Valid</x:v>
      </x:c>
      <x:c r="AI251" s="12" t="str">
        <x:f>IF(D251="","Missing date",IF(ISNUMBER(D251),"Valid","Unrecognized/invalid date"))</x:f>
        <x:v>Valid</x:v>
      </x:c>
      <x:c r="AJ251" s="12" t="str">
        <x:v>Valid</x:v>
      </x:c>
      <x:c r="AK251" s="12" t="str">
        <x:v>Pass</x:v>
      </x:c>
      <x:c r="AL251" s="12" t="str">
        <x:v>None</x:v>
      </x:c>
      <x:c r="AM251" s="12" t="str">
        <x:v>Valid</x:v>
      </x:c>
      <x:c r="AN251" s="12" t="str">
        <x:v>Include in completed sales</x:v>
      </x:c>
      <x:c r="AO251" s="12" t="str">
        <x:v>Not a refunded record</x:v>
      </x:c>
      <x:c r="AP251" s="37" t="n">
        <x:f>IF(LEFT($AM251,7)="Invalid","",IF($AM251="Missing discount imputed as 0",IF(AND(COUNT($O251,$P251,$R251,$S251)=4,$O251&gt;0,$P251&gt;=0,$R251&gt;=0,$S251&gt;=0),0,""),IF(AND(ISNUMBER($Q251),$Q251&gt;=0,$Q251&lt;=0.5),$Q251,"")))</x:f>
        <x:v>0.2</x:v>
      </x:c>
      <x:c r="AQ251" s="152" t="n">
        <x:f>IF(OR($W251="",NOT(ISNUMBER($R251))),"",ROUND($R251-$W251,2))</x:f>
        <x:v>0</x:v>
      </x:c>
      <x:c r="AR251" s="152" t="n">
        <x:f>IF(OR($X251="",NOT(ISNUMBER($T251))),"",ROUND($T251-$X251,2))</x:f>
        <x:v>0</x:v>
      </x:c>
      <x:c r="AS251" s="14" t="str">
        <x:v>OK</x:v>
      </x:c>
    </x:row>
    <x:row r="252">
      <x:c r="A252" s="80" t="n">
        <x:v>252</x:v>
      </x:c>
      <x:c r="B252" s="80" t="str">
        <x:v>ORD-2024-10251</x:v>
      </x:c>
      <x:c r="C252" s="81" t="n">
        <x:v>45343</x:v>
      </x:c>
      <x:c r="D252" s="81" t="n">
        <x:v>45349</x:v>
      </x:c>
      <x:c r="E252" s="80" t="str">
        <x:v>CUST-5351</x:v>
      </x:c>
      <x:c r="F252" s="80" t="str">
        <x:v>Arjun Bose</x:v>
      </x:c>
      <x:c r="G252" s="80" t="str">
        <x:v>Small Business</x:v>
      </x:c>
      <x:c r="H252" s="80" t="str">
        <x:v>East</x:v>
      </x:c>
      <x:c r="I252" s="80" t="str">
        <x:v>West Bengal</x:v>
      </x:c>
      <x:c r="J252" s="80" t="str">
        <x:v>Kolkata</x:v>
      </x:c>
      <x:c r="K252" s="80" t="str">
        <x:v>Furniture</x:v>
      </x:c>
      <x:c r="L252" s="80" t="str">
        <x:v>Furnishings</x:v>
      </x:c>
      <x:c r="M252" s="80" t="str">
        <x:v>Prime Furnishings 781</x:v>
      </x:c>
      <x:c r="N252" s="80" t="str">
        <x:v>Standard Class</x:v>
      </x:c>
      <x:c r="O252" s="82" t="n">
        <x:v>5</x:v>
      </x:c>
      <x:c r="P252" s="83" t="n">
        <x:v>3373.86</x:v>
      </x:c>
      <x:c r="Q252" s="84" t="n">
        <x:v>0.15</x:v>
      </x:c>
      <x:c r="R252" s="83" t="n">
        <x:v>14338.9</x:v>
      </x:c>
      <x:c r="S252" s="83" t="n">
        <x:v>11897.65</x:v>
      </x:c>
      <x:c r="T252" s="83" t="n">
        <x:v>2441.25</x:v>
      </x:c>
      <x:c r="U252" s="83" t="str">
        <x:v>Pending</x:v>
      </x:c>
      <x:c r="V252" s="83" t="str">
        <x:v>Returned</x:v>
      </x:c>
      <x:c r="W252" s="151" t="n">
        <x:f>IF(OR(NOT(ISNUMBER($AP252)),COUNT($O252,$P252)&lt;2,$O252&lt;=0,$P252&lt;0),"",ROUND($O252*$P252*(1-$AP252),2))</x:f>
        <x:v>14338.91</x:v>
      </x:c>
      <x:c r="X252" s="151" t="n">
        <x:f>IF(OR(NOT(ISNUMBER($W252)),NOT(ISNUMBER($S252))),"",ROUND($W252-$S252,2))</x:f>
        <x:v>2441.26</x:v>
      </x:c>
      <x:c r="Y252" s="85" t="n">
        <x:f>IF(OR(NOT(ISNUMBER($W252)),NOT(ISNUMBER($X252)),$W252=0),"",ROUND($X252/$W252,4))</x:f>
        <x:v>0.1703</x:v>
      </x:c>
      <x:c r="Z252" s="82" t="n">
        <x:f>IF(OR($AH252&lt;&gt;"Valid",$AI252&lt;&gt;"Valid"),"",INT($D252-$C252))</x:f>
        <x:v>6</x:v>
      </x:c>
      <x:c r="AA252" s="86" t="str">
        <x:f>IF($AH252&lt;&gt;"Valid","",TEXT($C252,"mmmm"))</x:f>
        <x:v>February</x:v>
      </x:c>
      <x:c r="AB252" s="82" t="n">
        <x:f>IF($AH252&lt;&gt;"Valid","",YEAR($C252))</x:f>
        <x:v>2024</x:v>
      </x:c>
      <x:c r="AC252" s="80" t="str">
        <x:v>Consistent</x:v>
      </x:c>
      <x:c r="AD252" s="80" t="str">
        <x:v>Excluded</x:v>
      </x:c>
      <x:c r="AE252" s="80" t="str">
        <x:f>IF(OR($AH252&lt;&gt;"Valid",$AI252&lt;&gt;"Valid",$AJ252&lt;&gt;"Valid",LEFT($AM252,7)="Invalid",IFERROR(ABS($AQ252)&gt;0.01,FALSE),IFERROR(ABS($AR252)&gt;0.01,FALSE),COUNTIF($AS252,"*Conflicting duplicate*")&gt;0,COUNTIF($AS252,"*Completed order not paid*")&gt;0),"Invalid",IF(OR($H252="Unknown",$N252="Unknown",$AM252="Missing discount imputed as 0"),"Warning","Clean"))</x:f>
        <x:v>Clean</x:v>
      </x:c>
      <x:c r="AF252" s="80" t="str">
        <x:v>Pass</x:v>
      </x:c>
      <x:c r="AG252" s="80" t="str">
        <x:v>No text cleanup required</x:v>
      </x:c>
      <x:c r="AH252" s="12" t="str">
        <x:f>IF(C252="","Missing date",IF(ISNUMBER(C252),"Valid","Unrecognized/invalid date"))</x:f>
        <x:v>Valid</x:v>
      </x:c>
      <x:c r="AI252" s="12" t="str">
        <x:f>IF(D252="","Missing date",IF(ISNUMBER(D252),"Valid","Unrecognized/invalid date"))</x:f>
        <x:v>Valid</x:v>
      </x:c>
      <x:c r="AJ252" s="12" t="str">
        <x:v>Valid</x:v>
      </x:c>
      <x:c r="AK252" s="12" t="str">
        <x:v>Pass</x:v>
      </x:c>
      <x:c r="AL252" s="12" t="str">
        <x:v>None</x:v>
      </x:c>
      <x:c r="AM252" s="12" t="str">
        <x:v>Valid</x:v>
      </x:c>
      <x:c r="AN252" s="12" t="str">
        <x:v>Exclude from completed sales</x:v>
      </x:c>
      <x:c r="AO252" s="12" t="str">
        <x:v>Not a refunded record</x:v>
      </x:c>
      <x:c r="AP252" s="37" t="n">
        <x:f>IF(LEFT($AM252,7)="Invalid","",IF($AM252="Missing discount imputed as 0",IF(AND(COUNT($O252,$P252,$R252,$S252)=4,$O252&gt;0,$P252&gt;=0,$R252&gt;=0,$S252&gt;=0),0,""),IF(AND(ISNUMBER($Q252),$Q252&gt;=0,$Q252&lt;=0.5),$Q252,"")))</x:f>
        <x:v>0.15</x:v>
      </x:c>
      <x:c r="AQ252" s="152" t="n">
        <x:f>IF(OR($W252="",NOT(ISNUMBER($R252))),"",ROUND($R252-$W252,2))</x:f>
        <x:v>-0.01</x:v>
      </x:c>
      <x:c r="AR252" s="152" t="n">
        <x:f>IF(OR($X252="",NOT(ISNUMBER($T252))),"",ROUND($T252-$X252,2))</x:f>
        <x:v>-0.01</x:v>
      </x:c>
      <x:c r="AS252" s="14" t="str">
        <x:v>OK</x:v>
      </x:c>
    </x:row>
    <x:row r="253">
      <x:c r="A253" s="80" t="n">
        <x:v>253</x:v>
      </x:c>
      <x:c r="B253" s="80" t="str">
        <x:v>ORD-2025-10252</x:v>
      </x:c>
      <x:c r="C253" s="81" t="n">
        <x:v>45753</x:v>
      </x:c>
      <x:c r="D253" s="81" t="n">
        <x:v>45757</x:v>
      </x:c>
      <x:c r="E253" s="80" t="str">
        <x:v>CUST-6268</x:v>
      </x:c>
      <x:c r="F253" s="80" t="str">
        <x:v>Ananya Rao</x:v>
      </x:c>
      <x:c r="G253" s="80" t="str">
        <x:v>Corporate</x:v>
      </x:c>
      <x:c r="H253" s="80" t="str">
        <x:v>West</x:v>
      </x:c>
      <x:c r="I253" s="80" t="str">
        <x:v>Gujarat</x:v>
      </x:c>
      <x:c r="J253" s="80" t="str">
        <x:v>Ahmedabad</x:v>
      </x:c>
      <x:c r="K253" s="80" t="str">
        <x:v>Furniture</x:v>
      </x:c>
      <x:c r="L253" s="80" t="str">
        <x:v>Tables</x:v>
      </x:c>
      <x:c r="M253" s="80" t="str">
        <x:v>Prime Tables 263</x:v>
      </x:c>
      <x:c r="N253" s="80" t="str">
        <x:v>Second Class</x:v>
      </x:c>
      <x:c r="O253" s="82" t="n">
        <x:v>6</x:v>
      </x:c>
      <x:c r="P253" s="83" t="n">
        <x:v>1022.16</x:v>
      </x:c>
      <x:c r="Q253" s="84" t="n">
        <x:v>0</x:v>
      </x:c>
      <x:c r="R253" s="83" t="n">
        <x:v>6132.96</x:v>
      </x:c>
      <x:c r="S253" s="83" t="n">
        <x:v>4881.1</x:v>
      </x:c>
      <x:c r="T253" s="83" t="n">
        <x:v>1251.86</x:v>
      </x:c>
      <x:c r="U253" s="83" t="str">
        <x:v>Paid</x:v>
      </x:c>
      <x:c r="V253" s="83" t="str">
        <x:v>Completed</x:v>
      </x:c>
      <x:c r="W253" s="151" t="n">
        <x:f>IF(OR(NOT(ISNUMBER($AP253)),COUNT($O253,$P253)&lt;2,$O253&lt;=0,$P253&lt;0),"",ROUND($O253*$P253*(1-$AP253),2))</x:f>
        <x:v>6132.96</x:v>
      </x:c>
      <x:c r="X253" s="151" t="n">
        <x:f>IF(OR(NOT(ISNUMBER($W253)),NOT(ISNUMBER($S253))),"",ROUND($W253-$S253,2))</x:f>
        <x:v>1251.86</x:v>
      </x:c>
      <x:c r="Y253" s="85" t="n">
        <x:f>IF(OR(NOT(ISNUMBER($W253)),NOT(ISNUMBER($X253)),$W253=0),"",ROUND($X253/$W253,4))</x:f>
        <x:v>0.2041</x:v>
      </x:c>
      <x:c r="Z253" s="82" t="n">
        <x:f>IF(OR($AH253&lt;&gt;"Valid",$AI253&lt;&gt;"Valid"),"",INT($D253-$C253))</x:f>
        <x:v>4</x:v>
      </x:c>
      <x:c r="AA253" s="86" t="str">
        <x:f>IF($AH253&lt;&gt;"Valid","",TEXT($C253,"mmmm"))</x:f>
        <x:v>April</x:v>
      </x:c>
      <x:c r="AB253" s="82" t="n">
        <x:f>IF($AH253&lt;&gt;"Valid","",YEAR($C253))</x:f>
        <x:v>2025</x:v>
      </x:c>
      <x:c r="AC253" s="80" t="str">
        <x:v>Consistent</x:v>
      </x:c>
      <x:c r="AD253" s="80" t="str">
        <x:v>Eligible</x:v>
      </x:c>
      <x:c r="AE253" s="80" t="str">
        <x:f>IF(OR($AH253&lt;&gt;"Valid",$AI253&lt;&gt;"Valid",$AJ253&lt;&gt;"Valid",LEFT($AM253,7)="Invalid",IFERROR(ABS($AQ253)&gt;0.01,FALSE),IFERROR(ABS($AR253)&gt;0.01,FALSE),COUNTIF($AS253,"*Conflicting duplicate*")&gt;0,COUNTIF($AS253,"*Completed order not paid*")&gt;0),"Invalid",IF(OR($H253="Unknown",$N253="Unknown",$AM253="Missing discount imputed as 0"),"Warning","Clean"))</x:f>
        <x:v>Clean</x:v>
      </x:c>
      <x:c r="AF253" s="80" t="str">
        <x:v>Pass</x:v>
      </x:c>
      <x:c r="AG253" s="80" t="str">
        <x:v>No text cleanup required</x:v>
      </x:c>
      <x:c r="AH253" s="12" t="str">
        <x:f>IF(C253="","Missing date",IF(ISNUMBER(C253),"Valid","Unrecognized/invalid date"))</x:f>
        <x:v>Valid</x:v>
      </x:c>
      <x:c r="AI253" s="12" t="str">
        <x:f>IF(D253="","Missing date",IF(ISNUMBER(D253),"Valid","Unrecognized/invalid date"))</x:f>
        <x:v>Valid</x:v>
      </x:c>
      <x:c r="AJ253" s="12" t="str">
        <x:v>Valid</x:v>
      </x:c>
      <x:c r="AK253" s="12" t="str">
        <x:v>Pass</x:v>
      </x:c>
      <x:c r="AL253" s="12" t="str">
        <x:v>None</x:v>
      </x:c>
      <x:c r="AM253" s="12" t="str">
        <x:v>Valid</x:v>
      </x:c>
      <x:c r="AN253" s="12" t="str">
        <x:v>Include in completed sales</x:v>
      </x:c>
      <x:c r="AO253" s="12" t="str">
        <x:v>Not a refunded record</x:v>
      </x:c>
      <x:c r="AP253" s="37" t="n">
        <x:f>IF(LEFT($AM253,7)="Invalid","",IF($AM253="Missing discount imputed as 0",IF(AND(COUNT($O253,$P253,$R253,$S253)=4,$O253&gt;0,$P253&gt;=0,$R253&gt;=0,$S253&gt;=0),0,""),IF(AND(ISNUMBER($Q253),$Q253&gt;=0,$Q253&lt;=0.5),$Q253,"")))</x:f>
        <x:v>0</x:v>
      </x:c>
      <x:c r="AQ253" s="152" t="n">
        <x:f>IF(OR($W253="",NOT(ISNUMBER($R253))),"",ROUND($R253-$W253,2))</x:f>
        <x:v>0</x:v>
      </x:c>
      <x:c r="AR253" s="152" t="n">
        <x:f>IF(OR($X253="",NOT(ISNUMBER($T253))),"",ROUND($T253-$X253,2))</x:f>
        <x:v>0</x:v>
      </x:c>
      <x:c r="AS253" s="14" t="str">
        <x:v>OK</x:v>
      </x:c>
    </x:row>
    <x:row r="254">
      <x:c r="A254" s="80" t="n">
        <x:v>254</x:v>
      </x:c>
      <x:c r="B254" s="80" t="str">
        <x:v>ORD-2025-10253</x:v>
      </x:c>
      <x:c r="C254" s="81" t="n">
        <x:v>45833</x:v>
      </x:c>
      <x:c r="D254" s="81" t="n">
        <x:v>45836</x:v>
      </x:c>
      <x:c r="E254" s="80" t="str">
        <x:v>CUST-2103</x:v>
      </x:c>
      <x:c r="F254" s="80" t="str">
        <x:v>Arjun Bose</x:v>
      </x:c>
      <x:c r="G254" s="80" t="str">
        <x:v>Corporate</x:v>
      </x:c>
      <x:c r="H254" s="80" t="str">
        <x:v>North</x:v>
      </x:c>
      <x:c r="I254" s="80" t="str">
        <x:v>Haryana</x:v>
      </x:c>
      <x:c r="J254" s="80" t="str">
        <x:v>Gurugram</x:v>
      </x:c>
      <x:c r="K254" s="80" t="str">
        <x:v>Office Supplies</x:v>
      </x:c>
      <x:c r="L254" s="80" t="str">
        <x:v>Storage</x:v>
      </x:c>
      <x:c r="M254" s="80" t="str">
        <x:v>Basic Storage 269</x:v>
      </x:c>
      <x:c r="N254" s="80" t="str">
        <x:v>First Class</x:v>
      </x:c>
      <x:c r="O254" s="82" t="n">
        <x:v>2</x:v>
      </x:c>
      <x:c r="P254" s="83" t="n">
        <x:v>1455.92</x:v>
      </x:c>
      <x:c r="Q254" s="84" t="n">
        <x:v>0.2</x:v>
      </x:c>
      <x:c r="R254" s="83" t="n">
        <x:v>2329.47</x:v>
      </x:c>
      <x:c r="S254" s="83" t="n">
        <x:v>1603.62</x:v>
      </x:c>
      <x:c r="T254" s="83" t="n">
        <x:v>725.85</x:v>
      </x:c>
      <x:c r="U254" s="83" t="str">
        <x:v>Pending</x:v>
      </x:c>
      <x:c r="V254" s="83" t="str">
        <x:v>Returned</x:v>
      </x:c>
      <x:c r="W254" s="151" t="n">
        <x:f>IF(OR(NOT(ISNUMBER($AP254)),COUNT($O254,$P254)&lt;2,$O254&lt;=0,$P254&lt;0),"",ROUND($O254*$P254*(1-$AP254),2))</x:f>
        <x:v>2329.47</x:v>
      </x:c>
      <x:c r="X254" s="151" t="n">
        <x:f>IF(OR(NOT(ISNUMBER($W254)),NOT(ISNUMBER($S254))),"",ROUND($W254-$S254,2))</x:f>
        <x:v>725.85</x:v>
      </x:c>
      <x:c r="Y254" s="85" t="n">
        <x:f>IF(OR(NOT(ISNUMBER($W254)),NOT(ISNUMBER($X254)),$W254=0),"",ROUND($X254/$W254,4))</x:f>
        <x:v>0.3116</x:v>
      </x:c>
      <x:c r="Z254" s="82" t="n">
        <x:f>IF(OR($AH254&lt;&gt;"Valid",$AI254&lt;&gt;"Valid"),"",INT($D254-$C254))</x:f>
        <x:v>3</x:v>
      </x:c>
      <x:c r="AA254" s="86" t="str">
        <x:f>IF($AH254&lt;&gt;"Valid","",TEXT($C254,"mmmm"))</x:f>
        <x:v>June</x:v>
      </x:c>
      <x:c r="AB254" s="82" t="n">
        <x:f>IF($AH254&lt;&gt;"Valid","",YEAR($C254))</x:f>
        <x:v>2025</x:v>
      </x:c>
      <x:c r="AC254" s="80" t="str">
        <x:v>Consistent</x:v>
      </x:c>
      <x:c r="AD254" s="80" t="str">
        <x:v>Excluded</x:v>
      </x:c>
      <x:c r="AE254" s="80" t="str">
        <x:f>IF(OR($AH254&lt;&gt;"Valid",$AI254&lt;&gt;"Valid",$AJ254&lt;&gt;"Valid",LEFT($AM254,7)="Invalid",IFERROR(ABS($AQ254)&gt;0.01,FALSE),IFERROR(ABS($AR254)&gt;0.01,FALSE),COUNTIF($AS254,"*Conflicting duplicate*")&gt;0,COUNTIF($AS254,"*Completed order not paid*")&gt;0),"Invalid",IF(OR($H254="Unknown",$N254="Unknown",$AM254="Missing discount imputed as 0"),"Warning","Clean"))</x:f>
        <x:v>Clean</x:v>
      </x:c>
      <x:c r="AF254" s="80" t="str">
        <x:v>Pass</x:v>
      </x:c>
      <x:c r="AG254" s="80" t="str">
        <x:v>No text cleanup required</x:v>
      </x:c>
      <x:c r="AH254" s="12" t="str">
        <x:f>IF(C254="","Missing date",IF(ISNUMBER(C254),"Valid","Unrecognized/invalid date"))</x:f>
        <x:v>Valid</x:v>
      </x:c>
      <x:c r="AI254" s="12" t="str">
        <x:f>IF(D254="","Missing date",IF(ISNUMBER(D254),"Valid","Unrecognized/invalid date"))</x:f>
        <x:v>Valid</x:v>
      </x:c>
      <x:c r="AJ254" s="12" t="str">
        <x:v>Valid</x:v>
      </x:c>
      <x:c r="AK254" s="12" t="str">
        <x:v>Pass</x:v>
      </x:c>
      <x:c r="AL254" s="12" t="str">
        <x:v>None</x:v>
      </x:c>
      <x:c r="AM254" s="12" t="str">
        <x:v>Valid</x:v>
      </x:c>
      <x:c r="AN254" s="12" t="str">
        <x:v>Exclude from completed sales</x:v>
      </x:c>
      <x:c r="AO254" s="12" t="str">
        <x:v>Not a refunded record</x:v>
      </x:c>
      <x:c r="AP254" s="37" t="n">
        <x:f>IF(LEFT($AM254,7)="Invalid","",IF($AM254="Missing discount imputed as 0",IF(AND(COUNT($O254,$P254,$R254,$S254)=4,$O254&gt;0,$P254&gt;=0,$R254&gt;=0,$S254&gt;=0),0,""),IF(AND(ISNUMBER($Q254),$Q254&gt;=0,$Q254&lt;=0.5),$Q254,"")))</x:f>
        <x:v>0.2</x:v>
      </x:c>
      <x:c r="AQ254" s="152" t="n">
        <x:f>IF(OR($W254="",NOT(ISNUMBER($R254))),"",ROUND($R254-$W254,2))</x:f>
        <x:v>0</x:v>
      </x:c>
      <x:c r="AR254" s="152" t="n">
        <x:f>IF(OR($X254="",NOT(ISNUMBER($T254))),"",ROUND($T254-$X254,2))</x:f>
        <x:v>0</x:v>
      </x:c>
      <x:c r="AS254" s="14" t="str">
        <x:v>OK</x:v>
      </x:c>
    </x:row>
    <x:row r="255">
      <x:c r="A255" s="80" t="n">
        <x:v>255</x:v>
      </x:c>
      <x:c r="B255" s="80" t="str">
        <x:v>ORD-2024-10254</x:v>
      </x:c>
      <x:c r="C255" s="81" t="n">
        <x:v>45547</x:v>
      </x:c>
      <x:c r="D255" s="81" t="n">
        <x:v>45548</x:v>
      </x:c>
      <x:c r="E255" s="80" t="str">
        <x:v>CUST-5394</x:v>
      </x:c>
      <x:c r="F255" s="80" t="str">
        <x:v>Priya Menon</x:v>
      </x:c>
      <x:c r="G255" s="80" t="str">
        <x:v>Small Business</x:v>
      </x:c>
      <x:c r="H255" s="80" t="str">
        <x:v>North</x:v>
      </x:c>
      <x:c r="I255" s="80" t="str">
        <x:v>Rajasthan</x:v>
      </x:c>
      <x:c r="J255" s="80" t="str">
        <x:v>Jaipur</x:v>
      </x:c>
      <x:c r="K255" s="80" t="str">
        <x:v>Technology</x:v>
      </x:c>
      <x:c r="L255" s="80" t="str">
        <x:v>Phones</x:v>
      </x:c>
      <x:c r="M255" s="80" t="str">
        <x:v>Classic Phones 442</x:v>
      </x:c>
      <x:c r="N255" s="80" t="str">
        <x:v>Same Day</x:v>
      </x:c>
      <x:c r="O255" s="82" t="n">
        <x:v>6</x:v>
      </x:c>
      <x:c r="P255" s="83" t="n">
        <x:v>832.79</x:v>
      </x:c>
      <x:c r="Q255" s="84" t="n">
        <x:v>0.05</x:v>
      </x:c>
      <x:c r="R255" s="83" t="n">
        <x:v>4746.9</x:v>
      </x:c>
      <x:c r="S255" s="83" t="n">
        <x:v>2825.38</x:v>
      </x:c>
      <x:c r="T255" s="83" t="n">
        <x:v>1472.89</x:v>
      </x:c>
      <x:c r="U255" s="83" t="str">
        <x:v>Refunded</x:v>
      </x:c>
      <x:c r="V255" s="83" t="str">
        <x:v>Cancelled</x:v>
      </x:c>
      <x:c r="W255" s="151" t="n">
        <x:f>IF(OR(NOT(ISNUMBER($AP255)),COUNT($O255,$P255)&lt;2,$O255&lt;=0,$P255&lt;0),"",ROUND($O255*$P255*(1-$AP255),2))</x:f>
        <x:v>4746.9</x:v>
      </x:c>
      <x:c r="X255" s="151" t="n">
        <x:f>IF(OR(NOT(ISNUMBER($W255)),NOT(ISNUMBER($S255))),"",ROUND($W255-$S255,2))</x:f>
        <x:v>1921.52</x:v>
      </x:c>
      <x:c r="Y255" s="85" t="n">
        <x:f>IF(OR(NOT(ISNUMBER($W255)),NOT(ISNUMBER($X255)),$W255=0),"",ROUND($X255/$W255,4))</x:f>
        <x:v>0.4048</x:v>
      </x:c>
      <x:c r="Z255" s="82" t="n">
        <x:f>IF(OR($AH255&lt;&gt;"Valid",$AI255&lt;&gt;"Valid"),"",INT($D255-$C255))</x:f>
        <x:v>1</x:v>
      </x:c>
      <x:c r="AA255" s="86" t="str">
        <x:f>IF($AH255&lt;&gt;"Valid","",TEXT($C255,"mmmm"))</x:f>
        <x:v>September</x:v>
      </x:c>
      <x:c r="AB255" s="82" t="n">
        <x:f>IF($AH255&lt;&gt;"Valid","",YEAR($C255))</x:f>
        <x:v>2024</x:v>
      </x:c>
      <x:c r="AC255" s="80" t="str">
        <x:v>Cancelled (excluded from completed-sales summary)</x:v>
      </x:c>
      <x:c r="AD255" s="80" t="str">
        <x:v>Excluded</x:v>
      </x:c>
      <x:c r="AE255" s="80" t="str">
        <x:f>IF(OR($AH255&lt;&gt;"Valid",$AI255&lt;&gt;"Valid",$AJ255&lt;&gt;"Valid",LEFT($AM255,7)="Invalid",IFERROR(ABS($AQ255)&gt;0.01,FALSE),IFERROR(ABS($AR255)&gt;0.01,FALSE),COUNTIF($AS255,"*Conflicting duplicate*")&gt;0,COUNTIF($AS255,"*Completed order not paid*")&gt;0),"Invalid",IF(OR($H255="Unknown",$N255="Unknown",$AM255="Missing discount imputed as 0"),"Warning","Clean"))</x:f>
        <x:v>Invalid</x:v>
      </x:c>
      <x:c r="AF255" s="80" t="str">
        <x:v>Review</x:v>
      </x:c>
      <x:c r="AG255" s="80" t="str">
        <x:v>No text cleanup required</x:v>
      </x:c>
      <x:c r="AH255" s="12" t="str">
        <x:f>IF(C255="","Missing date",IF(ISNUMBER(C255),"Valid","Unrecognized/invalid date"))</x:f>
        <x:v>Valid</x:v>
      </x:c>
      <x:c r="AI255" s="12" t="str">
        <x:f>IF(D255="","Missing date",IF(ISNUMBER(D255),"Valid","Unrecognized/invalid date"))</x:f>
        <x:v>Valid</x:v>
      </x:c>
      <x:c r="AJ255" s="12" t="str">
        <x:v>Valid</x:v>
      </x:c>
      <x:c r="AK255" s="12" t="str">
        <x:v>Pass</x:v>
      </x:c>
      <x:c r="AL255" s="12" t="str">
        <x:v>Cancelled order – excluded from completed sales; Refunded payment – separately summarized</x:v>
      </x:c>
      <x:c r="AM255" s="12" t="str">
        <x:v>Valid</x:v>
      </x:c>
      <x:c r="AN255" s="12" t="str">
        <x:v>Exclude from completed sales</x:v>
      </x:c>
      <x:c r="AO255" s="12" t="str">
        <x:v>Include in refunded summary</x:v>
      </x:c>
      <x:c r="AP255" s="37" t="n">
        <x:f>IF(LEFT($AM255,7)="Invalid","",IF($AM255="Missing discount imputed as 0",IF(AND(COUNT($O255,$P255,$R255,$S255)=4,$O255&gt;0,$P255&gt;=0,$R255&gt;=0,$S255&gt;=0),0,""),IF(AND(ISNUMBER($Q255),$Q255&gt;=0,$Q255&lt;=0.5),$Q255,"")))</x:f>
        <x:v>0.05</x:v>
      </x:c>
      <x:c r="AQ255" s="152" t="n">
        <x:f>IF(OR($W255="",NOT(ISNUMBER($R255))),"",ROUND($R255-$W255,2))</x:f>
        <x:v>0</x:v>
      </x:c>
      <x:c r="AR255" s="152" t="n">
        <x:f>IF(OR($X255="",NOT(ISNUMBER($T255))),"",ROUND($T255-$X255,2))</x:f>
        <x:v>-448.63</x:v>
      </x:c>
      <x:c r="AS255" s="14" t="str">
        <x:v>Profit calculation mismatch</x:v>
      </x:c>
    </x:row>
    <x:row r="256">
      <x:c r="A256" s="80" t="n">
        <x:v>256</x:v>
      </x:c>
      <x:c r="B256" s="80" t="str">
        <x:v>ORD-2025-10255</x:v>
      </x:c>
      <x:c r="C256" s="81" t="n">
        <x:v>45658</x:v>
      </x:c>
      <x:c r="D256" s="81" t="n">
        <x:v>45660</x:v>
      </x:c>
      <x:c r="E256" s="80" t="str">
        <x:v>CUST-6853</x:v>
      </x:c>
      <x:c r="F256" s="80" t="str">
        <x:v>Ananya Rao</x:v>
      </x:c>
      <x:c r="G256" s="80" t="str">
        <x:v>Consumer</x:v>
      </x:c>
      <x:c r="H256" s="80" t="str">
        <x:v>West</x:v>
      </x:c>
      <x:c r="I256" s="80" t="str">
        <x:v>Madhya Pradesh</x:v>
      </x:c>
      <x:c r="J256" s="80" t="str">
        <x:v>Indore</x:v>
      </x:c>
      <x:c r="K256" s="80" t="str">
        <x:v>Technology</x:v>
      </x:c>
      <x:c r="L256" s="80" t="str">
        <x:v>Accessories</x:v>
      </x:c>
      <x:c r="M256" s="80" t="str">
        <x:v>Elite Accessories 978</x:v>
      </x:c>
      <x:c r="N256" s="80" t="str">
        <x:v>Same Day</x:v>
      </x:c>
      <x:c r="O256" s="82" t="n">
        <x:v>7</x:v>
      </x:c>
      <x:c r="P256" s="83" t="n">
        <x:v>1000.55</x:v>
      </x:c>
      <x:c r="Q256" s="84" t="n">
        <x:v>0.2</x:v>
      </x:c>
      <x:c r="R256" s="83" t="n">
        <x:v>5603.08</x:v>
      </x:c>
      <x:c r="S256" s="83" t="n">
        <x:v>3132.52</x:v>
      </x:c>
      <x:c r="T256" s="83" t="n">
        <x:v>2470.56</x:v>
      </x:c>
      <x:c r="U256" s="83" t="str">
        <x:v>Paid</x:v>
      </x:c>
      <x:c r="V256" s="83" t="str">
        <x:v>Returned</x:v>
      </x:c>
      <x:c r="W256" s="151" t="n">
        <x:f>IF(OR(NOT(ISNUMBER($AP256)),COUNT($O256,$P256)&lt;2,$O256&lt;=0,$P256&lt;0),"",ROUND($O256*$P256*(1-$AP256),2))</x:f>
        <x:v>5603.08</x:v>
      </x:c>
      <x:c r="X256" s="151" t="n">
        <x:f>IF(OR(NOT(ISNUMBER($W256)),NOT(ISNUMBER($S256))),"",ROUND($W256-$S256,2))</x:f>
        <x:v>2470.56</x:v>
      </x:c>
      <x:c r="Y256" s="85" t="n">
        <x:f>IF(OR(NOT(ISNUMBER($W256)),NOT(ISNUMBER($X256)),$W256=0),"",ROUND($X256/$W256,4))</x:f>
        <x:v>0.4409</x:v>
      </x:c>
      <x:c r="Z256" s="82" t="n">
        <x:f>IF(OR($AH256&lt;&gt;"Valid",$AI256&lt;&gt;"Valid"),"",INT($D256-$C256))</x:f>
        <x:v>2</x:v>
      </x:c>
      <x:c r="AA256" s="86" t="str">
        <x:f>IF($AH256&lt;&gt;"Valid","",TEXT($C256,"mmmm"))</x:f>
        <x:v>January</x:v>
      </x:c>
      <x:c r="AB256" s="82" t="n">
        <x:f>IF($AH256&lt;&gt;"Valid","",YEAR($C256))</x:f>
        <x:v>2025</x:v>
      </x:c>
      <x:c r="AC256" s="80" t="str">
        <x:v>Consistent</x:v>
      </x:c>
      <x:c r="AD256" s="80" t="str">
        <x:v>Excluded</x:v>
      </x:c>
      <x:c r="AE256" s="80" t="str">
        <x:f>IF(OR($AH256&lt;&gt;"Valid",$AI256&lt;&gt;"Valid",$AJ256&lt;&gt;"Valid",LEFT($AM256,7)="Invalid",IFERROR(ABS($AQ256)&gt;0.01,FALSE),IFERROR(ABS($AR256)&gt;0.01,FALSE),COUNTIF($AS256,"*Conflicting duplicate*")&gt;0,COUNTIF($AS256,"*Completed order not paid*")&gt;0),"Invalid",IF(OR($H256="Unknown",$N256="Unknown",$AM256="Missing discount imputed as 0"),"Warning","Clean"))</x:f>
        <x:v>Clean</x:v>
      </x:c>
      <x:c r="AF256" s="80" t="str">
        <x:v>Pass</x:v>
      </x:c>
      <x:c r="AG256" s="80" t="str">
        <x:v>No text cleanup required</x:v>
      </x:c>
      <x:c r="AH256" s="12" t="str">
        <x:f>IF(C256="","Missing date",IF(ISNUMBER(C256),"Valid","Unrecognized/invalid date"))</x:f>
        <x:v>Valid</x:v>
      </x:c>
      <x:c r="AI256" s="12" t="str">
        <x:f>IF(D256="","Missing date",IF(ISNUMBER(D256),"Valid","Unrecognized/invalid date"))</x:f>
        <x:v>Valid</x:v>
      </x:c>
      <x:c r="AJ256" s="12" t="str">
        <x:v>Valid</x:v>
      </x:c>
      <x:c r="AK256" s="12" t="str">
        <x:v>Pass</x:v>
      </x:c>
      <x:c r="AL256" s="12" t="str">
        <x:v>None</x:v>
      </x:c>
      <x:c r="AM256" s="12" t="str">
        <x:v>Valid</x:v>
      </x:c>
      <x:c r="AN256" s="12" t="str">
        <x:v>Exclude from completed sales</x:v>
      </x:c>
      <x:c r="AO256" s="12" t="str">
        <x:v>Not a refunded record</x:v>
      </x:c>
      <x:c r="AP256" s="37" t="n">
        <x:f>IF(LEFT($AM256,7)="Invalid","",IF($AM256="Missing discount imputed as 0",IF(AND(COUNT($O256,$P256,$R256,$S256)=4,$O256&gt;0,$P256&gt;=0,$R256&gt;=0,$S256&gt;=0),0,""),IF(AND(ISNUMBER($Q256),$Q256&gt;=0,$Q256&lt;=0.5),$Q256,"")))</x:f>
        <x:v>0.2</x:v>
      </x:c>
      <x:c r="AQ256" s="152" t="n">
        <x:f>IF(OR($W256="",NOT(ISNUMBER($R256))),"",ROUND($R256-$W256,2))</x:f>
        <x:v>0</x:v>
      </x:c>
      <x:c r="AR256" s="152" t="n">
        <x:f>IF(OR($X256="",NOT(ISNUMBER($T256))),"",ROUND($T256-$X256,2))</x:f>
        <x:v>0</x:v>
      </x:c>
      <x:c r="AS256" s="14" t="str">
        <x:v>OK</x:v>
      </x:c>
    </x:row>
    <x:row r="257">
      <x:c r="A257" s="80" t="n">
        <x:v>257</x:v>
      </x:c>
      <x:c r="B257" s="80" t="str">
        <x:v>ORD-2025-10256</x:v>
      </x:c>
      <x:c r="C257" s="81" t="n">
        <x:v>45692</x:v>
      </x:c>
      <x:c r="D257" s="81" t="n">
        <x:v>45698</x:v>
      </x:c>
      <x:c r="E257" s="80" t="str">
        <x:v>CUST-1549</x:v>
      </x:c>
      <x:c r="F257" s="80" t="str">
        <x:v>Isha Nair</x:v>
      </x:c>
      <x:c r="G257" s="80" t="str">
        <x:v>Corporate</x:v>
      </x:c>
      <x:c r="H257" s="80" t="str">
        <x:v>West</x:v>
      </x:c>
      <x:c r="I257" s="80" t="str">
        <x:v>Maharashtra</x:v>
      </x:c>
      <x:c r="J257" s="80" t="str">
        <x:v>Mumbai</x:v>
      </x:c>
      <x:c r="K257" s="80" t="str">
        <x:v>Technology</x:v>
      </x:c>
      <x:c r="L257" s="80" t="str">
        <x:v>Phones</x:v>
      </x:c>
      <x:c r="M257" s="80" t="str">
        <x:v>Eco Phones 132</x:v>
      </x:c>
      <x:c r="N257" s="80" t="str">
        <x:v>First Class</x:v>
      </x:c>
      <x:c r="O257" s="82" t="n">
        <x:v>7</x:v>
      </x:c>
      <x:c r="P257" s="83" t="n">
        <x:v>1830</x:v>
      </x:c>
      <x:c r="Q257" s="84" t="n">
        <x:v>0</x:v>
      </x:c>
      <x:c r="R257" s="83" t="n">
        <x:v>12810</x:v>
      </x:c>
      <x:c r="S257" s="83" t="n">
        <x:v>9334.12</x:v>
      </x:c>
      <x:c r="T257" s="83" t="n">
        <x:v>3475.88</x:v>
      </x:c>
      <x:c r="U257" s="83" t="str">
        <x:v>Paid</x:v>
      </x:c>
      <x:c r="V257" s="83" t="str">
        <x:v>Completed</x:v>
      </x:c>
      <x:c r="W257" s="151" t="n">
        <x:f>IF(OR(NOT(ISNUMBER($AP257)),COUNT($O257,$P257)&lt;2,$O257&lt;=0,$P257&lt;0),"",ROUND($O257*$P257*(1-$AP257),2))</x:f>
        <x:v>12810</x:v>
      </x:c>
      <x:c r="X257" s="151" t="n">
        <x:f>IF(OR(NOT(ISNUMBER($W257)),NOT(ISNUMBER($S257))),"",ROUND($W257-$S257,2))</x:f>
        <x:v>3475.88</x:v>
      </x:c>
      <x:c r="Y257" s="85" t="n">
        <x:f>IF(OR(NOT(ISNUMBER($W257)),NOT(ISNUMBER($X257)),$W257=0),"",ROUND($X257/$W257,4))</x:f>
        <x:v>0.2713</x:v>
      </x:c>
      <x:c r="Z257" s="82" t="n">
        <x:f>IF(OR($AH257&lt;&gt;"Valid",$AI257&lt;&gt;"Valid"),"",INT($D257-$C257))</x:f>
        <x:v>6</x:v>
      </x:c>
      <x:c r="AA257" s="86" t="str">
        <x:f>IF($AH257&lt;&gt;"Valid","",TEXT($C257,"mmmm"))</x:f>
        <x:v>February</x:v>
      </x:c>
      <x:c r="AB257" s="82" t="n">
        <x:f>IF($AH257&lt;&gt;"Valid","",YEAR($C257))</x:f>
        <x:v>2025</x:v>
      </x:c>
      <x:c r="AC257" s="80" t="str">
        <x:v>Consistent</x:v>
      </x:c>
      <x:c r="AD257" s="80" t="str">
        <x:v>Eligible</x:v>
      </x:c>
      <x:c r="AE257" s="80" t="str">
        <x:f>IF(OR($AH257&lt;&gt;"Valid",$AI257&lt;&gt;"Valid",$AJ257&lt;&gt;"Valid",LEFT($AM257,7)="Invalid",IFERROR(ABS($AQ257)&gt;0.01,FALSE),IFERROR(ABS($AR257)&gt;0.01,FALSE),COUNTIF($AS257,"*Conflicting duplicate*")&gt;0,COUNTIF($AS257,"*Completed order not paid*")&gt;0),"Invalid",IF(OR($H257="Unknown",$N257="Unknown",$AM257="Missing discount imputed as 0"),"Warning","Clean"))</x:f>
        <x:v>Clean</x:v>
      </x:c>
      <x:c r="AF257" s="80" t="str">
        <x:v>Pass</x:v>
      </x:c>
      <x:c r="AG257" s="80" t="str">
        <x:v>No text cleanup required</x:v>
      </x:c>
      <x:c r="AH257" s="12" t="str">
        <x:f>IF(C257="","Missing date",IF(ISNUMBER(C257),"Valid","Unrecognized/invalid date"))</x:f>
        <x:v>Valid</x:v>
      </x:c>
      <x:c r="AI257" s="12" t="str">
        <x:f>IF(D257="","Missing date",IF(ISNUMBER(D257),"Valid","Unrecognized/invalid date"))</x:f>
        <x:v>Valid</x:v>
      </x:c>
      <x:c r="AJ257" s="12" t="str">
        <x:v>Valid</x:v>
      </x:c>
      <x:c r="AK257" s="12" t="str">
        <x:v>Pass</x:v>
      </x:c>
      <x:c r="AL257" s="12" t="str">
        <x:v>None</x:v>
      </x:c>
      <x:c r="AM257" s="12" t="str">
        <x:v>Valid</x:v>
      </x:c>
      <x:c r="AN257" s="12" t="str">
        <x:v>Include in completed sales</x:v>
      </x:c>
      <x:c r="AO257" s="12" t="str">
        <x:v>Not a refunded record</x:v>
      </x:c>
      <x:c r="AP257" s="37" t="n">
        <x:f>IF(LEFT($AM257,7)="Invalid","",IF($AM257="Missing discount imputed as 0",IF(AND(COUNT($O257,$P257,$R257,$S257)=4,$O257&gt;0,$P257&gt;=0,$R257&gt;=0,$S257&gt;=0),0,""),IF(AND(ISNUMBER($Q257),$Q257&gt;=0,$Q257&lt;=0.5),$Q257,"")))</x:f>
        <x:v>0</x:v>
      </x:c>
      <x:c r="AQ257" s="152" t="n">
        <x:f>IF(OR($W257="",NOT(ISNUMBER($R257))),"",ROUND($R257-$W257,2))</x:f>
        <x:v>0</x:v>
      </x:c>
      <x:c r="AR257" s="152" t="n">
        <x:f>IF(OR($X257="",NOT(ISNUMBER($T257))),"",ROUND($T257-$X257,2))</x:f>
        <x:v>0</x:v>
      </x:c>
      <x:c r="AS257" s="14" t="str">
        <x:v>OK</x:v>
      </x:c>
    </x:row>
    <x:row r="258">
      <x:c r="A258" s="80" t="n">
        <x:v>258</x:v>
      </x:c>
      <x:c r="B258" s="80" t="str">
        <x:v>ORD-2024-10257</x:v>
      </x:c>
      <x:c r="C258" s="81" t="n">
        <x:v>45601</x:v>
      </x:c>
      <x:c r="D258" s="81" t="n">
        <x:v>45599</x:v>
      </x:c>
      <x:c r="E258" s="80" t="str">
        <x:v>CUST-8411</x:v>
      </x:c>
      <x:c r="F258" s="80" t="str">
        <x:v>Ananya Rao</x:v>
      </x:c>
      <x:c r="G258" s="80" t="str">
        <x:v>Consumer</x:v>
      </x:c>
      <x:c r="H258" s="80" t="str">
        <x:v>East</x:v>
      </x:c>
      <x:c r="I258" s="80" t="str">
        <x:v>West Bengal</x:v>
      </x:c>
      <x:c r="J258" s="80" t="str">
        <x:v>Kolkata</x:v>
      </x:c>
      <x:c r="K258" s="80" t="str">
        <x:v>Furniture</x:v>
      </x:c>
      <x:c r="L258" s="80" t="str">
        <x:v>Tables</x:v>
      </x:c>
      <x:c r="M258" s="80" t="str">
        <x:v>Prime Tables 481</x:v>
      </x:c>
      <x:c r="N258" s="80" t="str">
        <x:v>First Class</x:v>
      </x:c>
      <x:c r="O258" s="82" t="n">
        <x:v>9</x:v>
      </x:c>
      <x:c r="P258" s="83" t="n">
        <x:v>2260.61</x:v>
      </x:c>
      <x:c r="Q258" s="84" t="n">
        <x:v>0.05</x:v>
      </x:c>
      <x:c r="R258" s="83" t="n">
        <x:v>19328.22</x:v>
      </x:c>
      <x:c r="S258" s="83" t="n">
        <x:v>12039.5</x:v>
      </x:c>
      <x:c r="T258" s="83" t="n">
        <x:v>7288.72</x:v>
      </x:c>
      <x:c r="U258" s="83" t="str">
        <x:v>Paid</x:v>
      </x:c>
      <x:c r="V258" s="83" t="str">
        <x:v>Completed</x:v>
      </x:c>
      <x:c r="W258" s="151" t="n">
        <x:f>IF(OR(NOT(ISNUMBER($AP258)),COUNT($O258,$P258)&lt;2,$O258&lt;=0,$P258&lt;0),"",ROUND($O258*$P258*(1-$AP258),2))</x:f>
        <x:v>19328.22</x:v>
      </x:c>
      <x:c r="X258" s="151" t="n">
        <x:f>IF(OR(NOT(ISNUMBER($W258)),NOT(ISNUMBER($S258))),"",ROUND($W258-$S258,2))</x:f>
        <x:v>7288.72</x:v>
      </x:c>
      <x:c r="Y258" s="85" t="n">
        <x:f>IF(OR(NOT(ISNUMBER($W258)),NOT(ISNUMBER($X258)),$W258=0),"",ROUND($X258/$W258,4))</x:f>
        <x:v>0.3771</x:v>
      </x:c>
      <x:c r="Z258" s="82" t="n">
        <x:f>IF(OR($AH258&lt;&gt;"Valid",$AI258&lt;&gt;"Valid"),"",INT($D258-$C258))</x:f>
        <x:v>-2</x:v>
      </x:c>
      <x:c r="AA258" s="86" t="str">
        <x:f>IF($AH258&lt;&gt;"Valid","",TEXT($C258,"mmmm"))</x:f>
        <x:v>November</x:v>
      </x:c>
      <x:c r="AB258" s="82" t="n">
        <x:f>IF($AH258&lt;&gt;"Valid","",YEAR($C258))</x:f>
        <x:v>2024</x:v>
      </x:c>
      <x:c r="AC258" s="80" t="str">
        <x:v>Consistent</x:v>
      </x:c>
      <x:c r="AD258" s="80" t="str">
        <x:v>Excluded</x:v>
      </x:c>
      <x:c r="AE258" s="80" t="str">
        <x:f>IF(OR($AH258&lt;&gt;"Valid",$AI258&lt;&gt;"Valid",$AJ258&lt;&gt;"Valid",LEFT($AM258,7)="Invalid",IFERROR(ABS($AQ258)&gt;0.01,FALSE),IFERROR(ABS($AR258)&gt;0.01,FALSE),COUNTIF($AS258,"*Conflicting duplicate*")&gt;0,COUNTIF($AS258,"*Completed order not paid*")&gt;0),"Invalid",IF(OR($H258="Unknown",$N258="Unknown",$AM258="Missing discount imputed as 0"),"Warning","Clean"))</x:f>
        <x:v>Invalid</x:v>
      </x:c>
      <x:c r="AF258" s="80" t="str">
        <x:v>Review</x:v>
      </x:c>
      <x:c r="AG258" s="80" t="str">
        <x:v>No text cleanup required</x:v>
      </x:c>
      <x:c r="AH258" s="12" t="str">
        <x:f>IF(C258="","Missing date",IF(ISNUMBER(C258),"Valid","Unrecognized/invalid date"))</x:f>
        <x:v>Valid</x:v>
      </x:c>
      <x:c r="AI258" s="12" t="str">
        <x:f>IF(D258="","Missing date",IF(ISNUMBER(D258),"Valid","Unrecognized/invalid date"))</x:f>
        <x:v>Valid</x:v>
      </x:c>
      <x:c r="AJ258" s="12" t="str">
        <x:v>Invalid</x:v>
      </x:c>
      <x:c r="AK258" s="12" t="str">
        <x:v>Ship date is earlier than order date</x:v>
      </x:c>
      <x:c r="AL258" s="12" t="str">
        <x:v>None</x:v>
      </x:c>
      <x:c r="AM258" s="12" t="str">
        <x:v>Valid</x:v>
      </x:c>
      <x:c r="AN258" s="12" t="str">
        <x:v>Exclude from completed sales</x:v>
      </x:c>
      <x:c r="AO258" s="12" t="str">
        <x:v>Not a refunded record</x:v>
      </x:c>
      <x:c r="AP258" s="37" t="n">
        <x:f>IF(LEFT($AM258,7)="Invalid","",IF($AM258="Missing discount imputed as 0",IF(AND(COUNT($O258,$P258,$R258,$S258)=4,$O258&gt;0,$P258&gt;=0,$R258&gt;=0,$S258&gt;=0),0,""),IF(AND(ISNUMBER($Q258),$Q258&gt;=0,$Q258&lt;=0.5),$Q258,"")))</x:f>
        <x:v>0.05</x:v>
      </x:c>
      <x:c r="AQ258" s="152" t="n">
        <x:f>IF(OR($W258="",NOT(ISNUMBER($R258))),"",ROUND($R258-$W258,2))</x:f>
        <x:v>0</x:v>
      </x:c>
      <x:c r="AR258" s="152" t="n">
        <x:f>IF(OR($X258="",NOT(ISNUMBER($T258))),"",ROUND($T258-$X258,2))</x:f>
        <x:v>0</x:v>
      </x:c>
      <x:c r="AS258" s="14" t="str">
        <x:v>Ship date earlier than order date</x:v>
      </x:c>
    </x:row>
    <x:row r="259">
      <x:c r="A259" s="80" t="n">
        <x:v>259</x:v>
      </x:c>
      <x:c r="B259" s="80" t="str">
        <x:v>ORD-2025-10258</x:v>
      </x:c>
      <x:c r="C259" s="81" t="n">
        <x:v>45878</x:v>
      </x:c>
      <x:c r="D259" s="81" t="n">
        <x:v>45881</x:v>
      </x:c>
      <x:c r="E259" s="80" t="str">
        <x:v>CUST-5615</x:v>
      </x:c>
      <x:c r="F259" s="80" t="str">
        <x:v>Diya Patel</x:v>
      </x:c>
      <x:c r="G259" s="80" t="str">
        <x:v>Corporate</x:v>
      </x:c>
      <x:c r="H259" s="80" t="str">
        <x:v>South</x:v>
      </x:c>
      <x:c r="I259" s="80" t="str">
        <x:v>Karnataka</x:v>
      </x:c>
      <x:c r="J259" s="80" t="str">
        <x:v>Bengaluru</x:v>
      </x:c>
      <x:c r="K259" s="80" t="str">
        <x:v>Technology</x:v>
      </x:c>
      <x:c r="L259" s="80" t="str">
        <x:v>Accessories</x:v>
      </x:c>
      <x:c r="M259" s="80" t="str">
        <x:v>Smart Accessories 180</x:v>
      </x:c>
      <x:c r="N259" s="80" t="str">
        <x:v>Second Class</x:v>
      </x:c>
      <x:c r="O259" s="82" t="n">
        <x:v>2</x:v>
      </x:c>
      <x:c r="P259" s="83" t="n">
        <x:v>3237.27</x:v>
      </x:c>
      <x:c r="Q259" s="84" t="n">
        <x:v>0</x:v>
      </x:c>
      <x:c r="R259" s="83" t="n">
        <x:v>6474.54</x:v>
      </x:c>
      <x:c r="S259" s="83" t="n">
        <x:v>5095.91</x:v>
      </x:c>
      <x:c r="T259" s="83" t="n">
        <x:v>1378.63</x:v>
      </x:c>
      <x:c r="U259" s="83" t="str">
        <x:v>Paid</x:v>
      </x:c>
      <x:c r="V259" s="83" t="str">
        <x:v>Cancelled</x:v>
      </x:c>
      <x:c r="W259" s="151" t="n">
        <x:f>IF(OR(NOT(ISNUMBER($AP259)),COUNT($O259,$P259)&lt;2,$O259&lt;=0,$P259&lt;0),"",ROUND($O259*$P259*(1-$AP259),2))</x:f>
        <x:v>6474.54</x:v>
      </x:c>
      <x:c r="X259" s="151" t="n">
        <x:f>IF(OR(NOT(ISNUMBER($W259)),NOT(ISNUMBER($S259))),"",ROUND($W259-$S259,2))</x:f>
        <x:v>1378.63</x:v>
      </x:c>
      <x:c r="Y259" s="85" t="n">
        <x:f>IF(OR(NOT(ISNUMBER($W259)),NOT(ISNUMBER($X259)),$W259=0),"",ROUND($X259/$W259,4))</x:f>
        <x:v>0.2129</x:v>
      </x:c>
      <x:c r="Z259" s="82" t="n">
        <x:f>IF(OR($AH259&lt;&gt;"Valid",$AI259&lt;&gt;"Valid"),"",INT($D259-$C259))</x:f>
        <x:v>3</x:v>
      </x:c>
      <x:c r="AA259" s="86" t="str">
        <x:f>IF($AH259&lt;&gt;"Valid","",TEXT($C259,"mmmm"))</x:f>
        <x:v>August</x:v>
      </x:c>
      <x:c r="AB259" s="82" t="n">
        <x:f>IF($AH259&lt;&gt;"Valid","",YEAR($C259))</x:f>
        <x:v>2025</x:v>
      </x:c>
      <x:c r="AC259" s="80" t="str">
        <x:v>Cancelled (excluded from completed-sales summary)</x:v>
      </x:c>
      <x:c r="AD259" s="80" t="str">
        <x:v>Excluded</x:v>
      </x:c>
      <x:c r="AE259" s="80" t="str">
        <x:f>IF(OR($AH259&lt;&gt;"Valid",$AI259&lt;&gt;"Valid",$AJ259&lt;&gt;"Valid",LEFT($AM259,7)="Invalid",IFERROR(ABS($AQ259)&gt;0.01,FALSE),IFERROR(ABS($AR259)&gt;0.01,FALSE),COUNTIF($AS259,"*Conflicting duplicate*")&gt;0,COUNTIF($AS259,"*Completed order not paid*")&gt;0),"Invalid",IF(OR($H259="Unknown",$N259="Unknown",$AM259="Missing discount imputed as 0"),"Warning","Clean"))</x:f>
        <x:v>Clean</x:v>
      </x:c>
      <x:c r="AF259" s="80" t="str">
        <x:v>Pass</x:v>
      </x:c>
      <x:c r="AG259" s="80" t="str">
        <x:v>No text cleanup required</x:v>
      </x:c>
      <x:c r="AH259" s="12" t="str">
        <x:f>IF(C259="","Missing date",IF(ISNUMBER(C259),"Valid","Unrecognized/invalid date"))</x:f>
        <x:v>Valid</x:v>
      </x:c>
      <x:c r="AI259" s="12" t="str">
        <x:f>IF(D259="","Missing date",IF(ISNUMBER(D259),"Valid","Unrecognized/invalid date"))</x:f>
        <x:v>Valid</x:v>
      </x:c>
      <x:c r="AJ259" s="12" t="str">
        <x:v>Valid</x:v>
      </x:c>
      <x:c r="AK259" s="12" t="str">
        <x:v>Pass</x:v>
      </x:c>
      <x:c r="AL259" s="12" t="str">
        <x:v>Cancelled order – excluded from completed sales</x:v>
      </x:c>
      <x:c r="AM259" s="12" t="str">
        <x:v>Valid</x:v>
      </x:c>
      <x:c r="AN259" s="12" t="str">
        <x:v>Exclude from completed sales</x:v>
      </x:c>
      <x:c r="AO259" s="12" t="str">
        <x:v>Not a refunded record</x:v>
      </x:c>
      <x:c r="AP259" s="37" t="n">
        <x:f>IF(LEFT($AM259,7)="Invalid","",IF($AM259="Missing discount imputed as 0",IF(AND(COUNT($O259,$P259,$R259,$S259)=4,$O259&gt;0,$P259&gt;=0,$R259&gt;=0,$S259&gt;=0),0,""),IF(AND(ISNUMBER($Q259),$Q259&gt;=0,$Q259&lt;=0.5),$Q259,"")))</x:f>
        <x:v>0</x:v>
      </x:c>
      <x:c r="AQ259" s="152" t="n">
        <x:f>IF(OR($W259="",NOT(ISNUMBER($R259))),"",ROUND($R259-$W259,2))</x:f>
        <x:v>0</x:v>
      </x:c>
      <x:c r="AR259" s="152" t="n">
        <x:f>IF(OR($X259="",NOT(ISNUMBER($T259))),"",ROUND($T259-$X259,2))</x:f>
        <x:v>0</x:v>
      </x:c>
      <x:c r="AS259" s="14" t="str">
        <x:v>OK</x:v>
      </x:c>
    </x:row>
    <x:row r="260">
      <x:c r="A260" s="80" t="n">
        <x:v>260</x:v>
      </x:c>
      <x:c r="B260" s="80" t="str">
        <x:v>ORD-2024-10259</x:v>
      </x:c>
      <x:c r="C260" s="81" t="n">
        <x:v>45656</x:v>
      </x:c>
      <x:c r="D260" s="81" t="n">
        <x:v>45661</x:v>
      </x:c>
      <x:c r="E260" s="80" t="str">
        <x:v>CUST-8467</x:v>
      </x:c>
      <x:c r="F260" s="80" t="str">
        <x:v>Sneha Kapoor</x:v>
      </x:c>
      <x:c r="G260" s="80" t="str">
        <x:v>Corporate</x:v>
      </x:c>
      <x:c r="H260" s="80" t="str">
        <x:v>South</x:v>
      </x:c>
      <x:c r="I260" s="80" t="str">
        <x:v>Tamil Nadu</x:v>
      </x:c>
      <x:c r="J260" s="80" t="str">
        <x:v>Chennai</x:v>
      </x:c>
      <x:c r="K260" s="80" t="str">
        <x:v>Furniture</x:v>
      </x:c>
      <x:c r="L260" s="80" t="str">
        <x:v>Tables</x:v>
      </x:c>
      <x:c r="M260" s="80" t="str">
        <x:v>Smart Tables 774</x:v>
      </x:c>
      <x:c r="N260" s="80" t="str">
        <x:v>Same Day</x:v>
      </x:c>
      <x:c r="O260" s="82" t="n">
        <x:v>2</x:v>
      </x:c>
      <x:c r="P260" s="83" t="n">
        <x:v>3720.07</x:v>
      </x:c>
      <x:c r="Q260" s="84" t="n">
        <x:v>0.25</x:v>
      </x:c>
      <x:c r="R260" s="83" t="n">
        <x:v>5580.11</x:v>
      </x:c>
      <x:c r="S260" s="83" t="n">
        <x:v>4307.01</x:v>
      </x:c>
      <x:c r="T260" s="83" t="n">
        <x:v>1273.1</x:v>
      </x:c>
      <x:c r="U260" s="83" t="str">
        <x:v>Paid</x:v>
      </x:c>
      <x:c r="V260" s="83" t="str">
        <x:v>Completed</x:v>
      </x:c>
      <x:c r="W260" s="151" t="n">
        <x:f>IF(OR(NOT(ISNUMBER($AP260)),COUNT($O260,$P260)&lt;2,$O260&lt;=0,$P260&lt;0),"",ROUND($O260*$P260*(1-$AP260),2))</x:f>
        <x:v>5580.11</x:v>
      </x:c>
      <x:c r="X260" s="151" t="n">
        <x:f>IF(OR(NOT(ISNUMBER($W260)),NOT(ISNUMBER($S260))),"",ROUND($W260-$S260,2))</x:f>
        <x:v>1273.1</x:v>
      </x:c>
      <x:c r="Y260" s="85" t="n">
        <x:f>IF(OR(NOT(ISNUMBER($W260)),NOT(ISNUMBER($X260)),$W260=0),"",ROUND($X260/$W260,4))</x:f>
        <x:v>0.2281</x:v>
      </x:c>
      <x:c r="Z260" s="82" t="n">
        <x:f>IF(OR($AH260&lt;&gt;"Valid",$AI260&lt;&gt;"Valid"),"",INT($D260-$C260))</x:f>
        <x:v>5</x:v>
      </x:c>
      <x:c r="AA260" s="86" t="str">
        <x:f>IF($AH260&lt;&gt;"Valid","",TEXT($C260,"mmmm"))</x:f>
        <x:v>December</x:v>
      </x:c>
      <x:c r="AB260" s="82" t="n">
        <x:f>IF($AH260&lt;&gt;"Valid","",YEAR($C260))</x:f>
        <x:v>2024</x:v>
      </x:c>
      <x:c r="AC260" s="80" t="str">
        <x:v>Consistent</x:v>
      </x:c>
      <x:c r="AD260" s="80" t="str">
        <x:v>Eligible</x:v>
      </x:c>
      <x:c r="AE260" s="80" t="str">
        <x:f>IF(OR($AH260&lt;&gt;"Valid",$AI260&lt;&gt;"Valid",$AJ260&lt;&gt;"Valid",LEFT($AM260,7)="Invalid",IFERROR(ABS($AQ260)&gt;0.01,FALSE),IFERROR(ABS($AR260)&gt;0.01,FALSE),COUNTIF($AS260,"*Conflicting duplicate*")&gt;0,COUNTIF($AS260,"*Completed order not paid*")&gt;0),"Invalid",IF(OR($H260="Unknown",$N260="Unknown",$AM260="Missing discount imputed as 0"),"Warning","Clean"))</x:f>
        <x:v>Clean</x:v>
      </x:c>
      <x:c r="AF260" s="80" t="str">
        <x:v>Pass</x:v>
      </x:c>
      <x:c r="AG260" s="80" t="str">
        <x:v>No text cleanup required</x:v>
      </x:c>
      <x:c r="AH260" s="12" t="str">
        <x:f>IF(C260="","Missing date",IF(ISNUMBER(C260),"Valid","Unrecognized/invalid date"))</x:f>
        <x:v>Valid</x:v>
      </x:c>
      <x:c r="AI260" s="12" t="str">
        <x:f>IF(D260="","Missing date",IF(ISNUMBER(D260),"Valid","Unrecognized/invalid date"))</x:f>
        <x:v>Valid</x:v>
      </x:c>
      <x:c r="AJ260" s="12" t="str">
        <x:v>Valid</x:v>
      </x:c>
      <x:c r="AK260" s="12" t="str">
        <x:v>Pass</x:v>
      </x:c>
      <x:c r="AL260" s="12" t="str">
        <x:v>None</x:v>
      </x:c>
      <x:c r="AM260" s="12" t="str">
        <x:v>Valid</x:v>
      </x:c>
      <x:c r="AN260" s="12" t="str">
        <x:v>Include in completed sales</x:v>
      </x:c>
      <x:c r="AO260" s="12" t="str">
        <x:v>Not a refunded record</x:v>
      </x:c>
      <x:c r="AP260" s="37" t="n">
        <x:f>IF(LEFT($AM260,7)="Invalid","",IF($AM260="Missing discount imputed as 0",IF(AND(COUNT($O260,$P260,$R260,$S260)=4,$O260&gt;0,$P260&gt;=0,$R260&gt;=0,$S260&gt;=0),0,""),IF(AND(ISNUMBER($Q260),$Q260&gt;=0,$Q260&lt;=0.5),$Q260,"")))</x:f>
        <x:v>0.25</x:v>
      </x:c>
      <x:c r="AQ260" s="152" t="n">
        <x:f>IF(OR($W260="",NOT(ISNUMBER($R260))),"",ROUND($R260-$W260,2))</x:f>
        <x:v>0</x:v>
      </x:c>
      <x:c r="AR260" s="152" t="n">
        <x:f>IF(OR($X260="",NOT(ISNUMBER($T260))),"",ROUND($T260-$X260,2))</x:f>
        <x:v>0</x:v>
      </x:c>
      <x:c r="AS260" s="14" t="str">
        <x:v>OK</x:v>
      </x:c>
    </x:row>
    <x:row r="261">
      <x:c r="A261" s="80" t="n">
        <x:v>261</x:v>
      </x:c>
      <x:c r="B261" s="80" t="str">
        <x:v>ORD-2024-10260</x:v>
      </x:c>
      <x:c r="C261" s="81" t="n">
        <x:v>45464</x:v>
      </x:c>
      <x:c r="D261" s="81" t="n">
        <x:v>45472</x:v>
      </x:c>
      <x:c r="E261" s="80" t="str">
        <x:v>CUST-5174</x:v>
      </x:c>
      <x:c r="F261" s="80" t="str">
        <x:v>Neha Gupta</x:v>
      </x:c>
      <x:c r="G261" s="80" t="str">
        <x:v>Consumer</x:v>
      </x:c>
      <x:c r="H261" s="80" t="str">
        <x:v>South</x:v>
      </x:c>
      <x:c r="I261" s="80" t="str">
        <x:v>Tamil Nadu</x:v>
      </x:c>
      <x:c r="J261" s="80" t="str">
        <x:v>Chennai</x:v>
      </x:c>
      <x:c r="K261" s="80" t="str">
        <x:v>Technology</x:v>
      </x:c>
      <x:c r="L261" s="80" t="str">
        <x:v>Machines</x:v>
      </x:c>
      <x:c r="M261" s="80" t="str">
        <x:v>Prime Machines 793</x:v>
      </x:c>
      <x:c r="N261" s="80" t="str">
        <x:v>Standard Class</x:v>
      </x:c>
      <x:c r="O261" s="82" t="n">
        <x:v>8</x:v>
      </x:c>
      <x:c r="P261" s="83" t="n">
        <x:v>2853.92</x:v>
      </x:c>
      <x:c r="Q261" s="84" t="n">
        <x:v>0.2</x:v>
      </x:c>
      <x:c r="R261" s="83" t="n">
        <x:v>18265.09</x:v>
      </x:c>
      <x:c r="S261" s="83" t="n">
        <x:v>10437.14</x:v>
      </x:c>
      <x:c r="T261" s="83" t="n">
        <x:v>7827.95</x:v>
      </x:c>
      <x:c r="U261" s="83" t="str">
        <x:v>Paid</x:v>
      </x:c>
      <x:c r="V261" s="83" t="str">
        <x:v>Completed</x:v>
      </x:c>
      <x:c r="W261" s="151" t="n">
        <x:f>IF(OR(NOT(ISNUMBER($AP261)),COUNT($O261,$P261)&lt;2,$O261&lt;=0,$P261&lt;0),"",ROUND($O261*$P261*(1-$AP261),2))</x:f>
        <x:v>18265.09</x:v>
      </x:c>
      <x:c r="X261" s="151" t="n">
        <x:f>IF(OR(NOT(ISNUMBER($W261)),NOT(ISNUMBER($S261))),"",ROUND($W261-$S261,2))</x:f>
        <x:v>7827.95</x:v>
      </x:c>
      <x:c r="Y261" s="85" t="n">
        <x:f>IF(OR(NOT(ISNUMBER($W261)),NOT(ISNUMBER($X261)),$W261=0),"",ROUND($X261/$W261,4))</x:f>
        <x:v>0.4286</x:v>
      </x:c>
      <x:c r="Z261" s="82" t="n">
        <x:f>IF(OR($AH261&lt;&gt;"Valid",$AI261&lt;&gt;"Valid"),"",INT($D261-$C261))</x:f>
        <x:v>8</x:v>
      </x:c>
      <x:c r="AA261" s="86" t="str">
        <x:f>IF($AH261&lt;&gt;"Valid","",TEXT($C261,"mmmm"))</x:f>
        <x:v>June</x:v>
      </x:c>
      <x:c r="AB261" s="82" t="n">
        <x:f>IF($AH261&lt;&gt;"Valid","",YEAR($C261))</x:f>
        <x:v>2024</x:v>
      </x:c>
      <x:c r="AC261" s="80" t="str">
        <x:v>Consistent</x:v>
      </x:c>
      <x:c r="AD261" s="80" t="str">
        <x:v>Eligible</x:v>
      </x:c>
      <x:c r="AE261" s="80" t="str">
        <x:f>IF(OR($AH261&lt;&gt;"Valid",$AI261&lt;&gt;"Valid",$AJ261&lt;&gt;"Valid",LEFT($AM261,7)="Invalid",IFERROR(ABS($AQ261)&gt;0.01,FALSE),IFERROR(ABS($AR261)&gt;0.01,FALSE),COUNTIF($AS261,"*Conflicting duplicate*")&gt;0,COUNTIF($AS261,"*Completed order not paid*")&gt;0),"Invalid",IF(OR($H261="Unknown",$N261="Unknown",$AM261="Missing discount imputed as 0"),"Warning","Clean"))</x:f>
        <x:v>Clean</x:v>
      </x:c>
      <x:c r="AF261" s="80" t="str">
        <x:v>Pass</x:v>
      </x:c>
      <x:c r="AG261" s="80" t="str">
        <x:v>No text cleanup required</x:v>
      </x:c>
      <x:c r="AH261" s="12" t="str">
        <x:f>IF(C261="","Missing date",IF(ISNUMBER(C261),"Valid","Unrecognized/invalid date"))</x:f>
        <x:v>Valid</x:v>
      </x:c>
      <x:c r="AI261" s="12" t="str">
        <x:f>IF(D261="","Missing date",IF(ISNUMBER(D261),"Valid","Unrecognized/invalid date"))</x:f>
        <x:v>Valid</x:v>
      </x:c>
      <x:c r="AJ261" s="12" t="str">
        <x:v>Valid</x:v>
      </x:c>
      <x:c r="AK261" s="12" t="str">
        <x:v>Pass</x:v>
      </x:c>
      <x:c r="AL261" s="12" t="str">
        <x:v>None</x:v>
      </x:c>
      <x:c r="AM261" s="12" t="str">
        <x:v>Valid</x:v>
      </x:c>
      <x:c r="AN261" s="12" t="str">
        <x:v>Include in completed sales</x:v>
      </x:c>
      <x:c r="AO261" s="12" t="str">
        <x:v>Not a refunded record</x:v>
      </x:c>
      <x:c r="AP261" s="37" t="n">
        <x:f>IF(LEFT($AM261,7)="Invalid","",IF($AM261="Missing discount imputed as 0",IF(AND(COUNT($O261,$P261,$R261,$S261)=4,$O261&gt;0,$P261&gt;=0,$R261&gt;=0,$S261&gt;=0),0,""),IF(AND(ISNUMBER($Q261),$Q261&gt;=0,$Q261&lt;=0.5),$Q261,"")))</x:f>
        <x:v>0.2</x:v>
      </x:c>
      <x:c r="AQ261" s="152" t="n">
        <x:f>IF(OR($W261="",NOT(ISNUMBER($R261))),"",ROUND($R261-$W261,2))</x:f>
        <x:v>0</x:v>
      </x:c>
      <x:c r="AR261" s="152" t="n">
        <x:f>IF(OR($X261="",NOT(ISNUMBER($T261))),"",ROUND($T261-$X261,2))</x:f>
        <x:v>0</x:v>
      </x:c>
      <x:c r="AS261" s="14" t="str">
        <x:v>OK</x:v>
      </x:c>
    </x:row>
    <x:row r="262">
      <x:c r="A262" s="80" t="n">
        <x:v>262</x:v>
      </x:c>
      <x:c r="B262" s="80" t="str">
        <x:v>ORD-2025-10261</x:v>
      </x:c>
      <x:c r="C262" s="81" t="n">
        <x:v>45923</x:v>
      </x:c>
      <x:c r="D262" s="81" t="n">
        <x:v>45927</x:v>
      </x:c>
      <x:c r="E262" s="80" t="str">
        <x:v>CUST-3543</x:v>
      </x:c>
      <x:c r="F262" s="80" t="str">
        <x:v>Aditi Sen</x:v>
      </x:c>
      <x:c r="G262" s="80" t="str">
        <x:v>Corporate</x:v>
      </x:c>
      <x:c r="H262" s="80" t="str">
        <x:v>East</x:v>
      </x:c>
      <x:c r="I262" s="80" t="str">
        <x:v>West Bengal</x:v>
      </x:c>
      <x:c r="J262" s="80" t="str">
        <x:v>Kolkata</x:v>
      </x:c>
      <x:c r="K262" s="80" t="str">
        <x:v>Office Supplies</x:v>
      </x:c>
      <x:c r="L262" s="80" t="str">
        <x:v>Binders</x:v>
      </x:c>
      <x:c r="M262" s="80" t="str">
        <x:v>Elite Binders 827</x:v>
      </x:c>
      <x:c r="N262" s="80" t="str">
        <x:v>Same Day</x:v>
      </x:c>
      <x:c r="O262" s="82" t="n">
        <x:v>7</x:v>
      </x:c>
      <x:c r="P262" s="83" t="n">
        <x:v>2897.12</x:v>
      </x:c>
      <x:c r="Q262" s="84" t="n">
        <x:v>0.25</x:v>
      </x:c>
      <x:c r="R262" s="83" t="n">
        <x:v>15209.88</x:v>
      </x:c>
      <x:c r="S262" s="83" t="n">
        <x:v>10891.15</x:v>
      </x:c>
      <x:c r="T262" s="83" t="n">
        <x:v>4318.73</x:v>
      </x:c>
      <x:c r="U262" s="83" t="str">
        <x:v>Failed</x:v>
      </x:c>
      <x:c r="V262" s="83" t="str">
        <x:v>Returned</x:v>
      </x:c>
      <x:c r="W262" s="151" t="n">
        <x:f>IF(OR(NOT(ISNUMBER($AP262)),COUNT($O262,$P262)&lt;2,$O262&lt;=0,$P262&lt;0),"",ROUND($O262*$P262*(1-$AP262),2))</x:f>
        <x:v>15209.88</x:v>
      </x:c>
      <x:c r="X262" s="151" t="n">
        <x:f>IF(OR(NOT(ISNUMBER($W262)),NOT(ISNUMBER($S262))),"",ROUND($W262-$S262,2))</x:f>
        <x:v>4318.73</x:v>
      </x:c>
      <x:c r="Y262" s="85" t="n">
        <x:f>IF(OR(NOT(ISNUMBER($W262)),NOT(ISNUMBER($X262)),$W262=0),"",ROUND($X262/$W262,4))</x:f>
        <x:v>0.2839</x:v>
      </x:c>
      <x:c r="Z262" s="82" t="n">
        <x:f>IF(OR($AH262&lt;&gt;"Valid",$AI262&lt;&gt;"Valid"),"",INT($D262-$C262))</x:f>
        <x:v>4</x:v>
      </x:c>
      <x:c r="AA262" s="86" t="str">
        <x:f>IF($AH262&lt;&gt;"Valid","",TEXT($C262,"mmmm"))</x:f>
        <x:v>September</x:v>
      </x:c>
      <x:c r="AB262" s="82" t="n">
        <x:f>IF($AH262&lt;&gt;"Valid","",YEAR($C262))</x:f>
        <x:v>2025</x:v>
      </x:c>
      <x:c r="AC262" s="80" t="str">
        <x:v>Failed payment (excluded from completed-sales summary)</x:v>
      </x:c>
      <x:c r="AD262" s="80" t="str">
        <x:v>Excluded</x:v>
      </x:c>
      <x:c r="AE262" s="80" t="str">
        <x:f>IF(OR($AH262&lt;&gt;"Valid",$AI262&lt;&gt;"Valid",$AJ262&lt;&gt;"Valid",LEFT($AM262,7)="Invalid",IFERROR(ABS($AQ262)&gt;0.01,FALSE),IFERROR(ABS($AR262)&gt;0.01,FALSE),COUNTIF($AS262,"*Conflicting duplicate*")&gt;0,COUNTIF($AS262,"*Completed order not paid*")&gt;0),"Invalid",IF(OR($H262="Unknown",$N262="Unknown",$AM262="Missing discount imputed as 0"),"Warning","Clean"))</x:f>
        <x:v>Clean</x:v>
      </x:c>
      <x:c r="AF262" s="80" t="str">
        <x:v>Pass</x:v>
      </x:c>
      <x:c r="AG262" s="80" t="str">
        <x:v>No text cleanup required</x:v>
      </x:c>
      <x:c r="AH262" s="12" t="str">
        <x:f>IF(C262="","Missing date",IF(ISNUMBER(C262),"Valid","Unrecognized/invalid date"))</x:f>
        <x:v>Valid</x:v>
      </x:c>
      <x:c r="AI262" s="12" t="str">
        <x:f>IF(D262="","Missing date",IF(ISNUMBER(D262),"Valid","Unrecognized/invalid date"))</x:f>
        <x:v>Valid</x:v>
      </x:c>
      <x:c r="AJ262" s="12" t="str">
        <x:v>Valid</x:v>
      </x:c>
      <x:c r="AK262" s="12" t="str">
        <x:v>Pass</x:v>
      </x:c>
      <x:c r="AL262" s="12" t="str">
        <x:v>Failed payment – excluded from completed sales</x:v>
      </x:c>
      <x:c r="AM262" s="12" t="str">
        <x:v>Valid</x:v>
      </x:c>
      <x:c r="AN262" s="12" t="str">
        <x:v>Exclude from completed sales</x:v>
      </x:c>
      <x:c r="AO262" s="12" t="str">
        <x:v>Not a refunded record</x:v>
      </x:c>
      <x:c r="AP262" s="37" t="n">
        <x:f>IF(LEFT($AM262,7)="Invalid","",IF($AM262="Missing discount imputed as 0",IF(AND(COUNT($O262,$P262,$R262,$S262)=4,$O262&gt;0,$P262&gt;=0,$R262&gt;=0,$S262&gt;=0),0,""),IF(AND(ISNUMBER($Q262),$Q262&gt;=0,$Q262&lt;=0.5),$Q262,"")))</x:f>
        <x:v>0.25</x:v>
      </x:c>
      <x:c r="AQ262" s="152" t="n">
        <x:f>IF(OR($W262="",NOT(ISNUMBER($R262))),"",ROUND($R262-$W262,2))</x:f>
        <x:v>0</x:v>
      </x:c>
      <x:c r="AR262" s="152" t="n">
        <x:f>IF(OR($X262="",NOT(ISNUMBER($T262))),"",ROUND($T262-$X262,2))</x:f>
        <x:v>0</x:v>
      </x:c>
      <x:c r="AS262" s="14" t="str">
        <x:v>OK</x:v>
      </x:c>
    </x:row>
    <x:row r="263">
      <x:c r="A263" s="80" t="n">
        <x:v>263</x:v>
      </x:c>
      <x:c r="B263" s="80" t="str">
        <x:v>ORD-2025-10262</x:v>
      </x:c>
      <x:c r="C263" s="81" t="n">
        <x:v>45826</x:v>
      </x:c>
      <x:c r="D263" s="81" t="n">
        <x:v>45832</x:v>
      </x:c>
      <x:c r="E263" s="80" t="str">
        <x:v>CUST-7623</x:v>
      </x:c>
      <x:c r="F263" s="80" t="str">
        <x:v>Sneha Kapoor</x:v>
      </x:c>
      <x:c r="G263" s="80" t="str">
        <x:v>Corporate</x:v>
      </x:c>
      <x:c r="H263" s="80" t="str">
        <x:v>North</x:v>
      </x:c>
      <x:c r="I263" s="80" t="str">
        <x:v>Rajasthan</x:v>
      </x:c>
      <x:c r="J263" s="80" t="str">
        <x:v>Jaipur</x:v>
      </x:c>
      <x:c r="K263" s="80" t="str">
        <x:v>Office Supplies</x:v>
      </x:c>
      <x:c r="L263" s="80" t="str">
        <x:v>Labels</x:v>
      </x:c>
      <x:c r="M263" s="80" t="str">
        <x:v>Prime Labels 326</x:v>
      </x:c>
      <x:c r="N263" s="80" t="str">
        <x:v>Standard Class</x:v>
      </x:c>
      <x:c r="O263" s="82" t="n">
        <x:v>3</x:v>
      </x:c>
      <x:c r="P263" s="83" t="n">
        <x:v>686.74</x:v>
      </x:c>
      <x:c r="Q263" s="84" t="n">
        <x:v>0.2</x:v>
      </x:c>
      <x:c r="R263" s="83" t="n">
        <x:v>1648.18</x:v>
      </x:c>
      <x:c r="S263" s="83" t="n">
        <x:v>987.91</x:v>
      </x:c>
      <x:c r="T263" s="83" t="n">
        <x:v>660.27</x:v>
      </x:c>
      <x:c r="U263" s="83" t="str">
        <x:v>Failed</x:v>
      </x:c>
      <x:c r="V263" s="83" t="str">
        <x:v>Cancelled</x:v>
      </x:c>
      <x:c r="W263" s="151" t="n">
        <x:f>IF(OR(NOT(ISNUMBER($AP263)),COUNT($O263,$P263)&lt;2,$O263&lt;=0,$P263&lt;0),"",ROUND($O263*$P263*(1-$AP263),2))</x:f>
        <x:v>1648.18</x:v>
      </x:c>
      <x:c r="X263" s="151" t="n">
        <x:f>IF(OR(NOT(ISNUMBER($W263)),NOT(ISNUMBER($S263))),"",ROUND($W263-$S263,2))</x:f>
        <x:v>660.27</x:v>
      </x:c>
      <x:c r="Y263" s="85" t="n">
        <x:f>IF(OR(NOT(ISNUMBER($W263)),NOT(ISNUMBER($X263)),$W263=0),"",ROUND($X263/$W263,4))</x:f>
        <x:v>0.4006</x:v>
      </x:c>
      <x:c r="Z263" s="82" t="n">
        <x:f>IF(OR($AH263&lt;&gt;"Valid",$AI263&lt;&gt;"Valid"),"",INT($D263-$C263))</x:f>
        <x:v>6</x:v>
      </x:c>
      <x:c r="AA263" s="86" t="str">
        <x:f>IF($AH263&lt;&gt;"Valid","",TEXT($C263,"mmmm"))</x:f>
        <x:v>June</x:v>
      </x:c>
      <x:c r="AB263" s="82" t="n">
        <x:f>IF($AH263&lt;&gt;"Valid","",YEAR($C263))</x:f>
        <x:v>2025</x:v>
      </x:c>
      <x:c r="AC263" s="80" t="str">
        <x:v>Cancelled (excluded from completed-sales summary)</x:v>
      </x:c>
      <x:c r="AD263" s="80" t="str">
        <x:v>Excluded</x:v>
      </x:c>
      <x:c r="AE263" s="80" t="str">
        <x:f>IF(OR($AH263&lt;&gt;"Valid",$AI263&lt;&gt;"Valid",$AJ263&lt;&gt;"Valid",LEFT($AM263,7)="Invalid",IFERROR(ABS($AQ263)&gt;0.01,FALSE),IFERROR(ABS($AR263)&gt;0.01,FALSE),COUNTIF($AS263,"*Conflicting duplicate*")&gt;0,COUNTIF($AS263,"*Completed order not paid*")&gt;0),"Invalid",IF(OR($H263="Unknown",$N263="Unknown",$AM263="Missing discount imputed as 0"),"Warning","Clean"))</x:f>
        <x:v>Clean</x:v>
      </x:c>
      <x:c r="AF263" s="80" t="str">
        <x:v>Pass</x:v>
      </x:c>
      <x:c r="AG263" s="80" t="str">
        <x:v>No text cleanup required</x:v>
      </x:c>
      <x:c r="AH263" s="12" t="str">
        <x:f>IF(C263="","Missing date",IF(ISNUMBER(C263),"Valid","Unrecognized/invalid date"))</x:f>
        <x:v>Valid</x:v>
      </x:c>
      <x:c r="AI263" s="12" t="str">
        <x:f>IF(D263="","Missing date",IF(ISNUMBER(D263),"Valid","Unrecognized/invalid date"))</x:f>
        <x:v>Valid</x:v>
      </x:c>
      <x:c r="AJ263" s="12" t="str">
        <x:v>Valid</x:v>
      </x:c>
      <x:c r="AK263" s="12" t="str">
        <x:v>Pass</x:v>
      </x:c>
      <x:c r="AL263" s="12" t="str">
        <x:v>Cancelled order – excluded from completed sales; Failed payment – excluded from completed sales</x:v>
      </x:c>
      <x:c r="AM263" s="12" t="str">
        <x:v>Valid</x:v>
      </x:c>
      <x:c r="AN263" s="12" t="str">
        <x:v>Exclude from completed sales</x:v>
      </x:c>
      <x:c r="AO263" s="12" t="str">
        <x:v>Not a refunded record</x:v>
      </x:c>
      <x:c r="AP263" s="37" t="n">
        <x:f>IF(LEFT($AM263,7)="Invalid","",IF($AM263="Missing discount imputed as 0",IF(AND(COUNT($O263,$P263,$R263,$S263)=4,$O263&gt;0,$P263&gt;=0,$R263&gt;=0,$S263&gt;=0),0,""),IF(AND(ISNUMBER($Q263),$Q263&gt;=0,$Q263&lt;=0.5),$Q263,"")))</x:f>
        <x:v>0.2</x:v>
      </x:c>
      <x:c r="AQ263" s="152" t="n">
        <x:f>IF(OR($W263="",NOT(ISNUMBER($R263))),"",ROUND($R263-$W263,2))</x:f>
        <x:v>0</x:v>
      </x:c>
      <x:c r="AR263" s="152" t="n">
        <x:f>IF(OR($X263="",NOT(ISNUMBER($T263))),"",ROUND($T263-$X263,2))</x:f>
        <x:v>0</x:v>
      </x:c>
      <x:c r="AS263" s="14" t="str">
        <x:v>OK</x:v>
      </x:c>
    </x:row>
    <x:row r="264">
      <x:c r="A264" s="80" t="n">
        <x:v>264</x:v>
      </x:c>
      <x:c r="B264" s="80" t="str">
        <x:v>ORD-2025-10263</x:v>
      </x:c>
      <x:c r="C264" s="81" t="n">
        <x:v>45803</x:v>
      </x:c>
      <x:c r="D264" s="81" t="n">
        <x:v>45809</x:v>
      </x:c>
      <x:c r="E264" s="80" t="str">
        <x:v>CUST-6153</x:v>
      </x:c>
      <x:c r="F264" s="80" t="str">
        <x:v>Arjun Bose</x:v>
      </x:c>
      <x:c r="G264" s="80" t="str">
        <x:v>Small Business</x:v>
      </x:c>
      <x:c r="H264" s="80" t="str">
        <x:v>North</x:v>
      </x:c>
      <x:c r="I264" s="80" t="str">
        <x:v>Delhi</x:v>
      </x:c>
      <x:c r="J264" s="80" t="str">
        <x:v>New Delhi</x:v>
      </x:c>
      <x:c r="K264" s="80" t="str">
        <x:v>Technology</x:v>
      </x:c>
      <x:c r="L264" s="80" t="str">
        <x:v>Phones</x:v>
      </x:c>
      <x:c r="M264" s="80" t="str">
        <x:v>Eco Phones 245</x:v>
      </x:c>
      <x:c r="N264" s="80" t="str">
        <x:v>Same Day</x:v>
      </x:c>
      <x:c r="O264" s="82" t="n">
        <x:v>4</x:v>
      </x:c>
      <x:c r="P264" s="83" t="n">
        <x:v>3349.86</x:v>
      </x:c>
      <x:c r="Q264" s="84" t="n">
        <x:v>0</x:v>
      </x:c>
      <x:c r="R264" s="83" t="n">
        <x:v>13399.44</x:v>
      </x:c>
      <x:c r="S264" s="83" t="n">
        <x:v>8581.35</x:v>
      </x:c>
      <x:c r="T264" s="83" t="n">
        <x:v>4818.09</x:v>
      </x:c>
      <x:c r="U264" s="83" t="str">
        <x:v>Pending</x:v>
      </x:c>
      <x:c r="V264" s="83" t="str">
        <x:v>Returned</x:v>
      </x:c>
      <x:c r="W264" s="151" t="n">
        <x:f>IF(OR(NOT(ISNUMBER($AP264)),COUNT($O264,$P264)&lt;2,$O264&lt;=0,$P264&lt;0),"",ROUND($O264*$P264*(1-$AP264),2))</x:f>
        <x:v>13399.44</x:v>
      </x:c>
      <x:c r="X264" s="151" t="n">
        <x:f>IF(OR(NOT(ISNUMBER($W264)),NOT(ISNUMBER($S264))),"",ROUND($W264-$S264,2))</x:f>
        <x:v>4818.09</x:v>
      </x:c>
      <x:c r="Y264" s="85" t="n">
        <x:f>IF(OR(NOT(ISNUMBER($W264)),NOT(ISNUMBER($X264)),$W264=0),"",ROUND($X264/$W264,4))</x:f>
        <x:v>0.3596</x:v>
      </x:c>
      <x:c r="Z264" s="82" t="n">
        <x:f>IF(OR($AH264&lt;&gt;"Valid",$AI264&lt;&gt;"Valid"),"",INT($D264-$C264))</x:f>
        <x:v>6</x:v>
      </x:c>
      <x:c r="AA264" s="86" t="str">
        <x:f>IF($AH264&lt;&gt;"Valid","",TEXT($C264,"mmmm"))</x:f>
        <x:v>May</x:v>
      </x:c>
      <x:c r="AB264" s="82" t="n">
        <x:f>IF($AH264&lt;&gt;"Valid","",YEAR($C264))</x:f>
        <x:v>2025</x:v>
      </x:c>
      <x:c r="AC264" s="80" t="str">
        <x:v>Consistent</x:v>
      </x:c>
      <x:c r="AD264" s="80" t="str">
        <x:v>Excluded</x:v>
      </x:c>
      <x:c r="AE264" s="80" t="str">
        <x:f>IF(OR($AH264&lt;&gt;"Valid",$AI264&lt;&gt;"Valid",$AJ264&lt;&gt;"Valid",LEFT($AM264,7)="Invalid",IFERROR(ABS($AQ264)&gt;0.01,FALSE),IFERROR(ABS($AR264)&gt;0.01,FALSE),COUNTIF($AS264,"*Conflicting duplicate*")&gt;0,COUNTIF($AS264,"*Completed order not paid*")&gt;0),"Invalid",IF(OR($H264="Unknown",$N264="Unknown",$AM264="Missing discount imputed as 0"),"Warning","Clean"))</x:f>
        <x:v>Clean</x:v>
      </x:c>
      <x:c r="AF264" s="80" t="str">
        <x:v>Pass</x:v>
      </x:c>
      <x:c r="AG264" s="80" t="str">
        <x:v>No text cleanup required</x:v>
      </x:c>
      <x:c r="AH264" s="12" t="str">
        <x:f>IF(C264="","Missing date",IF(ISNUMBER(C264),"Valid","Unrecognized/invalid date"))</x:f>
        <x:v>Valid</x:v>
      </x:c>
      <x:c r="AI264" s="12" t="str">
        <x:f>IF(D264="","Missing date",IF(ISNUMBER(D264),"Valid","Unrecognized/invalid date"))</x:f>
        <x:v>Valid</x:v>
      </x:c>
      <x:c r="AJ264" s="12" t="str">
        <x:v>Valid</x:v>
      </x:c>
      <x:c r="AK264" s="12" t="str">
        <x:v>Pass</x:v>
      </x:c>
      <x:c r="AL264" s="12" t="str">
        <x:v>None</x:v>
      </x:c>
      <x:c r="AM264" s="12" t="str">
        <x:v>Valid</x:v>
      </x:c>
      <x:c r="AN264" s="12" t="str">
        <x:v>Exclude from completed sales</x:v>
      </x:c>
      <x:c r="AO264" s="12" t="str">
        <x:v>Not a refunded record</x:v>
      </x:c>
      <x:c r="AP264" s="37" t="n">
        <x:f>IF(LEFT($AM264,7)="Invalid","",IF($AM264="Missing discount imputed as 0",IF(AND(COUNT($O264,$P264,$R264,$S264)=4,$O264&gt;0,$P264&gt;=0,$R264&gt;=0,$S264&gt;=0),0,""),IF(AND(ISNUMBER($Q264),$Q264&gt;=0,$Q264&lt;=0.5),$Q264,"")))</x:f>
        <x:v>0</x:v>
      </x:c>
      <x:c r="AQ264" s="152" t="n">
        <x:f>IF(OR($W264="",NOT(ISNUMBER($R264))),"",ROUND($R264-$W264,2))</x:f>
        <x:v>0</x:v>
      </x:c>
      <x:c r="AR264" s="152" t="n">
        <x:f>IF(OR($X264="",NOT(ISNUMBER($T264))),"",ROUND($T264-$X264,2))</x:f>
        <x:v>0</x:v>
      </x:c>
      <x:c r="AS264" s="14" t="str">
        <x:v>OK</x:v>
      </x:c>
    </x:row>
    <x:row r="265">
      <x:c r="A265" s="80" t="n">
        <x:v>265</x:v>
      </x:c>
      <x:c r="B265" s="80" t="str">
        <x:v>ORD-2025-10264</x:v>
      </x:c>
      <x:c r="C265" s="81" t="n">
        <x:v>45875</x:v>
      </x:c>
      <x:c r="D265" s="81" t="n">
        <x:v>45879</x:v>
      </x:c>
      <x:c r="E265" s="80" t="str">
        <x:v>CUST-8265</x:v>
      </x:c>
      <x:c r="F265" s="80" t="str">
        <x:v>Rohan Mehta</x:v>
      </x:c>
      <x:c r="G265" s="80" t="str">
        <x:v>Small Business</x:v>
      </x:c>
      <x:c r="H265" s="80" t="str">
        <x:v>North</x:v>
      </x:c>
      <x:c r="I265" s="80" t="str">
        <x:v>Delhi</x:v>
      </x:c>
      <x:c r="J265" s="80" t="str">
        <x:v>New Delhi</x:v>
      </x:c>
      <x:c r="K265" s="80" t="str">
        <x:v>Office Supplies</x:v>
      </x:c>
      <x:c r="L265" s="80" t="str">
        <x:v>Binders</x:v>
      </x:c>
      <x:c r="M265" s="80" t="str">
        <x:v>Smart Binders 905</x:v>
      </x:c>
      <x:c r="N265" s="80" t="str">
        <x:v>Second Class</x:v>
      </x:c>
      <x:c r="O265" s="82" t="n">
        <x:v>9</x:v>
      </x:c>
      <x:c r="P265" s="83" t="n">
        <x:v>4042.45</x:v>
      </x:c>
      <x:c r="Q265" s="84" t="n">
        <x:v>0.1</x:v>
      </x:c>
      <x:c r="R265" s="83" t="n">
        <x:v>32743.84</x:v>
      </x:c>
      <x:c r="S265" s="83" t="n">
        <x:v>22452.05</x:v>
      </x:c>
      <x:c r="T265" s="83" t="n">
        <x:v>10291.79</x:v>
      </x:c>
      <x:c r="U265" s="83" t="str">
        <x:v>Pending</x:v>
      </x:c>
      <x:c r="V265" s="83" t="str">
        <x:v>Returned</x:v>
      </x:c>
      <x:c r="W265" s="151" t="n">
        <x:f>IF(OR(NOT(ISNUMBER($AP265)),COUNT($O265,$P265)&lt;2,$O265&lt;=0,$P265&lt;0),"",ROUND($O265*$P265*(1-$AP265),2))</x:f>
        <x:v>32743.84</x:v>
      </x:c>
      <x:c r="X265" s="151" t="n">
        <x:f>IF(OR(NOT(ISNUMBER($W265)),NOT(ISNUMBER($S265))),"",ROUND($W265-$S265,2))</x:f>
        <x:v>10291.79</x:v>
      </x:c>
      <x:c r="Y265" s="85" t="n">
        <x:f>IF(OR(NOT(ISNUMBER($W265)),NOT(ISNUMBER($X265)),$W265=0),"",ROUND($X265/$W265,4))</x:f>
        <x:v>0.3143</x:v>
      </x:c>
      <x:c r="Z265" s="82" t="n">
        <x:f>IF(OR($AH265&lt;&gt;"Valid",$AI265&lt;&gt;"Valid"),"",INT($D265-$C265))</x:f>
        <x:v>4</x:v>
      </x:c>
      <x:c r="AA265" s="86" t="str">
        <x:f>IF($AH265&lt;&gt;"Valid","",TEXT($C265,"mmmm"))</x:f>
        <x:v>August</x:v>
      </x:c>
      <x:c r="AB265" s="82" t="n">
        <x:f>IF($AH265&lt;&gt;"Valid","",YEAR($C265))</x:f>
        <x:v>2025</x:v>
      </x:c>
      <x:c r="AC265" s="80" t="str">
        <x:v>Consistent</x:v>
      </x:c>
      <x:c r="AD265" s="80" t="str">
        <x:v>Excluded</x:v>
      </x:c>
      <x:c r="AE265" s="80" t="str">
        <x:f>IF(OR($AH265&lt;&gt;"Valid",$AI265&lt;&gt;"Valid",$AJ265&lt;&gt;"Valid",LEFT($AM265,7)="Invalid",IFERROR(ABS($AQ265)&gt;0.01,FALSE),IFERROR(ABS($AR265)&gt;0.01,FALSE),COUNTIF($AS265,"*Conflicting duplicate*")&gt;0,COUNTIF($AS265,"*Completed order not paid*")&gt;0),"Invalid",IF(OR($H265="Unknown",$N265="Unknown",$AM265="Missing discount imputed as 0"),"Warning","Clean"))</x:f>
        <x:v>Clean</x:v>
      </x:c>
      <x:c r="AF265" s="80" t="str">
        <x:v>Pass</x:v>
      </x:c>
      <x:c r="AG265" s="80" t="str">
        <x:v>No text cleanup required</x:v>
      </x:c>
      <x:c r="AH265" s="12" t="str">
        <x:f>IF(C265="","Missing date",IF(ISNUMBER(C265),"Valid","Unrecognized/invalid date"))</x:f>
        <x:v>Valid</x:v>
      </x:c>
      <x:c r="AI265" s="12" t="str">
        <x:f>IF(D265="","Missing date",IF(ISNUMBER(D265),"Valid","Unrecognized/invalid date"))</x:f>
        <x:v>Valid</x:v>
      </x:c>
      <x:c r="AJ265" s="12" t="str">
        <x:v>Valid</x:v>
      </x:c>
      <x:c r="AK265" s="12" t="str">
        <x:v>Pass</x:v>
      </x:c>
      <x:c r="AL265" s="12" t="str">
        <x:v>None</x:v>
      </x:c>
      <x:c r="AM265" s="12" t="str">
        <x:v>Valid</x:v>
      </x:c>
      <x:c r="AN265" s="12" t="str">
        <x:v>Exclude from completed sales</x:v>
      </x:c>
      <x:c r="AO265" s="12" t="str">
        <x:v>Not a refunded record</x:v>
      </x:c>
      <x:c r="AP265" s="37" t="n">
        <x:f>IF(LEFT($AM265,7)="Invalid","",IF($AM265="Missing discount imputed as 0",IF(AND(COUNT($O265,$P265,$R265,$S265)=4,$O265&gt;0,$P265&gt;=0,$R265&gt;=0,$S265&gt;=0),0,""),IF(AND(ISNUMBER($Q265),$Q265&gt;=0,$Q265&lt;=0.5),$Q265,"")))</x:f>
        <x:v>0.1</x:v>
      </x:c>
      <x:c r="AQ265" s="152" t="n">
        <x:f>IF(OR($W265="",NOT(ISNUMBER($R265))),"",ROUND($R265-$W265,2))</x:f>
        <x:v>0</x:v>
      </x:c>
      <x:c r="AR265" s="152" t="n">
        <x:f>IF(OR($X265="",NOT(ISNUMBER($T265))),"",ROUND($T265-$X265,2))</x:f>
        <x:v>0</x:v>
      </x:c>
      <x:c r="AS265" s="14" t="str">
        <x:v>OK</x:v>
      </x:c>
    </x:row>
    <x:row r="266">
      <x:c r="A266" s="80" t="n">
        <x:v>266</x:v>
      </x:c>
      <x:c r="B266" s="80" t="str">
        <x:v>ORD-2024-10265</x:v>
      </x:c>
      <x:c r="C266" s="81" t="n">
        <x:v>45428</x:v>
      </x:c>
      <x:c r="D266" s="81" t="n">
        <x:v>45433</x:v>
      </x:c>
      <x:c r="E266" s="80" t="str">
        <x:v>CUST-4750</x:v>
      </x:c>
      <x:c r="F266" s="80" t="str">
        <x:v>Diya Patel</x:v>
      </x:c>
      <x:c r="G266" s="80" t="str">
        <x:v>Small Business</x:v>
      </x:c>
      <x:c r="H266" s="80" t="str">
        <x:v>East</x:v>
      </x:c>
      <x:c r="I266" s="80" t="str">
        <x:v>Bihar</x:v>
      </x:c>
      <x:c r="J266" s="80" t="str">
        <x:v>Patna</x:v>
      </x:c>
      <x:c r="K266" s="80" t="str">
        <x:v>Technology</x:v>
      </x:c>
      <x:c r="L266" s="80" t="str">
        <x:v>Copiers</x:v>
      </x:c>
      <x:c r="M266" s="80" t="str">
        <x:v>Pro Copiers 599</x:v>
      </x:c>
      <x:c r="N266" s="80" t="str">
        <x:v>Standard Class</x:v>
      </x:c>
      <x:c r="O266" s="82" t="n">
        <x:v>4</x:v>
      </x:c>
      <x:c r="P266" s="83" t="n">
        <x:v>1503.07</x:v>
      </x:c>
      <x:c r="Q266" s="84" t="n">
        <x:v>0</x:v>
      </x:c>
      <x:c r="R266" s="83" t="n">
        <x:v>6012.28</x:v>
      </x:c>
      <x:c r="S266" s="83" t="n">
        <x:v>3927.64</x:v>
      </x:c>
      <x:c r="T266" s="83" t="n">
        <x:v>2084.64</x:v>
      </x:c>
      <x:c r="U266" s="83" t="str">
        <x:v>Paid</x:v>
      </x:c>
      <x:c r="V266" s="83" t="str">
        <x:v>Completed</x:v>
      </x:c>
      <x:c r="W266" s="151" t="n">
        <x:f>IF(OR(NOT(ISNUMBER($AP266)),COUNT($O266,$P266)&lt;2,$O266&lt;=0,$P266&lt;0),"",ROUND($O266*$P266*(1-$AP266),2))</x:f>
        <x:v>6012.28</x:v>
      </x:c>
      <x:c r="X266" s="151" t="n">
        <x:f>IF(OR(NOT(ISNUMBER($W266)),NOT(ISNUMBER($S266))),"",ROUND($W266-$S266,2))</x:f>
        <x:v>2084.64</x:v>
      </x:c>
      <x:c r="Y266" s="85" t="n">
        <x:f>IF(OR(NOT(ISNUMBER($W266)),NOT(ISNUMBER($X266)),$W266=0),"",ROUND($X266/$W266,4))</x:f>
        <x:v>0.3467</x:v>
      </x:c>
      <x:c r="Z266" s="82" t="n">
        <x:f>IF(OR($AH266&lt;&gt;"Valid",$AI266&lt;&gt;"Valid"),"",INT($D266-$C266))</x:f>
        <x:v>5</x:v>
      </x:c>
      <x:c r="AA266" s="86" t="str">
        <x:f>IF($AH266&lt;&gt;"Valid","",TEXT($C266,"mmmm"))</x:f>
        <x:v>May</x:v>
      </x:c>
      <x:c r="AB266" s="82" t="n">
        <x:f>IF($AH266&lt;&gt;"Valid","",YEAR($C266))</x:f>
        <x:v>2024</x:v>
      </x:c>
      <x:c r="AC266" s="80" t="str">
        <x:v>Consistent</x:v>
      </x:c>
      <x:c r="AD266" s="80" t="str">
        <x:v>Eligible</x:v>
      </x:c>
      <x:c r="AE266" s="80" t="str">
        <x:f>IF(OR($AH266&lt;&gt;"Valid",$AI266&lt;&gt;"Valid",$AJ266&lt;&gt;"Valid",LEFT($AM266,7)="Invalid",IFERROR(ABS($AQ266)&gt;0.01,FALSE),IFERROR(ABS($AR266)&gt;0.01,FALSE),COUNTIF($AS266,"*Conflicting duplicate*")&gt;0,COUNTIF($AS266,"*Completed order not paid*")&gt;0),"Invalid",IF(OR($H266="Unknown",$N266="Unknown",$AM266="Missing discount imputed as 0"),"Warning","Clean"))</x:f>
        <x:v>Clean</x:v>
      </x:c>
      <x:c r="AF266" s="80" t="str">
        <x:v>Pass</x:v>
      </x:c>
      <x:c r="AG266" s="80" t="str">
        <x:v>No text cleanup required</x:v>
      </x:c>
      <x:c r="AH266" s="12" t="str">
        <x:f>IF(C266="","Missing date",IF(ISNUMBER(C266),"Valid","Unrecognized/invalid date"))</x:f>
        <x:v>Valid</x:v>
      </x:c>
      <x:c r="AI266" s="12" t="str">
        <x:f>IF(D266="","Missing date",IF(ISNUMBER(D266),"Valid","Unrecognized/invalid date"))</x:f>
        <x:v>Valid</x:v>
      </x:c>
      <x:c r="AJ266" s="12" t="str">
        <x:v>Valid</x:v>
      </x:c>
      <x:c r="AK266" s="12" t="str">
        <x:v>Pass</x:v>
      </x:c>
      <x:c r="AL266" s="12" t="str">
        <x:v>None</x:v>
      </x:c>
      <x:c r="AM266" s="12" t="str">
        <x:v>Valid</x:v>
      </x:c>
      <x:c r="AN266" s="12" t="str">
        <x:v>Include in completed sales</x:v>
      </x:c>
      <x:c r="AO266" s="12" t="str">
        <x:v>Not a refunded record</x:v>
      </x:c>
      <x:c r="AP266" s="37" t="n">
        <x:f>IF(LEFT($AM266,7)="Invalid","",IF($AM266="Missing discount imputed as 0",IF(AND(COUNT($O266,$P266,$R266,$S266)=4,$O266&gt;0,$P266&gt;=0,$R266&gt;=0,$S266&gt;=0),0,""),IF(AND(ISNUMBER($Q266),$Q266&gt;=0,$Q266&lt;=0.5),$Q266,"")))</x:f>
        <x:v>0</x:v>
      </x:c>
      <x:c r="AQ266" s="152" t="n">
        <x:f>IF(OR($W266="",NOT(ISNUMBER($R266))),"",ROUND($R266-$W266,2))</x:f>
        <x:v>0</x:v>
      </x:c>
      <x:c r="AR266" s="152" t="n">
        <x:f>IF(OR($X266="",NOT(ISNUMBER($T266))),"",ROUND($T266-$X266,2))</x:f>
        <x:v>0</x:v>
      </x:c>
      <x:c r="AS266" s="14" t="str">
        <x:v>OK</x:v>
      </x:c>
    </x:row>
    <x:row r="267">
      <x:c r="A267" s="80" t="n">
        <x:v>267</x:v>
      </x:c>
      <x:c r="B267" s="80" t="str">
        <x:v>ORD-2024-10266</x:v>
      </x:c>
      <x:c r="C267" s="81" t="n">
        <x:v>45610</x:v>
      </x:c>
      <x:c r="D267" s="81" t="n">
        <x:v>45618</x:v>
      </x:c>
      <x:c r="E267" s="80" t="str">
        <x:v>CUST-3974</x:v>
      </x:c>
      <x:c r="F267" s="80" t="str">
        <x:v>Priya Menon</x:v>
      </x:c>
      <x:c r="G267" s="80" t="str">
        <x:v>Corporate</x:v>
      </x:c>
      <x:c r="H267" s="80" t="str">
        <x:v>East</x:v>
      </x:c>
      <x:c r="I267" s="80" t="str">
        <x:v>Bihar</x:v>
      </x:c>
      <x:c r="J267" s="80" t="str">
        <x:v>Patna</x:v>
      </x:c>
      <x:c r="K267" s="80" t="str">
        <x:v>Furniture</x:v>
      </x:c>
      <x:c r="L267" s="80" t="str">
        <x:v>Bookcases</x:v>
      </x:c>
      <x:c r="M267" s="80" t="str">
        <x:v>Basic Bookcases 570</x:v>
      </x:c>
      <x:c r="N267" s="80" t="str">
        <x:v>Same Day</x:v>
      </x:c>
      <x:c r="O267" s="82" t="n">
        <x:v>1</x:v>
      </x:c>
      <x:c r="P267" s="83" t="n">
        <x:v>582.37</x:v>
      </x:c>
      <x:c r="Q267" s="84" t="n">
        <x:v>0.15</x:v>
      </x:c>
      <x:c r="R267" s="83" t="n">
        <x:v>495.01</x:v>
      </x:c>
      <x:c r="S267" s="83" t="n">
        <x:v>285.13</x:v>
      </x:c>
      <x:c r="T267" s="83" t="n">
        <x:v>209.88</x:v>
      </x:c>
      <x:c r="U267" s="83" t="str">
        <x:v>Refunded</x:v>
      </x:c>
      <x:c r="V267" s="83" t="str">
        <x:v>Cancelled</x:v>
      </x:c>
      <x:c r="W267" s="151" t="n">
        <x:f>IF(OR(NOT(ISNUMBER($AP267)),COUNT($O267,$P267)&lt;2,$O267&lt;=0,$P267&lt;0),"",ROUND($O267*$P267*(1-$AP267),2))</x:f>
        <x:v>495.01</x:v>
      </x:c>
      <x:c r="X267" s="151" t="n">
        <x:f>IF(OR(NOT(ISNUMBER($W267)),NOT(ISNUMBER($S267))),"",ROUND($W267-$S267,2))</x:f>
        <x:v>209.88</x:v>
      </x:c>
      <x:c r="Y267" s="85" t="n">
        <x:f>IF(OR(NOT(ISNUMBER($W267)),NOT(ISNUMBER($X267)),$W267=0),"",ROUND($X267/$W267,4))</x:f>
        <x:v>0.424</x:v>
      </x:c>
      <x:c r="Z267" s="82" t="n">
        <x:f>IF(OR($AH267&lt;&gt;"Valid",$AI267&lt;&gt;"Valid"),"",INT($D267-$C267))</x:f>
        <x:v>8</x:v>
      </x:c>
      <x:c r="AA267" s="86" t="str">
        <x:f>IF($AH267&lt;&gt;"Valid","",TEXT($C267,"mmmm"))</x:f>
        <x:v>November</x:v>
      </x:c>
      <x:c r="AB267" s="82" t="n">
        <x:f>IF($AH267&lt;&gt;"Valid","",YEAR($C267))</x:f>
        <x:v>2024</x:v>
      </x:c>
      <x:c r="AC267" s="80" t="str">
        <x:v>Cancelled (excluded from completed-sales summary)</x:v>
      </x:c>
      <x:c r="AD267" s="80" t="str">
        <x:v>Excluded</x:v>
      </x:c>
      <x:c r="AE267" s="80" t="str">
        <x:f>IF(OR($AH267&lt;&gt;"Valid",$AI267&lt;&gt;"Valid",$AJ267&lt;&gt;"Valid",LEFT($AM267,7)="Invalid",IFERROR(ABS($AQ267)&gt;0.01,FALSE),IFERROR(ABS($AR267)&gt;0.01,FALSE),COUNTIF($AS267,"*Conflicting duplicate*")&gt;0,COUNTIF($AS267,"*Completed order not paid*")&gt;0),"Invalid",IF(OR($H267="Unknown",$N267="Unknown",$AM267="Missing discount imputed as 0"),"Warning","Clean"))</x:f>
        <x:v>Clean</x:v>
      </x:c>
      <x:c r="AF267" s="80" t="str">
        <x:v>Cleaned</x:v>
      </x:c>
      <x:c r="AG267" s="80" t="str">
        <x:v>order_status: TRIM/SUBSTITUTE whitespace cleanup</x:v>
      </x:c>
      <x:c r="AH267" s="12" t="str">
        <x:f>IF(C267="","Missing date",IF(ISNUMBER(C267),"Valid","Unrecognized/invalid date"))</x:f>
        <x:v>Valid</x:v>
      </x:c>
      <x:c r="AI267" s="12" t="str">
        <x:f>IF(D267="","Missing date",IF(ISNUMBER(D267),"Valid","Unrecognized/invalid date"))</x:f>
        <x:v>Valid</x:v>
      </x:c>
      <x:c r="AJ267" s="12" t="str">
        <x:v>Valid</x:v>
      </x:c>
      <x:c r="AK267" s="12" t="str">
        <x:v>Pass</x:v>
      </x:c>
      <x:c r="AL267" s="12" t="str">
        <x:v>Cancelled order – excluded from completed sales; Refunded payment – separately summarized</x:v>
      </x:c>
      <x:c r="AM267" s="12" t="str">
        <x:v>Valid</x:v>
      </x:c>
      <x:c r="AN267" s="12" t="str">
        <x:v>Exclude from completed sales</x:v>
      </x:c>
      <x:c r="AO267" s="12" t="str">
        <x:v>Include in refunded summary</x:v>
      </x:c>
      <x:c r="AP267" s="37" t="n">
        <x:f>IF(LEFT($AM267,7)="Invalid","",IF($AM267="Missing discount imputed as 0",IF(AND(COUNT($O267,$P267,$R267,$S267)=4,$O267&gt;0,$P267&gt;=0,$R267&gt;=0,$S267&gt;=0),0,""),IF(AND(ISNUMBER($Q267),$Q267&gt;=0,$Q267&lt;=0.5),$Q267,"")))</x:f>
        <x:v>0.15</x:v>
      </x:c>
      <x:c r="AQ267" s="152" t="n">
        <x:f>IF(OR($W267="",NOT(ISNUMBER($R267))),"",ROUND($R267-$W267,2))</x:f>
        <x:v>0</x:v>
      </x:c>
      <x:c r="AR267" s="152" t="n">
        <x:f>IF(OR($X267="",NOT(ISNUMBER($T267))),"",ROUND($T267-$X267,2))</x:f>
        <x:v>0</x:v>
      </x:c>
      <x:c r="AS267" s="14" t="str">
        <x:v>OK</x:v>
      </x:c>
    </x:row>
    <x:row r="268">
      <x:c r="A268" s="80" t="n">
        <x:v>268</x:v>
      </x:c>
      <x:c r="B268" s="80" t="str">
        <x:v>ORD-2025-10267</x:v>
      </x:c>
      <x:c r="C268" s="81" t="n">
        <x:v>45780</x:v>
      </x:c>
      <x:c r="D268" s="81" t="n">
        <x:v>45787</x:v>
      </x:c>
      <x:c r="E268" s="80" t="str">
        <x:v>CUST-7114</x:v>
      </x:c>
      <x:c r="F268" s="80" t="str">
        <x:v>Neha Gupta</x:v>
      </x:c>
      <x:c r="G268" s="80" t="str">
        <x:v>Home Office</x:v>
      </x:c>
      <x:c r="H268" s="80" t="str">
        <x:v>West</x:v>
      </x:c>
      <x:c r="I268" s="80" t="str">
        <x:v>Maharashtra</x:v>
      </x:c>
      <x:c r="J268" s="80" t="str">
        <x:v>Mumbai</x:v>
      </x:c>
      <x:c r="K268" s="80" t="str">
        <x:v>Office Supplies</x:v>
      </x:c>
      <x:c r="L268" s="80" t="str">
        <x:v>Storage</x:v>
      </x:c>
      <x:c r="M268" s="80" t="str">
        <x:v>Classic Storage 926</x:v>
      </x:c>
      <x:c r="N268" s="80" t="str">
        <x:v>Second Class</x:v>
      </x:c>
      <x:c r="O268" s="82" t="n">
        <x:v>3</x:v>
      </x:c>
      <x:c r="P268" s="83" t="n">
        <x:v>4339.24</x:v>
      </x:c>
      <x:c r="Q268" s="84" t="n">
        <x:v>0</x:v>
      </x:c>
      <x:c r="R268" s="83" t="n">
        <x:v>13017.72</x:v>
      </x:c>
      <x:c r="S268" s="83" t="n">
        <x:v>10170.57</x:v>
      </x:c>
      <x:c r="T268" s="83" t="n">
        <x:v>2847.15</x:v>
      </x:c>
      <x:c r="U268" s="83" t="str">
        <x:v>Paid</x:v>
      </x:c>
      <x:c r="V268" s="83" t="str">
        <x:v>Completed</x:v>
      </x:c>
      <x:c r="W268" s="151" t="n">
        <x:f>IF(OR(NOT(ISNUMBER($AP268)),COUNT($O268,$P268)&lt;2,$O268&lt;=0,$P268&lt;0),"",ROUND($O268*$P268*(1-$AP268),2))</x:f>
        <x:v>13017.72</x:v>
      </x:c>
      <x:c r="X268" s="151" t="n">
        <x:f>IF(OR(NOT(ISNUMBER($W268)),NOT(ISNUMBER($S268))),"",ROUND($W268-$S268,2))</x:f>
        <x:v>2847.15</x:v>
      </x:c>
      <x:c r="Y268" s="85" t="n">
        <x:f>IF(OR(NOT(ISNUMBER($W268)),NOT(ISNUMBER($X268)),$W268=0),"",ROUND($X268/$W268,4))</x:f>
        <x:v>0.2187</x:v>
      </x:c>
      <x:c r="Z268" s="82" t="n">
        <x:f>IF(OR($AH268&lt;&gt;"Valid",$AI268&lt;&gt;"Valid"),"",INT($D268-$C268))</x:f>
        <x:v>7</x:v>
      </x:c>
      <x:c r="AA268" s="86" t="str">
        <x:f>IF($AH268&lt;&gt;"Valid","",TEXT($C268,"mmmm"))</x:f>
        <x:v>May</x:v>
      </x:c>
      <x:c r="AB268" s="82" t="n">
        <x:f>IF($AH268&lt;&gt;"Valid","",YEAR($C268))</x:f>
        <x:v>2025</x:v>
      </x:c>
      <x:c r="AC268" s="80" t="str">
        <x:v>Consistent</x:v>
      </x:c>
      <x:c r="AD268" s="80" t="str">
        <x:v>Eligible</x:v>
      </x:c>
      <x:c r="AE268" s="80" t="str">
        <x:f>IF(OR($AH268&lt;&gt;"Valid",$AI268&lt;&gt;"Valid",$AJ268&lt;&gt;"Valid",LEFT($AM268,7)="Invalid",IFERROR(ABS($AQ268)&gt;0.01,FALSE),IFERROR(ABS($AR268)&gt;0.01,FALSE),COUNTIF($AS268,"*Conflicting duplicate*")&gt;0,COUNTIF($AS268,"*Completed order not paid*")&gt;0),"Invalid",IF(OR($H268="Unknown",$N268="Unknown",$AM268="Missing discount imputed as 0"),"Warning","Clean"))</x:f>
        <x:v>Clean</x:v>
      </x:c>
      <x:c r="AF268" s="80" t="str">
        <x:v>Pass</x:v>
      </x:c>
      <x:c r="AG268" s="80" t="str">
        <x:v>No text cleanup required</x:v>
      </x:c>
      <x:c r="AH268" s="12" t="str">
        <x:f>IF(C268="","Missing date",IF(ISNUMBER(C268),"Valid","Unrecognized/invalid date"))</x:f>
        <x:v>Valid</x:v>
      </x:c>
      <x:c r="AI268" s="12" t="str">
        <x:f>IF(D268="","Missing date",IF(ISNUMBER(D268),"Valid","Unrecognized/invalid date"))</x:f>
        <x:v>Valid</x:v>
      </x:c>
      <x:c r="AJ268" s="12" t="str">
        <x:v>Valid</x:v>
      </x:c>
      <x:c r="AK268" s="12" t="str">
        <x:v>Pass</x:v>
      </x:c>
      <x:c r="AL268" s="12" t="str">
        <x:v>None</x:v>
      </x:c>
      <x:c r="AM268" s="12" t="str">
        <x:v>Valid</x:v>
      </x:c>
      <x:c r="AN268" s="12" t="str">
        <x:v>Include in completed sales</x:v>
      </x:c>
      <x:c r="AO268" s="12" t="str">
        <x:v>Not a refunded record</x:v>
      </x:c>
      <x:c r="AP268" s="37" t="n">
        <x:f>IF(LEFT($AM268,7)="Invalid","",IF($AM268="Missing discount imputed as 0",IF(AND(COUNT($O268,$P268,$R268,$S268)=4,$O268&gt;0,$P268&gt;=0,$R268&gt;=0,$S268&gt;=0),0,""),IF(AND(ISNUMBER($Q268),$Q268&gt;=0,$Q268&lt;=0.5),$Q268,"")))</x:f>
        <x:v>0</x:v>
      </x:c>
      <x:c r="AQ268" s="152" t="n">
        <x:f>IF(OR($W268="",NOT(ISNUMBER($R268))),"",ROUND($R268-$W268,2))</x:f>
        <x:v>0</x:v>
      </x:c>
      <x:c r="AR268" s="152" t="n">
        <x:f>IF(OR($X268="",NOT(ISNUMBER($T268))),"",ROUND($T268-$X268,2))</x:f>
        <x:v>0</x:v>
      </x:c>
      <x:c r="AS268" s="14" t="str">
        <x:v>OK</x:v>
      </x:c>
    </x:row>
    <x:row r="269">
      <x:c r="A269" s="80" t="n">
        <x:v>269</x:v>
      </x:c>
      <x:c r="B269" s="80" t="str">
        <x:v>ORD-2025-10268</x:v>
      </x:c>
      <x:c r="C269" s="81" t="n">
        <x:v>45805</x:v>
      </x:c>
      <x:c r="D269" s="81" t="n">
        <x:v>45812</x:v>
      </x:c>
      <x:c r="E269" s="80" t="str">
        <x:v>CUST-4431</x:v>
      </x:c>
      <x:c r="F269" s="80" t="str">
        <x:v>Diya Patel</x:v>
      </x:c>
      <x:c r="G269" s="80" t="str">
        <x:v>Corporate</x:v>
      </x:c>
      <x:c r="H269" s="80" t="str">
        <x:v>East</x:v>
      </x:c>
      <x:c r="I269" s="80" t="str">
        <x:v>Jharkhand</x:v>
      </x:c>
      <x:c r="J269" s="80" t="str">
        <x:v>Ranchi</x:v>
      </x:c>
      <x:c r="K269" s="80" t="str">
        <x:v>Furniture</x:v>
      </x:c>
      <x:c r="L269" s="80" t="str">
        <x:v>Furnishings</x:v>
      </x:c>
      <x:c r="M269" s="80" t="str">
        <x:v>Basic Furnishings 372</x:v>
      </x:c>
      <x:c r="N269" s="80" t="str">
        <x:v>First Class</x:v>
      </x:c>
      <x:c r="O269" s="82" t="n">
        <x:v>4</x:v>
      </x:c>
      <x:c r="P269" s="83" t="n">
        <x:v>261.8</x:v>
      </x:c>
      <x:c r="Q269" s="84" t="n">
        <x:v>0.25</x:v>
      </x:c>
      <x:c r="R269" s="83" t="n">
        <x:v>785.4</x:v>
      </x:c>
      <x:c r="S269" s="83" t="n">
        <x:v>557.22</x:v>
      </x:c>
      <x:c r="T269" s="83" t="n">
        <x:v>228.18</x:v>
      </x:c>
      <x:c r="U269" s="83" t="str">
        <x:v>Paid</x:v>
      </x:c>
      <x:c r="V269" s="83" t="str">
        <x:v>Completed</x:v>
      </x:c>
      <x:c r="W269" s="151" t="n">
        <x:f>IF(OR(NOT(ISNUMBER($AP269)),COUNT($O269,$P269)&lt;2,$O269&lt;=0,$P269&lt;0),"",ROUND($O269*$P269*(1-$AP269),2))</x:f>
        <x:v>785.4</x:v>
      </x:c>
      <x:c r="X269" s="151" t="n">
        <x:f>IF(OR(NOT(ISNUMBER($W269)),NOT(ISNUMBER($S269))),"",ROUND($W269-$S269,2))</x:f>
        <x:v>228.18</x:v>
      </x:c>
      <x:c r="Y269" s="85" t="n">
        <x:f>IF(OR(NOT(ISNUMBER($W269)),NOT(ISNUMBER($X269)),$W269=0),"",ROUND($X269/$W269,4))</x:f>
        <x:v>0.2905</x:v>
      </x:c>
      <x:c r="Z269" s="82" t="n">
        <x:f>IF(OR($AH269&lt;&gt;"Valid",$AI269&lt;&gt;"Valid"),"",INT($D269-$C269))</x:f>
        <x:v>7</x:v>
      </x:c>
      <x:c r="AA269" s="86" t="str">
        <x:f>IF($AH269&lt;&gt;"Valid","",TEXT($C269,"mmmm"))</x:f>
        <x:v>May</x:v>
      </x:c>
      <x:c r="AB269" s="82" t="n">
        <x:f>IF($AH269&lt;&gt;"Valid","",YEAR($C269))</x:f>
        <x:v>2025</x:v>
      </x:c>
      <x:c r="AC269" s="80" t="str">
        <x:v>Consistent</x:v>
      </x:c>
      <x:c r="AD269" s="80" t="str">
        <x:v>Eligible</x:v>
      </x:c>
      <x:c r="AE269" s="80" t="str">
        <x:f>IF(OR($AH269&lt;&gt;"Valid",$AI269&lt;&gt;"Valid",$AJ269&lt;&gt;"Valid",LEFT($AM269,7)="Invalid",IFERROR(ABS($AQ269)&gt;0.01,FALSE),IFERROR(ABS($AR269)&gt;0.01,FALSE),COUNTIF($AS269,"*Conflicting duplicate*")&gt;0,COUNTIF($AS269,"*Completed order not paid*")&gt;0),"Invalid",IF(OR($H269="Unknown",$N269="Unknown",$AM269="Missing discount imputed as 0"),"Warning","Clean"))</x:f>
        <x:v>Clean</x:v>
      </x:c>
      <x:c r="AF269" s="80" t="str">
        <x:v>Pass</x:v>
      </x:c>
      <x:c r="AG269" s="80" t="str">
        <x:v>No text cleanup required</x:v>
      </x:c>
      <x:c r="AH269" s="12" t="str">
        <x:f>IF(C269="","Missing date",IF(ISNUMBER(C269),"Valid","Unrecognized/invalid date"))</x:f>
        <x:v>Valid</x:v>
      </x:c>
      <x:c r="AI269" s="12" t="str">
        <x:f>IF(D269="","Missing date",IF(ISNUMBER(D269),"Valid","Unrecognized/invalid date"))</x:f>
        <x:v>Valid</x:v>
      </x:c>
      <x:c r="AJ269" s="12" t="str">
        <x:v>Valid</x:v>
      </x:c>
      <x:c r="AK269" s="12" t="str">
        <x:v>Pass</x:v>
      </x:c>
      <x:c r="AL269" s="12" t="str">
        <x:v>None</x:v>
      </x:c>
      <x:c r="AM269" s="12" t="str">
        <x:v>Valid</x:v>
      </x:c>
      <x:c r="AN269" s="12" t="str">
        <x:v>Include in completed sales</x:v>
      </x:c>
      <x:c r="AO269" s="12" t="str">
        <x:v>Not a refunded record</x:v>
      </x:c>
      <x:c r="AP269" s="37" t="n">
        <x:f>IF(LEFT($AM269,7)="Invalid","",IF($AM269="Missing discount imputed as 0",IF(AND(COUNT($O269,$P269,$R269,$S269)=4,$O269&gt;0,$P269&gt;=0,$R269&gt;=0,$S269&gt;=0),0,""),IF(AND(ISNUMBER($Q269),$Q269&gt;=0,$Q269&lt;=0.5),$Q269,"")))</x:f>
        <x:v>0.25</x:v>
      </x:c>
      <x:c r="AQ269" s="152" t="n">
        <x:f>IF(OR($W269="",NOT(ISNUMBER($R269))),"",ROUND($R269-$W269,2))</x:f>
        <x:v>0</x:v>
      </x:c>
      <x:c r="AR269" s="152" t="n">
        <x:f>IF(OR($X269="",NOT(ISNUMBER($T269))),"",ROUND($T269-$X269,2))</x:f>
        <x:v>0</x:v>
      </x:c>
      <x:c r="AS269" s="14" t="str">
        <x:v>OK</x:v>
      </x:c>
    </x:row>
    <x:row r="270">
      <x:c r="A270" s="80" t="n">
        <x:v>270</x:v>
      </x:c>
      <x:c r="B270" s="80" t="str">
        <x:v>ORD-2025-10269</x:v>
      </x:c>
      <x:c r="C270" s="81" t="n">
        <x:v>45886</x:v>
      </x:c>
      <x:c r="D270" s="81" t="n">
        <x:v>45886</x:v>
      </x:c>
      <x:c r="E270" s="80" t="str">
        <x:v>CUST-1488</x:v>
      </x:c>
      <x:c r="F270" s="80" t="str">
        <x:v>Aarav Sharma</x:v>
      </x:c>
      <x:c r="G270" s="80" t="str">
        <x:v>Home Office</x:v>
      </x:c>
      <x:c r="H270" s="80" t="str">
        <x:v>North</x:v>
      </x:c>
      <x:c r="I270" s="80" t="str">
        <x:v>Punjab</x:v>
      </x:c>
      <x:c r="J270" s="80" t="str">
        <x:v>Ludhiana</x:v>
      </x:c>
      <x:c r="K270" s="80" t="str">
        <x:v>Technology</x:v>
      </x:c>
      <x:c r="L270" s="80" t="str">
        <x:v>Accessories</x:v>
      </x:c>
      <x:c r="M270" s="80" t="str">
        <x:v>Prime Accessories 367</x:v>
      </x:c>
      <x:c r="N270" s="80" t="str">
        <x:v>First Class</x:v>
      </x:c>
      <x:c r="O270" s="82" t="n">
        <x:v>7</x:v>
      </x:c>
      <x:c r="P270" s="83" t="n">
        <x:v>632.2</x:v>
      </x:c>
      <x:c r="Q270" s="84" t="n">
        <x:v>0.25</x:v>
      </x:c>
      <x:c r="R270" s="83" t="n">
        <x:v>3319.05</x:v>
      </x:c>
      <x:c r="S270" s="83" t="n">
        <x:v>2124.6</x:v>
      </x:c>
      <x:c r="T270" s="83" t="n">
        <x:v>1194.45</x:v>
      </x:c>
      <x:c r="U270" s="83" t="str">
        <x:v>Paid</x:v>
      </x:c>
      <x:c r="V270" s="83" t="str">
        <x:v>Completed</x:v>
      </x:c>
      <x:c r="W270" s="151" t="n">
        <x:f>IF(OR(NOT(ISNUMBER($AP270)),COUNT($O270,$P270)&lt;2,$O270&lt;=0,$P270&lt;0),"",ROUND($O270*$P270*(1-$AP270),2))</x:f>
        <x:v>3319.05</x:v>
      </x:c>
      <x:c r="X270" s="151" t="n">
        <x:f>IF(OR(NOT(ISNUMBER($W270)),NOT(ISNUMBER($S270))),"",ROUND($W270-$S270,2))</x:f>
        <x:v>1194.45</x:v>
      </x:c>
      <x:c r="Y270" s="85" t="n">
        <x:f>IF(OR(NOT(ISNUMBER($W270)),NOT(ISNUMBER($X270)),$W270=0),"",ROUND($X270/$W270,4))</x:f>
        <x:v>0.3599</x:v>
      </x:c>
      <x:c r="Z270" s="82" t="n">
        <x:f>IF(OR($AH270&lt;&gt;"Valid",$AI270&lt;&gt;"Valid"),"",INT($D270-$C270))</x:f>
        <x:v>0</x:v>
      </x:c>
      <x:c r="AA270" s="86" t="str">
        <x:f>IF($AH270&lt;&gt;"Valid","",TEXT($C270,"mmmm"))</x:f>
        <x:v>August</x:v>
      </x:c>
      <x:c r="AB270" s="82" t="n">
        <x:f>IF($AH270&lt;&gt;"Valid","",YEAR($C270))</x:f>
        <x:v>2025</x:v>
      </x:c>
      <x:c r="AC270" s="80" t="str">
        <x:v>Consistent</x:v>
      </x:c>
      <x:c r="AD270" s="80" t="str">
        <x:v>Eligible</x:v>
      </x:c>
      <x:c r="AE270" s="80" t="str">
        <x:f>IF(OR($AH270&lt;&gt;"Valid",$AI270&lt;&gt;"Valid",$AJ270&lt;&gt;"Valid",LEFT($AM270,7)="Invalid",IFERROR(ABS($AQ270)&gt;0.01,FALSE),IFERROR(ABS($AR270)&gt;0.01,FALSE),COUNTIF($AS270,"*Conflicting duplicate*")&gt;0,COUNTIF($AS270,"*Completed order not paid*")&gt;0),"Invalid",IF(OR($H270="Unknown",$N270="Unknown",$AM270="Missing discount imputed as 0"),"Warning","Clean"))</x:f>
        <x:v>Clean</x:v>
      </x:c>
      <x:c r="AF270" s="80" t="str">
        <x:v>Pass</x:v>
      </x:c>
      <x:c r="AG270" s="80" t="str">
        <x:v>No text cleanup required</x:v>
      </x:c>
      <x:c r="AH270" s="12" t="str">
        <x:f>IF(C270="","Missing date",IF(ISNUMBER(C270),"Valid","Unrecognized/invalid date"))</x:f>
        <x:v>Valid</x:v>
      </x:c>
      <x:c r="AI270" s="12" t="str">
        <x:f>IF(D270="","Missing date",IF(ISNUMBER(D270),"Valid","Unrecognized/invalid date"))</x:f>
        <x:v>Valid</x:v>
      </x:c>
      <x:c r="AJ270" s="12" t="str">
        <x:v>Valid</x:v>
      </x:c>
      <x:c r="AK270" s="12" t="str">
        <x:v>Pass</x:v>
      </x:c>
      <x:c r="AL270" s="12" t="str">
        <x:v>None</x:v>
      </x:c>
      <x:c r="AM270" s="12" t="str">
        <x:v>Valid</x:v>
      </x:c>
      <x:c r="AN270" s="12" t="str">
        <x:v>Include in completed sales</x:v>
      </x:c>
      <x:c r="AO270" s="12" t="str">
        <x:v>Not a refunded record</x:v>
      </x:c>
      <x:c r="AP270" s="37" t="n">
        <x:f>IF(LEFT($AM270,7)="Invalid","",IF($AM270="Missing discount imputed as 0",IF(AND(COUNT($O270,$P270,$R270,$S270)=4,$O270&gt;0,$P270&gt;=0,$R270&gt;=0,$S270&gt;=0),0,""),IF(AND(ISNUMBER($Q270),$Q270&gt;=0,$Q270&lt;=0.5),$Q270,"")))</x:f>
        <x:v>0.25</x:v>
      </x:c>
      <x:c r="AQ270" s="152" t="n">
        <x:f>IF(OR($W270="",NOT(ISNUMBER($R270))),"",ROUND($R270-$W270,2))</x:f>
        <x:v>0</x:v>
      </x:c>
      <x:c r="AR270" s="152" t="n">
        <x:f>IF(OR($X270="",NOT(ISNUMBER($T270))),"",ROUND($T270-$X270,2))</x:f>
        <x:v>0</x:v>
      </x:c>
      <x:c r="AS270" s="14" t="str">
        <x:v>OK</x:v>
      </x:c>
    </x:row>
    <x:row r="271">
      <x:c r="A271" s="80" t="n">
        <x:v>271</x:v>
      </x:c>
      <x:c r="B271" s="80" t="str">
        <x:v>ORD-2025-10270</x:v>
      </x:c>
      <x:c r="C271" s="81" t="n">
        <x:v>45698</x:v>
      </x:c>
      <x:c r="D271" s="81" t="n">
        <x:v>45700</x:v>
      </x:c>
      <x:c r="E271" s="80" t="str">
        <x:v>CUST-1586</x:v>
      </x:c>
      <x:c r="F271" s="80" t="str">
        <x:v>Rahul Verma</x:v>
      </x:c>
      <x:c r="G271" s="80" t="str">
        <x:v>Small Business</x:v>
      </x:c>
      <x:c r="H271" s="80" t="str">
        <x:v>West</x:v>
      </x:c>
      <x:c r="I271" s="80" t="str">
        <x:v>Rajasthan</x:v>
      </x:c>
      <x:c r="J271" s="80" t="str">
        <x:v>Udaipur</x:v>
      </x:c>
      <x:c r="K271" s="80" t="str">
        <x:v>Furniture</x:v>
      </x:c>
      <x:c r="L271" s="80" t="str">
        <x:v>Tables</x:v>
      </x:c>
      <x:c r="M271" s="80" t="str">
        <x:v>Max Tables 526</x:v>
      </x:c>
      <x:c r="N271" s="80" t="str">
        <x:v>Same Day</x:v>
      </x:c>
      <x:c r="O271" s="82" t="n">
        <x:v>1</x:v>
      </x:c>
      <x:c r="P271" s="83" t="n">
        <x:v>1925.86</x:v>
      </x:c>
      <x:c r="Q271" s="84" t="n">
        <x:v>0</x:v>
      </x:c>
      <x:c r="R271" s="83" t="n">
        <x:v>1925.86</x:v>
      </x:c>
      <x:c r="S271" s="83" t="n">
        <x:v>1321.89</x:v>
      </x:c>
      <x:c r="T271" s="83" t="n">
        <x:v>603.97</x:v>
      </x:c>
      <x:c r="U271" s="83" t="str">
        <x:v>Paid</x:v>
      </x:c>
      <x:c r="V271" s="83" t="str">
        <x:v>Completed</x:v>
      </x:c>
      <x:c r="W271" s="151" t="n">
        <x:f>IF(OR(NOT(ISNUMBER($AP271)),COUNT($O271,$P271)&lt;2,$O271&lt;=0,$P271&lt;0),"",ROUND($O271*$P271*(1-$AP271),2))</x:f>
        <x:v>1925.86</x:v>
      </x:c>
      <x:c r="X271" s="151" t="n">
        <x:f>IF(OR(NOT(ISNUMBER($W271)),NOT(ISNUMBER($S271))),"",ROUND($W271-$S271,2))</x:f>
        <x:v>603.97</x:v>
      </x:c>
      <x:c r="Y271" s="85" t="n">
        <x:f>IF(OR(NOT(ISNUMBER($W271)),NOT(ISNUMBER($X271)),$W271=0),"",ROUND($X271/$W271,4))</x:f>
        <x:v>0.3136</x:v>
      </x:c>
      <x:c r="Z271" s="82" t="n">
        <x:f>IF(OR($AH271&lt;&gt;"Valid",$AI271&lt;&gt;"Valid"),"",INT($D271-$C271))</x:f>
        <x:v>2</x:v>
      </x:c>
      <x:c r="AA271" s="86" t="str">
        <x:f>IF($AH271&lt;&gt;"Valid","",TEXT($C271,"mmmm"))</x:f>
        <x:v>February</x:v>
      </x:c>
      <x:c r="AB271" s="82" t="n">
        <x:f>IF($AH271&lt;&gt;"Valid","",YEAR($C271))</x:f>
        <x:v>2025</x:v>
      </x:c>
      <x:c r="AC271" s="80" t="str">
        <x:v>Consistent</x:v>
      </x:c>
      <x:c r="AD271" s="80" t="str">
        <x:v>Eligible</x:v>
      </x:c>
      <x:c r="AE271" s="80" t="str">
        <x:f>IF(OR($AH271&lt;&gt;"Valid",$AI271&lt;&gt;"Valid",$AJ271&lt;&gt;"Valid",LEFT($AM271,7)="Invalid",IFERROR(ABS($AQ271)&gt;0.01,FALSE),IFERROR(ABS($AR271)&gt;0.01,FALSE),COUNTIF($AS271,"*Conflicting duplicate*")&gt;0,COUNTIF($AS271,"*Completed order not paid*")&gt;0),"Invalid",IF(OR($H271="Unknown",$N271="Unknown",$AM271="Missing discount imputed as 0"),"Warning","Clean"))</x:f>
        <x:v>Clean</x:v>
      </x:c>
      <x:c r="AF271" s="80" t="str">
        <x:v>Cleaned</x:v>
      </x:c>
      <x:c r="AG271" s="80" t="str">
        <x:v>category: TRIM/SUBSTITUTE whitespace cleanup</x:v>
      </x:c>
      <x:c r="AH271" s="12" t="str">
        <x:f>IF(C271="","Missing date",IF(ISNUMBER(C271),"Valid","Unrecognized/invalid date"))</x:f>
        <x:v>Valid</x:v>
      </x:c>
      <x:c r="AI271" s="12" t="str">
        <x:f>IF(D271="","Missing date",IF(ISNUMBER(D271),"Valid","Unrecognized/invalid date"))</x:f>
        <x:v>Valid</x:v>
      </x:c>
      <x:c r="AJ271" s="12" t="str">
        <x:v>Valid</x:v>
      </x:c>
      <x:c r="AK271" s="12" t="str">
        <x:v>Pass</x:v>
      </x:c>
      <x:c r="AL271" s="12" t="str">
        <x:v>None</x:v>
      </x:c>
      <x:c r="AM271" s="12" t="str">
        <x:v>Valid</x:v>
      </x:c>
      <x:c r="AN271" s="12" t="str">
        <x:v>Include in completed sales</x:v>
      </x:c>
      <x:c r="AO271" s="12" t="str">
        <x:v>Not a refunded record</x:v>
      </x:c>
      <x:c r="AP271" s="37" t="n">
        <x:f>IF(LEFT($AM271,7)="Invalid","",IF($AM271="Missing discount imputed as 0",IF(AND(COUNT($O271,$P271,$R271,$S271)=4,$O271&gt;0,$P271&gt;=0,$R271&gt;=0,$S271&gt;=0),0,""),IF(AND(ISNUMBER($Q271),$Q271&gt;=0,$Q271&lt;=0.5),$Q271,"")))</x:f>
        <x:v>0</x:v>
      </x:c>
      <x:c r="AQ271" s="152" t="n">
        <x:f>IF(OR($W271="",NOT(ISNUMBER($R271))),"",ROUND($R271-$W271,2))</x:f>
        <x:v>0</x:v>
      </x:c>
      <x:c r="AR271" s="152" t="n">
        <x:f>IF(OR($X271="",NOT(ISNUMBER($T271))),"",ROUND($T271-$X271,2))</x:f>
        <x:v>0</x:v>
      </x:c>
      <x:c r="AS271" s="14" t="str">
        <x:v>OK</x:v>
      </x:c>
    </x:row>
    <x:row r="272">
      <x:c r="A272" s="80" t="n">
        <x:v>272</x:v>
      </x:c>
      <x:c r="B272" s="80" t="str">
        <x:v>ORD-2024-10271</x:v>
      </x:c>
      <x:c r="C272" s="81" t="n">
        <x:v>45303</x:v>
      </x:c>
      <x:c r="D272" s="81" t="n">
        <x:v>45304</x:v>
      </x:c>
      <x:c r="E272" s="80" t="str">
        <x:v>CUST-2487</x:v>
      </x:c>
      <x:c r="F272" s="80" t="str">
        <x:v>Aditi Sen</x:v>
      </x:c>
      <x:c r="G272" s="80" t="str">
        <x:v>Corporate</x:v>
      </x:c>
      <x:c r="H272" s="80" t="str">
        <x:v>North</x:v>
      </x:c>
      <x:c r="I272" s="80" t="str">
        <x:v>Uttar Pradesh</x:v>
      </x:c>
      <x:c r="J272" s="80" t="str">
        <x:v>Noida</x:v>
      </x:c>
      <x:c r="K272" s="80" t="str">
        <x:v>Technology</x:v>
      </x:c>
      <x:c r="L272" s="80" t="str">
        <x:v>Machines</x:v>
      </x:c>
      <x:c r="M272" s="80" t="str">
        <x:v>Prime Machines 794</x:v>
      </x:c>
      <x:c r="N272" s="80" t="str">
        <x:v>Same Day</x:v>
      </x:c>
      <x:c r="O272" s="82" t="n">
        <x:v>3</x:v>
      </x:c>
      <x:c r="P272" s="83" t="n">
        <x:v>827.44</x:v>
      </x:c>
      <x:c r="Q272" s="84" t="n">
        <x:v>0</x:v>
      </x:c>
      <x:c r="R272" s="83" t="n">
        <x:v>2482.32</x:v>
      </x:c>
      <x:c r="S272" s="83" t="n">
        <x:v>1520.21</x:v>
      </x:c>
      <x:c r="T272" s="83" t="n">
        <x:v>962.11</x:v>
      </x:c>
      <x:c r="U272" s="83" t="str">
        <x:v>Paid</x:v>
      </x:c>
      <x:c r="V272" s="83" t="str">
        <x:v>Completed</x:v>
      </x:c>
      <x:c r="W272" s="151" t="n">
        <x:f>IF(OR(NOT(ISNUMBER($AP272)),COUNT($O272,$P272)&lt;2,$O272&lt;=0,$P272&lt;0),"",ROUND($O272*$P272*(1-$AP272),2))</x:f>
        <x:v>2482.32</x:v>
      </x:c>
      <x:c r="X272" s="151" t="n">
        <x:f>IF(OR(NOT(ISNUMBER($W272)),NOT(ISNUMBER($S272))),"",ROUND($W272-$S272,2))</x:f>
        <x:v>962.11</x:v>
      </x:c>
      <x:c r="Y272" s="85" t="n">
        <x:f>IF(OR(NOT(ISNUMBER($W272)),NOT(ISNUMBER($X272)),$W272=0),"",ROUND($X272/$W272,4))</x:f>
        <x:v>0.3876</x:v>
      </x:c>
      <x:c r="Z272" s="82" t="n">
        <x:f>IF(OR($AH272&lt;&gt;"Valid",$AI272&lt;&gt;"Valid"),"",INT($D272-$C272))</x:f>
        <x:v>1</x:v>
      </x:c>
      <x:c r="AA272" s="86" t="str">
        <x:f>IF($AH272&lt;&gt;"Valid","",TEXT($C272,"mmmm"))</x:f>
        <x:v>January</x:v>
      </x:c>
      <x:c r="AB272" s="82" t="n">
        <x:f>IF($AH272&lt;&gt;"Valid","",YEAR($C272))</x:f>
        <x:v>2024</x:v>
      </x:c>
      <x:c r="AC272" s="80" t="str">
        <x:v>Consistent</x:v>
      </x:c>
      <x:c r="AD272" s="80" t="str">
        <x:v>Eligible</x:v>
      </x:c>
      <x:c r="AE272" s="80" t="str">
        <x:f>IF(OR($AH272&lt;&gt;"Valid",$AI272&lt;&gt;"Valid",$AJ272&lt;&gt;"Valid",LEFT($AM272,7)="Invalid",IFERROR(ABS($AQ272)&gt;0.01,FALSE),IFERROR(ABS($AR272)&gt;0.01,FALSE),COUNTIF($AS272,"*Conflicting duplicate*")&gt;0,COUNTIF($AS272,"*Completed order not paid*")&gt;0),"Invalid",IF(OR($H272="Unknown",$N272="Unknown",$AM272="Missing discount imputed as 0"),"Warning","Clean"))</x:f>
        <x:v>Clean</x:v>
      </x:c>
      <x:c r="AF272" s="80" t="str">
        <x:v>Pass</x:v>
      </x:c>
      <x:c r="AG272" s="80" t="str">
        <x:v>No text cleanup required</x:v>
      </x:c>
      <x:c r="AH272" s="12" t="str">
        <x:f>IF(C272="","Missing date",IF(ISNUMBER(C272),"Valid","Unrecognized/invalid date"))</x:f>
        <x:v>Valid</x:v>
      </x:c>
      <x:c r="AI272" s="12" t="str">
        <x:f>IF(D272="","Missing date",IF(ISNUMBER(D272),"Valid","Unrecognized/invalid date"))</x:f>
        <x:v>Valid</x:v>
      </x:c>
      <x:c r="AJ272" s="12" t="str">
        <x:v>Valid</x:v>
      </x:c>
      <x:c r="AK272" s="12" t="str">
        <x:v>Pass</x:v>
      </x:c>
      <x:c r="AL272" s="12" t="str">
        <x:v>None</x:v>
      </x:c>
      <x:c r="AM272" s="12" t="str">
        <x:v>Valid</x:v>
      </x:c>
      <x:c r="AN272" s="12" t="str">
        <x:v>Include in completed sales</x:v>
      </x:c>
      <x:c r="AO272" s="12" t="str">
        <x:v>Not a refunded record</x:v>
      </x:c>
      <x:c r="AP272" s="37" t="n">
        <x:f>IF(LEFT($AM272,7)="Invalid","",IF($AM272="Missing discount imputed as 0",IF(AND(COUNT($O272,$P272,$R272,$S272)=4,$O272&gt;0,$P272&gt;=0,$R272&gt;=0,$S272&gt;=0),0,""),IF(AND(ISNUMBER($Q272),$Q272&gt;=0,$Q272&lt;=0.5),$Q272,"")))</x:f>
        <x:v>0</x:v>
      </x:c>
      <x:c r="AQ272" s="152" t="n">
        <x:f>IF(OR($W272="",NOT(ISNUMBER($R272))),"",ROUND($R272-$W272,2))</x:f>
        <x:v>0</x:v>
      </x:c>
      <x:c r="AR272" s="152" t="n">
        <x:f>IF(OR($X272="",NOT(ISNUMBER($T272))),"",ROUND($T272-$X272,2))</x:f>
        <x:v>0</x:v>
      </x:c>
      <x:c r="AS272" s="14" t="str">
        <x:v>OK</x:v>
      </x:c>
    </x:row>
    <x:row r="273">
      <x:c r="A273" s="80" t="n">
        <x:v>273</x:v>
      </x:c>
      <x:c r="B273" s="80" t="str">
        <x:v>ORD-2024-10272</x:v>
      </x:c>
      <x:c r="C273" s="81" t="n">
        <x:v>45647</x:v>
      </x:c>
      <x:c r="D273" s="81" t="n">
        <x:v>45651</x:v>
      </x:c>
      <x:c r="E273" s="80" t="str">
        <x:v>CUST-8009</x:v>
      </x:c>
      <x:c r="F273" s="80" t="str">
        <x:v>Aditi Sen</x:v>
      </x:c>
      <x:c r="G273" s="80" t="str">
        <x:v>Consumer</x:v>
      </x:c>
      <x:c r="H273" s="80" t="str">
        <x:v>South</x:v>
      </x:c>
      <x:c r="I273" s="80" t="str">
        <x:v>Telangana</x:v>
      </x:c>
      <x:c r="J273" s="80" t="str">
        <x:v>Hyderabad</x:v>
      </x:c>
      <x:c r="K273" s="80" t="str">
        <x:v>Office Supplies</x:v>
      </x:c>
      <x:c r="L273" s="80" t="str">
        <x:v>Binders</x:v>
      </x:c>
      <x:c r="M273" s="80" t="str">
        <x:v>Max Binders 927</x:v>
      </x:c>
      <x:c r="N273" s="80" t="str">
        <x:v>Standard Class</x:v>
      </x:c>
      <x:c r="O273" s="82" t="n">
        <x:v>7</x:v>
      </x:c>
      <x:c r="P273" s="83" t="n">
        <x:v>1667.75</x:v>
      </x:c>
      <x:c r="Q273" s="84" t="n">
        <x:v>0</x:v>
      </x:c>
      <x:c r="R273" s="83" t="n">
        <x:v>11674.25</x:v>
      </x:c>
      <x:c r="S273" s="83" t="n">
        <x:v>9621.19</x:v>
      </x:c>
      <x:c r="T273" s="83" t="n">
        <x:v>2053.06</x:v>
      </x:c>
      <x:c r="U273" s="83" t="str">
        <x:v>Failed</x:v>
      </x:c>
      <x:c r="V273" s="83" t="str">
        <x:v>Cancelled</x:v>
      </x:c>
      <x:c r="W273" s="151" t="n">
        <x:f>IF(OR(NOT(ISNUMBER($AP273)),COUNT($O273,$P273)&lt;2,$O273&lt;=0,$P273&lt;0),"",ROUND($O273*$P273*(1-$AP273),2))</x:f>
        <x:v>11674.25</x:v>
      </x:c>
      <x:c r="X273" s="151" t="n">
        <x:f>IF(OR(NOT(ISNUMBER($W273)),NOT(ISNUMBER($S273))),"",ROUND($W273-$S273,2))</x:f>
        <x:v>2053.06</x:v>
      </x:c>
      <x:c r="Y273" s="85" t="n">
        <x:f>IF(OR(NOT(ISNUMBER($W273)),NOT(ISNUMBER($X273)),$W273=0),"",ROUND($X273/$W273,4))</x:f>
        <x:v>0.1759</x:v>
      </x:c>
      <x:c r="Z273" s="82" t="n">
        <x:f>IF(OR($AH273&lt;&gt;"Valid",$AI273&lt;&gt;"Valid"),"",INT($D273-$C273))</x:f>
        <x:v>4</x:v>
      </x:c>
      <x:c r="AA273" s="86" t="str">
        <x:f>IF($AH273&lt;&gt;"Valid","",TEXT($C273,"mmmm"))</x:f>
        <x:v>December</x:v>
      </x:c>
      <x:c r="AB273" s="82" t="n">
        <x:f>IF($AH273&lt;&gt;"Valid","",YEAR($C273))</x:f>
        <x:v>2024</x:v>
      </x:c>
      <x:c r="AC273" s="80" t="str">
        <x:v>Cancelled (excluded from completed-sales summary)</x:v>
      </x:c>
      <x:c r="AD273" s="80" t="str">
        <x:v>Excluded</x:v>
      </x:c>
      <x:c r="AE273" s="80" t="str">
        <x:f>IF(OR($AH273&lt;&gt;"Valid",$AI273&lt;&gt;"Valid",$AJ273&lt;&gt;"Valid",LEFT($AM273,7)="Invalid",IFERROR(ABS($AQ273)&gt;0.01,FALSE),IFERROR(ABS($AR273)&gt;0.01,FALSE),COUNTIF($AS273,"*Conflicting duplicate*")&gt;0,COUNTIF($AS273,"*Completed order not paid*")&gt;0),"Invalid",IF(OR($H273="Unknown",$N273="Unknown",$AM273="Missing discount imputed as 0"),"Warning","Clean"))</x:f>
        <x:v>Clean</x:v>
      </x:c>
      <x:c r="AF273" s="80" t="str">
        <x:v>Pass</x:v>
      </x:c>
      <x:c r="AG273" s="80" t="str">
        <x:v>No text cleanup required</x:v>
      </x:c>
      <x:c r="AH273" s="12" t="str">
        <x:f>IF(C273="","Missing date",IF(ISNUMBER(C273),"Valid","Unrecognized/invalid date"))</x:f>
        <x:v>Valid</x:v>
      </x:c>
      <x:c r="AI273" s="12" t="str">
        <x:f>IF(D273="","Missing date",IF(ISNUMBER(D273),"Valid","Unrecognized/invalid date"))</x:f>
        <x:v>Valid</x:v>
      </x:c>
      <x:c r="AJ273" s="12" t="str">
        <x:v>Valid</x:v>
      </x:c>
      <x:c r="AK273" s="12" t="str">
        <x:v>Pass</x:v>
      </x:c>
      <x:c r="AL273" s="12" t="str">
        <x:v>Cancelled order – excluded from completed sales; Failed payment – excluded from completed sales</x:v>
      </x:c>
      <x:c r="AM273" s="12" t="str">
        <x:v>Valid</x:v>
      </x:c>
      <x:c r="AN273" s="12" t="str">
        <x:v>Exclude from completed sales</x:v>
      </x:c>
      <x:c r="AO273" s="12" t="str">
        <x:v>Not a refunded record</x:v>
      </x:c>
      <x:c r="AP273" s="37" t="n">
        <x:f>IF(LEFT($AM273,7)="Invalid","",IF($AM273="Missing discount imputed as 0",IF(AND(COUNT($O273,$P273,$R273,$S273)=4,$O273&gt;0,$P273&gt;=0,$R273&gt;=0,$S273&gt;=0),0,""),IF(AND(ISNUMBER($Q273),$Q273&gt;=0,$Q273&lt;=0.5),$Q273,"")))</x:f>
        <x:v>0</x:v>
      </x:c>
      <x:c r="AQ273" s="152" t="n">
        <x:f>IF(OR($W273="",NOT(ISNUMBER($R273))),"",ROUND($R273-$W273,2))</x:f>
        <x:v>0</x:v>
      </x:c>
      <x:c r="AR273" s="152" t="n">
        <x:f>IF(OR($X273="",NOT(ISNUMBER($T273))),"",ROUND($T273-$X273,2))</x:f>
        <x:v>0</x:v>
      </x:c>
      <x:c r="AS273" s="14" t="str">
        <x:v>OK</x:v>
      </x:c>
    </x:row>
    <x:row r="274">
      <x:c r="A274" s="80" t="n">
        <x:v>274</x:v>
      </x:c>
      <x:c r="B274" s="80" t="str">
        <x:v>ORD-2024-10273</x:v>
      </x:c>
      <x:c r="C274" s="81" t="n">
        <x:v>45522</x:v>
      </x:c>
      <x:c r="D274" s="81" t="n">
        <x:v>45528</x:v>
      </x:c>
      <x:c r="E274" s="80" t="str">
        <x:v>CUST-7389</x:v>
      </x:c>
      <x:c r="F274" s="80" t="str">
        <x:v>Arjun Bose</x:v>
      </x:c>
      <x:c r="G274" s="80" t="str">
        <x:v>Consumer</x:v>
      </x:c>
      <x:c r="H274" s="80" t="str">
        <x:v>South</x:v>
      </x:c>
      <x:c r="I274" s="80" t="str">
        <x:v>Andhra Pradesh</x:v>
      </x:c>
      <x:c r="J274" s="80" t="str">
        <x:v>Vijayawada</x:v>
      </x:c>
      <x:c r="K274" s="80" t="str">
        <x:v>Furniture</x:v>
      </x:c>
      <x:c r="L274" s="80" t="str">
        <x:v>Chairs</x:v>
      </x:c>
      <x:c r="M274" s="80" t="str">
        <x:v>Eco Chairs 314</x:v>
      </x:c>
      <x:c r="N274" s="80" t="str">
        <x:v>First Class</x:v>
      </x:c>
      <x:c r="O274" s="82" t="n">
        <x:v>7</x:v>
      </x:c>
      <x:c r="P274" s="83" t="n">
        <x:v>557.21</x:v>
      </x:c>
      <x:c r="Q274" s="84" t="n">
        <x:v>0.1</x:v>
      </x:c>
      <x:c r="R274" s="83" t="n">
        <x:v>3510.42</x:v>
      </x:c>
      <x:c r="S274" s="83" t="n">
        <x:v>2191.5</x:v>
      </x:c>
      <x:c r="T274" s="83" t="n">
        <x:v>1213.48</x:v>
      </x:c>
      <x:c r="U274" s="83" t="str">
        <x:v>Paid</x:v>
      </x:c>
      <x:c r="V274" s="83" t="str">
        <x:v>Completed</x:v>
      </x:c>
      <x:c r="W274" s="151" t="n">
        <x:f>IF(OR(NOT(ISNUMBER($AP274)),COUNT($O274,$P274)&lt;2,$O274&lt;=0,$P274&lt;0),"",ROUND($O274*$P274*(1-$AP274),2))</x:f>
        <x:v>3510.42</x:v>
      </x:c>
      <x:c r="X274" s="151" t="n">
        <x:f>IF(OR(NOT(ISNUMBER($W274)),NOT(ISNUMBER($S274))),"",ROUND($W274-$S274,2))</x:f>
        <x:v>1318.92</x:v>
      </x:c>
      <x:c r="Y274" s="85" t="n">
        <x:f>IF(OR(NOT(ISNUMBER($W274)),NOT(ISNUMBER($X274)),$W274=0),"",ROUND($X274/$W274,4))</x:f>
        <x:v>0.3757</x:v>
      </x:c>
      <x:c r="Z274" s="82" t="n">
        <x:f>IF(OR($AH274&lt;&gt;"Valid",$AI274&lt;&gt;"Valid"),"",INT($D274-$C274))</x:f>
        <x:v>6</x:v>
      </x:c>
      <x:c r="AA274" s="86" t="str">
        <x:f>IF($AH274&lt;&gt;"Valid","",TEXT($C274,"mmmm"))</x:f>
        <x:v>August</x:v>
      </x:c>
      <x:c r="AB274" s="82" t="n">
        <x:f>IF($AH274&lt;&gt;"Valid","",YEAR($C274))</x:f>
        <x:v>2024</x:v>
      </x:c>
      <x:c r="AC274" s="80" t="str">
        <x:v>Consistent</x:v>
      </x:c>
      <x:c r="AD274" s="80" t="str">
        <x:v>Excluded</x:v>
      </x:c>
      <x:c r="AE274" s="80" t="str">
        <x:f>IF(OR($AH274&lt;&gt;"Valid",$AI274&lt;&gt;"Valid",$AJ274&lt;&gt;"Valid",LEFT($AM274,7)="Invalid",IFERROR(ABS($AQ274)&gt;0.01,FALSE),IFERROR(ABS($AR274)&gt;0.01,FALSE),COUNTIF($AS274,"*Conflicting duplicate*")&gt;0,COUNTIF($AS274,"*Completed order not paid*")&gt;0),"Invalid",IF(OR($H274="Unknown",$N274="Unknown",$AM274="Missing discount imputed as 0"),"Warning","Clean"))</x:f>
        <x:v>Invalid</x:v>
      </x:c>
      <x:c r="AF274" s="80" t="str">
        <x:v>Review</x:v>
      </x:c>
      <x:c r="AG274" s="80" t="str">
        <x:v>No text cleanup required</x:v>
      </x:c>
      <x:c r="AH274" s="12" t="str">
        <x:f>IF(C274="","Missing date",IF(ISNUMBER(C274),"Valid","Unrecognized/invalid date"))</x:f>
        <x:v>Valid</x:v>
      </x:c>
      <x:c r="AI274" s="12" t="str">
        <x:f>IF(D274="","Missing date",IF(ISNUMBER(D274),"Valid","Unrecognized/invalid date"))</x:f>
        <x:v>Valid</x:v>
      </x:c>
      <x:c r="AJ274" s="12" t="str">
        <x:v>Valid</x:v>
      </x:c>
      <x:c r="AK274" s="12" t="str">
        <x:v>Pass</x:v>
      </x:c>
      <x:c r="AL274" s="12" t="str">
        <x:v>None</x:v>
      </x:c>
      <x:c r="AM274" s="12" t="str">
        <x:v>Valid</x:v>
      </x:c>
      <x:c r="AN274" s="12" t="str">
        <x:v>Exclude from completed sales</x:v>
      </x:c>
      <x:c r="AO274" s="12" t="str">
        <x:v>Not a refunded record</x:v>
      </x:c>
      <x:c r="AP274" s="37" t="n">
        <x:f>IF(LEFT($AM274,7)="Invalid","",IF($AM274="Missing discount imputed as 0",IF(AND(COUNT($O274,$P274,$R274,$S274)=4,$O274&gt;0,$P274&gt;=0,$R274&gt;=0,$S274&gt;=0),0,""),IF(AND(ISNUMBER($Q274),$Q274&gt;=0,$Q274&lt;=0.5),$Q274,"")))</x:f>
        <x:v>0.1</x:v>
      </x:c>
      <x:c r="AQ274" s="152" t="n">
        <x:f>IF(OR($W274="",NOT(ISNUMBER($R274))),"",ROUND($R274-$W274,2))</x:f>
        <x:v>0</x:v>
      </x:c>
      <x:c r="AR274" s="152" t="n">
        <x:f>IF(OR($X274="",NOT(ISNUMBER($T274))),"",ROUND($T274-$X274,2))</x:f>
        <x:v>-105.44</x:v>
      </x:c>
      <x:c r="AS274" s="14" t="str">
        <x:v>Profit calculation mismatch; Conflicting duplicate order ID</x:v>
      </x:c>
    </x:row>
    <x:row r="275">
      <x:c r="A275" s="80" t="n">
        <x:v>275</x:v>
      </x:c>
      <x:c r="B275" s="80" t="str">
        <x:v>ORD-2025-10274</x:v>
      </x:c>
      <x:c r="C275" s="81" t="n">
        <x:v>45701</x:v>
      </x:c>
      <x:c r="D275" s="81" t="n">
        <x:v>45701</x:v>
      </x:c>
      <x:c r="E275" s="80" t="str">
        <x:v>CUST-8249</x:v>
      </x:c>
      <x:c r="F275" s="80" t="str">
        <x:v>Isha Nair</x:v>
      </x:c>
      <x:c r="G275" s="80" t="str">
        <x:v>Consumer</x:v>
      </x:c>
      <x:c r="H275" s="80" t="str">
        <x:v>East</x:v>
      </x:c>
      <x:c r="I275" s="80" t="str">
        <x:v>Bihar</x:v>
      </x:c>
      <x:c r="J275" s="80" t="str">
        <x:v>Patna</x:v>
      </x:c>
      <x:c r="K275" s="80" t="str">
        <x:v>Office Supplies</x:v>
      </x:c>
      <x:c r="L275" s="80" t="str">
        <x:v>Paper</x:v>
      </x:c>
      <x:c r="M275" s="80" t="str">
        <x:v>Basic Paper 657</x:v>
      </x:c>
      <x:c r="N275" s="80" t="str">
        <x:v>Second Class</x:v>
      </x:c>
      <x:c r="O275" s="82" t="n">
        <x:v>9</x:v>
      </x:c>
      <x:c r="P275" s="83" t="n">
        <x:v>2521.63</x:v>
      </x:c>
      <x:c r="Q275" s="84" t="n">
        <x:v>0</x:v>
      </x:c>
      <x:c r="R275" s="83" t="n">
        <x:v>22694.67</x:v>
      </x:c>
      <x:c r="S275" s="83" t="n">
        <x:v>15405.36</x:v>
      </x:c>
      <x:c r="T275" s="83" t="n">
        <x:v>7289.31</x:v>
      </x:c>
      <x:c r="U275" s="83" t="str">
        <x:v>Paid</x:v>
      </x:c>
      <x:c r="V275" s="83" t="str">
        <x:v>Returned</x:v>
      </x:c>
      <x:c r="W275" s="151" t="n">
        <x:f>IF(OR(NOT(ISNUMBER($AP275)),COUNT($O275,$P275)&lt;2,$O275&lt;=0,$P275&lt;0),"",ROUND($O275*$P275*(1-$AP275),2))</x:f>
        <x:v>22694.67</x:v>
      </x:c>
      <x:c r="X275" s="151" t="n">
        <x:f>IF(OR(NOT(ISNUMBER($W275)),NOT(ISNUMBER($S275))),"",ROUND($W275-$S275,2))</x:f>
        <x:v>7289.31</x:v>
      </x:c>
      <x:c r="Y275" s="85" t="n">
        <x:f>IF(OR(NOT(ISNUMBER($W275)),NOT(ISNUMBER($X275)),$W275=0),"",ROUND($X275/$W275,4))</x:f>
        <x:v>0.3212</x:v>
      </x:c>
      <x:c r="Z275" s="82" t="n">
        <x:f>IF(OR($AH275&lt;&gt;"Valid",$AI275&lt;&gt;"Valid"),"",INT($D275-$C275))</x:f>
        <x:v>0</x:v>
      </x:c>
      <x:c r="AA275" s="86" t="str">
        <x:f>IF($AH275&lt;&gt;"Valid","",TEXT($C275,"mmmm"))</x:f>
        <x:v>February</x:v>
      </x:c>
      <x:c r="AB275" s="82" t="n">
        <x:f>IF($AH275&lt;&gt;"Valid","",YEAR($C275))</x:f>
        <x:v>2025</x:v>
      </x:c>
      <x:c r="AC275" s="80" t="str">
        <x:v>Consistent</x:v>
      </x:c>
      <x:c r="AD275" s="80" t="str">
        <x:v>Excluded</x:v>
      </x:c>
      <x:c r="AE275" s="80" t="str">
        <x:f>IF(OR($AH275&lt;&gt;"Valid",$AI275&lt;&gt;"Valid",$AJ275&lt;&gt;"Valid",LEFT($AM275,7)="Invalid",IFERROR(ABS($AQ275)&gt;0.01,FALSE),IFERROR(ABS($AR275)&gt;0.01,FALSE),COUNTIF($AS275,"*Conflicting duplicate*")&gt;0,COUNTIF($AS275,"*Completed order not paid*")&gt;0),"Invalid",IF(OR($H275="Unknown",$N275="Unknown",$AM275="Missing discount imputed as 0"),"Warning","Clean"))</x:f>
        <x:v>Clean</x:v>
      </x:c>
      <x:c r="AF275" s="80" t="str">
        <x:v>Pass</x:v>
      </x:c>
      <x:c r="AG275" s="80" t="str">
        <x:v>No text cleanup required</x:v>
      </x:c>
      <x:c r="AH275" s="12" t="str">
        <x:f>IF(C275="","Missing date",IF(ISNUMBER(C275),"Valid","Unrecognized/invalid date"))</x:f>
        <x:v>Valid</x:v>
      </x:c>
      <x:c r="AI275" s="12" t="str">
        <x:f>IF(D275="","Missing date",IF(ISNUMBER(D275),"Valid","Unrecognized/invalid date"))</x:f>
        <x:v>Valid</x:v>
      </x:c>
      <x:c r="AJ275" s="12" t="str">
        <x:v>Valid</x:v>
      </x:c>
      <x:c r="AK275" s="12" t="str">
        <x:v>Pass</x:v>
      </x:c>
      <x:c r="AL275" s="12" t="str">
        <x:v>None</x:v>
      </x:c>
      <x:c r="AM275" s="12" t="str">
        <x:v>Valid</x:v>
      </x:c>
      <x:c r="AN275" s="12" t="str">
        <x:v>Exclude from completed sales</x:v>
      </x:c>
      <x:c r="AO275" s="12" t="str">
        <x:v>Not a refunded record</x:v>
      </x:c>
      <x:c r="AP275" s="37" t="n">
        <x:f>IF(LEFT($AM275,7)="Invalid","",IF($AM275="Missing discount imputed as 0",IF(AND(COUNT($O275,$P275,$R275,$S275)=4,$O275&gt;0,$P275&gt;=0,$R275&gt;=0,$S275&gt;=0),0,""),IF(AND(ISNUMBER($Q275),$Q275&gt;=0,$Q275&lt;=0.5),$Q275,"")))</x:f>
        <x:v>0</x:v>
      </x:c>
      <x:c r="AQ275" s="152" t="n">
        <x:f>IF(OR($W275="",NOT(ISNUMBER($R275))),"",ROUND($R275-$W275,2))</x:f>
        <x:v>0</x:v>
      </x:c>
      <x:c r="AR275" s="152" t="n">
        <x:f>IF(OR($X275="",NOT(ISNUMBER($T275))),"",ROUND($T275-$X275,2))</x:f>
        <x:v>0</x:v>
      </x:c>
      <x:c r="AS275" s="14" t="str">
        <x:v>OK</x:v>
      </x:c>
    </x:row>
    <x:row r="276">
      <x:c r="A276" s="80" t="n">
        <x:v>276</x:v>
      </x:c>
      <x:c r="B276" s="80" t="str">
        <x:v>ORD-2024-10275</x:v>
      </x:c>
      <x:c r="C276" s="81" t="n">
        <x:v>45389</x:v>
      </x:c>
      <x:c r="D276" s="81" t="n">
        <x:v>45396</x:v>
      </x:c>
      <x:c r="E276" s="80" t="str">
        <x:v>CUST-4202</x:v>
      </x:c>
      <x:c r="F276" s="80" t="str">
        <x:v>Rohan Mehta</x:v>
      </x:c>
      <x:c r="G276" s="80" t="str">
        <x:v>Consumer</x:v>
      </x:c>
      <x:c r="H276" s="80" t="str">
        <x:v>South</x:v>
      </x:c>
      <x:c r="I276" s="80" t="str">
        <x:v>Kerala</x:v>
      </x:c>
      <x:c r="J276" s="80" t="str">
        <x:v>Kochi</x:v>
      </x:c>
      <x:c r="K276" s="80" t="str">
        <x:v>Technology</x:v>
      </x:c>
      <x:c r="L276" s="80" t="str">
        <x:v>Copiers</x:v>
      </x:c>
      <x:c r="M276" s="80" t="str">
        <x:v>Pro Copiers 406</x:v>
      </x:c>
      <x:c r="N276" s="80" t="str">
        <x:v>Standard Class</x:v>
      </x:c>
      <x:c r="O276" s="82" t="n">
        <x:v>6</x:v>
      </x:c>
      <x:c r="P276" s="83" t="n">
        <x:v>4246.71</x:v>
      </x:c>
      <x:c r="Q276" s="84" t="n">
        <x:v>0.15</x:v>
      </x:c>
      <x:c r="R276" s="83" t="n">
        <x:v>21658.22</x:v>
      </x:c>
      <x:c r="S276" s="83" t="n">
        <x:v>15490.69</x:v>
      </x:c>
      <x:c r="T276" s="83" t="n">
        <x:v>6167.53</x:v>
      </x:c>
      <x:c r="U276" s="83" t="str">
        <x:v>Failed</x:v>
      </x:c>
      <x:c r="V276" s="83" t="str">
        <x:v>Returned</x:v>
      </x:c>
      <x:c r="W276" s="151" t="n">
        <x:f>IF(OR(NOT(ISNUMBER($AP276)),COUNT($O276,$P276)&lt;2,$O276&lt;=0,$P276&lt;0),"",ROUND($O276*$P276*(1-$AP276),2))</x:f>
        <x:v>21658.22</x:v>
      </x:c>
      <x:c r="X276" s="151" t="n">
        <x:f>IF(OR(NOT(ISNUMBER($W276)),NOT(ISNUMBER($S276))),"",ROUND($W276-$S276,2))</x:f>
        <x:v>6167.53</x:v>
      </x:c>
      <x:c r="Y276" s="85" t="n">
        <x:f>IF(OR(NOT(ISNUMBER($W276)),NOT(ISNUMBER($X276)),$W276=0),"",ROUND($X276/$W276,4))</x:f>
        <x:v>0.2848</x:v>
      </x:c>
      <x:c r="Z276" s="82" t="n">
        <x:f>IF(OR($AH276&lt;&gt;"Valid",$AI276&lt;&gt;"Valid"),"",INT($D276-$C276))</x:f>
        <x:v>7</x:v>
      </x:c>
      <x:c r="AA276" s="86" t="str">
        <x:f>IF($AH276&lt;&gt;"Valid","",TEXT($C276,"mmmm"))</x:f>
        <x:v>April</x:v>
      </x:c>
      <x:c r="AB276" s="82" t="n">
        <x:f>IF($AH276&lt;&gt;"Valid","",YEAR($C276))</x:f>
        <x:v>2024</x:v>
      </x:c>
      <x:c r="AC276" s="80" t="str">
        <x:v>Failed payment (excluded from completed-sales summary)</x:v>
      </x:c>
      <x:c r="AD276" s="80" t="str">
        <x:v>Excluded</x:v>
      </x:c>
      <x:c r="AE276" s="80" t="str">
        <x:f>IF(OR($AH276&lt;&gt;"Valid",$AI276&lt;&gt;"Valid",$AJ276&lt;&gt;"Valid",LEFT($AM276,7)="Invalid",IFERROR(ABS($AQ276)&gt;0.01,FALSE),IFERROR(ABS($AR276)&gt;0.01,FALSE),COUNTIF($AS276,"*Conflicting duplicate*")&gt;0,COUNTIF($AS276,"*Completed order not paid*")&gt;0),"Invalid",IF(OR($H276="Unknown",$N276="Unknown",$AM276="Missing discount imputed as 0"),"Warning","Clean"))</x:f>
        <x:v>Clean</x:v>
      </x:c>
      <x:c r="AF276" s="80" t="str">
        <x:v>Pass</x:v>
      </x:c>
      <x:c r="AG276" s="80" t="str">
        <x:v>No text cleanup required</x:v>
      </x:c>
      <x:c r="AH276" s="12" t="str">
        <x:f>IF(C276="","Missing date",IF(ISNUMBER(C276),"Valid","Unrecognized/invalid date"))</x:f>
        <x:v>Valid</x:v>
      </x:c>
      <x:c r="AI276" s="12" t="str">
        <x:f>IF(D276="","Missing date",IF(ISNUMBER(D276),"Valid","Unrecognized/invalid date"))</x:f>
        <x:v>Valid</x:v>
      </x:c>
      <x:c r="AJ276" s="12" t="str">
        <x:v>Valid</x:v>
      </x:c>
      <x:c r="AK276" s="12" t="str">
        <x:v>Pass</x:v>
      </x:c>
      <x:c r="AL276" s="12" t="str">
        <x:v>Failed payment – excluded from completed sales</x:v>
      </x:c>
      <x:c r="AM276" s="12" t="str">
        <x:v>Valid</x:v>
      </x:c>
      <x:c r="AN276" s="12" t="str">
        <x:v>Exclude from completed sales</x:v>
      </x:c>
      <x:c r="AO276" s="12" t="str">
        <x:v>Not a refunded record</x:v>
      </x:c>
      <x:c r="AP276" s="37" t="n">
        <x:f>IF(LEFT($AM276,7)="Invalid","",IF($AM276="Missing discount imputed as 0",IF(AND(COUNT($O276,$P276,$R276,$S276)=4,$O276&gt;0,$P276&gt;=0,$R276&gt;=0,$S276&gt;=0),0,""),IF(AND(ISNUMBER($Q276),$Q276&gt;=0,$Q276&lt;=0.5),$Q276,"")))</x:f>
        <x:v>0.15</x:v>
      </x:c>
      <x:c r="AQ276" s="152" t="n">
        <x:f>IF(OR($W276="",NOT(ISNUMBER($R276))),"",ROUND($R276-$W276,2))</x:f>
        <x:v>0</x:v>
      </x:c>
      <x:c r="AR276" s="152" t="n">
        <x:f>IF(OR($X276="",NOT(ISNUMBER($T276))),"",ROUND($T276-$X276,2))</x:f>
        <x:v>0</x:v>
      </x:c>
      <x:c r="AS276" s="14" t="str">
        <x:v>OK</x:v>
      </x:c>
    </x:row>
    <x:row r="277">
      <x:c r="A277" s="80" t="n">
        <x:v>277</x:v>
      </x:c>
      <x:c r="B277" s="80" t="str">
        <x:v>ORD-2024-10276</x:v>
      </x:c>
      <x:c r="C277" s="81" t="n">
        <x:v>45337</x:v>
      </x:c>
      <x:c r="D277" s="81" t="n">
        <x:v>45344</x:v>
      </x:c>
      <x:c r="E277" s="80" t="str">
        <x:v>CUST-2875</x:v>
      </x:c>
      <x:c r="F277" s="80" t="str">
        <x:v>Priya Menon</x:v>
      </x:c>
      <x:c r="G277" s="80" t="str">
        <x:v>Small Business</x:v>
      </x:c>
      <x:c r="H277" s="80" t="str">
        <x:v>East</x:v>
      </x:c>
      <x:c r="I277" s="80" t="str">
        <x:v>West Bengal</x:v>
      </x:c>
      <x:c r="J277" s="80" t="str">
        <x:v>Kolkata</x:v>
      </x:c>
      <x:c r="K277" s="80" t="str">
        <x:v>Furniture</x:v>
      </x:c>
      <x:c r="L277" s="80" t="str">
        <x:v>Furnishings</x:v>
      </x:c>
      <x:c r="M277" s="80" t="str">
        <x:v>Eco Furnishings 678</x:v>
      </x:c>
      <x:c r="N277" s="80" t="str">
        <x:v>Same Day</x:v>
      </x:c>
      <x:c r="O277" s="82" t="n">
        <x:v>1</x:v>
      </x:c>
      <x:c r="P277" s="83" t="n">
        <x:v>980.51</x:v>
      </x:c>
      <x:c r="Q277" s="84" t="n">
        <x:v>0</x:v>
      </x:c>
      <x:c r="R277" s="83" t="n">
        <x:v>980.51</x:v>
      </x:c>
      <x:c r="S277" s="83" t="n">
        <x:v>660.92</x:v>
      </x:c>
      <x:c r="T277" s="83" t="n">
        <x:v>319.59</x:v>
      </x:c>
      <x:c r="U277" s="83" t="str">
        <x:v>Paid</x:v>
      </x:c>
      <x:c r="V277" s="83" t="str">
        <x:v>Completed</x:v>
      </x:c>
      <x:c r="W277" s="151" t="n">
        <x:f>IF(OR(NOT(ISNUMBER($AP277)),COUNT($O277,$P277)&lt;2,$O277&lt;=0,$P277&lt;0),"",ROUND($O277*$P277*(1-$AP277),2))</x:f>
        <x:v>980.51</x:v>
      </x:c>
      <x:c r="X277" s="151" t="n">
        <x:f>IF(OR(NOT(ISNUMBER($W277)),NOT(ISNUMBER($S277))),"",ROUND($W277-$S277,2))</x:f>
        <x:v>319.59</x:v>
      </x:c>
      <x:c r="Y277" s="85" t="n">
        <x:f>IF(OR(NOT(ISNUMBER($W277)),NOT(ISNUMBER($X277)),$W277=0),"",ROUND($X277/$W277,4))</x:f>
        <x:v>0.3259</x:v>
      </x:c>
      <x:c r="Z277" s="82" t="n">
        <x:f>IF(OR($AH277&lt;&gt;"Valid",$AI277&lt;&gt;"Valid"),"",INT($D277-$C277))</x:f>
        <x:v>7</x:v>
      </x:c>
      <x:c r="AA277" s="86" t="str">
        <x:f>IF($AH277&lt;&gt;"Valid","",TEXT($C277,"mmmm"))</x:f>
        <x:v>February</x:v>
      </x:c>
      <x:c r="AB277" s="82" t="n">
        <x:f>IF($AH277&lt;&gt;"Valid","",YEAR($C277))</x:f>
        <x:v>2024</x:v>
      </x:c>
      <x:c r="AC277" s="80" t="str">
        <x:v>Consistent</x:v>
      </x:c>
      <x:c r="AD277" s="80" t="str">
        <x:v>Eligible</x:v>
      </x:c>
      <x:c r="AE277" s="80" t="str">
        <x:f>IF(OR($AH277&lt;&gt;"Valid",$AI277&lt;&gt;"Valid",$AJ277&lt;&gt;"Valid",LEFT($AM277,7)="Invalid",IFERROR(ABS($AQ277)&gt;0.01,FALSE),IFERROR(ABS($AR277)&gt;0.01,FALSE),COUNTIF($AS277,"*Conflicting duplicate*")&gt;0,COUNTIF($AS277,"*Completed order not paid*")&gt;0),"Invalid",IF(OR($H277="Unknown",$N277="Unknown",$AM277="Missing discount imputed as 0"),"Warning","Clean"))</x:f>
        <x:v>Clean</x:v>
      </x:c>
      <x:c r="AF277" s="80" t="str">
        <x:v>Pass</x:v>
      </x:c>
      <x:c r="AG277" s="80" t="str">
        <x:v>No text cleanup required</x:v>
      </x:c>
      <x:c r="AH277" s="12" t="str">
        <x:f>IF(C277="","Missing date",IF(ISNUMBER(C277),"Valid","Unrecognized/invalid date"))</x:f>
        <x:v>Valid</x:v>
      </x:c>
      <x:c r="AI277" s="12" t="str">
        <x:f>IF(D277="","Missing date",IF(ISNUMBER(D277),"Valid","Unrecognized/invalid date"))</x:f>
        <x:v>Valid</x:v>
      </x:c>
      <x:c r="AJ277" s="12" t="str">
        <x:v>Valid</x:v>
      </x:c>
      <x:c r="AK277" s="12" t="str">
        <x:v>Pass</x:v>
      </x:c>
      <x:c r="AL277" s="12" t="str">
        <x:v>None</x:v>
      </x:c>
      <x:c r="AM277" s="12" t="str">
        <x:v>Valid</x:v>
      </x:c>
      <x:c r="AN277" s="12" t="str">
        <x:v>Include in completed sales</x:v>
      </x:c>
      <x:c r="AO277" s="12" t="str">
        <x:v>Not a refunded record</x:v>
      </x:c>
      <x:c r="AP277" s="37" t="n">
        <x:f>IF(LEFT($AM277,7)="Invalid","",IF($AM277="Missing discount imputed as 0",IF(AND(COUNT($O277,$P277,$R277,$S277)=4,$O277&gt;0,$P277&gt;=0,$R277&gt;=0,$S277&gt;=0),0,""),IF(AND(ISNUMBER($Q277),$Q277&gt;=0,$Q277&lt;=0.5),$Q277,"")))</x:f>
        <x:v>0</x:v>
      </x:c>
      <x:c r="AQ277" s="152" t="n">
        <x:f>IF(OR($W277="",NOT(ISNUMBER($R277))),"",ROUND($R277-$W277,2))</x:f>
        <x:v>0</x:v>
      </x:c>
      <x:c r="AR277" s="152" t="n">
        <x:f>IF(OR($X277="",NOT(ISNUMBER($T277))),"",ROUND($T277-$X277,2))</x:f>
        <x:v>0</x:v>
      </x:c>
      <x:c r="AS277" s="14" t="str">
        <x:v>OK</x:v>
      </x:c>
    </x:row>
    <x:row r="278">
      <x:c r="A278" s="80" t="n">
        <x:v>278</x:v>
      </x:c>
      <x:c r="B278" s="80" t="str">
        <x:v>ORD-2024-10277</x:v>
      </x:c>
      <x:c r="C278" s="81" t="n">
        <x:v>45313</x:v>
      </x:c>
      <x:c r="D278" s="81" t="n">
        <x:v>45314</x:v>
      </x:c>
      <x:c r="E278" s="80" t="str">
        <x:v>CUST-7039</x:v>
      </x:c>
      <x:c r="F278" s="80" t="str">
        <x:v>Aarav Sharma</x:v>
      </x:c>
      <x:c r="G278" s="80" t="str">
        <x:v>Small Business</x:v>
      </x:c>
      <x:c r="H278" s="80" t="str">
        <x:v>Unknown</x:v>
      </x:c>
      <x:c r="I278" s="80" t="str">
        <x:v>Assam</x:v>
      </x:c>
      <x:c r="J278" s="80" t="str">
        <x:v>Guwahati</x:v>
      </x:c>
      <x:c r="K278" s="80" t="str">
        <x:v>Furniture</x:v>
      </x:c>
      <x:c r="L278" s="80" t="str">
        <x:v>Chairs</x:v>
      </x:c>
      <x:c r="M278" s="80" t="str">
        <x:v>Basic Chairs 141</x:v>
      </x:c>
      <x:c r="N278" s="80" t="str">
        <x:v>Second Class</x:v>
      </x:c>
      <x:c r="O278" s="82" t="n">
        <x:v>6</x:v>
      </x:c>
      <x:c r="P278" s="83" t="n">
        <x:v>3391.53</x:v>
      </x:c>
      <x:c r="Q278" s="84" t="n">
        <x:v>-0.14</x:v>
      </x:c>
      <x:c r="R278" s="83" t="n">
        <x:v>15261.89</x:v>
      </x:c>
      <x:c r="S278" s="83" t="n">
        <x:v>8413.53</x:v>
      </x:c>
      <x:c r="T278" s="83" t="n">
        <x:v>6848.36</x:v>
      </x:c>
      <x:c r="U278" s="83" t="str">
        <x:v>Paid</x:v>
      </x:c>
      <x:c r="V278" s="83" t="str">
        <x:v>Completed</x:v>
      </x:c>
      <x:c r="W278" s="151" t="str">
        <x:f>IF(OR(NOT(ISNUMBER($AP278)),COUNT($O278,$P278)&lt;2,$O278&lt;=0,$P278&lt;0),"",ROUND($O278*$P278*(1-$AP278),2))</x:f>
      </x:c>
      <x:c r="X278" s="151" t="str">
        <x:f>IF(OR(NOT(ISNUMBER($W278)),NOT(ISNUMBER($S278))),"",ROUND($W278-$S278,2))</x:f>
      </x:c>
      <x:c r="Y278" s="85" t="str">
        <x:f>IF(OR(NOT(ISNUMBER($W278)),NOT(ISNUMBER($X278)),$W278=0),"",ROUND($X278/$W278,4))</x:f>
      </x:c>
      <x:c r="Z278" s="82" t="n">
        <x:f>IF(OR($AH278&lt;&gt;"Valid",$AI278&lt;&gt;"Valid"),"",INT($D278-$C278))</x:f>
        <x:v>1</x:v>
      </x:c>
      <x:c r="AA278" s="86" t="str">
        <x:f>IF($AH278&lt;&gt;"Valid","",TEXT($C278,"mmmm"))</x:f>
        <x:v>January</x:v>
      </x:c>
      <x:c r="AB278" s="82" t="n">
        <x:f>IF($AH278&lt;&gt;"Valid","",YEAR($C278))</x:f>
        <x:v>2024</x:v>
      </x:c>
      <x:c r="AC278" s="80" t="str">
        <x:v>Consistent</x:v>
      </x:c>
      <x:c r="AD278" s="80" t="str">
        <x:v>Excluded</x:v>
      </x:c>
      <x:c r="AE278" s="80" t="str">
        <x:f>IF(OR($AH278&lt;&gt;"Valid",$AI278&lt;&gt;"Valid",$AJ278&lt;&gt;"Valid",LEFT($AM278,7)="Invalid",IFERROR(ABS($AQ278)&gt;0.01,FALSE),IFERROR(ABS($AR278)&gt;0.01,FALSE),COUNTIF($AS278,"*Conflicting duplicate*")&gt;0,COUNTIF($AS278,"*Completed order not paid*")&gt;0),"Invalid",IF(OR($H278="Unknown",$N278="Unknown",$AM278="Missing discount imputed as 0"),"Warning","Clean"))</x:f>
        <x:v>Invalid</x:v>
      </x:c>
      <x:c r="AF278" s="80" t="str">
        <x:v>Review</x:v>
      </x:c>
      <x:c r="AG278" s="80" t="str">
        <x:v>region: Missing value filled as Unknown</x:v>
      </x:c>
      <x:c r="AH278" s="12" t="str">
        <x:f>IF(C278="","Missing date",IF(ISNUMBER(C278),"Valid","Unrecognized/invalid date"))</x:f>
        <x:v>Valid</x:v>
      </x:c>
      <x:c r="AI278" s="12" t="str">
        <x:f>IF(D278="","Missing date",IF(ISNUMBER(D278),"Valid","Unrecognized/invalid date"))</x:f>
        <x:v>Valid</x:v>
      </x:c>
      <x:c r="AJ278" s="12" t="str">
        <x:v>Valid</x:v>
      </x:c>
      <x:c r="AK278" s="12" t="str">
        <x:v>Pass</x:v>
      </x:c>
      <x:c r="AL278" s="12" t="str">
        <x:v>Missing region filled as Unknown</x:v>
      </x:c>
      <x:c r="AM278" s="12" t="str">
        <x:v>Invalid discount – negative</x:v>
      </x:c>
      <x:c r="AN278" s="12" t="str">
        <x:v>Exclude from completed sales</x:v>
      </x:c>
      <x:c r="AO278" s="12" t="str">
        <x:v>Not a refunded record</x:v>
      </x:c>
      <x:c r="AP278" s="37" t="str">
        <x:f>IF(LEFT($AM278,7)="Invalid","",IF($AM278="Missing discount imputed as 0",IF(AND(COUNT($O278,$P278,$R278,$S278)=4,$O278&gt;0,$P278&gt;=0,$R278&gt;=0,$S278&gt;=0),0,""),IF(AND(ISNUMBER($Q278),$Q278&gt;=0,$Q278&lt;=0.5),$Q278,"")))</x:f>
      </x:c>
      <x:c r="AQ278" s="152" t="str">
        <x:f>IF(OR($W278="",NOT(ISNUMBER($R278))),"",ROUND($R278-$W278,2))</x:f>
      </x:c>
      <x:c r="AR278" s="152" t="str">
        <x:f>IF(OR($X278="",NOT(ISNUMBER($T278))),"",ROUND($T278-$X278,2))</x:f>
      </x:c>
      <x:c r="AS278" s="14" t="str">
        <x:v>Negative discount</x:v>
      </x:c>
    </x:row>
    <x:row r="279">
      <x:c r="A279" s="80" t="n">
        <x:v>279</x:v>
      </x:c>
      <x:c r="B279" s="80" t="str">
        <x:v>ORD-2025-10278</x:v>
      </x:c>
      <x:c r="C279" s="81" t="n">
        <x:v>45812</x:v>
      </x:c>
      <x:c r="D279" s="81" t="n">
        <x:v>45812</x:v>
      </x:c>
      <x:c r="E279" s="80" t="str">
        <x:v>CUST-2819</x:v>
      </x:c>
      <x:c r="F279" s="80" t="str">
        <x:v>Isha Nair</x:v>
      </x:c>
      <x:c r="G279" s="80" t="str">
        <x:v>Corporate</x:v>
      </x:c>
      <x:c r="H279" s="80" t="str">
        <x:v>North</x:v>
      </x:c>
      <x:c r="I279" s="80" t="str">
        <x:v>Haryana</x:v>
      </x:c>
      <x:c r="J279" s="80" t="str">
        <x:v>Gurugram</x:v>
      </x:c>
      <x:c r="K279" s="80" t="str">
        <x:v>Technology</x:v>
      </x:c>
      <x:c r="L279" s="80" t="str">
        <x:v>Accessories</x:v>
      </x:c>
      <x:c r="M279" s="80" t="str">
        <x:v>Elite Accessories 291</x:v>
      </x:c>
      <x:c r="N279" s="80" t="str">
        <x:v>Second Class</x:v>
      </x:c>
      <x:c r="O279" s="82" t="n">
        <x:v>1</x:v>
      </x:c>
      <x:c r="P279" s="83" t="n">
        <x:v>2133.73</x:v>
      </x:c>
      <x:c r="Q279" s="84" t="n">
        <x:v>0.15</x:v>
      </x:c>
      <x:c r="R279" s="83" t="n">
        <x:v>2008.39</x:v>
      </x:c>
      <x:c r="S279" s="83" t="n">
        <x:v>1002.57</x:v>
      </x:c>
      <x:c r="T279" s="83" t="n">
        <x:v>811.1</x:v>
      </x:c>
      <x:c r="U279" s="83" t="str">
        <x:v>Pending</x:v>
      </x:c>
      <x:c r="V279" s="83" t="str">
        <x:v>Cancelled</x:v>
      </x:c>
      <x:c r="W279" s="151" t="n">
        <x:f>IF(OR(NOT(ISNUMBER($AP279)),COUNT($O279,$P279)&lt;2,$O279&lt;=0,$P279&lt;0),"",ROUND($O279*$P279*(1-$AP279),2))</x:f>
        <x:v>1813.67</x:v>
      </x:c>
      <x:c r="X279" s="151" t="n">
        <x:f>IF(OR(NOT(ISNUMBER($W279)),NOT(ISNUMBER($S279))),"",ROUND($W279-$S279,2))</x:f>
        <x:v>811.1</x:v>
      </x:c>
      <x:c r="Y279" s="85" t="n">
        <x:f>IF(OR(NOT(ISNUMBER($W279)),NOT(ISNUMBER($X279)),$W279=0),"",ROUND($X279/$W279,4))</x:f>
        <x:v>0.4472</x:v>
      </x:c>
      <x:c r="Z279" s="82" t="n">
        <x:f>IF(OR($AH279&lt;&gt;"Valid",$AI279&lt;&gt;"Valid"),"",INT($D279-$C279))</x:f>
        <x:v>0</x:v>
      </x:c>
      <x:c r="AA279" s="86" t="str">
        <x:f>IF($AH279&lt;&gt;"Valid","",TEXT($C279,"mmmm"))</x:f>
        <x:v>June</x:v>
      </x:c>
      <x:c r="AB279" s="82" t="n">
        <x:f>IF($AH279&lt;&gt;"Valid","",YEAR($C279))</x:f>
        <x:v>2025</x:v>
      </x:c>
      <x:c r="AC279" s="80" t="str">
        <x:v>Cancelled (excluded from completed-sales summary)</x:v>
      </x:c>
      <x:c r="AD279" s="80" t="str">
        <x:v>Excluded</x:v>
      </x:c>
      <x:c r="AE279" s="80" t="str">
        <x:f>IF(OR($AH279&lt;&gt;"Valid",$AI279&lt;&gt;"Valid",$AJ279&lt;&gt;"Valid",LEFT($AM279,7)="Invalid",IFERROR(ABS($AQ279)&gt;0.01,FALSE),IFERROR(ABS($AR279)&gt;0.01,FALSE),COUNTIF($AS279,"*Conflicting duplicate*")&gt;0,COUNTIF($AS279,"*Completed order not paid*")&gt;0),"Invalid",IF(OR($H279="Unknown",$N279="Unknown",$AM279="Missing discount imputed as 0"),"Warning","Clean"))</x:f>
        <x:v>Invalid</x:v>
      </x:c>
      <x:c r="AF279" s="80" t="str">
        <x:v>Review</x:v>
      </x:c>
      <x:c r="AG279" s="80" t="str">
        <x:v>No text cleanup required</x:v>
      </x:c>
      <x:c r="AH279" s="12" t="str">
        <x:f>IF(C279="","Missing date",IF(ISNUMBER(C279),"Valid","Unrecognized/invalid date"))</x:f>
        <x:v>Valid</x:v>
      </x:c>
      <x:c r="AI279" s="12" t="str">
        <x:f>IF(D279="","Missing date",IF(ISNUMBER(D279),"Valid","Unrecognized/invalid date"))</x:f>
        <x:v>Valid</x:v>
      </x:c>
      <x:c r="AJ279" s="12" t="str">
        <x:v>Valid</x:v>
      </x:c>
      <x:c r="AK279" s="12" t="str">
        <x:v>Pass</x:v>
      </x:c>
      <x:c r="AL279" s="12" t="str">
        <x:v>Cancelled order – excluded from completed sales</x:v>
      </x:c>
      <x:c r="AM279" s="12" t="str">
        <x:v>Valid</x:v>
      </x:c>
      <x:c r="AN279" s="12" t="str">
        <x:v>Exclude from completed sales</x:v>
      </x:c>
      <x:c r="AO279" s="12" t="str">
        <x:v>Not a refunded record</x:v>
      </x:c>
      <x:c r="AP279" s="37" t="n">
        <x:f>IF(LEFT($AM279,7)="Invalid","",IF($AM279="Missing discount imputed as 0",IF(AND(COUNT($O279,$P279,$R279,$S279)=4,$O279&gt;0,$P279&gt;=0,$R279&gt;=0,$S279&gt;=0),0,""),IF(AND(ISNUMBER($Q279),$Q279&gt;=0,$Q279&lt;=0.5),$Q279,"")))</x:f>
        <x:v>0.15</x:v>
      </x:c>
      <x:c r="AQ279" s="152" t="n">
        <x:f>IF(OR($W279="",NOT(ISNUMBER($R279))),"",ROUND($R279-$W279,2))</x:f>
        <x:v>194.72</x:v>
      </x:c>
      <x:c r="AR279" s="152" t="n">
        <x:f>IF(OR($X279="",NOT(ISNUMBER($T279))),"",ROUND($T279-$X279,2))</x:f>
        <x:v>0</x:v>
      </x:c>
      <x:c r="AS279" s="14" t="str">
        <x:v>Sales calculation mismatch; Profit calculation mismatch</x:v>
      </x:c>
    </x:row>
    <x:row r="280">
      <x:c r="A280" s="80" t="n">
        <x:v>280</x:v>
      </x:c>
      <x:c r="B280" s="80" t="str">
        <x:v>ORD-2025-10279</x:v>
      </x:c>
      <x:c r="C280" s="81" t="n">
        <x:v>45723</x:v>
      </x:c>
      <x:c r="D280" s="81" t="n">
        <x:v>45730</x:v>
      </x:c>
      <x:c r="E280" s="80" t="str">
        <x:v>CUST-8242</x:v>
      </x:c>
      <x:c r="F280" s="80" t="str">
        <x:v>Priya Menon</x:v>
      </x:c>
      <x:c r="G280" s="80" t="str">
        <x:v>Small Business</x:v>
      </x:c>
      <x:c r="H280" s="80" t="str">
        <x:v>North</x:v>
      </x:c>
      <x:c r="I280" s="80" t="str">
        <x:v>Delhi</x:v>
      </x:c>
      <x:c r="J280" s="80" t="str">
        <x:v>New Delhi</x:v>
      </x:c>
      <x:c r="K280" s="80" t="str">
        <x:v>Technology</x:v>
      </x:c>
      <x:c r="L280" s="80" t="str">
        <x:v>Accessories</x:v>
      </x:c>
      <x:c r="M280" s="80" t="str">
        <x:v>Pro Accessories 207</x:v>
      </x:c>
      <x:c r="N280" s="80" t="str">
        <x:v>Same Day</x:v>
      </x:c>
      <x:c r="O280" s="82" t="n">
        <x:v>1</x:v>
      </x:c>
      <x:c r="P280" s="83" t="n">
        <x:v>3979.64</x:v>
      </x:c>
      <x:c r="Q280" s="84" t="n">
        <x:v>0.05</x:v>
      </x:c>
      <x:c r="R280" s="83" t="n">
        <x:v>3780.66</x:v>
      </x:c>
      <x:c r="S280" s="83" t="n">
        <x:v>2148.31</x:v>
      </x:c>
      <x:c r="T280" s="83" t="n">
        <x:v>1632.35</x:v>
      </x:c>
      <x:c r="U280" s="83" t="str">
        <x:v>Paid</x:v>
      </x:c>
      <x:c r="V280" s="83" t="str">
        <x:v>Returned</x:v>
      </x:c>
      <x:c r="W280" s="151" t="n">
        <x:f>IF(OR(NOT(ISNUMBER($AP280)),COUNT($O280,$P280)&lt;2,$O280&lt;=0,$P280&lt;0),"",ROUND($O280*$P280*(1-$AP280),2))</x:f>
        <x:v>3780.66</x:v>
      </x:c>
      <x:c r="X280" s="151" t="n">
        <x:f>IF(OR(NOT(ISNUMBER($W280)),NOT(ISNUMBER($S280))),"",ROUND($W280-$S280,2))</x:f>
        <x:v>1632.35</x:v>
      </x:c>
      <x:c r="Y280" s="85" t="n">
        <x:f>IF(OR(NOT(ISNUMBER($W280)),NOT(ISNUMBER($X280)),$W280=0),"",ROUND($X280/$W280,4))</x:f>
        <x:v>0.4318</x:v>
      </x:c>
      <x:c r="Z280" s="82" t="n">
        <x:f>IF(OR($AH280&lt;&gt;"Valid",$AI280&lt;&gt;"Valid"),"",INT($D280-$C280))</x:f>
        <x:v>7</x:v>
      </x:c>
      <x:c r="AA280" s="86" t="str">
        <x:f>IF($AH280&lt;&gt;"Valid","",TEXT($C280,"mmmm"))</x:f>
        <x:v>March</x:v>
      </x:c>
      <x:c r="AB280" s="82" t="n">
        <x:f>IF($AH280&lt;&gt;"Valid","",YEAR($C280))</x:f>
        <x:v>2025</x:v>
      </x:c>
      <x:c r="AC280" s="80" t="str">
        <x:v>Consistent</x:v>
      </x:c>
      <x:c r="AD280" s="80" t="str">
        <x:v>Excluded</x:v>
      </x:c>
      <x:c r="AE280" s="80" t="str">
        <x:f>IF(OR($AH280&lt;&gt;"Valid",$AI280&lt;&gt;"Valid",$AJ280&lt;&gt;"Valid",LEFT($AM280,7)="Invalid",IFERROR(ABS($AQ280)&gt;0.01,FALSE),IFERROR(ABS($AR280)&gt;0.01,FALSE),COUNTIF($AS280,"*Conflicting duplicate*")&gt;0,COUNTIF($AS280,"*Completed order not paid*")&gt;0),"Invalid",IF(OR($H280="Unknown",$N280="Unknown",$AM280="Missing discount imputed as 0"),"Warning","Clean"))</x:f>
        <x:v>Clean</x:v>
      </x:c>
      <x:c r="AF280" s="80" t="str">
        <x:v>Cleaned</x:v>
      </x:c>
      <x:c r="AG280" s="80" t="str">
        <x:v>customer_name: TRIM/SUBSTITUTE whitespace cleanup</x:v>
      </x:c>
      <x:c r="AH280" s="12" t="str">
        <x:f>IF(C280="","Missing date",IF(ISNUMBER(C280),"Valid","Unrecognized/invalid date"))</x:f>
        <x:v>Valid</x:v>
      </x:c>
      <x:c r="AI280" s="12" t="str">
        <x:f>IF(D280="","Missing date",IF(ISNUMBER(D280),"Valid","Unrecognized/invalid date"))</x:f>
        <x:v>Valid</x:v>
      </x:c>
      <x:c r="AJ280" s="12" t="str">
        <x:v>Valid</x:v>
      </x:c>
      <x:c r="AK280" s="12" t="str">
        <x:v>Pass</x:v>
      </x:c>
      <x:c r="AL280" s="12" t="str">
        <x:v>None</x:v>
      </x:c>
      <x:c r="AM280" s="12" t="str">
        <x:v>Valid</x:v>
      </x:c>
      <x:c r="AN280" s="12" t="str">
        <x:v>Exclude from completed sales</x:v>
      </x:c>
      <x:c r="AO280" s="12" t="str">
        <x:v>Not a refunded record</x:v>
      </x:c>
      <x:c r="AP280" s="37" t="n">
        <x:f>IF(LEFT($AM280,7)="Invalid","",IF($AM280="Missing discount imputed as 0",IF(AND(COUNT($O280,$P280,$R280,$S280)=4,$O280&gt;0,$P280&gt;=0,$R280&gt;=0,$S280&gt;=0),0,""),IF(AND(ISNUMBER($Q280),$Q280&gt;=0,$Q280&lt;=0.5),$Q280,"")))</x:f>
        <x:v>0.05</x:v>
      </x:c>
      <x:c r="AQ280" s="152" t="n">
        <x:f>IF(OR($W280="",NOT(ISNUMBER($R280))),"",ROUND($R280-$W280,2))</x:f>
        <x:v>0</x:v>
      </x:c>
      <x:c r="AR280" s="152" t="n">
        <x:f>IF(OR($X280="",NOT(ISNUMBER($T280))),"",ROUND($T280-$X280,2))</x:f>
        <x:v>0</x:v>
      </x:c>
      <x:c r="AS280" s="14" t="str">
        <x:v>OK</x:v>
      </x:c>
    </x:row>
    <x:row r="281">
      <x:c r="A281" s="80" t="n">
        <x:v>281</x:v>
      </x:c>
      <x:c r="B281" s="80" t="str">
        <x:v>ORD-2024-10280</x:v>
      </x:c>
      <x:c r="C281" s="81" t="n">
        <x:v>45391</x:v>
      </x:c>
      <x:c r="D281" s="81" t="n">
        <x:v>45392</x:v>
      </x:c>
      <x:c r="E281" s="80" t="str">
        <x:v>CUST-4571</x:v>
      </x:c>
      <x:c r="F281" s="80" t="str">
        <x:v>Rohan Mehta</x:v>
      </x:c>
      <x:c r="G281" s="80" t="str">
        <x:v>Small Business</x:v>
      </x:c>
      <x:c r="H281" s="80" t="str">
        <x:v>West</x:v>
      </x:c>
      <x:c r="I281" s="80" t="str">
        <x:v>Maharashtra</x:v>
      </x:c>
      <x:c r="J281" s="80" t="str">
        <x:v>Mumbai</x:v>
      </x:c>
      <x:c r="K281" s="80" t="str">
        <x:v>Office Supplies</x:v>
      </x:c>
      <x:c r="L281" s="80" t="str">
        <x:v>Storage</x:v>
      </x:c>
      <x:c r="M281" s="80" t="str">
        <x:v>Max Storage 564</x:v>
      </x:c>
      <x:c r="N281" s="80" t="str">
        <x:v>First Class</x:v>
      </x:c>
      <x:c r="O281" s="82" t="n">
        <x:v>1</x:v>
      </x:c>
      <x:c r="P281" s="83" t="n">
        <x:v>4359.12</x:v>
      </x:c>
      <x:c r="Q281" s="84" t="n">
        <x:v>0.05</x:v>
      </x:c>
      <x:c r="R281" s="83" t="n">
        <x:v>4141.16</x:v>
      </x:c>
      <x:c r="S281" s="83" t="n">
        <x:v>2754.17</x:v>
      </x:c>
      <x:c r="T281" s="83" t="n">
        <x:v>1386.99</x:v>
      </x:c>
      <x:c r="U281" s="83" t="str">
        <x:v>Paid</x:v>
      </x:c>
      <x:c r="V281" s="83" t="str">
        <x:v>Completed</x:v>
      </x:c>
      <x:c r="W281" s="151" t="n">
        <x:f>IF(OR(NOT(ISNUMBER($AP281)),COUNT($O281,$P281)&lt;2,$O281&lt;=0,$P281&lt;0),"",ROUND($O281*$P281*(1-$AP281),2))</x:f>
        <x:v>4141.16</x:v>
      </x:c>
      <x:c r="X281" s="151" t="n">
        <x:f>IF(OR(NOT(ISNUMBER($W281)),NOT(ISNUMBER($S281))),"",ROUND($W281-$S281,2))</x:f>
        <x:v>1386.99</x:v>
      </x:c>
      <x:c r="Y281" s="85" t="n">
        <x:f>IF(OR(NOT(ISNUMBER($W281)),NOT(ISNUMBER($X281)),$W281=0),"",ROUND($X281/$W281,4))</x:f>
        <x:v>0.3349</x:v>
      </x:c>
      <x:c r="Z281" s="82" t="n">
        <x:f>IF(OR($AH281&lt;&gt;"Valid",$AI281&lt;&gt;"Valid"),"",INT($D281-$C281))</x:f>
        <x:v>1</x:v>
      </x:c>
      <x:c r="AA281" s="86" t="str">
        <x:f>IF($AH281&lt;&gt;"Valid","",TEXT($C281,"mmmm"))</x:f>
        <x:v>April</x:v>
      </x:c>
      <x:c r="AB281" s="82" t="n">
        <x:f>IF($AH281&lt;&gt;"Valid","",YEAR($C281))</x:f>
        <x:v>2024</x:v>
      </x:c>
      <x:c r="AC281" s="80" t="str">
        <x:v>Consistent</x:v>
      </x:c>
      <x:c r="AD281" s="80" t="str">
        <x:v>Eligible</x:v>
      </x:c>
      <x:c r="AE281" s="80" t="str">
        <x:f>IF(OR($AH281&lt;&gt;"Valid",$AI281&lt;&gt;"Valid",$AJ281&lt;&gt;"Valid",LEFT($AM281,7)="Invalid",IFERROR(ABS($AQ281)&gt;0.01,FALSE),IFERROR(ABS($AR281)&gt;0.01,FALSE),COUNTIF($AS281,"*Conflicting duplicate*")&gt;0,COUNTIF($AS281,"*Completed order not paid*")&gt;0),"Invalid",IF(OR($H281="Unknown",$N281="Unknown",$AM281="Missing discount imputed as 0"),"Warning","Clean"))</x:f>
        <x:v>Clean</x:v>
      </x:c>
      <x:c r="AF281" s="80" t="str">
        <x:v>Pass</x:v>
      </x:c>
      <x:c r="AG281" s="80" t="str">
        <x:v>No text cleanup required</x:v>
      </x:c>
      <x:c r="AH281" s="12" t="str">
        <x:f>IF(C281="","Missing date",IF(ISNUMBER(C281),"Valid","Unrecognized/invalid date"))</x:f>
        <x:v>Valid</x:v>
      </x:c>
      <x:c r="AI281" s="12" t="str">
        <x:f>IF(D281="","Missing date",IF(ISNUMBER(D281),"Valid","Unrecognized/invalid date"))</x:f>
        <x:v>Valid</x:v>
      </x:c>
      <x:c r="AJ281" s="12" t="str">
        <x:v>Valid</x:v>
      </x:c>
      <x:c r="AK281" s="12" t="str">
        <x:v>Pass</x:v>
      </x:c>
      <x:c r="AL281" s="12" t="str">
        <x:v>None</x:v>
      </x:c>
      <x:c r="AM281" s="12" t="str">
        <x:v>Valid</x:v>
      </x:c>
      <x:c r="AN281" s="12" t="str">
        <x:v>Include in completed sales</x:v>
      </x:c>
      <x:c r="AO281" s="12" t="str">
        <x:v>Not a refunded record</x:v>
      </x:c>
      <x:c r="AP281" s="37" t="n">
        <x:f>IF(LEFT($AM281,7)="Invalid","",IF($AM281="Missing discount imputed as 0",IF(AND(COUNT($O281,$P281,$R281,$S281)=4,$O281&gt;0,$P281&gt;=0,$R281&gt;=0,$S281&gt;=0),0,""),IF(AND(ISNUMBER($Q281),$Q281&gt;=0,$Q281&lt;=0.5),$Q281,"")))</x:f>
        <x:v>0.05</x:v>
      </x:c>
      <x:c r="AQ281" s="152" t="n">
        <x:f>IF(OR($W281="",NOT(ISNUMBER($R281))),"",ROUND($R281-$W281,2))</x:f>
        <x:v>0</x:v>
      </x:c>
      <x:c r="AR281" s="152" t="n">
        <x:f>IF(OR($X281="",NOT(ISNUMBER($T281))),"",ROUND($T281-$X281,2))</x:f>
        <x:v>0</x:v>
      </x:c>
      <x:c r="AS281" s="14" t="str">
        <x:v>OK</x:v>
      </x:c>
    </x:row>
    <x:row r="282">
      <x:c r="A282" s="80" t="n">
        <x:v>282</x:v>
      </x:c>
      <x:c r="B282" s="80" t="str">
        <x:v>ORD-2024-10281</x:v>
      </x:c>
      <x:c r="C282" s="81" t="n">
        <x:v>45649</x:v>
      </x:c>
      <x:c r="D282" s="81" t="n">
        <x:v>45652</x:v>
      </x:c>
      <x:c r="E282" s="80" t="str">
        <x:v>CUST-4098</x:v>
      </x:c>
      <x:c r="F282" s="80" t="str">
        <x:v>Aditi Sen</x:v>
      </x:c>
      <x:c r="G282" s="80" t="str">
        <x:v>Consumer</x:v>
      </x:c>
      <x:c r="H282" s="80" t="str">
        <x:v>South</x:v>
      </x:c>
      <x:c r="I282" s="80" t="str">
        <x:v>Karnataka</x:v>
      </x:c>
      <x:c r="J282" s="80" t="str">
        <x:v>Bengaluru</x:v>
      </x:c>
      <x:c r="K282" s="80" t="str">
        <x:v>Technology</x:v>
      </x:c>
      <x:c r="L282" s="80" t="str">
        <x:v>Copiers</x:v>
      </x:c>
      <x:c r="M282" s="80" t="str">
        <x:v>Prime Copiers 961</x:v>
      </x:c>
      <x:c r="N282" s="80" t="str">
        <x:v>Standard Class</x:v>
      </x:c>
      <x:c r="O282" s="82" t="n">
        <x:v>9</x:v>
      </x:c>
      <x:c r="P282" s="83" t="n">
        <x:v>993.67</x:v>
      </x:c>
      <x:c r="Q282" s="84" t="n">
        <x:v>0</x:v>
      </x:c>
      <x:c r="R282" s="83" t="n">
        <x:v>8943.03</x:v>
      </x:c>
      <x:c r="S282" s="83" t="n">
        <x:v>5165.38</x:v>
      </x:c>
      <x:c r="T282" s="83" t="n">
        <x:v>3777.65</x:v>
      </x:c>
      <x:c r="U282" s="83" t="str">
        <x:v>Paid</x:v>
      </x:c>
      <x:c r="V282" s="83" t="str">
        <x:v>Completed</x:v>
      </x:c>
      <x:c r="W282" s="151" t="n">
        <x:f>IF(OR(NOT(ISNUMBER($AP282)),COUNT($O282,$P282)&lt;2,$O282&lt;=0,$P282&lt;0),"",ROUND($O282*$P282*(1-$AP282),2))</x:f>
        <x:v>8943.03</x:v>
      </x:c>
      <x:c r="X282" s="151" t="n">
        <x:f>IF(OR(NOT(ISNUMBER($W282)),NOT(ISNUMBER($S282))),"",ROUND($W282-$S282,2))</x:f>
        <x:v>3777.65</x:v>
      </x:c>
      <x:c r="Y282" s="85" t="n">
        <x:f>IF(OR(NOT(ISNUMBER($W282)),NOT(ISNUMBER($X282)),$W282=0),"",ROUND($X282/$W282,4))</x:f>
        <x:v>0.4224</x:v>
      </x:c>
      <x:c r="Z282" s="82" t="n">
        <x:f>IF(OR($AH282&lt;&gt;"Valid",$AI282&lt;&gt;"Valid"),"",INT($D282-$C282))</x:f>
        <x:v>3</x:v>
      </x:c>
      <x:c r="AA282" s="86" t="str">
        <x:f>IF($AH282&lt;&gt;"Valid","",TEXT($C282,"mmmm"))</x:f>
        <x:v>December</x:v>
      </x:c>
      <x:c r="AB282" s="82" t="n">
        <x:f>IF($AH282&lt;&gt;"Valid","",YEAR($C282))</x:f>
        <x:v>2024</x:v>
      </x:c>
      <x:c r="AC282" s="80" t="str">
        <x:v>Consistent</x:v>
      </x:c>
      <x:c r="AD282" s="80" t="str">
        <x:v>Eligible</x:v>
      </x:c>
      <x:c r="AE282" s="80" t="str">
        <x:f>IF(OR($AH282&lt;&gt;"Valid",$AI282&lt;&gt;"Valid",$AJ282&lt;&gt;"Valid",LEFT($AM282,7)="Invalid",IFERROR(ABS($AQ282)&gt;0.01,FALSE),IFERROR(ABS($AR282)&gt;0.01,FALSE),COUNTIF($AS282,"*Conflicting duplicate*")&gt;0,COUNTIF($AS282,"*Completed order not paid*")&gt;0),"Invalid",IF(OR($H282="Unknown",$N282="Unknown",$AM282="Missing discount imputed as 0"),"Warning","Clean"))</x:f>
        <x:v>Clean</x:v>
      </x:c>
      <x:c r="AF282" s="80" t="str">
        <x:v>Pass</x:v>
      </x:c>
      <x:c r="AG282" s="80" t="str">
        <x:v>No text cleanup required</x:v>
      </x:c>
      <x:c r="AH282" s="12" t="str">
        <x:f>IF(C282="","Missing date",IF(ISNUMBER(C282),"Valid","Unrecognized/invalid date"))</x:f>
        <x:v>Valid</x:v>
      </x:c>
      <x:c r="AI282" s="12" t="str">
        <x:f>IF(D282="","Missing date",IF(ISNUMBER(D282),"Valid","Unrecognized/invalid date"))</x:f>
        <x:v>Valid</x:v>
      </x:c>
      <x:c r="AJ282" s="12" t="str">
        <x:v>Valid</x:v>
      </x:c>
      <x:c r="AK282" s="12" t="str">
        <x:v>Pass</x:v>
      </x:c>
      <x:c r="AL282" s="12" t="str">
        <x:v>None</x:v>
      </x:c>
      <x:c r="AM282" s="12" t="str">
        <x:v>Valid</x:v>
      </x:c>
      <x:c r="AN282" s="12" t="str">
        <x:v>Include in completed sales</x:v>
      </x:c>
      <x:c r="AO282" s="12" t="str">
        <x:v>Not a refunded record</x:v>
      </x:c>
      <x:c r="AP282" s="37" t="n">
        <x:f>IF(LEFT($AM282,7)="Invalid","",IF($AM282="Missing discount imputed as 0",IF(AND(COUNT($O282,$P282,$R282,$S282)=4,$O282&gt;0,$P282&gt;=0,$R282&gt;=0,$S282&gt;=0),0,""),IF(AND(ISNUMBER($Q282),$Q282&gt;=0,$Q282&lt;=0.5),$Q282,"")))</x:f>
        <x:v>0</x:v>
      </x:c>
      <x:c r="AQ282" s="152" t="n">
        <x:f>IF(OR($W282="",NOT(ISNUMBER($R282))),"",ROUND($R282-$W282,2))</x:f>
        <x:v>0</x:v>
      </x:c>
      <x:c r="AR282" s="152" t="n">
        <x:f>IF(OR($X282="",NOT(ISNUMBER($T282))),"",ROUND($T282-$X282,2))</x:f>
        <x:v>0</x:v>
      </x:c>
      <x:c r="AS282" s="14" t="str">
        <x:v>OK</x:v>
      </x:c>
    </x:row>
    <x:row r="283">
      <x:c r="A283" s="80" t="n">
        <x:v>283</x:v>
      </x:c>
      <x:c r="B283" s="80" t="str">
        <x:v>ORD-2025-10282</x:v>
      </x:c>
      <x:c r="C283" s="81" t="n">
        <x:v>45863</x:v>
      </x:c>
      <x:c r="D283" s="81" t="n">
        <x:v>45865</x:v>
      </x:c>
      <x:c r="E283" s="80" t="str">
        <x:v>CUST-2052</x:v>
      </x:c>
      <x:c r="F283" s="80" t="str">
        <x:v>Kabir Singh</x:v>
      </x:c>
      <x:c r="G283" s="80" t="str">
        <x:v>Consumer</x:v>
      </x:c>
      <x:c r="H283" s="80" t="str">
        <x:v>East</x:v>
      </x:c>
      <x:c r="I283" s="80" t="str">
        <x:v>Jharkhand</x:v>
      </x:c>
      <x:c r="J283" s="80" t="str">
        <x:v>Ranchi</x:v>
      </x:c>
      <x:c r="K283" s="80" t="str">
        <x:v>Office Supplies</x:v>
      </x:c>
      <x:c r="L283" s="80" t="str">
        <x:v>Binders</x:v>
      </x:c>
      <x:c r="M283" s="80" t="str">
        <x:v>Basic Binders 637</x:v>
      </x:c>
      <x:c r="N283" s="80" t="str">
        <x:v>Second Class</x:v>
      </x:c>
      <x:c r="O283" s="82" t="n">
        <x:v>6</x:v>
      </x:c>
      <x:c r="P283" s="83" t="n">
        <x:v>3438.38</x:v>
      </x:c>
      <x:c r="Q283" s="84" t="n">
        <x:v>0.2</x:v>
      </x:c>
      <x:c r="R283" s="83" t="n">
        <x:v>16504.22</x:v>
      </x:c>
      <x:c r="S283" s="83" t="n">
        <x:v>11262.71</x:v>
      </x:c>
      <x:c r="T283" s="83" t="n">
        <x:v>5241.51</x:v>
      </x:c>
      <x:c r="U283" s="83" t="str">
        <x:v>Paid</x:v>
      </x:c>
      <x:c r="V283" s="83" t="str">
        <x:v>Completed</x:v>
      </x:c>
      <x:c r="W283" s="151" t="n">
        <x:f>IF(OR(NOT(ISNUMBER($AP283)),COUNT($O283,$P283)&lt;2,$O283&lt;=0,$P283&lt;0),"",ROUND($O283*$P283*(1-$AP283),2))</x:f>
        <x:v>16504.22</x:v>
      </x:c>
      <x:c r="X283" s="151" t="n">
        <x:f>IF(OR(NOT(ISNUMBER($W283)),NOT(ISNUMBER($S283))),"",ROUND($W283-$S283,2))</x:f>
        <x:v>5241.51</x:v>
      </x:c>
      <x:c r="Y283" s="85" t="n">
        <x:f>IF(OR(NOT(ISNUMBER($W283)),NOT(ISNUMBER($X283)),$W283=0),"",ROUND($X283/$W283,4))</x:f>
        <x:v>0.3176</x:v>
      </x:c>
      <x:c r="Z283" s="82" t="n">
        <x:f>IF(OR($AH283&lt;&gt;"Valid",$AI283&lt;&gt;"Valid"),"",INT($D283-$C283))</x:f>
        <x:v>2</x:v>
      </x:c>
      <x:c r="AA283" s="86" t="str">
        <x:f>IF($AH283&lt;&gt;"Valid","",TEXT($C283,"mmmm"))</x:f>
        <x:v>July</x:v>
      </x:c>
      <x:c r="AB283" s="82" t="n">
        <x:f>IF($AH283&lt;&gt;"Valid","",YEAR($C283))</x:f>
        <x:v>2025</x:v>
      </x:c>
      <x:c r="AC283" s="80" t="str">
        <x:v>Consistent</x:v>
      </x:c>
      <x:c r="AD283" s="80" t="str">
        <x:v>Eligible</x:v>
      </x:c>
      <x:c r="AE283" s="80" t="str">
        <x:f>IF(OR($AH283&lt;&gt;"Valid",$AI283&lt;&gt;"Valid",$AJ283&lt;&gt;"Valid",LEFT($AM283,7)="Invalid",IFERROR(ABS($AQ283)&gt;0.01,FALSE),IFERROR(ABS($AR283)&gt;0.01,FALSE),COUNTIF($AS283,"*Conflicting duplicate*")&gt;0,COUNTIF($AS283,"*Completed order not paid*")&gt;0),"Invalid",IF(OR($H283="Unknown",$N283="Unknown",$AM283="Missing discount imputed as 0"),"Warning","Clean"))</x:f>
        <x:v>Clean</x:v>
      </x:c>
      <x:c r="AF283" s="80" t="str">
        <x:v>Pass</x:v>
      </x:c>
      <x:c r="AG283" s="80" t="str">
        <x:v>No text cleanup required</x:v>
      </x:c>
      <x:c r="AH283" s="12" t="str">
        <x:f>IF(C283="","Missing date",IF(ISNUMBER(C283),"Valid","Unrecognized/invalid date"))</x:f>
        <x:v>Valid</x:v>
      </x:c>
      <x:c r="AI283" s="12" t="str">
        <x:f>IF(D283="","Missing date",IF(ISNUMBER(D283),"Valid","Unrecognized/invalid date"))</x:f>
        <x:v>Valid</x:v>
      </x:c>
      <x:c r="AJ283" s="12" t="str">
        <x:v>Valid</x:v>
      </x:c>
      <x:c r="AK283" s="12" t="str">
        <x:v>Pass</x:v>
      </x:c>
      <x:c r="AL283" s="12" t="str">
        <x:v>None</x:v>
      </x:c>
      <x:c r="AM283" s="12" t="str">
        <x:v>Valid</x:v>
      </x:c>
      <x:c r="AN283" s="12" t="str">
        <x:v>Include in completed sales</x:v>
      </x:c>
      <x:c r="AO283" s="12" t="str">
        <x:v>Not a refunded record</x:v>
      </x:c>
      <x:c r="AP283" s="37" t="n">
        <x:f>IF(LEFT($AM283,7)="Invalid","",IF($AM283="Missing discount imputed as 0",IF(AND(COUNT($O283,$P283,$R283,$S283)=4,$O283&gt;0,$P283&gt;=0,$R283&gt;=0,$S283&gt;=0),0,""),IF(AND(ISNUMBER($Q283),$Q283&gt;=0,$Q283&lt;=0.5),$Q283,"")))</x:f>
        <x:v>0.2</x:v>
      </x:c>
      <x:c r="AQ283" s="152" t="n">
        <x:f>IF(OR($W283="",NOT(ISNUMBER($R283))),"",ROUND($R283-$W283,2))</x:f>
        <x:v>0</x:v>
      </x:c>
      <x:c r="AR283" s="152" t="n">
        <x:f>IF(OR($X283="",NOT(ISNUMBER($T283))),"",ROUND($T283-$X283,2))</x:f>
        <x:v>0</x:v>
      </x:c>
      <x:c r="AS283" s="14" t="str">
        <x:v>OK</x:v>
      </x:c>
    </x:row>
    <x:row r="284">
      <x:c r="A284" s="80" t="n">
        <x:v>284</x:v>
      </x:c>
      <x:c r="B284" s="80" t="str">
        <x:v>ORD-2024-10283</x:v>
      </x:c>
      <x:c r="C284" s="81" t="n">
        <x:v>45566</x:v>
      </x:c>
      <x:c r="D284" s="81" t="n">
        <x:v>45567</x:v>
      </x:c>
      <x:c r="E284" s="80" t="str">
        <x:v>CUST-9445</x:v>
      </x:c>
      <x:c r="F284" s="80" t="str">
        <x:v>Karan Malhotra</x:v>
      </x:c>
      <x:c r="G284" s="80" t="str">
        <x:v>Home Office</x:v>
      </x:c>
      <x:c r="H284" s="80" t="str">
        <x:v>East</x:v>
      </x:c>
      <x:c r="I284" s="80" t="str">
        <x:v>Assam</x:v>
      </x:c>
      <x:c r="J284" s="80" t="str">
        <x:v>Guwahati</x:v>
      </x:c>
      <x:c r="K284" s="80" t="str">
        <x:v>Furniture</x:v>
      </x:c>
      <x:c r="L284" s="80" t="str">
        <x:v>Tables</x:v>
      </x:c>
      <x:c r="M284" s="80" t="str">
        <x:v>Classic Tables 811</x:v>
      </x:c>
      <x:c r="N284" s="80" t="str">
        <x:v>Second Class</x:v>
      </x:c>
      <x:c r="O284" s="82" t="n">
        <x:v>2</x:v>
      </x:c>
      <x:c r="P284" s="83" t="n">
        <x:v>2298</x:v>
      </x:c>
      <x:c r="Q284" s="84" t="n">
        <x:v>0</x:v>
      </x:c>
      <x:c r="R284" s="83" t="n">
        <x:v>4596</x:v>
      </x:c>
      <x:c r="S284" s="83" t="n">
        <x:v>3220.33</x:v>
      </x:c>
      <x:c r="T284" s="83" t="n">
        <x:v>1375.67</x:v>
      </x:c>
      <x:c r="U284" s="83" t="str">
        <x:v>Paid</x:v>
      </x:c>
      <x:c r="V284" s="83" t="str">
        <x:v>Completed</x:v>
      </x:c>
      <x:c r="W284" s="151" t="n">
        <x:f>IF(OR(NOT(ISNUMBER($AP284)),COUNT($O284,$P284)&lt;2,$O284&lt;=0,$P284&lt;0),"",ROUND($O284*$P284*(1-$AP284),2))</x:f>
        <x:v>4596</x:v>
      </x:c>
      <x:c r="X284" s="151" t="n">
        <x:f>IF(OR(NOT(ISNUMBER($W284)),NOT(ISNUMBER($S284))),"",ROUND($W284-$S284,2))</x:f>
        <x:v>1375.67</x:v>
      </x:c>
      <x:c r="Y284" s="85" t="n">
        <x:f>IF(OR(NOT(ISNUMBER($W284)),NOT(ISNUMBER($X284)),$W284=0),"",ROUND($X284/$W284,4))</x:f>
        <x:v>0.2993</x:v>
      </x:c>
      <x:c r="Z284" s="82" t="n">
        <x:f>IF(OR($AH284&lt;&gt;"Valid",$AI284&lt;&gt;"Valid"),"",INT($D284-$C284))</x:f>
        <x:v>1</x:v>
      </x:c>
      <x:c r="AA284" s="86" t="str">
        <x:f>IF($AH284&lt;&gt;"Valid","",TEXT($C284,"mmmm"))</x:f>
        <x:v>October</x:v>
      </x:c>
      <x:c r="AB284" s="82" t="n">
        <x:f>IF($AH284&lt;&gt;"Valid","",YEAR($C284))</x:f>
        <x:v>2024</x:v>
      </x:c>
      <x:c r="AC284" s="80" t="str">
        <x:v>Consistent</x:v>
      </x:c>
      <x:c r="AD284" s="80" t="str">
        <x:v>Eligible</x:v>
      </x:c>
      <x:c r="AE284" s="80" t="str">
        <x:f>IF(OR($AH284&lt;&gt;"Valid",$AI284&lt;&gt;"Valid",$AJ284&lt;&gt;"Valid",LEFT($AM284,7)="Invalid",IFERROR(ABS($AQ284)&gt;0.01,FALSE),IFERROR(ABS($AR284)&gt;0.01,FALSE),COUNTIF($AS284,"*Conflicting duplicate*")&gt;0,COUNTIF($AS284,"*Completed order not paid*")&gt;0),"Invalid",IF(OR($H284="Unknown",$N284="Unknown",$AM284="Missing discount imputed as 0"),"Warning","Clean"))</x:f>
        <x:v>Clean</x:v>
      </x:c>
      <x:c r="AF284" s="80" t="str">
        <x:v>Pass</x:v>
      </x:c>
      <x:c r="AG284" s="80" t="str">
        <x:v>No text cleanup required</x:v>
      </x:c>
      <x:c r="AH284" s="12" t="str">
        <x:f>IF(C284="","Missing date",IF(ISNUMBER(C284),"Valid","Unrecognized/invalid date"))</x:f>
        <x:v>Valid</x:v>
      </x:c>
      <x:c r="AI284" s="12" t="str">
        <x:f>IF(D284="","Missing date",IF(ISNUMBER(D284),"Valid","Unrecognized/invalid date"))</x:f>
        <x:v>Valid</x:v>
      </x:c>
      <x:c r="AJ284" s="12" t="str">
        <x:v>Valid</x:v>
      </x:c>
      <x:c r="AK284" s="12" t="str">
        <x:v>Pass</x:v>
      </x:c>
      <x:c r="AL284" s="12" t="str">
        <x:v>None</x:v>
      </x:c>
      <x:c r="AM284" s="12" t="str">
        <x:v>Valid</x:v>
      </x:c>
      <x:c r="AN284" s="12" t="str">
        <x:v>Include in completed sales</x:v>
      </x:c>
      <x:c r="AO284" s="12" t="str">
        <x:v>Not a refunded record</x:v>
      </x:c>
      <x:c r="AP284" s="37" t="n">
        <x:f>IF(LEFT($AM284,7)="Invalid","",IF($AM284="Missing discount imputed as 0",IF(AND(COUNT($O284,$P284,$R284,$S284)=4,$O284&gt;0,$P284&gt;=0,$R284&gt;=0,$S284&gt;=0),0,""),IF(AND(ISNUMBER($Q284),$Q284&gt;=0,$Q284&lt;=0.5),$Q284,"")))</x:f>
        <x:v>0</x:v>
      </x:c>
      <x:c r="AQ284" s="152" t="n">
        <x:f>IF(OR($W284="",NOT(ISNUMBER($R284))),"",ROUND($R284-$W284,2))</x:f>
        <x:v>0</x:v>
      </x:c>
      <x:c r="AR284" s="152" t="n">
        <x:f>IF(OR($X284="",NOT(ISNUMBER($T284))),"",ROUND($T284-$X284,2))</x:f>
        <x:v>0</x:v>
      </x:c>
      <x:c r="AS284" s="14" t="str">
        <x:v>OK</x:v>
      </x:c>
    </x:row>
    <x:row r="285">
      <x:c r="A285" s="80" t="n">
        <x:v>285</x:v>
      </x:c>
      <x:c r="B285" s="80" t="str">
        <x:v>ORD-2025-10284</x:v>
      </x:c>
      <x:c r="C285" s="81" t="n">
        <x:v>45729</x:v>
      </x:c>
      <x:c r="D285" s="81" t="n">
        <x:v>45736</x:v>
      </x:c>
      <x:c r="E285" s="80" t="str">
        <x:v>CUST-6568</x:v>
      </x:c>
      <x:c r="F285" s="80" t="str">
        <x:v>Vikram Iyer</x:v>
      </x:c>
      <x:c r="G285" s="80" t="str">
        <x:v>Consumer</x:v>
      </x:c>
      <x:c r="H285" s="80" t="str">
        <x:v>West</x:v>
      </x:c>
      <x:c r="I285" s="80" t="str">
        <x:v>Maharashtra</x:v>
      </x:c>
      <x:c r="J285" s="80" t="str">
        <x:v>Mumbai</x:v>
      </x:c>
      <x:c r="K285" s="80" t="str">
        <x:v>Furniture</x:v>
      </x:c>
      <x:c r="L285" s="80" t="str">
        <x:v>Furnishings</x:v>
      </x:c>
      <x:c r="M285" s="80" t="str">
        <x:v>Classic Furnishings 819</x:v>
      </x:c>
      <x:c r="N285" s="80" t="str">
        <x:v>First Class</x:v>
      </x:c>
      <x:c r="O285" s="82" t="n">
        <x:v>1</x:v>
      </x:c>
      <x:c r="P285" s="83" t="n">
        <x:v>1814.01</x:v>
      </x:c>
      <x:c r="Q285" s="84" t="n">
        <x:v>0</x:v>
      </x:c>
      <x:c r="R285" s="83" t="n">
        <x:v>1814.01</x:v>
      </x:c>
      <x:c r="S285" s="83" t="n">
        <x:v>1033.47</x:v>
      </x:c>
      <x:c r="T285" s="83" t="n">
        <x:v>780.54</x:v>
      </x:c>
      <x:c r="U285" s="83" t="str">
        <x:v>Paid</x:v>
      </x:c>
      <x:c r="V285" s="83" t="str">
        <x:v>Completed</x:v>
      </x:c>
      <x:c r="W285" s="151" t="n">
        <x:f>IF(OR(NOT(ISNUMBER($AP285)),COUNT($O285,$P285)&lt;2,$O285&lt;=0,$P285&lt;0),"",ROUND($O285*$P285*(1-$AP285),2))</x:f>
        <x:v>1814.01</x:v>
      </x:c>
      <x:c r="X285" s="151" t="n">
        <x:f>IF(OR(NOT(ISNUMBER($W285)),NOT(ISNUMBER($S285))),"",ROUND($W285-$S285,2))</x:f>
        <x:v>780.54</x:v>
      </x:c>
      <x:c r="Y285" s="85" t="n">
        <x:f>IF(OR(NOT(ISNUMBER($W285)),NOT(ISNUMBER($X285)),$W285=0),"",ROUND($X285/$W285,4))</x:f>
        <x:v>0.4303</x:v>
      </x:c>
      <x:c r="Z285" s="82" t="n">
        <x:f>IF(OR($AH285&lt;&gt;"Valid",$AI285&lt;&gt;"Valid"),"",INT($D285-$C285))</x:f>
        <x:v>7</x:v>
      </x:c>
      <x:c r="AA285" s="86" t="str">
        <x:f>IF($AH285&lt;&gt;"Valid","",TEXT($C285,"mmmm"))</x:f>
        <x:v>March</x:v>
      </x:c>
      <x:c r="AB285" s="82" t="n">
        <x:f>IF($AH285&lt;&gt;"Valid","",YEAR($C285))</x:f>
        <x:v>2025</x:v>
      </x:c>
      <x:c r="AC285" s="80" t="str">
        <x:v>Consistent</x:v>
      </x:c>
      <x:c r="AD285" s="80" t="str">
        <x:v>Eligible</x:v>
      </x:c>
      <x:c r="AE285" s="80" t="str">
        <x:f>IF(OR($AH285&lt;&gt;"Valid",$AI285&lt;&gt;"Valid",$AJ285&lt;&gt;"Valid",LEFT($AM285,7)="Invalid",IFERROR(ABS($AQ285)&gt;0.01,FALSE),IFERROR(ABS($AR285)&gt;0.01,FALSE),COUNTIF($AS285,"*Conflicting duplicate*")&gt;0,COUNTIF($AS285,"*Completed order not paid*")&gt;0),"Invalid",IF(OR($H285="Unknown",$N285="Unknown",$AM285="Missing discount imputed as 0"),"Warning","Clean"))</x:f>
        <x:v>Clean</x:v>
      </x:c>
      <x:c r="AF285" s="80" t="str">
        <x:v>Pass</x:v>
      </x:c>
      <x:c r="AG285" s="80" t="str">
        <x:v>No text cleanup required</x:v>
      </x:c>
      <x:c r="AH285" s="12" t="str">
        <x:f>IF(C285="","Missing date",IF(ISNUMBER(C285),"Valid","Unrecognized/invalid date"))</x:f>
        <x:v>Valid</x:v>
      </x:c>
      <x:c r="AI285" s="12" t="str">
        <x:f>IF(D285="","Missing date",IF(ISNUMBER(D285),"Valid","Unrecognized/invalid date"))</x:f>
        <x:v>Valid</x:v>
      </x:c>
      <x:c r="AJ285" s="12" t="str">
        <x:v>Valid</x:v>
      </x:c>
      <x:c r="AK285" s="12" t="str">
        <x:v>Pass</x:v>
      </x:c>
      <x:c r="AL285" s="12" t="str">
        <x:v>None</x:v>
      </x:c>
      <x:c r="AM285" s="12" t="str">
        <x:v>Valid</x:v>
      </x:c>
      <x:c r="AN285" s="12" t="str">
        <x:v>Include in completed sales</x:v>
      </x:c>
      <x:c r="AO285" s="12" t="str">
        <x:v>Not a refunded record</x:v>
      </x:c>
      <x:c r="AP285" s="37" t="n">
        <x:f>IF(LEFT($AM285,7)="Invalid","",IF($AM285="Missing discount imputed as 0",IF(AND(COUNT($O285,$P285,$R285,$S285)=4,$O285&gt;0,$P285&gt;=0,$R285&gt;=0,$S285&gt;=0),0,""),IF(AND(ISNUMBER($Q285),$Q285&gt;=0,$Q285&lt;=0.5),$Q285,"")))</x:f>
        <x:v>0</x:v>
      </x:c>
      <x:c r="AQ285" s="152" t="n">
        <x:f>IF(OR($W285="",NOT(ISNUMBER($R285))),"",ROUND($R285-$W285,2))</x:f>
        <x:v>0</x:v>
      </x:c>
      <x:c r="AR285" s="152" t="n">
        <x:f>IF(OR($X285="",NOT(ISNUMBER($T285))),"",ROUND($T285-$X285,2))</x:f>
        <x:v>0</x:v>
      </x:c>
      <x:c r="AS285" s="14" t="str">
        <x:v>OK</x:v>
      </x:c>
    </x:row>
    <x:row r="286">
      <x:c r="A286" s="80" t="n">
        <x:v>286</x:v>
      </x:c>
      <x:c r="B286" s="80" t="str">
        <x:v>ORD-2024-10285</x:v>
      </x:c>
      <x:c r="C286" s="81" t="n">
        <x:v>45634</x:v>
      </x:c>
      <x:c r="D286" s="81" t="n">
        <x:v>45640</x:v>
      </x:c>
      <x:c r="E286" s="80" t="str">
        <x:v>CUST-2076</x:v>
      </x:c>
      <x:c r="F286" s="80" t="str">
        <x:v>Karan Malhotra</x:v>
      </x:c>
      <x:c r="G286" s="80" t="str">
        <x:v>Consumer</x:v>
      </x:c>
      <x:c r="H286" s="80" t="str">
        <x:v>East</x:v>
      </x:c>
      <x:c r="I286" s="80" t="str">
        <x:v>Odisha</x:v>
      </x:c>
      <x:c r="J286" s="80" t="str">
        <x:v>Bhubaneswar</x:v>
      </x:c>
      <x:c r="K286" s="80" t="str">
        <x:v>Furniture</x:v>
      </x:c>
      <x:c r="L286" s="80" t="str">
        <x:v>Tables</x:v>
      </x:c>
      <x:c r="M286" s="80" t="str">
        <x:v>Prime Tables 542</x:v>
      </x:c>
      <x:c r="N286" s="80" t="str">
        <x:v>Same Day</x:v>
      </x:c>
      <x:c r="O286" s="82" t="n">
        <x:v>3</x:v>
      </x:c>
      <x:c r="P286" s="83" t="n">
        <x:v>1576.92</x:v>
      </x:c>
      <x:c r="Q286" s="84" t="n">
        <x:v>0</x:v>
      </x:c>
      <x:c r="R286" s="83" t="n">
        <x:v>4730.76</x:v>
      </x:c>
      <x:c r="S286" s="83" t="n">
        <x:v>3139.73</x:v>
      </x:c>
      <x:c r="T286" s="83" t="n">
        <x:v>1591.03</x:v>
      </x:c>
      <x:c r="U286" s="83" t="str">
        <x:v>Paid</x:v>
      </x:c>
      <x:c r="V286" s="83" t="str">
        <x:v>Returned</x:v>
      </x:c>
      <x:c r="W286" s="151" t="n">
        <x:f>IF(OR(NOT(ISNUMBER($AP286)),COUNT($O286,$P286)&lt;2,$O286&lt;=0,$P286&lt;0),"",ROUND($O286*$P286*(1-$AP286),2))</x:f>
        <x:v>4730.76</x:v>
      </x:c>
      <x:c r="X286" s="151" t="n">
        <x:f>IF(OR(NOT(ISNUMBER($W286)),NOT(ISNUMBER($S286))),"",ROUND($W286-$S286,2))</x:f>
        <x:v>1591.03</x:v>
      </x:c>
      <x:c r="Y286" s="85" t="n">
        <x:f>IF(OR(NOT(ISNUMBER($W286)),NOT(ISNUMBER($X286)),$W286=0),"",ROUND($X286/$W286,4))</x:f>
        <x:v>0.3363</x:v>
      </x:c>
      <x:c r="Z286" s="82" t="n">
        <x:f>IF(OR($AH286&lt;&gt;"Valid",$AI286&lt;&gt;"Valid"),"",INT($D286-$C286))</x:f>
        <x:v>6</x:v>
      </x:c>
      <x:c r="AA286" s="86" t="str">
        <x:f>IF($AH286&lt;&gt;"Valid","",TEXT($C286,"mmmm"))</x:f>
        <x:v>December</x:v>
      </x:c>
      <x:c r="AB286" s="82" t="n">
        <x:f>IF($AH286&lt;&gt;"Valid","",YEAR($C286))</x:f>
        <x:v>2024</x:v>
      </x:c>
      <x:c r="AC286" s="80" t="str">
        <x:v>Consistent</x:v>
      </x:c>
      <x:c r="AD286" s="80" t="str">
        <x:v>Excluded</x:v>
      </x:c>
      <x:c r="AE286" s="80" t="str">
        <x:f>IF(OR($AH286&lt;&gt;"Valid",$AI286&lt;&gt;"Valid",$AJ286&lt;&gt;"Valid",LEFT($AM286,7)="Invalid",IFERROR(ABS($AQ286)&gt;0.01,FALSE),IFERROR(ABS($AR286)&gt;0.01,FALSE),COUNTIF($AS286,"*Conflicting duplicate*")&gt;0,COUNTIF($AS286,"*Completed order not paid*")&gt;0),"Invalid",IF(OR($H286="Unknown",$N286="Unknown",$AM286="Missing discount imputed as 0"),"Warning","Clean"))</x:f>
        <x:v>Clean</x:v>
      </x:c>
      <x:c r="AF286" s="80" t="str">
        <x:v>Pass</x:v>
      </x:c>
      <x:c r="AG286" s="80" t="str">
        <x:v>No text cleanup required</x:v>
      </x:c>
      <x:c r="AH286" s="12" t="str">
        <x:f>IF(C286="","Missing date",IF(ISNUMBER(C286),"Valid","Unrecognized/invalid date"))</x:f>
        <x:v>Valid</x:v>
      </x:c>
      <x:c r="AI286" s="12" t="str">
        <x:f>IF(D286="","Missing date",IF(ISNUMBER(D286),"Valid","Unrecognized/invalid date"))</x:f>
        <x:v>Valid</x:v>
      </x:c>
      <x:c r="AJ286" s="12" t="str">
        <x:v>Valid</x:v>
      </x:c>
      <x:c r="AK286" s="12" t="str">
        <x:v>Pass</x:v>
      </x:c>
      <x:c r="AL286" s="12" t="str">
        <x:v>None</x:v>
      </x:c>
      <x:c r="AM286" s="12" t="str">
        <x:v>Valid</x:v>
      </x:c>
      <x:c r="AN286" s="12" t="str">
        <x:v>Exclude from completed sales</x:v>
      </x:c>
      <x:c r="AO286" s="12" t="str">
        <x:v>Not a refunded record</x:v>
      </x:c>
      <x:c r="AP286" s="37" t="n">
        <x:f>IF(LEFT($AM286,7)="Invalid","",IF($AM286="Missing discount imputed as 0",IF(AND(COUNT($O286,$P286,$R286,$S286)=4,$O286&gt;0,$P286&gt;=0,$R286&gt;=0,$S286&gt;=0),0,""),IF(AND(ISNUMBER($Q286),$Q286&gt;=0,$Q286&lt;=0.5),$Q286,"")))</x:f>
        <x:v>0</x:v>
      </x:c>
      <x:c r="AQ286" s="152" t="n">
        <x:f>IF(OR($W286="",NOT(ISNUMBER($R286))),"",ROUND($R286-$W286,2))</x:f>
        <x:v>0</x:v>
      </x:c>
      <x:c r="AR286" s="152" t="n">
        <x:f>IF(OR($X286="",NOT(ISNUMBER($T286))),"",ROUND($T286-$X286,2))</x:f>
        <x:v>0</x:v>
      </x:c>
      <x:c r="AS286" s="14" t="str">
        <x:v>OK</x:v>
      </x:c>
    </x:row>
    <x:row r="287">
      <x:c r="A287" s="80" t="n">
        <x:v>287</x:v>
      </x:c>
      <x:c r="B287" s="80" t="str">
        <x:v>ORD-2025-10286</x:v>
      </x:c>
      <x:c r="C287" s="81" t="n">
        <x:v>45884</x:v>
      </x:c>
      <x:c r="D287" s="81" t="n">
        <x:v>45889</x:v>
      </x:c>
      <x:c r="E287" s="80" t="str">
        <x:v>CUST-5610</x:v>
      </x:c>
      <x:c r="F287" s="80" t="str">
        <x:v>Neha Gupta</x:v>
      </x:c>
      <x:c r="G287" s="80" t="str">
        <x:v>Home Office</x:v>
      </x:c>
      <x:c r="H287" s="80" t="str">
        <x:v>North</x:v>
      </x:c>
      <x:c r="I287" s="80" t="str">
        <x:v>Rajasthan</x:v>
      </x:c>
      <x:c r="J287" s="80" t="str">
        <x:v>Jaipur</x:v>
      </x:c>
      <x:c r="K287" s="80" t="str">
        <x:v>Office Supplies</x:v>
      </x:c>
      <x:c r="L287" s="80" t="str">
        <x:v>Storage</x:v>
      </x:c>
      <x:c r="M287" s="80" t="str">
        <x:v>Basic Storage 771</x:v>
      </x:c>
      <x:c r="N287" s="80" t="str">
        <x:v>Standard Class</x:v>
      </x:c>
      <x:c r="O287" s="82" t="n">
        <x:v>9</x:v>
      </x:c>
      <x:c r="P287" s="83" t="n">
        <x:v>4081.77</x:v>
      </x:c>
      <x:c r="Q287" s="84" t="n">
        <x:v>0</x:v>
      </x:c>
      <x:c r="R287" s="83" t="n">
        <x:v>36735.93</x:v>
      </x:c>
      <x:c r="S287" s="83" t="n">
        <x:v>30820.84</x:v>
      </x:c>
      <x:c r="T287" s="83" t="n">
        <x:v>5915.09</x:v>
      </x:c>
      <x:c r="U287" s="83" t="str">
        <x:v>Paid</x:v>
      </x:c>
      <x:c r="V287" s="83" t="str">
        <x:v>Completed</x:v>
      </x:c>
      <x:c r="W287" s="151" t="n">
        <x:f>IF(OR(NOT(ISNUMBER($AP287)),COUNT($O287,$P287)&lt;2,$O287&lt;=0,$P287&lt;0),"",ROUND($O287*$P287*(1-$AP287),2))</x:f>
        <x:v>36735.93</x:v>
      </x:c>
      <x:c r="X287" s="151" t="n">
        <x:f>IF(OR(NOT(ISNUMBER($W287)),NOT(ISNUMBER($S287))),"",ROUND($W287-$S287,2))</x:f>
        <x:v>5915.09</x:v>
      </x:c>
      <x:c r="Y287" s="85" t="n">
        <x:f>IF(OR(NOT(ISNUMBER($W287)),NOT(ISNUMBER($X287)),$W287=0),"",ROUND($X287/$W287,4))</x:f>
        <x:v>0.161</x:v>
      </x:c>
      <x:c r="Z287" s="82" t="n">
        <x:f>IF(OR($AH287&lt;&gt;"Valid",$AI287&lt;&gt;"Valid"),"",INT($D287-$C287))</x:f>
        <x:v>5</x:v>
      </x:c>
      <x:c r="AA287" s="86" t="str">
        <x:f>IF($AH287&lt;&gt;"Valid","",TEXT($C287,"mmmm"))</x:f>
        <x:v>August</x:v>
      </x:c>
      <x:c r="AB287" s="82" t="n">
        <x:f>IF($AH287&lt;&gt;"Valid","",YEAR($C287))</x:f>
        <x:v>2025</x:v>
      </x:c>
      <x:c r="AC287" s="80" t="str">
        <x:v>Consistent</x:v>
      </x:c>
      <x:c r="AD287" s="80" t="str">
        <x:v>Eligible</x:v>
      </x:c>
      <x:c r="AE287" s="80" t="str">
        <x:f>IF(OR($AH287&lt;&gt;"Valid",$AI287&lt;&gt;"Valid",$AJ287&lt;&gt;"Valid",LEFT($AM287,7)="Invalid",IFERROR(ABS($AQ287)&gt;0.01,FALSE),IFERROR(ABS($AR287)&gt;0.01,FALSE),COUNTIF($AS287,"*Conflicting duplicate*")&gt;0,COUNTIF($AS287,"*Completed order not paid*")&gt;0),"Invalid",IF(OR($H287="Unknown",$N287="Unknown",$AM287="Missing discount imputed as 0"),"Warning","Clean"))</x:f>
        <x:v>Clean</x:v>
      </x:c>
      <x:c r="AF287" s="80" t="str">
        <x:v>Pass</x:v>
      </x:c>
      <x:c r="AG287" s="80" t="str">
        <x:v>No text cleanup required</x:v>
      </x:c>
      <x:c r="AH287" s="12" t="str">
        <x:f>IF(C287="","Missing date",IF(ISNUMBER(C287),"Valid","Unrecognized/invalid date"))</x:f>
        <x:v>Valid</x:v>
      </x:c>
      <x:c r="AI287" s="12" t="str">
        <x:f>IF(D287="","Missing date",IF(ISNUMBER(D287),"Valid","Unrecognized/invalid date"))</x:f>
        <x:v>Valid</x:v>
      </x:c>
      <x:c r="AJ287" s="12" t="str">
        <x:v>Valid</x:v>
      </x:c>
      <x:c r="AK287" s="12" t="str">
        <x:v>Pass</x:v>
      </x:c>
      <x:c r="AL287" s="12" t="str">
        <x:v>None</x:v>
      </x:c>
      <x:c r="AM287" s="12" t="str">
        <x:v>Valid</x:v>
      </x:c>
      <x:c r="AN287" s="12" t="str">
        <x:v>Include in completed sales</x:v>
      </x:c>
      <x:c r="AO287" s="12" t="str">
        <x:v>Not a refunded record</x:v>
      </x:c>
      <x:c r="AP287" s="37" t="n">
        <x:f>IF(LEFT($AM287,7)="Invalid","",IF($AM287="Missing discount imputed as 0",IF(AND(COUNT($O287,$P287,$R287,$S287)=4,$O287&gt;0,$P287&gt;=0,$R287&gt;=0,$S287&gt;=0),0,""),IF(AND(ISNUMBER($Q287),$Q287&gt;=0,$Q287&lt;=0.5),$Q287,"")))</x:f>
        <x:v>0</x:v>
      </x:c>
      <x:c r="AQ287" s="152" t="n">
        <x:f>IF(OR($W287="",NOT(ISNUMBER($R287))),"",ROUND($R287-$W287,2))</x:f>
        <x:v>0</x:v>
      </x:c>
      <x:c r="AR287" s="152" t="n">
        <x:f>IF(OR($X287="",NOT(ISNUMBER($T287))),"",ROUND($T287-$X287,2))</x:f>
        <x:v>0</x:v>
      </x:c>
      <x:c r="AS287" s="14" t="str">
        <x:v>OK</x:v>
      </x:c>
    </x:row>
    <x:row r="288">
      <x:c r="A288" s="80" t="n">
        <x:v>288</x:v>
      </x:c>
      <x:c r="B288" s="80" t="str">
        <x:v>ORD-2024-10287</x:v>
      </x:c>
      <x:c r="C288" s="81" t="n">
        <x:v>45350</x:v>
      </x:c>
      <x:c r="D288" s="81" t="n">
        <x:v>45353</x:v>
      </x:c>
      <x:c r="E288" s="80" t="str">
        <x:v>CUST-5823</x:v>
      </x:c>
      <x:c r="F288" s="80" t="str">
        <x:v>Priya Menon</x:v>
      </x:c>
      <x:c r="G288" s="80" t="str">
        <x:v>Small Business</x:v>
      </x:c>
      <x:c r="H288" s="80" t="str">
        <x:v>North</x:v>
      </x:c>
      <x:c r="I288" s="80" t="str">
        <x:v>Delhi</x:v>
      </x:c>
      <x:c r="J288" s="80" t="str">
        <x:v>New Delhi</x:v>
      </x:c>
      <x:c r="K288" s="80" t="str">
        <x:v>Furniture</x:v>
      </x:c>
      <x:c r="L288" s="80" t="str">
        <x:v>Furnishings</x:v>
      </x:c>
      <x:c r="M288" s="80" t="str">
        <x:v>Pro Furnishings 848</x:v>
      </x:c>
      <x:c r="N288" s="80" t="str">
        <x:v>First Class</x:v>
      </x:c>
      <x:c r="O288" s="82" t="n">
        <x:v>7</x:v>
      </x:c>
      <x:c r="P288" s="83" t="n">
        <x:v>701.8</x:v>
      </x:c>
      <x:c r="Q288" s="84" t="n">
        <x:v>0.1</x:v>
      </x:c>
      <x:c r="R288" s="83" t="n">
        <x:v>4421.34</x:v>
      </x:c>
      <x:c r="S288" s="83" t="n">
        <x:v>2489.98</x:v>
      </x:c>
      <x:c r="T288" s="83" t="n">
        <x:v>1931.36</x:v>
      </x:c>
      <x:c r="U288" s="83" t="str">
        <x:v>Pending</x:v>
      </x:c>
      <x:c r="V288" s="83" t="str">
        <x:v>Returned</x:v>
      </x:c>
      <x:c r="W288" s="151" t="n">
        <x:f>IF(OR(NOT(ISNUMBER($AP288)),COUNT($O288,$P288)&lt;2,$O288&lt;=0,$P288&lt;0),"",ROUND($O288*$P288*(1-$AP288),2))</x:f>
        <x:v>4421.34</x:v>
      </x:c>
      <x:c r="X288" s="151" t="n">
        <x:f>IF(OR(NOT(ISNUMBER($W288)),NOT(ISNUMBER($S288))),"",ROUND($W288-$S288,2))</x:f>
        <x:v>1931.36</x:v>
      </x:c>
      <x:c r="Y288" s="85" t="n">
        <x:f>IF(OR(NOT(ISNUMBER($W288)),NOT(ISNUMBER($X288)),$W288=0),"",ROUND($X288/$W288,4))</x:f>
        <x:v>0.4368</x:v>
      </x:c>
      <x:c r="Z288" s="82" t="n">
        <x:f>IF(OR($AH288&lt;&gt;"Valid",$AI288&lt;&gt;"Valid"),"",INT($D288-$C288))</x:f>
        <x:v>3</x:v>
      </x:c>
      <x:c r="AA288" s="86" t="str">
        <x:f>IF($AH288&lt;&gt;"Valid","",TEXT($C288,"mmmm"))</x:f>
        <x:v>February</x:v>
      </x:c>
      <x:c r="AB288" s="82" t="n">
        <x:f>IF($AH288&lt;&gt;"Valid","",YEAR($C288))</x:f>
        <x:v>2024</x:v>
      </x:c>
      <x:c r="AC288" s="80" t="str">
        <x:v>Consistent</x:v>
      </x:c>
      <x:c r="AD288" s="80" t="str">
        <x:v>Excluded</x:v>
      </x:c>
      <x:c r="AE288" s="80" t="str">
        <x:f>IF(OR($AH288&lt;&gt;"Valid",$AI288&lt;&gt;"Valid",$AJ288&lt;&gt;"Valid",LEFT($AM288,7)="Invalid",IFERROR(ABS($AQ288)&gt;0.01,FALSE),IFERROR(ABS($AR288)&gt;0.01,FALSE),COUNTIF($AS288,"*Conflicting duplicate*")&gt;0,COUNTIF($AS288,"*Completed order not paid*")&gt;0),"Invalid",IF(OR($H288="Unknown",$N288="Unknown",$AM288="Missing discount imputed as 0"),"Warning","Clean"))</x:f>
        <x:v>Clean</x:v>
      </x:c>
      <x:c r="AF288" s="80" t="str">
        <x:v>Pass</x:v>
      </x:c>
      <x:c r="AG288" s="80" t="str">
        <x:v>No text cleanup required</x:v>
      </x:c>
      <x:c r="AH288" s="12" t="str">
        <x:f>IF(C288="","Missing date",IF(ISNUMBER(C288),"Valid","Unrecognized/invalid date"))</x:f>
        <x:v>Valid</x:v>
      </x:c>
      <x:c r="AI288" s="12" t="str">
        <x:f>IF(D288="","Missing date",IF(ISNUMBER(D288),"Valid","Unrecognized/invalid date"))</x:f>
        <x:v>Valid</x:v>
      </x:c>
      <x:c r="AJ288" s="12" t="str">
        <x:v>Valid</x:v>
      </x:c>
      <x:c r="AK288" s="12" t="str">
        <x:v>Pass</x:v>
      </x:c>
      <x:c r="AL288" s="12" t="str">
        <x:v>None</x:v>
      </x:c>
      <x:c r="AM288" s="12" t="str">
        <x:v>Valid</x:v>
      </x:c>
      <x:c r="AN288" s="12" t="str">
        <x:v>Exclude from completed sales</x:v>
      </x:c>
      <x:c r="AO288" s="12" t="str">
        <x:v>Not a refunded record</x:v>
      </x:c>
      <x:c r="AP288" s="37" t="n">
        <x:f>IF(LEFT($AM288,7)="Invalid","",IF($AM288="Missing discount imputed as 0",IF(AND(COUNT($O288,$P288,$R288,$S288)=4,$O288&gt;0,$P288&gt;=0,$R288&gt;=0,$S288&gt;=0),0,""),IF(AND(ISNUMBER($Q288),$Q288&gt;=0,$Q288&lt;=0.5),$Q288,"")))</x:f>
        <x:v>0.1</x:v>
      </x:c>
      <x:c r="AQ288" s="152" t="n">
        <x:f>IF(OR($W288="",NOT(ISNUMBER($R288))),"",ROUND($R288-$W288,2))</x:f>
        <x:v>0</x:v>
      </x:c>
      <x:c r="AR288" s="152" t="n">
        <x:f>IF(OR($X288="",NOT(ISNUMBER($T288))),"",ROUND($T288-$X288,2))</x:f>
        <x:v>0</x:v>
      </x:c>
      <x:c r="AS288" s="14" t="str">
        <x:v>OK</x:v>
      </x:c>
    </x:row>
    <x:row r="289">
      <x:c r="A289" s="80" t="n">
        <x:v>289</x:v>
      </x:c>
      <x:c r="B289" s="80" t="str">
        <x:v>ORD-2024-10288</x:v>
      </x:c>
      <x:c r="C289" s="81" t="n">
        <x:v>45540</x:v>
      </x:c>
      <x:c r="D289" s="81" t="n">
        <x:v>45542</x:v>
      </x:c>
      <x:c r="E289" s="80" t="str">
        <x:v>CUST-7095</x:v>
      </x:c>
      <x:c r="F289" s="80" t="str">
        <x:v>Neha Gupta</x:v>
      </x:c>
      <x:c r="G289" s="80" t="str">
        <x:v>Small Business</x:v>
      </x:c>
      <x:c r="H289" s="80" t="str">
        <x:v>South</x:v>
      </x:c>
      <x:c r="I289" s="80" t="str">
        <x:v>Tamil Nadu</x:v>
      </x:c>
      <x:c r="J289" s="80" t="str">
        <x:v>Chennai</x:v>
      </x:c>
      <x:c r="K289" s="80" t="str">
        <x:v>Technology</x:v>
      </x:c>
      <x:c r="L289" s="80" t="str">
        <x:v>Copiers</x:v>
      </x:c>
      <x:c r="M289" s="80" t="str">
        <x:v>Prime Copiers 924</x:v>
      </x:c>
      <x:c r="N289" s="80" t="str">
        <x:v>Standard Class</x:v>
      </x:c>
      <x:c r="O289" s="82" t="n">
        <x:v>3</x:v>
      </x:c>
      <x:c r="P289" s="83" t="n">
        <x:v>2555.66</x:v>
      </x:c>
      <x:c r="Q289" s="84" t="n">
        <x:v>0.15</x:v>
      </x:c>
      <x:c r="R289" s="83" t="n">
        <x:v>6516.93</x:v>
      </x:c>
      <x:c r="S289" s="83" t="n">
        <x:v>4511.54</x:v>
      </x:c>
      <x:c r="T289" s="83" t="n">
        <x:v>2005.39</x:v>
      </x:c>
      <x:c r="U289" s="83" t="str">
        <x:v>Paid</x:v>
      </x:c>
      <x:c r="V289" s="83" t="str">
        <x:v>Cancelled</x:v>
      </x:c>
      <x:c r="W289" s="151" t="n">
        <x:f>IF(OR(NOT(ISNUMBER($AP289)),COUNT($O289,$P289)&lt;2,$O289&lt;=0,$P289&lt;0),"",ROUND($O289*$P289*(1-$AP289),2))</x:f>
        <x:v>6516.93</x:v>
      </x:c>
      <x:c r="X289" s="151" t="n">
        <x:f>IF(OR(NOT(ISNUMBER($W289)),NOT(ISNUMBER($S289))),"",ROUND($W289-$S289,2))</x:f>
        <x:v>2005.39</x:v>
      </x:c>
      <x:c r="Y289" s="85" t="n">
        <x:f>IF(OR(NOT(ISNUMBER($W289)),NOT(ISNUMBER($X289)),$W289=0),"",ROUND($X289/$W289,4))</x:f>
        <x:v>0.3077</x:v>
      </x:c>
      <x:c r="Z289" s="82" t="n">
        <x:f>IF(OR($AH289&lt;&gt;"Valid",$AI289&lt;&gt;"Valid"),"",INT($D289-$C289))</x:f>
        <x:v>2</x:v>
      </x:c>
      <x:c r="AA289" s="86" t="str">
        <x:f>IF($AH289&lt;&gt;"Valid","",TEXT($C289,"mmmm"))</x:f>
        <x:v>September</x:v>
      </x:c>
      <x:c r="AB289" s="82" t="n">
        <x:f>IF($AH289&lt;&gt;"Valid","",YEAR($C289))</x:f>
        <x:v>2024</x:v>
      </x:c>
      <x:c r="AC289" s="80" t="str">
        <x:v>Cancelled (excluded from completed-sales summary)</x:v>
      </x:c>
      <x:c r="AD289" s="80" t="str">
        <x:v>Excluded</x:v>
      </x:c>
      <x:c r="AE289" s="80" t="str">
        <x:f>IF(OR($AH289&lt;&gt;"Valid",$AI289&lt;&gt;"Valid",$AJ289&lt;&gt;"Valid",LEFT($AM289,7)="Invalid",IFERROR(ABS($AQ289)&gt;0.01,FALSE),IFERROR(ABS($AR289)&gt;0.01,FALSE),COUNTIF($AS289,"*Conflicting duplicate*")&gt;0,COUNTIF($AS289,"*Completed order not paid*")&gt;0),"Invalid",IF(OR($H289="Unknown",$N289="Unknown",$AM289="Missing discount imputed as 0"),"Warning","Clean"))</x:f>
        <x:v>Clean</x:v>
      </x:c>
      <x:c r="AF289" s="80" t="str">
        <x:v>Pass</x:v>
      </x:c>
      <x:c r="AG289" s="80" t="str">
        <x:v>No text cleanup required</x:v>
      </x:c>
      <x:c r="AH289" s="12" t="str">
        <x:f>IF(C289="","Missing date",IF(ISNUMBER(C289),"Valid","Unrecognized/invalid date"))</x:f>
        <x:v>Valid</x:v>
      </x:c>
      <x:c r="AI289" s="12" t="str">
        <x:f>IF(D289="","Missing date",IF(ISNUMBER(D289),"Valid","Unrecognized/invalid date"))</x:f>
        <x:v>Valid</x:v>
      </x:c>
      <x:c r="AJ289" s="12" t="str">
        <x:v>Valid</x:v>
      </x:c>
      <x:c r="AK289" s="12" t="str">
        <x:v>Pass</x:v>
      </x:c>
      <x:c r="AL289" s="12" t="str">
        <x:v>Cancelled order – excluded from completed sales</x:v>
      </x:c>
      <x:c r="AM289" s="12" t="str">
        <x:v>Valid</x:v>
      </x:c>
      <x:c r="AN289" s="12" t="str">
        <x:v>Exclude from completed sales</x:v>
      </x:c>
      <x:c r="AO289" s="12" t="str">
        <x:v>Not a refunded record</x:v>
      </x:c>
      <x:c r="AP289" s="37" t="n">
        <x:f>IF(LEFT($AM289,7)="Invalid","",IF($AM289="Missing discount imputed as 0",IF(AND(COUNT($O289,$P289,$R289,$S289)=4,$O289&gt;0,$P289&gt;=0,$R289&gt;=0,$S289&gt;=0),0,""),IF(AND(ISNUMBER($Q289),$Q289&gt;=0,$Q289&lt;=0.5),$Q289,"")))</x:f>
        <x:v>0.15</x:v>
      </x:c>
      <x:c r="AQ289" s="152" t="n">
        <x:f>IF(OR($W289="",NOT(ISNUMBER($R289))),"",ROUND($R289-$W289,2))</x:f>
        <x:v>0</x:v>
      </x:c>
      <x:c r="AR289" s="152" t="n">
        <x:f>IF(OR($X289="",NOT(ISNUMBER($T289))),"",ROUND($T289-$X289,2))</x:f>
        <x:v>0</x:v>
      </x:c>
      <x:c r="AS289" s="14" t="str">
        <x:v>OK</x:v>
      </x:c>
    </x:row>
    <x:row r="290">
      <x:c r="A290" s="80" t="n">
        <x:v>290</x:v>
      </x:c>
      <x:c r="B290" s="80" t="str">
        <x:v>ORD-2024-10289</x:v>
      </x:c>
      <x:c r="C290" s="81" t="n">
        <x:v>45467</x:v>
      </x:c>
      <x:c r="D290" s="81" t="n">
        <x:v>45467</x:v>
      </x:c>
      <x:c r="E290" s="80" t="str">
        <x:v>CUST-4805</x:v>
      </x:c>
      <x:c r="F290" s="80" t="str">
        <x:v>Rohan Mehta</x:v>
      </x:c>
      <x:c r="G290" s="80" t="str">
        <x:v>Small Business</x:v>
      </x:c>
      <x:c r="H290" s="80" t="str">
        <x:v>East</x:v>
      </x:c>
      <x:c r="I290" s="80" t="str">
        <x:v>Bihar</x:v>
      </x:c>
      <x:c r="J290" s="80" t="str">
        <x:v>Patna</x:v>
      </x:c>
      <x:c r="K290" s="80" t="str">
        <x:v>Office Supplies</x:v>
      </x:c>
      <x:c r="L290" s="80" t="str">
        <x:v>Binders</x:v>
      </x:c>
      <x:c r="M290" s="80" t="str">
        <x:v>Classic Binders 721</x:v>
      </x:c>
      <x:c r="N290" s="80" t="str">
        <x:v>Same Day</x:v>
      </x:c>
      <x:c r="O290" s="82" t="n">
        <x:v>2</x:v>
      </x:c>
      <x:c r="P290" s="83" t="n">
        <x:v>4359.9</x:v>
      </x:c>
      <x:c r="Q290" s="84" t="n">
        <x:v>0.15</x:v>
      </x:c>
      <x:c r="R290" s="83" t="n">
        <x:v>7411.83</x:v>
      </x:c>
      <x:c r="S290" s="83" t="n">
        <x:v>4904.63</x:v>
      </x:c>
      <x:c r="T290" s="83" t="n">
        <x:v>2507.2</x:v>
      </x:c>
      <x:c r="U290" s="83" t="str">
        <x:v>Paid</x:v>
      </x:c>
      <x:c r="V290" s="83" t="str">
        <x:v>Completed</x:v>
      </x:c>
      <x:c r="W290" s="151" t="n">
        <x:f>IF(OR(NOT(ISNUMBER($AP290)),COUNT($O290,$P290)&lt;2,$O290&lt;=0,$P290&lt;0),"",ROUND($O290*$P290*(1-$AP290),2))</x:f>
        <x:v>7411.83</x:v>
      </x:c>
      <x:c r="X290" s="151" t="n">
        <x:f>IF(OR(NOT(ISNUMBER($W290)),NOT(ISNUMBER($S290))),"",ROUND($W290-$S290,2))</x:f>
        <x:v>2507.2</x:v>
      </x:c>
      <x:c r="Y290" s="85" t="n">
        <x:f>IF(OR(NOT(ISNUMBER($W290)),NOT(ISNUMBER($X290)),$W290=0),"",ROUND($X290/$W290,4))</x:f>
        <x:v>0.3383</x:v>
      </x:c>
      <x:c r="Z290" s="82" t="n">
        <x:f>IF(OR($AH290&lt;&gt;"Valid",$AI290&lt;&gt;"Valid"),"",INT($D290-$C290))</x:f>
        <x:v>0</x:v>
      </x:c>
      <x:c r="AA290" s="86" t="str">
        <x:f>IF($AH290&lt;&gt;"Valid","",TEXT($C290,"mmmm"))</x:f>
        <x:v>June</x:v>
      </x:c>
      <x:c r="AB290" s="82" t="n">
        <x:f>IF($AH290&lt;&gt;"Valid","",YEAR($C290))</x:f>
        <x:v>2024</x:v>
      </x:c>
      <x:c r="AC290" s="80" t="str">
        <x:v>Consistent</x:v>
      </x:c>
      <x:c r="AD290" s="80" t="str">
        <x:v>Eligible</x:v>
      </x:c>
      <x:c r="AE290" s="80" t="str">
        <x:f>IF(OR($AH290&lt;&gt;"Valid",$AI290&lt;&gt;"Valid",$AJ290&lt;&gt;"Valid",LEFT($AM290,7)="Invalid",IFERROR(ABS($AQ290)&gt;0.01,FALSE),IFERROR(ABS($AR290)&gt;0.01,FALSE),COUNTIF($AS290,"*Conflicting duplicate*")&gt;0,COUNTIF($AS290,"*Completed order not paid*")&gt;0),"Invalid",IF(OR($H290="Unknown",$N290="Unknown",$AM290="Missing discount imputed as 0"),"Warning","Clean"))</x:f>
        <x:v>Clean</x:v>
      </x:c>
      <x:c r="AF290" s="80" t="str">
        <x:v>Pass</x:v>
      </x:c>
      <x:c r="AG290" s="80" t="str">
        <x:v>No text cleanup required</x:v>
      </x:c>
      <x:c r="AH290" s="12" t="str">
        <x:f>IF(C290="","Missing date",IF(ISNUMBER(C290),"Valid","Unrecognized/invalid date"))</x:f>
        <x:v>Valid</x:v>
      </x:c>
      <x:c r="AI290" s="12" t="str">
        <x:f>IF(D290="","Missing date",IF(ISNUMBER(D290),"Valid","Unrecognized/invalid date"))</x:f>
        <x:v>Valid</x:v>
      </x:c>
      <x:c r="AJ290" s="12" t="str">
        <x:v>Valid</x:v>
      </x:c>
      <x:c r="AK290" s="12" t="str">
        <x:v>Pass</x:v>
      </x:c>
      <x:c r="AL290" s="12" t="str">
        <x:v>None</x:v>
      </x:c>
      <x:c r="AM290" s="12" t="str">
        <x:v>Valid</x:v>
      </x:c>
      <x:c r="AN290" s="12" t="str">
        <x:v>Include in completed sales</x:v>
      </x:c>
      <x:c r="AO290" s="12" t="str">
        <x:v>Not a refunded record</x:v>
      </x:c>
      <x:c r="AP290" s="37" t="n">
        <x:f>IF(LEFT($AM290,7)="Invalid","",IF($AM290="Missing discount imputed as 0",IF(AND(COUNT($O290,$P290,$R290,$S290)=4,$O290&gt;0,$P290&gt;=0,$R290&gt;=0,$S290&gt;=0),0,""),IF(AND(ISNUMBER($Q290),$Q290&gt;=0,$Q290&lt;=0.5),$Q290,"")))</x:f>
        <x:v>0.15</x:v>
      </x:c>
      <x:c r="AQ290" s="152" t="n">
        <x:f>IF(OR($W290="",NOT(ISNUMBER($R290))),"",ROUND($R290-$W290,2))</x:f>
        <x:v>0</x:v>
      </x:c>
      <x:c r="AR290" s="152" t="n">
        <x:f>IF(OR($X290="",NOT(ISNUMBER($T290))),"",ROUND($T290-$X290,2))</x:f>
        <x:v>0</x:v>
      </x:c>
      <x:c r="AS290" s="14" t="str">
        <x:v>OK</x:v>
      </x:c>
    </x:row>
    <x:row r="291">
      <x:c r="A291" s="80" t="n">
        <x:v>291</x:v>
      </x:c>
      <x:c r="B291" s="80" t="str">
        <x:v>ORD-2025-10290</x:v>
      </x:c>
      <x:c r="C291" s="81" t="n">
        <x:v>45827</x:v>
      </x:c>
      <x:c r="D291" s="81" t="n">
        <x:v>45835</x:v>
      </x:c>
      <x:c r="E291" s="80" t="str">
        <x:v>CUST-9114</x:v>
      </x:c>
      <x:c r="F291" s="80" t="str">
        <x:v>Karan Malhotra</x:v>
      </x:c>
      <x:c r="G291" s="80" t="str">
        <x:v>Home Office</x:v>
      </x:c>
      <x:c r="H291" s="80" t="str">
        <x:v>South</x:v>
      </x:c>
      <x:c r="I291" s="80" t="str">
        <x:v>Tamil Nadu</x:v>
      </x:c>
      <x:c r="J291" s="80" t="str">
        <x:v>Chennai</x:v>
      </x:c>
      <x:c r="K291" s="80" t="str">
        <x:v>Furniture</x:v>
      </x:c>
      <x:c r="L291" s="80" t="str">
        <x:v>Bookcases</x:v>
      </x:c>
      <x:c r="M291" s="80" t="str">
        <x:v>Basic Bookcases 823</x:v>
      </x:c>
      <x:c r="N291" s="80" t="str">
        <x:v>First Class</x:v>
      </x:c>
      <x:c r="O291" s="82" t="n">
        <x:v>2</x:v>
      </x:c>
      <x:c r="P291" s="83" t="n">
        <x:v>4346.69</x:v>
      </x:c>
      <x:c r="Q291" s="84" t="n">
        <x:v>0.05</x:v>
      </x:c>
      <x:c r="R291" s="83" t="n">
        <x:v>8258.71</x:v>
      </x:c>
      <x:c r="S291" s="83" t="n">
        <x:v>7018.97</x:v>
      </x:c>
      <x:c r="T291" s="83" t="n">
        <x:v>1239.74</x:v>
      </x:c>
      <x:c r="U291" s="83" t="str">
        <x:v>Paid</x:v>
      </x:c>
      <x:c r="V291" s="83" t="str">
        <x:v>Completed</x:v>
      </x:c>
      <x:c r="W291" s="151" t="n">
        <x:f>IF(OR(NOT(ISNUMBER($AP291)),COUNT($O291,$P291)&lt;2,$O291&lt;=0,$P291&lt;0),"",ROUND($O291*$P291*(1-$AP291),2))</x:f>
        <x:v>8258.71</x:v>
      </x:c>
      <x:c r="X291" s="151" t="n">
        <x:f>IF(OR(NOT(ISNUMBER($W291)),NOT(ISNUMBER($S291))),"",ROUND($W291-$S291,2))</x:f>
        <x:v>1239.74</x:v>
      </x:c>
      <x:c r="Y291" s="85" t="n">
        <x:f>IF(OR(NOT(ISNUMBER($W291)),NOT(ISNUMBER($X291)),$W291=0),"",ROUND($X291/$W291,4))</x:f>
        <x:v>0.1501</x:v>
      </x:c>
      <x:c r="Z291" s="82" t="n">
        <x:f>IF(OR($AH291&lt;&gt;"Valid",$AI291&lt;&gt;"Valid"),"",INT($D291-$C291))</x:f>
        <x:v>8</x:v>
      </x:c>
      <x:c r="AA291" s="86" t="str">
        <x:f>IF($AH291&lt;&gt;"Valid","",TEXT($C291,"mmmm"))</x:f>
        <x:v>June</x:v>
      </x:c>
      <x:c r="AB291" s="82" t="n">
        <x:f>IF($AH291&lt;&gt;"Valid","",YEAR($C291))</x:f>
        <x:v>2025</x:v>
      </x:c>
      <x:c r="AC291" s="80" t="str">
        <x:v>Consistent</x:v>
      </x:c>
      <x:c r="AD291" s="80" t="str">
        <x:v>Eligible</x:v>
      </x:c>
      <x:c r="AE291" s="80" t="str">
        <x:f>IF(OR($AH291&lt;&gt;"Valid",$AI291&lt;&gt;"Valid",$AJ291&lt;&gt;"Valid",LEFT($AM291,7)="Invalid",IFERROR(ABS($AQ291)&gt;0.01,FALSE),IFERROR(ABS($AR291)&gt;0.01,FALSE),COUNTIF($AS291,"*Conflicting duplicate*")&gt;0,COUNTIF($AS291,"*Completed order not paid*")&gt;0),"Invalid",IF(OR($H291="Unknown",$N291="Unknown",$AM291="Missing discount imputed as 0"),"Warning","Clean"))</x:f>
        <x:v>Clean</x:v>
      </x:c>
      <x:c r="AF291" s="80" t="str">
        <x:v>Pass</x:v>
      </x:c>
      <x:c r="AG291" s="80" t="str">
        <x:v>No text cleanup required</x:v>
      </x:c>
      <x:c r="AH291" s="12" t="str">
        <x:f>IF(C291="","Missing date",IF(ISNUMBER(C291),"Valid","Unrecognized/invalid date"))</x:f>
        <x:v>Valid</x:v>
      </x:c>
      <x:c r="AI291" s="12" t="str">
        <x:f>IF(D291="","Missing date",IF(ISNUMBER(D291),"Valid","Unrecognized/invalid date"))</x:f>
        <x:v>Valid</x:v>
      </x:c>
      <x:c r="AJ291" s="12" t="str">
        <x:v>Valid</x:v>
      </x:c>
      <x:c r="AK291" s="12" t="str">
        <x:v>Pass</x:v>
      </x:c>
      <x:c r="AL291" s="12" t="str">
        <x:v>None</x:v>
      </x:c>
      <x:c r="AM291" s="12" t="str">
        <x:v>Valid</x:v>
      </x:c>
      <x:c r="AN291" s="12" t="str">
        <x:v>Include in completed sales</x:v>
      </x:c>
      <x:c r="AO291" s="12" t="str">
        <x:v>Not a refunded record</x:v>
      </x:c>
      <x:c r="AP291" s="37" t="n">
        <x:f>IF(LEFT($AM291,7)="Invalid","",IF($AM291="Missing discount imputed as 0",IF(AND(COUNT($O291,$P291,$R291,$S291)=4,$O291&gt;0,$P291&gt;=0,$R291&gt;=0,$S291&gt;=0),0,""),IF(AND(ISNUMBER($Q291),$Q291&gt;=0,$Q291&lt;=0.5),$Q291,"")))</x:f>
        <x:v>0.05</x:v>
      </x:c>
      <x:c r="AQ291" s="152" t="n">
        <x:f>IF(OR($W291="",NOT(ISNUMBER($R291))),"",ROUND($R291-$W291,2))</x:f>
        <x:v>0</x:v>
      </x:c>
      <x:c r="AR291" s="152" t="n">
        <x:f>IF(OR($X291="",NOT(ISNUMBER($T291))),"",ROUND($T291-$X291,2))</x:f>
        <x:v>0</x:v>
      </x:c>
      <x:c r="AS291" s="14" t="str">
        <x:v>OK</x:v>
      </x:c>
    </x:row>
    <x:row r="292">
      <x:c r="A292" s="80" t="n">
        <x:v>292</x:v>
      </x:c>
      <x:c r="B292" s="80" t="str">
        <x:v>ORD-2025-10291</x:v>
      </x:c>
      <x:c r="C292" s="81" t="n">
        <x:v>45891</x:v>
      </x:c>
      <x:c r="D292" s="81" t="n">
        <x:v>45895</x:v>
      </x:c>
      <x:c r="E292" s="80" t="str">
        <x:v>CUST-8557</x:v>
      </x:c>
      <x:c r="F292" s="80" t="str">
        <x:v>Diya Patel</x:v>
      </x:c>
      <x:c r="G292" s="80" t="str">
        <x:v>Home Office</x:v>
      </x:c>
      <x:c r="H292" s="80" t="str">
        <x:v>East</x:v>
      </x:c>
      <x:c r="I292" s="80" t="str">
        <x:v>Jharkhand</x:v>
      </x:c>
      <x:c r="J292" s="80" t="str">
        <x:v>Ranchi</x:v>
      </x:c>
      <x:c r="K292" s="80" t="str">
        <x:v>Furniture</x:v>
      </x:c>
      <x:c r="L292" s="80" t="str">
        <x:v>Tables</x:v>
      </x:c>
      <x:c r="M292" s="80" t="str">
        <x:v>Classic Tables 178</x:v>
      </x:c>
      <x:c r="N292" s="80" t="str">
        <x:v>Standard Class</x:v>
      </x:c>
      <x:c r="O292" s="82" t="n">
        <x:v>1</x:v>
      </x:c>
      <x:c r="P292" s="83" t="n">
        <x:v>1842.63</x:v>
      </x:c>
      <x:c r="Q292" s="84" t="n">
        <x:v>0.1</x:v>
      </x:c>
      <x:c r="R292" s="83" t="n">
        <x:v>1658.37</x:v>
      </x:c>
      <x:c r="S292" s="83" t="n">
        <x:v>971.12</x:v>
      </x:c>
      <x:c r="T292" s="83" t="n">
        <x:v>687.25</x:v>
      </x:c>
      <x:c r="U292" s="83" t="str">
        <x:v>Paid</x:v>
      </x:c>
      <x:c r="V292" s="83" t="str">
        <x:v>Completed</x:v>
      </x:c>
      <x:c r="W292" s="151" t="n">
        <x:f>IF(OR(NOT(ISNUMBER($AP292)),COUNT($O292,$P292)&lt;2,$O292&lt;=0,$P292&lt;0),"",ROUND($O292*$P292*(1-$AP292),2))</x:f>
        <x:v>1658.37</x:v>
      </x:c>
      <x:c r="X292" s="151" t="n">
        <x:f>IF(OR(NOT(ISNUMBER($W292)),NOT(ISNUMBER($S292))),"",ROUND($W292-$S292,2))</x:f>
        <x:v>687.25</x:v>
      </x:c>
      <x:c r="Y292" s="85" t="n">
        <x:f>IF(OR(NOT(ISNUMBER($W292)),NOT(ISNUMBER($X292)),$W292=0),"",ROUND($X292/$W292,4))</x:f>
        <x:v>0.4144</x:v>
      </x:c>
      <x:c r="Z292" s="82" t="n">
        <x:f>IF(OR($AH292&lt;&gt;"Valid",$AI292&lt;&gt;"Valid"),"",INT($D292-$C292))</x:f>
        <x:v>4</x:v>
      </x:c>
      <x:c r="AA292" s="86" t="str">
        <x:f>IF($AH292&lt;&gt;"Valid","",TEXT($C292,"mmmm"))</x:f>
        <x:v>August</x:v>
      </x:c>
      <x:c r="AB292" s="82" t="n">
        <x:f>IF($AH292&lt;&gt;"Valid","",YEAR($C292))</x:f>
        <x:v>2025</x:v>
      </x:c>
      <x:c r="AC292" s="80" t="str">
        <x:v>Consistent</x:v>
      </x:c>
      <x:c r="AD292" s="80" t="str">
        <x:v>Eligible</x:v>
      </x:c>
      <x:c r="AE292" s="80" t="str">
        <x:f>IF(OR($AH292&lt;&gt;"Valid",$AI292&lt;&gt;"Valid",$AJ292&lt;&gt;"Valid",LEFT($AM292,7)="Invalid",IFERROR(ABS($AQ292)&gt;0.01,FALSE),IFERROR(ABS($AR292)&gt;0.01,FALSE),COUNTIF($AS292,"*Conflicting duplicate*")&gt;0,COUNTIF($AS292,"*Completed order not paid*")&gt;0),"Invalid",IF(OR($H292="Unknown",$N292="Unknown",$AM292="Missing discount imputed as 0"),"Warning","Clean"))</x:f>
        <x:v>Clean</x:v>
      </x:c>
      <x:c r="AF292" s="80" t="str">
        <x:v>Pass</x:v>
      </x:c>
      <x:c r="AG292" s="80" t="str">
        <x:v>No text cleanup required</x:v>
      </x:c>
      <x:c r="AH292" s="12" t="str">
        <x:f>IF(C292="","Missing date",IF(ISNUMBER(C292),"Valid","Unrecognized/invalid date"))</x:f>
        <x:v>Valid</x:v>
      </x:c>
      <x:c r="AI292" s="12" t="str">
        <x:f>IF(D292="","Missing date",IF(ISNUMBER(D292),"Valid","Unrecognized/invalid date"))</x:f>
        <x:v>Valid</x:v>
      </x:c>
      <x:c r="AJ292" s="12" t="str">
        <x:v>Valid</x:v>
      </x:c>
      <x:c r="AK292" s="12" t="str">
        <x:v>Pass</x:v>
      </x:c>
      <x:c r="AL292" s="12" t="str">
        <x:v>None</x:v>
      </x:c>
      <x:c r="AM292" s="12" t="str">
        <x:v>Valid</x:v>
      </x:c>
      <x:c r="AN292" s="12" t="str">
        <x:v>Include in completed sales</x:v>
      </x:c>
      <x:c r="AO292" s="12" t="str">
        <x:v>Not a refunded record</x:v>
      </x:c>
      <x:c r="AP292" s="37" t="n">
        <x:f>IF(LEFT($AM292,7)="Invalid","",IF($AM292="Missing discount imputed as 0",IF(AND(COUNT($O292,$P292,$R292,$S292)=4,$O292&gt;0,$P292&gt;=0,$R292&gt;=0,$S292&gt;=0),0,""),IF(AND(ISNUMBER($Q292),$Q292&gt;=0,$Q292&lt;=0.5),$Q292,"")))</x:f>
        <x:v>0.1</x:v>
      </x:c>
      <x:c r="AQ292" s="152" t="n">
        <x:f>IF(OR($W292="",NOT(ISNUMBER($R292))),"",ROUND($R292-$W292,2))</x:f>
        <x:v>0</x:v>
      </x:c>
      <x:c r="AR292" s="152" t="n">
        <x:f>IF(OR($X292="",NOT(ISNUMBER($T292))),"",ROUND($T292-$X292,2))</x:f>
        <x:v>0</x:v>
      </x:c>
      <x:c r="AS292" s="14" t="str">
        <x:v>OK</x:v>
      </x:c>
    </x:row>
    <x:row r="293">
      <x:c r="A293" s="80" t="n">
        <x:v>293</x:v>
      </x:c>
      <x:c r="B293" s="80" t="str">
        <x:v>ORD-2024-10292</x:v>
      </x:c>
      <x:c r="C293" s="81" t="n">
        <x:v>45387</x:v>
      </x:c>
      <x:c r="D293" s="81" t="n">
        <x:v>45392</x:v>
      </x:c>
      <x:c r="E293" s="80" t="str">
        <x:v>CUST-2860</x:v>
      </x:c>
      <x:c r="F293" s="80" t="str">
        <x:v>Priya Menon</x:v>
      </x:c>
      <x:c r="G293" s="80" t="str">
        <x:v>Home Office</x:v>
      </x:c>
      <x:c r="H293" s="80" t="str">
        <x:v>North</x:v>
      </x:c>
      <x:c r="I293" s="80" t="str">
        <x:v>Rajasthan</x:v>
      </x:c>
      <x:c r="J293" s="80" t="str">
        <x:v>Jaipur</x:v>
      </x:c>
      <x:c r="K293" s="80" t="str">
        <x:v>Office Supplies</x:v>
      </x:c>
      <x:c r="L293" s="80" t="str">
        <x:v>Binders</x:v>
      </x:c>
      <x:c r="M293" s="80" t="str">
        <x:v>Eco Binders 153</x:v>
      </x:c>
      <x:c r="N293" s="80" t="str">
        <x:v>Standard Class</x:v>
      </x:c>
      <x:c r="O293" s="82" t="n">
        <x:v>4</x:v>
      </x:c>
      <x:c r="P293" s="83" t="n">
        <x:v>3228.66</x:v>
      </x:c>
      <x:c r="Q293" s="84" t="n">
        <x:v>0.25</x:v>
      </x:c>
      <x:c r="R293" s="83" t="n">
        <x:v>9685.98</x:v>
      </x:c>
      <x:c r="S293" s="83" t="n">
        <x:v>7730.04</x:v>
      </x:c>
      <x:c r="T293" s="83" t="n">
        <x:v>1955.94</x:v>
      </x:c>
      <x:c r="U293" s="83" t="str">
        <x:v>Paid</x:v>
      </x:c>
      <x:c r="V293" s="83" t="str">
        <x:v>Completed</x:v>
      </x:c>
      <x:c r="W293" s="151" t="n">
        <x:f>IF(OR(NOT(ISNUMBER($AP293)),COUNT($O293,$P293)&lt;2,$O293&lt;=0,$P293&lt;0),"",ROUND($O293*$P293*(1-$AP293),2))</x:f>
        <x:v>9685.98</x:v>
      </x:c>
      <x:c r="X293" s="151" t="n">
        <x:f>IF(OR(NOT(ISNUMBER($W293)),NOT(ISNUMBER($S293))),"",ROUND($W293-$S293,2))</x:f>
        <x:v>1955.94</x:v>
      </x:c>
      <x:c r="Y293" s="85" t="n">
        <x:f>IF(OR(NOT(ISNUMBER($W293)),NOT(ISNUMBER($X293)),$W293=0),"",ROUND($X293/$W293,4))</x:f>
        <x:v>0.2019</x:v>
      </x:c>
      <x:c r="Z293" s="82" t="n">
        <x:f>IF(OR($AH293&lt;&gt;"Valid",$AI293&lt;&gt;"Valid"),"",INT($D293-$C293))</x:f>
        <x:v>5</x:v>
      </x:c>
      <x:c r="AA293" s="86" t="str">
        <x:f>IF($AH293&lt;&gt;"Valid","",TEXT($C293,"mmmm"))</x:f>
        <x:v>April</x:v>
      </x:c>
      <x:c r="AB293" s="82" t="n">
        <x:f>IF($AH293&lt;&gt;"Valid","",YEAR($C293))</x:f>
        <x:v>2024</x:v>
      </x:c>
      <x:c r="AC293" s="80" t="str">
        <x:v>Consistent</x:v>
      </x:c>
      <x:c r="AD293" s="80" t="str">
        <x:v>Eligible</x:v>
      </x:c>
      <x:c r="AE293" s="80" t="str">
        <x:f>IF(OR($AH293&lt;&gt;"Valid",$AI293&lt;&gt;"Valid",$AJ293&lt;&gt;"Valid",LEFT($AM293,7)="Invalid",IFERROR(ABS($AQ293)&gt;0.01,FALSE),IFERROR(ABS($AR293)&gt;0.01,FALSE),COUNTIF($AS293,"*Conflicting duplicate*")&gt;0,COUNTIF($AS293,"*Completed order not paid*")&gt;0),"Invalid",IF(OR($H293="Unknown",$N293="Unknown",$AM293="Missing discount imputed as 0"),"Warning","Clean"))</x:f>
        <x:v>Clean</x:v>
      </x:c>
      <x:c r="AF293" s="80" t="str">
        <x:v>Pass</x:v>
      </x:c>
      <x:c r="AG293" s="80" t="str">
        <x:v>No text cleanup required</x:v>
      </x:c>
      <x:c r="AH293" s="12" t="str">
        <x:f>IF(C293="","Missing date",IF(ISNUMBER(C293),"Valid","Unrecognized/invalid date"))</x:f>
        <x:v>Valid</x:v>
      </x:c>
      <x:c r="AI293" s="12" t="str">
        <x:f>IF(D293="","Missing date",IF(ISNUMBER(D293),"Valid","Unrecognized/invalid date"))</x:f>
        <x:v>Valid</x:v>
      </x:c>
      <x:c r="AJ293" s="12" t="str">
        <x:v>Valid</x:v>
      </x:c>
      <x:c r="AK293" s="12" t="str">
        <x:v>Pass</x:v>
      </x:c>
      <x:c r="AL293" s="12" t="str">
        <x:v>None</x:v>
      </x:c>
      <x:c r="AM293" s="12" t="str">
        <x:v>Valid</x:v>
      </x:c>
      <x:c r="AN293" s="12" t="str">
        <x:v>Include in completed sales</x:v>
      </x:c>
      <x:c r="AO293" s="12" t="str">
        <x:v>Not a refunded record</x:v>
      </x:c>
      <x:c r="AP293" s="37" t="n">
        <x:f>IF(LEFT($AM293,7)="Invalid","",IF($AM293="Missing discount imputed as 0",IF(AND(COUNT($O293,$P293,$R293,$S293)=4,$O293&gt;0,$P293&gt;=0,$R293&gt;=0,$S293&gt;=0),0,""),IF(AND(ISNUMBER($Q293),$Q293&gt;=0,$Q293&lt;=0.5),$Q293,"")))</x:f>
        <x:v>0.25</x:v>
      </x:c>
      <x:c r="AQ293" s="152" t="n">
        <x:f>IF(OR($W293="",NOT(ISNUMBER($R293))),"",ROUND($R293-$W293,2))</x:f>
        <x:v>0</x:v>
      </x:c>
      <x:c r="AR293" s="152" t="n">
        <x:f>IF(OR($X293="",NOT(ISNUMBER($T293))),"",ROUND($T293-$X293,2))</x:f>
        <x:v>0</x:v>
      </x:c>
      <x:c r="AS293" s="14" t="str">
        <x:v>OK</x:v>
      </x:c>
    </x:row>
    <x:row r="294">
      <x:c r="A294" s="80" t="n">
        <x:v>294</x:v>
      </x:c>
      <x:c r="B294" s="80" t="str">
        <x:v>ORD-2025-10293</x:v>
      </x:c>
      <x:c r="C294" s="81" t="n">
        <x:v>45716</x:v>
      </x:c>
      <x:c r="D294" s="81" t="n">
        <x:v>45719</x:v>
      </x:c>
      <x:c r="E294" s="80" t="str">
        <x:v>CUST-7837</x:v>
      </x:c>
      <x:c r="F294" s="80" t="str">
        <x:v>Kabir Singh</x:v>
      </x:c>
      <x:c r="G294" s="80" t="str">
        <x:v>Home Office</x:v>
      </x:c>
      <x:c r="H294" s="80" t="str">
        <x:v>North</x:v>
      </x:c>
      <x:c r="I294" s="80" t="str">
        <x:v>Haryana</x:v>
      </x:c>
      <x:c r="J294" s="80" t="str">
        <x:v>Gurugram</x:v>
      </x:c>
      <x:c r="K294" s="80" t="str">
        <x:v>Office Supplies</x:v>
      </x:c>
      <x:c r="L294" s="80" t="str">
        <x:v>Art</x:v>
      </x:c>
      <x:c r="M294" s="80" t="str">
        <x:v>Classic Art 183</x:v>
      </x:c>
      <x:c r="N294" s="80" t="str">
        <x:v>Same Day</x:v>
      </x:c>
      <x:c r="O294" s="82" t="n">
        <x:v>9</x:v>
      </x:c>
      <x:c r="P294" s="83" t="n">
        <x:v>3748.95</x:v>
      </x:c>
      <x:c r="Q294" s="84" t="n">
        <x:v>0</x:v>
      </x:c>
      <x:c r="R294" s="83" t="n">
        <x:v>33740.55</x:v>
      </x:c>
      <x:c r="S294" s="83" t="n">
        <x:v>24621.89</x:v>
      </x:c>
      <x:c r="T294" s="83" t="n">
        <x:v>9118.66</x:v>
      </x:c>
      <x:c r="U294" s="83" t="str">
        <x:v>Pending</x:v>
      </x:c>
      <x:c r="V294" s="83" t="str">
        <x:v>Cancelled</x:v>
      </x:c>
      <x:c r="W294" s="151" t="n">
        <x:f>IF(OR(NOT(ISNUMBER($AP294)),COUNT($O294,$P294)&lt;2,$O294&lt;=0,$P294&lt;0),"",ROUND($O294*$P294*(1-$AP294),2))</x:f>
        <x:v>33740.55</x:v>
      </x:c>
      <x:c r="X294" s="151" t="n">
        <x:f>IF(OR(NOT(ISNUMBER($W294)),NOT(ISNUMBER($S294))),"",ROUND($W294-$S294,2))</x:f>
        <x:v>9118.66</x:v>
      </x:c>
      <x:c r="Y294" s="85" t="n">
        <x:f>IF(OR(NOT(ISNUMBER($W294)),NOT(ISNUMBER($X294)),$W294=0),"",ROUND($X294/$W294,4))</x:f>
        <x:v>0.2703</x:v>
      </x:c>
      <x:c r="Z294" s="82" t="n">
        <x:f>IF(OR($AH294&lt;&gt;"Valid",$AI294&lt;&gt;"Valid"),"",INT($D294-$C294))</x:f>
        <x:v>3</x:v>
      </x:c>
      <x:c r="AA294" s="86" t="str">
        <x:f>IF($AH294&lt;&gt;"Valid","",TEXT($C294,"mmmm"))</x:f>
        <x:v>February</x:v>
      </x:c>
      <x:c r="AB294" s="82" t="n">
        <x:f>IF($AH294&lt;&gt;"Valid","",YEAR($C294))</x:f>
        <x:v>2025</x:v>
      </x:c>
      <x:c r="AC294" s="80" t="str">
        <x:v>Cancelled (excluded from completed-sales summary)</x:v>
      </x:c>
      <x:c r="AD294" s="80" t="str">
        <x:v>Excluded</x:v>
      </x:c>
      <x:c r="AE294" s="80" t="str">
        <x:f>IF(OR($AH294&lt;&gt;"Valid",$AI294&lt;&gt;"Valid",$AJ294&lt;&gt;"Valid",LEFT($AM294,7)="Invalid",IFERROR(ABS($AQ294)&gt;0.01,FALSE),IFERROR(ABS($AR294)&gt;0.01,FALSE),COUNTIF($AS294,"*Conflicting duplicate*")&gt;0,COUNTIF($AS294,"*Completed order not paid*")&gt;0),"Invalid",IF(OR($H294="Unknown",$N294="Unknown",$AM294="Missing discount imputed as 0"),"Warning","Clean"))</x:f>
        <x:v>Clean</x:v>
      </x:c>
      <x:c r="AF294" s="80" t="str">
        <x:v>Pass</x:v>
      </x:c>
      <x:c r="AG294" s="80" t="str">
        <x:v>No text cleanup required</x:v>
      </x:c>
      <x:c r="AH294" s="12" t="str">
        <x:f>IF(C294="","Missing date",IF(ISNUMBER(C294),"Valid","Unrecognized/invalid date"))</x:f>
        <x:v>Valid</x:v>
      </x:c>
      <x:c r="AI294" s="12" t="str">
        <x:f>IF(D294="","Missing date",IF(ISNUMBER(D294),"Valid","Unrecognized/invalid date"))</x:f>
        <x:v>Valid</x:v>
      </x:c>
      <x:c r="AJ294" s="12" t="str">
        <x:v>Valid</x:v>
      </x:c>
      <x:c r="AK294" s="12" t="str">
        <x:v>Pass</x:v>
      </x:c>
      <x:c r="AL294" s="12" t="str">
        <x:v>Cancelled order – excluded from completed sales</x:v>
      </x:c>
      <x:c r="AM294" s="12" t="str">
        <x:v>Valid</x:v>
      </x:c>
      <x:c r="AN294" s="12" t="str">
        <x:v>Exclude from completed sales</x:v>
      </x:c>
      <x:c r="AO294" s="12" t="str">
        <x:v>Not a refunded record</x:v>
      </x:c>
      <x:c r="AP294" s="37" t="n">
        <x:f>IF(LEFT($AM294,7)="Invalid","",IF($AM294="Missing discount imputed as 0",IF(AND(COUNT($O294,$P294,$R294,$S294)=4,$O294&gt;0,$P294&gt;=0,$R294&gt;=0,$S294&gt;=0),0,""),IF(AND(ISNUMBER($Q294),$Q294&gt;=0,$Q294&lt;=0.5),$Q294,"")))</x:f>
        <x:v>0</x:v>
      </x:c>
      <x:c r="AQ294" s="152" t="n">
        <x:f>IF(OR($W294="",NOT(ISNUMBER($R294))),"",ROUND($R294-$W294,2))</x:f>
        <x:v>0</x:v>
      </x:c>
      <x:c r="AR294" s="152" t="n">
        <x:f>IF(OR($X294="",NOT(ISNUMBER($T294))),"",ROUND($T294-$X294,2))</x:f>
        <x:v>0</x:v>
      </x:c>
      <x:c r="AS294" s="14" t="str">
        <x:v>OK</x:v>
      </x:c>
    </x:row>
    <x:row r="295">
      <x:c r="A295" s="80" t="n">
        <x:v>295</x:v>
      </x:c>
      <x:c r="B295" s="80" t="str">
        <x:v>ORD-2024-10294</x:v>
      </x:c>
      <x:c r="C295" s="81" t="n">
        <x:v>45358</x:v>
      </x:c>
      <x:c r="D295" s="81" t="n">
        <x:v>45362</x:v>
      </x:c>
      <x:c r="E295" s="80" t="str">
        <x:v>CUST-7010</x:v>
      </x:c>
      <x:c r="F295" s="80" t="str">
        <x:v>Arjun Bose</x:v>
      </x:c>
      <x:c r="G295" s="80" t="str">
        <x:v>Home Office</x:v>
      </x:c>
      <x:c r="H295" s="80" t="str">
        <x:v>South</x:v>
      </x:c>
      <x:c r="I295" s="80" t="str">
        <x:v>Telangana</x:v>
      </x:c>
      <x:c r="J295" s="80" t="str">
        <x:v>Hyderabad</x:v>
      </x:c>
      <x:c r="K295" s="80" t="str">
        <x:v>Technology</x:v>
      </x:c>
      <x:c r="L295" s="80" t="str">
        <x:v>Phones</x:v>
      </x:c>
      <x:c r="M295" s="80" t="str">
        <x:v>Pro Phones 455</x:v>
      </x:c>
      <x:c r="N295" s="80" t="str">
        <x:v>First Class</x:v>
      </x:c>
      <x:c r="O295" s="82" t="n">
        <x:v>2</x:v>
      </x:c>
      <x:c r="P295" s="83" t="n">
        <x:v>4401.51</x:v>
      </x:c>
      <x:c r="Q295" s="84" t="n">
        <x:v>0.65</x:v>
      </x:c>
      <x:c r="R295" s="83" t="n">
        <x:v>8362.87</x:v>
      </x:c>
      <x:c r="S295" s="83" t="n">
        <x:v>6541.04</x:v>
      </x:c>
      <x:c r="T295" s="83" t="n">
        <x:v>1821.83</x:v>
      </x:c>
      <x:c r="U295" s="83" t="str">
        <x:v>Paid</x:v>
      </x:c>
      <x:c r="V295" s="83" t="str">
        <x:v>Completed</x:v>
      </x:c>
      <x:c r="W295" s="151" t="str">
        <x:f>IF(OR(NOT(ISNUMBER($AP295)),COUNT($O295,$P295)&lt;2,$O295&lt;=0,$P295&lt;0),"",ROUND($O295*$P295*(1-$AP295),2))</x:f>
      </x:c>
      <x:c r="X295" s="151" t="str">
        <x:f>IF(OR(NOT(ISNUMBER($W295)),NOT(ISNUMBER($S295))),"",ROUND($W295-$S295,2))</x:f>
      </x:c>
      <x:c r="Y295" s="85" t="str">
        <x:f>IF(OR(NOT(ISNUMBER($W295)),NOT(ISNUMBER($X295)),$W295=0),"",ROUND($X295/$W295,4))</x:f>
      </x:c>
      <x:c r="Z295" s="82" t="n">
        <x:f>IF(OR($AH295&lt;&gt;"Valid",$AI295&lt;&gt;"Valid"),"",INT($D295-$C295))</x:f>
        <x:v>4</x:v>
      </x:c>
      <x:c r="AA295" s="86" t="str">
        <x:f>IF($AH295&lt;&gt;"Valid","",TEXT($C295,"mmmm"))</x:f>
        <x:v>March</x:v>
      </x:c>
      <x:c r="AB295" s="82" t="n">
        <x:f>IF($AH295&lt;&gt;"Valid","",YEAR($C295))</x:f>
        <x:v>2024</x:v>
      </x:c>
      <x:c r="AC295" s="80" t="str">
        <x:v>Consistent</x:v>
      </x:c>
      <x:c r="AD295" s="80" t="str">
        <x:v>Excluded</x:v>
      </x:c>
      <x:c r="AE295" s="80" t="str">
        <x:f>IF(OR($AH295&lt;&gt;"Valid",$AI295&lt;&gt;"Valid",$AJ295&lt;&gt;"Valid",LEFT($AM295,7)="Invalid",IFERROR(ABS($AQ295)&gt;0.01,FALSE),IFERROR(ABS($AR295)&gt;0.01,FALSE),COUNTIF($AS295,"*Conflicting duplicate*")&gt;0,COUNTIF($AS295,"*Completed order not paid*")&gt;0),"Invalid",IF(OR($H295="Unknown",$N295="Unknown",$AM295="Missing discount imputed as 0"),"Warning","Clean"))</x:f>
        <x:v>Invalid</x:v>
      </x:c>
      <x:c r="AF295" s="80" t="str">
        <x:v>Review</x:v>
      </x:c>
      <x:c r="AG295" s="80" t="str">
        <x:v>No text cleanup required</x:v>
      </x:c>
      <x:c r="AH295" s="12" t="str">
        <x:f>IF(C295="","Missing date",IF(ISNUMBER(C295),"Valid","Unrecognized/invalid date"))</x:f>
        <x:v>Valid</x:v>
      </x:c>
      <x:c r="AI295" s="12" t="str">
        <x:f>IF(D295="","Missing date",IF(ISNUMBER(D295),"Valid","Unrecognized/invalid date"))</x:f>
        <x:v>Valid</x:v>
      </x:c>
      <x:c r="AJ295" s="12" t="str">
        <x:v>Valid</x:v>
      </x:c>
      <x:c r="AK295" s="12" t="str">
        <x:v>Pass</x:v>
      </x:c>
      <x:c r="AL295" s="12" t="str">
        <x:v>None</x:v>
      </x:c>
      <x:c r="AM295" s="12" t="str">
        <x:v>Invalid discount – above 50% allowed range</x:v>
      </x:c>
      <x:c r="AN295" s="12" t="str">
        <x:v>Exclude from completed sales</x:v>
      </x:c>
      <x:c r="AO295" s="12" t="str">
        <x:v>Not a refunded record</x:v>
      </x:c>
      <x:c r="AP295" s="37" t="str">
        <x:f>IF(LEFT($AM295,7)="Invalid","",IF($AM295="Missing discount imputed as 0",IF(AND(COUNT($O295,$P295,$R295,$S295)=4,$O295&gt;0,$P295&gt;=0,$R295&gt;=0,$S295&gt;=0),0,""),IF(AND(ISNUMBER($Q295),$Q295&gt;=0,$Q295&lt;=0.5),$Q295,"")))</x:f>
      </x:c>
      <x:c r="AQ295" s="152" t="str">
        <x:f>IF(OR($W295="",NOT(ISNUMBER($R295))),"",ROUND($R295-$W295,2))</x:f>
      </x:c>
      <x:c r="AR295" s="152" t="str">
        <x:f>IF(OR($X295="",NOT(ISNUMBER($T295))),"",ROUND($T295-$X295,2))</x:f>
      </x:c>
      <x:c r="AS295" s="14" t="str">
        <x:v>Discount above allowed range (&gt;50%)</x:v>
      </x:c>
    </x:row>
    <x:row r="296">
      <x:c r="A296" s="80" t="n">
        <x:v>296</x:v>
      </x:c>
      <x:c r="B296" s="80" t="str">
        <x:v>ORD-2025-10295</x:v>
      </x:c>
      <x:c r="C296" s="81" t="n">
        <x:v>45854</x:v>
      </x:c>
      <x:c r="D296" s="81" t="n">
        <x:v>45860</x:v>
      </x:c>
      <x:c r="E296" s="80" t="str">
        <x:v>CUST-4755</x:v>
      </x:c>
      <x:c r="F296" s="80" t="str">
        <x:v>Priya Menon</x:v>
      </x:c>
      <x:c r="G296" s="80" t="str">
        <x:v>Consumer</x:v>
      </x:c>
      <x:c r="H296" s="80" t="str">
        <x:v>East</x:v>
      </x:c>
      <x:c r="I296" s="80" t="str">
        <x:v>Odisha</x:v>
      </x:c>
      <x:c r="J296" s="80" t="str">
        <x:v>Bhubaneswar</x:v>
      </x:c>
      <x:c r="K296" s="80" t="str">
        <x:v>Technology</x:v>
      </x:c>
      <x:c r="L296" s="80" t="str">
        <x:v>Phones</x:v>
      </x:c>
      <x:c r="M296" s="80" t="str">
        <x:v>Basic Phones 326</x:v>
      </x:c>
      <x:c r="N296" s="80" t="str">
        <x:v>Second Class</x:v>
      </x:c>
      <x:c r="O296" s="82" t="n">
        <x:v>6</x:v>
      </x:c>
      <x:c r="P296" s="83" t="n">
        <x:v>4159.33</x:v>
      </x:c>
      <x:c r="Q296" s="84" t="n">
        <x:v>0.25</x:v>
      </x:c>
      <x:c r="R296" s="83" t="n">
        <x:v>18716.99</x:v>
      </x:c>
      <x:c r="S296" s="83" t="n">
        <x:v>12282.43</x:v>
      </x:c>
      <x:c r="T296" s="83" t="n">
        <x:v>6434.56</x:v>
      </x:c>
      <x:c r="U296" s="83" t="str">
        <x:v>Paid</x:v>
      </x:c>
      <x:c r="V296" s="83" t="str">
        <x:v>Returned</x:v>
      </x:c>
      <x:c r="W296" s="151" t="n">
        <x:f>IF(OR(NOT(ISNUMBER($AP296)),COUNT($O296,$P296)&lt;2,$O296&lt;=0,$P296&lt;0),"",ROUND($O296*$P296*(1-$AP296),2))</x:f>
        <x:v>18716.99</x:v>
      </x:c>
      <x:c r="X296" s="151" t="n">
        <x:f>IF(OR(NOT(ISNUMBER($W296)),NOT(ISNUMBER($S296))),"",ROUND($W296-$S296,2))</x:f>
        <x:v>6434.56</x:v>
      </x:c>
      <x:c r="Y296" s="85" t="n">
        <x:f>IF(OR(NOT(ISNUMBER($W296)),NOT(ISNUMBER($X296)),$W296=0),"",ROUND($X296/$W296,4))</x:f>
        <x:v>0.3438</x:v>
      </x:c>
      <x:c r="Z296" s="82" t="n">
        <x:f>IF(OR($AH296&lt;&gt;"Valid",$AI296&lt;&gt;"Valid"),"",INT($D296-$C296))</x:f>
        <x:v>6</x:v>
      </x:c>
      <x:c r="AA296" s="86" t="str">
        <x:f>IF($AH296&lt;&gt;"Valid","",TEXT($C296,"mmmm"))</x:f>
        <x:v>July</x:v>
      </x:c>
      <x:c r="AB296" s="82" t="n">
        <x:f>IF($AH296&lt;&gt;"Valid","",YEAR($C296))</x:f>
        <x:v>2025</x:v>
      </x:c>
      <x:c r="AC296" s="80" t="str">
        <x:v>Consistent</x:v>
      </x:c>
      <x:c r="AD296" s="80" t="str">
        <x:v>Excluded</x:v>
      </x:c>
      <x:c r="AE296" s="80" t="str">
        <x:f>IF(OR($AH296&lt;&gt;"Valid",$AI296&lt;&gt;"Valid",$AJ296&lt;&gt;"Valid",LEFT($AM296,7)="Invalid",IFERROR(ABS($AQ296)&gt;0.01,FALSE),IFERROR(ABS($AR296)&gt;0.01,FALSE),COUNTIF($AS296,"*Conflicting duplicate*")&gt;0,COUNTIF($AS296,"*Completed order not paid*")&gt;0),"Invalid",IF(OR($H296="Unknown",$N296="Unknown",$AM296="Missing discount imputed as 0"),"Warning","Clean"))</x:f>
        <x:v>Clean</x:v>
      </x:c>
      <x:c r="AF296" s="80" t="str">
        <x:v>Pass</x:v>
      </x:c>
      <x:c r="AG296" s="80" t="str">
        <x:v>No text cleanup required</x:v>
      </x:c>
      <x:c r="AH296" s="12" t="str">
        <x:f>IF(C296="","Missing date",IF(ISNUMBER(C296),"Valid","Unrecognized/invalid date"))</x:f>
        <x:v>Valid</x:v>
      </x:c>
      <x:c r="AI296" s="12" t="str">
        <x:f>IF(D296="","Missing date",IF(ISNUMBER(D296),"Valid","Unrecognized/invalid date"))</x:f>
        <x:v>Valid</x:v>
      </x:c>
      <x:c r="AJ296" s="12" t="str">
        <x:v>Valid</x:v>
      </x:c>
      <x:c r="AK296" s="12" t="str">
        <x:v>Pass</x:v>
      </x:c>
      <x:c r="AL296" s="12" t="str">
        <x:v>None</x:v>
      </x:c>
      <x:c r="AM296" s="12" t="str">
        <x:v>Valid</x:v>
      </x:c>
      <x:c r="AN296" s="12" t="str">
        <x:v>Exclude from completed sales</x:v>
      </x:c>
      <x:c r="AO296" s="12" t="str">
        <x:v>Not a refunded record</x:v>
      </x:c>
      <x:c r="AP296" s="37" t="n">
        <x:f>IF(LEFT($AM296,7)="Invalid","",IF($AM296="Missing discount imputed as 0",IF(AND(COUNT($O296,$P296,$R296,$S296)=4,$O296&gt;0,$P296&gt;=0,$R296&gt;=0,$S296&gt;=0),0,""),IF(AND(ISNUMBER($Q296),$Q296&gt;=0,$Q296&lt;=0.5),$Q296,"")))</x:f>
        <x:v>0.25</x:v>
      </x:c>
      <x:c r="AQ296" s="152" t="n">
        <x:f>IF(OR($W296="",NOT(ISNUMBER($R296))),"",ROUND($R296-$W296,2))</x:f>
        <x:v>0</x:v>
      </x:c>
      <x:c r="AR296" s="152" t="n">
        <x:f>IF(OR($X296="",NOT(ISNUMBER($T296))),"",ROUND($T296-$X296,2))</x:f>
        <x:v>0</x:v>
      </x:c>
      <x:c r="AS296" s="14" t="str">
        <x:v>OK</x:v>
      </x:c>
    </x:row>
    <x:row r="297">
      <x:c r="A297" s="80" t="n">
        <x:v>297</x:v>
      </x:c>
      <x:c r="B297" s="80" t="str">
        <x:v>ORD-2025-10296</x:v>
      </x:c>
      <x:c r="C297" s="81" t="n">
        <x:v>45833</x:v>
      </x:c>
      <x:c r="D297" s="81" t="n">
        <x:v>45836</x:v>
      </x:c>
      <x:c r="E297" s="80" t="str">
        <x:v>CUST-6778</x:v>
      </x:c>
      <x:c r="F297" s="80" t="str">
        <x:v>Aditi Sen</x:v>
      </x:c>
      <x:c r="G297" s="80" t="str">
        <x:v>Small Business</x:v>
      </x:c>
      <x:c r="H297" s="80" t="str">
        <x:v>East</x:v>
      </x:c>
      <x:c r="I297" s="80" t="str">
        <x:v>Assam</x:v>
      </x:c>
      <x:c r="J297" s="80" t="str">
        <x:v>Guwahati</x:v>
      </x:c>
      <x:c r="K297" s="80" t="str">
        <x:v>Office Supplies</x:v>
      </x:c>
      <x:c r="L297" s="80" t="str">
        <x:v>Binders</x:v>
      </x:c>
      <x:c r="M297" s="80" t="str">
        <x:v>Max Binders 587</x:v>
      </x:c>
      <x:c r="N297" s="80" t="str">
        <x:v>Standard Class</x:v>
      </x:c>
      <x:c r="O297" s="82" t="n">
        <x:v>3</x:v>
      </x:c>
      <x:c r="P297" s="83" t="n">
        <x:v>3476.05</x:v>
      </x:c>
      <x:c r="Q297" s="84" t="n">
        <x:v>0.1</x:v>
      </x:c>
      <x:c r="R297" s="83" t="n">
        <x:v>9385.34</x:v>
      </x:c>
      <x:c r="S297" s="83" t="n">
        <x:v>5828.54</x:v>
      </x:c>
      <x:c r="T297" s="83" t="n">
        <x:v>3556.8</x:v>
      </x:c>
      <x:c r="U297" s="83" t="str">
        <x:v>Paid</x:v>
      </x:c>
      <x:c r="V297" s="83" t="str">
        <x:v>Completed</x:v>
      </x:c>
      <x:c r="W297" s="151" t="n">
        <x:f>IF(OR(NOT(ISNUMBER($AP297)),COUNT($O297,$P297)&lt;2,$O297&lt;=0,$P297&lt;0),"",ROUND($O297*$P297*(1-$AP297),2))</x:f>
        <x:v>9385.34</x:v>
      </x:c>
      <x:c r="X297" s="151" t="n">
        <x:f>IF(OR(NOT(ISNUMBER($W297)),NOT(ISNUMBER($S297))),"",ROUND($W297-$S297,2))</x:f>
        <x:v>3556.8</x:v>
      </x:c>
      <x:c r="Y297" s="85" t="n">
        <x:f>IF(OR(NOT(ISNUMBER($W297)),NOT(ISNUMBER($X297)),$W297=0),"",ROUND($X297/$W297,4))</x:f>
        <x:v>0.379</x:v>
      </x:c>
      <x:c r="Z297" s="82" t="n">
        <x:f>IF(OR($AH297&lt;&gt;"Valid",$AI297&lt;&gt;"Valid"),"",INT($D297-$C297))</x:f>
        <x:v>3</x:v>
      </x:c>
      <x:c r="AA297" s="86" t="str">
        <x:f>IF($AH297&lt;&gt;"Valid","",TEXT($C297,"mmmm"))</x:f>
        <x:v>June</x:v>
      </x:c>
      <x:c r="AB297" s="82" t="n">
        <x:f>IF($AH297&lt;&gt;"Valid","",YEAR($C297))</x:f>
        <x:v>2025</x:v>
      </x:c>
      <x:c r="AC297" s="80" t="str">
        <x:v>Consistent</x:v>
      </x:c>
      <x:c r="AD297" s="80" t="str">
        <x:v>Eligible</x:v>
      </x:c>
      <x:c r="AE297" s="80" t="str">
        <x:f>IF(OR($AH297&lt;&gt;"Valid",$AI297&lt;&gt;"Valid",$AJ297&lt;&gt;"Valid",LEFT($AM297,7)="Invalid",IFERROR(ABS($AQ297)&gt;0.01,FALSE),IFERROR(ABS($AR297)&gt;0.01,FALSE),COUNTIF($AS297,"*Conflicting duplicate*")&gt;0,COUNTIF($AS297,"*Completed order not paid*")&gt;0),"Invalid",IF(OR($H297="Unknown",$N297="Unknown",$AM297="Missing discount imputed as 0"),"Warning","Clean"))</x:f>
        <x:v>Clean</x:v>
      </x:c>
      <x:c r="AF297" s="80" t="str">
        <x:v>Pass</x:v>
      </x:c>
      <x:c r="AG297" s="80" t="str">
        <x:v>No text cleanup required</x:v>
      </x:c>
      <x:c r="AH297" s="12" t="str">
        <x:f>IF(C297="","Missing date",IF(ISNUMBER(C297),"Valid","Unrecognized/invalid date"))</x:f>
        <x:v>Valid</x:v>
      </x:c>
      <x:c r="AI297" s="12" t="str">
        <x:f>IF(D297="","Missing date",IF(ISNUMBER(D297),"Valid","Unrecognized/invalid date"))</x:f>
        <x:v>Valid</x:v>
      </x:c>
      <x:c r="AJ297" s="12" t="str">
        <x:v>Valid</x:v>
      </x:c>
      <x:c r="AK297" s="12" t="str">
        <x:v>Pass</x:v>
      </x:c>
      <x:c r="AL297" s="12" t="str">
        <x:v>None</x:v>
      </x:c>
      <x:c r="AM297" s="12" t="str">
        <x:v>Valid</x:v>
      </x:c>
      <x:c r="AN297" s="12" t="str">
        <x:v>Include in completed sales</x:v>
      </x:c>
      <x:c r="AO297" s="12" t="str">
        <x:v>Not a refunded record</x:v>
      </x:c>
      <x:c r="AP297" s="37" t="n">
        <x:f>IF(LEFT($AM297,7)="Invalid","",IF($AM297="Missing discount imputed as 0",IF(AND(COUNT($O297,$P297,$R297,$S297)=4,$O297&gt;0,$P297&gt;=0,$R297&gt;=0,$S297&gt;=0),0,""),IF(AND(ISNUMBER($Q297),$Q297&gt;=0,$Q297&lt;=0.5),$Q297,"")))</x:f>
        <x:v>0.1</x:v>
      </x:c>
      <x:c r="AQ297" s="152" t="n">
        <x:f>IF(OR($W297="",NOT(ISNUMBER($R297))),"",ROUND($R297-$W297,2))</x:f>
        <x:v>0</x:v>
      </x:c>
      <x:c r="AR297" s="152" t="n">
        <x:f>IF(OR($X297="",NOT(ISNUMBER($T297))),"",ROUND($T297-$X297,2))</x:f>
        <x:v>0</x:v>
      </x:c>
      <x:c r="AS297" s="14" t="str">
        <x:v>OK</x:v>
      </x:c>
    </x:row>
    <x:row r="298">
      <x:c r="A298" s="80" t="n">
        <x:v>298</x:v>
      </x:c>
      <x:c r="B298" s="80" t="str">
        <x:v>ORD-2025-10297</x:v>
      </x:c>
      <x:c r="C298" s="81" t="n">
        <x:v>45801</x:v>
      </x:c>
      <x:c r="D298" s="81" t="n">
        <x:v>45803</x:v>
      </x:c>
      <x:c r="E298" s="80" t="str">
        <x:v>CUST-7629</x:v>
      </x:c>
      <x:c r="F298" s="80" t="str">
        <x:v>Aditi Sen</x:v>
      </x:c>
      <x:c r="G298" s="80" t="str">
        <x:v>Home Office</x:v>
      </x:c>
      <x:c r="H298" s="80" t="str">
        <x:v>North</x:v>
      </x:c>
      <x:c r="I298" s="80" t="str">
        <x:v>Haryana</x:v>
      </x:c>
      <x:c r="J298" s="80" t="str">
        <x:v>Gurugram</x:v>
      </x:c>
      <x:c r="K298" s="80" t="str">
        <x:v>Furniture</x:v>
      </x:c>
      <x:c r="L298" s="80" t="str">
        <x:v>Furnishings</x:v>
      </x:c>
      <x:c r="M298" s="80" t="str">
        <x:v>Basic Furnishings 617</x:v>
      </x:c>
      <x:c r="N298" s="80" t="str">
        <x:v>Same Day</x:v>
      </x:c>
      <x:c r="O298" s="82" t="n">
        <x:v>6</x:v>
      </x:c>
      <x:c r="P298" s="83" t="n">
        <x:v>3495.41</x:v>
      </x:c>
      <x:c r="Q298" s="84" t="n">
        <x:v>0.15</x:v>
      </x:c>
      <x:c r="R298" s="83" t="n">
        <x:v>17826.59</x:v>
      </x:c>
      <x:c r="S298" s="83" t="n">
        <x:v>10855.35</x:v>
      </x:c>
      <x:c r="T298" s="83" t="n">
        <x:v>6971.24</x:v>
      </x:c>
      <x:c r="U298" s="83" t="str">
        <x:v>Paid</x:v>
      </x:c>
      <x:c r="V298" s="83" t="str">
        <x:v>Completed</x:v>
      </x:c>
      <x:c r="W298" s="151" t="n">
        <x:f>IF(OR(NOT(ISNUMBER($AP298)),COUNT($O298,$P298)&lt;2,$O298&lt;=0,$P298&lt;0),"",ROUND($O298*$P298*(1-$AP298),2))</x:f>
        <x:v>17826.59</x:v>
      </x:c>
      <x:c r="X298" s="151" t="n">
        <x:f>IF(OR(NOT(ISNUMBER($W298)),NOT(ISNUMBER($S298))),"",ROUND($W298-$S298,2))</x:f>
        <x:v>6971.24</x:v>
      </x:c>
      <x:c r="Y298" s="85" t="n">
        <x:f>IF(OR(NOT(ISNUMBER($W298)),NOT(ISNUMBER($X298)),$W298=0),"",ROUND($X298/$W298,4))</x:f>
        <x:v>0.3911</x:v>
      </x:c>
      <x:c r="Z298" s="82" t="n">
        <x:f>IF(OR($AH298&lt;&gt;"Valid",$AI298&lt;&gt;"Valid"),"",INT($D298-$C298))</x:f>
        <x:v>2</x:v>
      </x:c>
      <x:c r="AA298" s="86" t="str">
        <x:f>IF($AH298&lt;&gt;"Valid","",TEXT($C298,"mmmm"))</x:f>
        <x:v>May</x:v>
      </x:c>
      <x:c r="AB298" s="82" t="n">
        <x:f>IF($AH298&lt;&gt;"Valid","",YEAR($C298))</x:f>
        <x:v>2025</x:v>
      </x:c>
      <x:c r="AC298" s="80" t="str">
        <x:v>Consistent</x:v>
      </x:c>
      <x:c r="AD298" s="80" t="str">
        <x:v>Eligible</x:v>
      </x:c>
      <x:c r="AE298" s="80" t="str">
        <x:f>IF(OR($AH298&lt;&gt;"Valid",$AI298&lt;&gt;"Valid",$AJ298&lt;&gt;"Valid",LEFT($AM298,7)="Invalid",IFERROR(ABS($AQ298)&gt;0.01,FALSE),IFERROR(ABS($AR298)&gt;0.01,FALSE),COUNTIF($AS298,"*Conflicting duplicate*")&gt;0,COUNTIF($AS298,"*Completed order not paid*")&gt;0),"Invalid",IF(OR($H298="Unknown",$N298="Unknown",$AM298="Missing discount imputed as 0"),"Warning","Clean"))</x:f>
        <x:v>Clean</x:v>
      </x:c>
      <x:c r="AF298" s="80" t="str">
        <x:v>Pass</x:v>
      </x:c>
      <x:c r="AG298" s="80" t="str">
        <x:v>No text cleanup required</x:v>
      </x:c>
      <x:c r="AH298" s="12" t="str">
        <x:f>IF(C298="","Missing date",IF(ISNUMBER(C298),"Valid","Unrecognized/invalid date"))</x:f>
        <x:v>Valid</x:v>
      </x:c>
      <x:c r="AI298" s="12" t="str">
        <x:f>IF(D298="","Missing date",IF(ISNUMBER(D298),"Valid","Unrecognized/invalid date"))</x:f>
        <x:v>Valid</x:v>
      </x:c>
      <x:c r="AJ298" s="12" t="str">
        <x:v>Valid</x:v>
      </x:c>
      <x:c r="AK298" s="12" t="str">
        <x:v>Pass</x:v>
      </x:c>
      <x:c r="AL298" s="12" t="str">
        <x:v>None</x:v>
      </x:c>
      <x:c r="AM298" s="12" t="str">
        <x:v>Valid</x:v>
      </x:c>
      <x:c r="AN298" s="12" t="str">
        <x:v>Include in completed sales</x:v>
      </x:c>
      <x:c r="AO298" s="12" t="str">
        <x:v>Not a refunded record</x:v>
      </x:c>
      <x:c r="AP298" s="37" t="n">
        <x:f>IF(LEFT($AM298,7)="Invalid","",IF($AM298="Missing discount imputed as 0",IF(AND(COUNT($O298,$P298,$R298,$S298)=4,$O298&gt;0,$P298&gt;=0,$R298&gt;=0,$S298&gt;=0),0,""),IF(AND(ISNUMBER($Q298),$Q298&gt;=0,$Q298&lt;=0.5),$Q298,"")))</x:f>
        <x:v>0.15</x:v>
      </x:c>
      <x:c r="AQ298" s="152" t="n">
        <x:f>IF(OR($W298="",NOT(ISNUMBER($R298))),"",ROUND($R298-$W298,2))</x:f>
        <x:v>0</x:v>
      </x:c>
      <x:c r="AR298" s="152" t="n">
        <x:f>IF(OR($X298="",NOT(ISNUMBER($T298))),"",ROUND($T298-$X298,2))</x:f>
        <x:v>0</x:v>
      </x:c>
      <x:c r="AS298" s="14" t="str">
        <x:v>OK</x:v>
      </x:c>
    </x:row>
    <x:row r="299">
      <x:c r="A299" s="80" t="n">
        <x:v>299</x:v>
      </x:c>
      <x:c r="B299" s="80" t="str">
        <x:v>ORD-2024-10298</x:v>
      </x:c>
      <x:c r="C299" s="81" t="n">
        <x:v>45594</x:v>
      </x:c>
      <x:c r="D299" s="81" t="n">
        <x:v>45602</x:v>
      </x:c>
      <x:c r="E299" s="80" t="str">
        <x:v>CUST-6724</x:v>
      </x:c>
      <x:c r="F299" s="80" t="str">
        <x:v>Sneha Kapoor</x:v>
      </x:c>
      <x:c r="G299" s="80" t="str">
        <x:v>Corporate</x:v>
      </x:c>
      <x:c r="H299" s="80" t="str">
        <x:v>South</x:v>
      </x:c>
      <x:c r="I299" s="80" t="str">
        <x:v>Tamil Nadu</x:v>
      </x:c>
      <x:c r="J299" s="80" t="str">
        <x:v>Chennai</x:v>
      </x:c>
      <x:c r="K299" s="80" t="str">
        <x:v>Technology</x:v>
      </x:c>
      <x:c r="L299" s="80" t="str">
        <x:v>Copiers</x:v>
      </x:c>
      <x:c r="M299" s="80" t="str">
        <x:v>Prime Copiers 669</x:v>
      </x:c>
      <x:c r="N299" s="80" t="str">
        <x:v>Same Day</x:v>
      </x:c>
      <x:c r="O299" s="82" t="n">
        <x:v>6</x:v>
      </x:c>
      <x:c r="P299" s="83" t="n">
        <x:v>1169.92</x:v>
      </x:c>
      <x:c r="Q299" s="84" t="n">
        <x:v>0.15</x:v>
      </x:c>
      <x:c r="R299" s="83" t="n">
        <x:v>5966.59</x:v>
      </x:c>
      <x:c r="S299" s="83" t="n">
        <x:v>3994.72</x:v>
      </x:c>
      <x:c r="T299" s="83" t="n">
        <x:v>1971.87</x:v>
      </x:c>
      <x:c r="U299" s="83" t="str">
        <x:v>Paid</x:v>
      </x:c>
      <x:c r="V299" s="83" t="str">
        <x:v>Completed</x:v>
      </x:c>
      <x:c r="W299" s="151" t="n">
        <x:f>IF(OR(NOT(ISNUMBER($AP299)),COUNT($O299,$P299)&lt;2,$O299&lt;=0,$P299&lt;0),"",ROUND($O299*$P299*(1-$AP299),2))</x:f>
        <x:v>5966.59</x:v>
      </x:c>
      <x:c r="X299" s="151" t="n">
        <x:f>IF(OR(NOT(ISNUMBER($W299)),NOT(ISNUMBER($S299))),"",ROUND($W299-$S299,2))</x:f>
        <x:v>1971.87</x:v>
      </x:c>
      <x:c r="Y299" s="85" t="n">
        <x:f>IF(OR(NOT(ISNUMBER($W299)),NOT(ISNUMBER($X299)),$W299=0),"",ROUND($X299/$W299,4))</x:f>
        <x:v>0.3305</x:v>
      </x:c>
      <x:c r="Z299" s="82" t="n">
        <x:f>IF(OR($AH299&lt;&gt;"Valid",$AI299&lt;&gt;"Valid"),"",INT($D299-$C299))</x:f>
        <x:v>8</x:v>
      </x:c>
      <x:c r="AA299" s="86" t="str">
        <x:f>IF($AH299&lt;&gt;"Valid","",TEXT($C299,"mmmm"))</x:f>
        <x:v>October</x:v>
      </x:c>
      <x:c r="AB299" s="82" t="n">
        <x:f>IF($AH299&lt;&gt;"Valid","",YEAR($C299))</x:f>
        <x:v>2024</x:v>
      </x:c>
      <x:c r="AC299" s="80" t="str">
        <x:v>Consistent</x:v>
      </x:c>
      <x:c r="AD299" s="80" t="str">
        <x:v>Eligible</x:v>
      </x:c>
      <x:c r="AE299" s="80" t="str">
        <x:f>IF(OR($AH299&lt;&gt;"Valid",$AI299&lt;&gt;"Valid",$AJ299&lt;&gt;"Valid",LEFT($AM299,7)="Invalid",IFERROR(ABS($AQ299)&gt;0.01,FALSE),IFERROR(ABS($AR299)&gt;0.01,FALSE),COUNTIF($AS299,"*Conflicting duplicate*")&gt;0,COUNTIF($AS299,"*Completed order not paid*")&gt;0),"Invalid",IF(OR($H299="Unknown",$N299="Unknown",$AM299="Missing discount imputed as 0"),"Warning","Clean"))</x:f>
        <x:v>Clean</x:v>
      </x:c>
      <x:c r="AF299" s="80" t="str">
        <x:v>Pass</x:v>
      </x:c>
      <x:c r="AG299" s="80" t="str">
        <x:v>No text cleanup required</x:v>
      </x:c>
      <x:c r="AH299" s="12" t="str">
        <x:f>IF(C299="","Missing date",IF(ISNUMBER(C299),"Valid","Unrecognized/invalid date"))</x:f>
        <x:v>Valid</x:v>
      </x:c>
      <x:c r="AI299" s="12" t="str">
        <x:f>IF(D299="","Missing date",IF(ISNUMBER(D299),"Valid","Unrecognized/invalid date"))</x:f>
        <x:v>Valid</x:v>
      </x:c>
      <x:c r="AJ299" s="12" t="str">
        <x:v>Valid</x:v>
      </x:c>
      <x:c r="AK299" s="12" t="str">
        <x:v>Pass</x:v>
      </x:c>
      <x:c r="AL299" s="12" t="str">
        <x:v>None</x:v>
      </x:c>
      <x:c r="AM299" s="12" t="str">
        <x:v>Valid</x:v>
      </x:c>
      <x:c r="AN299" s="12" t="str">
        <x:v>Include in completed sales</x:v>
      </x:c>
      <x:c r="AO299" s="12" t="str">
        <x:v>Not a refunded record</x:v>
      </x:c>
      <x:c r="AP299" s="37" t="n">
        <x:f>IF(LEFT($AM299,7)="Invalid","",IF($AM299="Missing discount imputed as 0",IF(AND(COUNT($O299,$P299,$R299,$S299)=4,$O299&gt;0,$P299&gt;=0,$R299&gt;=0,$S299&gt;=0),0,""),IF(AND(ISNUMBER($Q299),$Q299&gt;=0,$Q299&lt;=0.5),$Q299,"")))</x:f>
        <x:v>0.15</x:v>
      </x:c>
      <x:c r="AQ299" s="152" t="n">
        <x:f>IF(OR($W299="",NOT(ISNUMBER($R299))),"",ROUND($R299-$W299,2))</x:f>
        <x:v>0</x:v>
      </x:c>
      <x:c r="AR299" s="152" t="n">
        <x:f>IF(OR($X299="",NOT(ISNUMBER($T299))),"",ROUND($T299-$X299,2))</x:f>
        <x:v>0</x:v>
      </x:c>
      <x:c r="AS299" s="14" t="str">
        <x:v>OK</x:v>
      </x:c>
    </x:row>
    <x:row r="300">
      <x:c r="A300" s="80" t="n">
        <x:v>300</x:v>
      </x:c>
      <x:c r="B300" s="80" t="str">
        <x:v>ORD-2025-10299</x:v>
      </x:c>
      <x:c r="C300" s="81" t="n">
        <x:v>45680</x:v>
      </x:c>
      <x:c r="D300" s="81" t="n">
        <x:v>45683</x:v>
      </x:c>
      <x:c r="E300" s="80" t="str">
        <x:v>CUST-2141</x:v>
      </x:c>
      <x:c r="F300" s="80" t="str">
        <x:v>Isha Nair</x:v>
      </x:c>
      <x:c r="G300" s="80" t="str">
        <x:v>Consumer</x:v>
      </x:c>
      <x:c r="H300" s="80" t="str">
        <x:v>South</x:v>
      </x:c>
      <x:c r="I300" s="80" t="str">
        <x:v>Kerala</x:v>
      </x:c>
      <x:c r="J300" s="80" t="str">
        <x:v>Kochi</x:v>
      </x:c>
      <x:c r="K300" s="80" t="str">
        <x:v>Technology</x:v>
      </x:c>
      <x:c r="L300" s="80" t="str">
        <x:v>Copiers</x:v>
      </x:c>
      <x:c r="M300" s="80" t="str">
        <x:v>Eco Copiers 894</x:v>
      </x:c>
      <x:c r="N300" s="80" t="str">
        <x:v>First Class</x:v>
      </x:c>
      <x:c r="O300" s="82" t="n">
        <x:v>7</x:v>
      </x:c>
      <x:c r="P300" s="83" t="n">
        <x:v>348.49</x:v>
      </x:c>
      <x:c r="Q300" s="84" t="n">
        <x:v>0.2</x:v>
      </x:c>
      <x:c r="R300" s="83" t="n">
        <x:v>1951.54</x:v>
      </x:c>
      <x:c r="S300" s="83" t="n">
        <x:v>1609.95</x:v>
      </x:c>
      <x:c r="T300" s="83" t="n">
        <x:v>341.59</x:v>
      </x:c>
      <x:c r="U300" s="83" t="str">
        <x:v>Failed</x:v>
      </x:c>
      <x:c r="V300" s="83" t="str">
        <x:v>Returned</x:v>
      </x:c>
      <x:c r="W300" s="151" t="n">
        <x:f>IF(OR(NOT(ISNUMBER($AP300)),COUNT($O300,$P300)&lt;2,$O300&lt;=0,$P300&lt;0),"",ROUND($O300*$P300*(1-$AP300),2))</x:f>
        <x:v>1951.54</x:v>
      </x:c>
      <x:c r="X300" s="151" t="n">
        <x:f>IF(OR(NOT(ISNUMBER($W300)),NOT(ISNUMBER($S300))),"",ROUND($W300-$S300,2))</x:f>
        <x:v>341.59</x:v>
      </x:c>
      <x:c r="Y300" s="85" t="n">
        <x:f>IF(OR(NOT(ISNUMBER($W300)),NOT(ISNUMBER($X300)),$W300=0),"",ROUND($X300/$W300,4))</x:f>
        <x:v>0.175</x:v>
      </x:c>
      <x:c r="Z300" s="82" t="n">
        <x:f>IF(OR($AH300&lt;&gt;"Valid",$AI300&lt;&gt;"Valid"),"",INT($D300-$C300))</x:f>
        <x:v>3</x:v>
      </x:c>
      <x:c r="AA300" s="86" t="str">
        <x:f>IF($AH300&lt;&gt;"Valid","",TEXT($C300,"mmmm"))</x:f>
        <x:v>January</x:v>
      </x:c>
      <x:c r="AB300" s="82" t="n">
        <x:f>IF($AH300&lt;&gt;"Valid","",YEAR($C300))</x:f>
        <x:v>2025</x:v>
      </x:c>
      <x:c r="AC300" s="80" t="str">
        <x:v>Failed payment (excluded from completed-sales summary)</x:v>
      </x:c>
      <x:c r="AD300" s="80" t="str">
        <x:v>Excluded</x:v>
      </x:c>
      <x:c r="AE300" s="80" t="str">
        <x:f>IF(OR($AH300&lt;&gt;"Valid",$AI300&lt;&gt;"Valid",$AJ300&lt;&gt;"Valid",LEFT($AM300,7)="Invalid",IFERROR(ABS($AQ300)&gt;0.01,FALSE),IFERROR(ABS($AR300)&gt;0.01,FALSE),COUNTIF($AS300,"*Conflicting duplicate*")&gt;0,COUNTIF($AS300,"*Completed order not paid*")&gt;0),"Invalid",IF(OR($H300="Unknown",$N300="Unknown",$AM300="Missing discount imputed as 0"),"Warning","Clean"))</x:f>
        <x:v>Clean</x:v>
      </x:c>
      <x:c r="AF300" s="80" t="str">
        <x:v>Pass</x:v>
      </x:c>
      <x:c r="AG300" s="80" t="str">
        <x:v>No text cleanup required</x:v>
      </x:c>
      <x:c r="AH300" s="12" t="str">
        <x:f>IF(C300="","Missing date",IF(ISNUMBER(C300),"Valid","Unrecognized/invalid date"))</x:f>
        <x:v>Valid</x:v>
      </x:c>
      <x:c r="AI300" s="12" t="str">
        <x:f>IF(D300="","Missing date",IF(ISNUMBER(D300),"Valid","Unrecognized/invalid date"))</x:f>
        <x:v>Valid</x:v>
      </x:c>
      <x:c r="AJ300" s="12" t="str">
        <x:v>Valid</x:v>
      </x:c>
      <x:c r="AK300" s="12" t="str">
        <x:v>Pass</x:v>
      </x:c>
      <x:c r="AL300" s="12" t="str">
        <x:v>Failed payment – excluded from completed sales</x:v>
      </x:c>
      <x:c r="AM300" s="12" t="str">
        <x:v>Valid</x:v>
      </x:c>
      <x:c r="AN300" s="12" t="str">
        <x:v>Exclude from completed sales</x:v>
      </x:c>
      <x:c r="AO300" s="12" t="str">
        <x:v>Not a refunded record</x:v>
      </x:c>
      <x:c r="AP300" s="37" t="n">
        <x:f>IF(LEFT($AM300,7)="Invalid","",IF($AM300="Missing discount imputed as 0",IF(AND(COUNT($O300,$P300,$R300,$S300)=4,$O300&gt;0,$P300&gt;=0,$R300&gt;=0,$S300&gt;=0),0,""),IF(AND(ISNUMBER($Q300),$Q300&gt;=0,$Q300&lt;=0.5),$Q300,"")))</x:f>
        <x:v>0.2</x:v>
      </x:c>
      <x:c r="AQ300" s="152" t="n">
        <x:f>IF(OR($W300="",NOT(ISNUMBER($R300))),"",ROUND($R300-$W300,2))</x:f>
        <x:v>0</x:v>
      </x:c>
      <x:c r="AR300" s="152" t="n">
        <x:f>IF(OR($X300="",NOT(ISNUMBER($T300))),"",ROUND($T300-$X300,2))</x:f>
        <x:v>0</x:v>
      </x:c>
      <x:c r="AS300" s="14" t="str">
        <x:v>OK</x:v>
      </x:c>
    </x:row>
    <x:row r="301">
      <x:c r="A301" s="80" t="n">
        <x:v>301</x:v>
      </x:c>
      <x:c r="B301" s="80" t="str">
        <x:v>ORD-2024-10300</x:v>
      </x:c>
      <x:c r="C301" s="81" t="n">
        <x:v>45602</x:v>
      </x:c>
      <x:c r="D301" s="81" t="n">
        <x:v>45608</x:v>
      </x:c>
      <x:c r="E301" s="80" t="str">
        <x:v>CUST-7264</x:v>
      </x:c>
      <x:c r="F301" s="80" t="str">
        <x:v>Rahul Verma</x:v>
      </x:c>
      <x:c r="G301" s="80" t="str">
        <x:v>Small Business</x:v>
      </x:c>
      <x:c r="H301" s="80" t="str">
        <x:v>West</x:v>
      </x:c>
      <x:c r="I301" s="80" t="str">
        <x:v>Gujarat</x:v>
      </x:c>
      <x:c r="J301" s="80" t="str">
        <x:v>Ahmedabad</x:v>
      </x:c>
      <x:c r="K301" s="80" t="str">
        <x:v>Technology</x:v>
      </x:c>
      <x:c r="L301" s="80" t="str">
        <x:v>Accessories</x:v>
      </x:c>
      <x:c r="M301" s="80" t="str">
        <x:v>Max Accessories 145</x:v>
      </x:c>
      <x:c r="N301" s="80" t="str">
        <x:v>Standard Class</x:v>
      </x:c>
      <x:c r="O301" s="82" t="n">
        <x:v>7</x:v>
      </x:c>
      <x:c r="P301" s="83" t="n">
        <x:v>1719.05</x:v>
      </x:c>
      <x:c r="Q301" s="84" t="n">
        <x:v>0.1</x:v>
      </x:c>
      <x:c r="R301" s="83" t="n">
        <x:v>10830.02</x:v>
      </x:c>
      <x:c r="S301" s="83" t="n">
        <x:v>7055.31</x:v>
      </x:c>
      <x:c r="T301" s="83" t="n">
        <x:v>3774.71</x:v>
      </x:c>
      <x:c r="U301" s="83" t="str">
        <x:v>Paid</x:v>
      </x:c>
      <x:c r="V301" s="83" t="str">
        <x:v>Completed</x:v>
      </x:c>
      <x:c r="W301" s="151" t="n">
        <x:f>IF(OR(NOT(ISNUMBER($AP301)),COUNT($O301,$P301)&lt;2,$O301&lt;=0,$P301&lt;0),"",ROUND($O301*$P301*(1-$AP301),2))</x:f>
        <x:v>10830.02</x:v>
      </x:c>
      <x:c r="X301" s="151" t="n">
        <x:f>IF(OR(NOT(ISNUMBER($W301)),NOT(ISNUMBER($S301))),"",ROUND($W301-$S301,2))</x:f>
        <x:v>3774.71</x:v>
      </x:c>
      <x:c r="Y301" s="85" t="n">
        <x:f>IF(OR(NOT(ISNUMBER($W301)),NOT(ISNUMBER($X301)),$W301=0),"",ROUND($X301/$W301,4))</x:f>
        <x:v>0.3485</x:v>
      </x:c>
      <x:c r="Z301" s="82" t="n">
        <x:f>IF(OR($AH301&lt;&gt;"Valid",$AI301&lt;&gt;"Valid"),"",INT($D301-$C301))</x:f>
        <x:v>6</x:v>
      </x:c>
      <x:c r="AA301" s="86" t="str">
        <x:f>IF($AH301&lt;&gt;"Valid","",TEXT($C301,"mmmm"))</x:f>
        <x:v>November</x:v>
      </x:c>
      <x:c r="AB301" s="82" t="n">
        <x:f>IF($AH301&lt;&gt;"Valid","",YEAR($C301))</x:f>
        <x:v>2024</x:v>
      </x:c>
      <x:c r="AC301" s="80" t="str">
        <x:v>Consistent</x:v>
      </x:c>
      <x:c r="AD301" s="80" t="str">
        <x:v>Eligible</x:v>
      </x:c>
      <x:c r="AE301" s="80" t="str">
        <x:f>IF(OR($AH301&lt;&gt;"Valid",$AI301&lt;&gt;"Valid",$AJ301&lt;&gt;"Valid",LEFT($AM301,7)="Invalid",IFERROR(ABS($AQ301)&gt;0.01,FALSE),IFERROR(ABS($AR301)&gt;0.01,FALSE),COUNTIF($AS301,"*Conflicting duplicate*")&gt;0,COUNTIF($AS301,"*Completed order not paid*")&gt;0),"Invalid",IF(OR($H301="Unknown",$N301="Unknown",$AM301="Missing discount imputed as 0"),"Warning","Clean"))</x:f>
        <x:v>Clean</x:v>
      </x:c>
      <x:c r="AF301" s="80" t="str">
        <x:v>Pass</x:v>
      </x:c>
      <x:c r="AG301" s="80" t="str">
        <x:v>No text cleanup required</x:v>
      </x:c>
      <x:c r="AH301" s="12" t="str">
        <x:f>IF(C301="","Missing date",IF(ISNUMBER(C301),"Valid","Unrecognized/invalid date"))</x:f>
        <x:v>Valid</x:v>
      </x:c>
      <x:c r="AI301" s="12" t="str">
        <x:f>IF(D301="","Missing date",IF(ISNUMBER(D301),"Valid","Unrecognized/invalid date"))</x:f>
        <x:v>Valid</x:v>
      </x:c>
      <x:c r="AJ301" s="12" t="str">
        <x:v>Valid</x:v>
      </x:c>
      <x:c r="AK301" s="12" t="str">
        <x:v>Pass</x:v>
      </x:c>
      <x:c r="AL301" s="12" t="str">
        <x:v>None</x:v>
      </x:c>
      <x:c r="AM301" s="12" t="str">
        <x:v>Valid</x:v>
      </x:c>
      <x:c r="AN301" s="12" t="str">
        <x:v>Include in completed sales</x:v>
      </x:c>
      <x:c r="AO301" s="12" t="str">
        <x:v>Not a refunded record</x:v>
      </x:c>
      <x:c r="AP301" s="37" t="n">
        <x:f>IF(LEFT($AM301,7)="Invalid","",IF($AM301="Missing discount imputed as 0",IF(AND(COUNT($O301,$P301,$R301,$S301)=4,$O301&gt;0,$P301&gt;=0,$R301&gt;=0,$S301&gt;=0),0,""),IF(AND(ISNUMBER($Q301),$Q301&gt;=0,$Q301&lt;=0.5),$Q301,"")))</x:f>
        <x:v>0.1</x:v>
      </x:c>
      <x:c r="AQ301" s="152" t="n">
        <x:f>IF(OR($W301="",NOT(ISNUMBER($R301))),"",ROUND($R301-$W301,2))</x:f>
        <x:v>0</x:v>
      </x:c>
      <x:c r="AR301" s="152" t="n">
        <x:f>IF(OR($X301="",NOT(ISNUMBER($T301))),"",ROUND($T301-$X301,2))</x:f>
        <x:v>0</x:v>
      </x:c>
      <x:c r="AS301" s="14" t="str">
        <x:v>OK</x:v>
      </x:c>
    </x:row>
    <x:row r="302">
      <x:c r="A302" s="80" t="n">
        <x:v>302</x:v>
      </x:c>
      <x:c r="B302" s="80" t="str">
        <x:v>ORD-2024-10301</x:v>
      </x:c>
      <x:c r="C302" s="81" t="n">
        <x:v>45397</x:v>
      </x:c>
      <x:c r="D302" s="81" t="n">
        <x:v>45405</x:v>
      </x:c>
      <x:c r="E302" s="80" t="str">
        <x:v>CUST-2668</x:v>
      </x:c>
      <x:c r="F302" s="80" t="str">
        <x:v>Diya Patel</x:v>
      </x:c>
      <x:c r="G302" s="80" t="str">
        <x:v>Small Business</x:v>
      </x:c>
      <x:c r="H302" s="80" t="str">
        <x:v>North</x:v>
      </x:c>
      <x:c r="I302" s="80" t="str">
        <x:v>Punjab</x:v>
      </x:c>
      <x:c r="J302" s="80" t="str">
        <x:v>Ludhiana</x:v>
      </x:c>
      <x:c r="K302" s="80" t="str">
        <x:v>Technology</x:v>
      </x:c>
      <x:c r="L302" s="80" t="str">
        <x:v>Accessories</x:v>
      </x:c>
      <x:c r="M302" s="80" t="str">
        <x:v>Classic Accessories 126</x:v>
      </x:c>
      <x:c r="N302" s="80" t="str">
        <x:v>Second Class</x:v>
      </x:c>
      <x:c r="O302" s="82" t="n">
        <x:v>9</x:v>
      </x:c>
      <x:c r="P302" s="83" t="n">
        <x:v>3893.74</x:v>
      </x:c>
      <x:c r="Q302" s="84" t="n">
        <x:v>0.1</x:v>
      </x:c>
      <x:c r="R302" s="83" t="n">
        <x:v>31539.29</x:v>
      </x:c>
      <x:c r="S302" s="83" t="n">
        <x:v>22100.14</x:v>
      </x:c>
      <x:c r="T302" s="83" t="n">
        <x:v>9439.15</x:v>
      </x:c>
      <x:c r="U302" s="83" t="str">
        <x:v>Paid</x:v>
      </x:c>
      <x:c r="V302" s="83" t="str">
        <x:v>Completed</x:v>
      </x:c>
      <x:c r="W302" s="151" t="n">
        <x:f>IF(OR(NOT(ISNUMBER($AP302)),COUNT($O302,$P302)&lt;2,$O302&lt;=0,$P302&lt;0),"",ROUND($O302*$P302*(1-$AP302),2))</x:f>
        <x:v>31539.29</x:v>
      </x:c>
      <x:c r="X302" s="151" t="n">
        <x:f>IF(OR(NOT(ISNUMBER($W302)),NOT(ISNUMBER($S302))),"",ROUND($W302-$S302,2))</x:f>
        <x:v>9439.15</x:v>
      </x:c>
      <x:c r="Y302" s="85" t="n">
        <x:f>IF(OR(NOT(ISNUMBER($W302)),NOT(ISNUMBER($X302)),$W302=0),"",ROUND($X302/$W302,4))</x:f>
        <x:v>0.2993</x:v>
      </x:c>
      <x:c r="Z302" s="82" t="n">
        <x:f>IF(OR($AH302&lt;&gt;"Valid",$AI302&lt;&gt;"Valid"),"",INT($D302-$C302))</x:f>
        <x:v>8</x:v>
      </x:c>
      <x:c r="AA302" s="86" t="str">
        <x:f>IF($AH302&lt;&gt;"Valid","",TEXT($C302,"mmmm"))</x:f>
        <x:v>April</x:v>
      </x:c>
      <x:c r="AB302" s="82" t="n">
        <x:f>IF($AH302&lt;&gt;"Valid","",YEAR($C302))</x:f>
        <x:v>2024</x:v>
      </x:c>
      <x:c r="AC302" s="80" t="str">
        <x:v>Consistent</x:v>
      </x:c>
      <x:c r="AD302" s="80" t="str">
        <x:v>Eligible</x:v>
      </x:c>
      <x:c r="AE302" s="80" t="str">
        <x:f>IF(OR($AH302&lt;&gt;"Valid",$AI302&lt;&gt;"Valid",$AJ302&lt;&gt;"Valid",LEFT($AM302,7)="Invalid",IFERROR(ABS($AQ302)&gt;0.01,FALSE),IFERROR(ABS($AR302)&gt;0.01,FALSE),COUNTIF($AS302,"*Conflicting duplicate*")&gt;0,COUNTIF($AS302,"*Completed order not paid*")&gt;0),"Invalid",IF(OR($H302="Unknown",$N302="Unknown",$AM302="Missing discount imputed as 0"),"Warning","Clean"))</x:f>
        <x:v>Clean</x:v>
      </x:c>
      <x:c r="AF302" s="80" t="str">
        <x:v>Cleaned</x:v>
      </x:c>
      <x:c r="AG302" s="80" t="str">
        <x:v>ship_mode: TRIM/SUBSTITUTE whitespace cleanup</x:v>
      </x:c>
      <x:c r="AH302" s="12" t="str">
        <x:f>IF(C302="","Missing date",IF(ISNUMBER(C302),"Valid","Unrecognized/invalid date"))</x:f>
        <x:v>Valid</x:v>
      </x:c>
      <x:c r="AI302" s="12" t="str">
        <x:f>IF(D302="","Missing date",IF(ISNUMBER(D302),"Valid","Unrecognized/invalid date"))</x:f>
        <x:v>Valid</x:v>
      </x:c>
      <x:c r="AJ302" s="12" t="str">
        <x:v>Valid</x:v>
      </x:c>
      <x:c r="AK302" s="12" t="str">
        <x:v>Pass</x:v>
      </x:c>
      <x:c r="AL302" s="12" t="str">
        <x:v>None</x:v>
      </x:c>
      <x:c r="AM302" s="12" t="str">
        <x:v>Valid</x:v>
      </x:c>
      <x:c r="AN302" s="12" t="str">
        <x:v>Include in completed sales</x:v>
      </x:c>
      <x:c r="AO302" s="12" t="str">
        <x:v>Not a refunded record</x:v>
      </x:c>
      <x:c r="AP302" s="37" t="n">
        <x:f>IF(LEFT($AM302,7)="Invalid","",IF($AM302="Missing discount imputed as 0",IF(AND(COUNT($O302,$P302,$R302,$S302)=4,$O302&gt;0,$P302&gt;=0,$R302&gt;=0,$S302&gt;=0),0,""),IF(AND(ISNUMBER($Q302),$Q302&gt;=0,$Q302&lt;=0.5),$Q302,"")))</x:f>
        <x:v>0.1</x:v>
      </x:c>
      <x:c r="AQ302" s="152" t="n">
        <x:f>IF(OR($W302="",NOT(ISNUMBER($R302))),"",ROUND($R302-$W302,2))</x:f>
        <x:v>0</x:v>
      </x:c>
      <x:c r="AR302" s="152" t="n">
        <x:f>IF(OR($X302="",NOT(ISNUMBER($T302))),"",ROUND($T302-$X302,2))</x:f>
        <x:v>0</x:v>
      </x:c>
      <x:c r="AS302" s="14" t="str">
        <x:v>OK</x:v>
      </x:c>
    </x:row>
    <x:row r="303">
      <x:c r="A303" s="80" t="n">
        <x:v>303</x:v>
      </x:c>
      <x:c r="B303" s="80" t="str">
        <x:v>ORD-2025-10302</x:v>
      </x:c>
      <x:c r="C303" s="81" t="n">
        <x:v>45805</x:v>
      </x:c>
      <x:c r="D303" s="81" t="n">
        <x:v>45809</x:v>
      </x:c>
      <x:c r="E303" s="80" t="str">
        <x:v>CUST-5599</x:v>
      </x:c>
      <x:c r="F303" s="80" t="str">
        <x:v>Isha Nair</x:v>
      </x:c>
      <x:c r="G303" s="80" t="str">
        <x:v>Home Office</x:v>
      </x:c>
      <x:c r="H303" s="80" t="str">
        <x:v>East</x:v>
      </x:c>
      <x:c r="I303" s="80" t="str">
        <x:v>Bihar</x:v>
      </x:c>
      <x:c r="J303" s="80" t="str">
        <x:v>Patna</x:v>
      </x:c>
      <x:c r="K303" s="80" t="str">
        <x:v>Technology</x:v>
      </x:c>
      <x:c r="L303" s="80" t="str">
        <x:v>Phones</x:v>
      </x:c>
      <x:c r="M303" s="80" t="str">
        <x:v>Elite Phones 202</x:v>
      </x:c>
      <x:c r="N303" s="80" t="str">
        <x:v>Same Day</x:v>
      </x:c>
      <x:c r="O303" s="82" t="n">
        <x:v>4</x:v>
      </x:c>
      <x:c r="P303" s="83" t="n">
        <x:v>1654.11</x:v>
      </x:c>
      <x:c r="Q303" s="84" t="n">
        <x:v>0.05</x:v>
      </x:c>
      <x:c r="R303" s="83" t="n">
        <x:v>6285.62</x:v>
      </x:c>
      <x:c r="S303" s="83" t="n">
        <x:v>3705.38</x:v>
      </x:c>
      <x:c r="T303" s="83" t="n">
        <x:v>2580.24</x:v>
      </x:c>
      <x:c r="U303" s="83" t="str">
        <x:v>Paid</x:v>
      </x:c>
      <x:c r="V303" s="83" t="str">
        <x:v>Completed</x:v>
      </x:c>
      <x:c r="W303" s="151" t="n">
        <x:f>IF(OR(NOT(ISNUMBER($AP303)),COUNT($O303,$P303)&lt;2,$O303&lt;=0,$P303&lt;0),"",ROUND($O303*$P303*(1-$AP303),2))</x:f>
        <x:v>6285.62</x:v>
      </x:c>
      <x:c r="X303" s="151" t="n">
        <x:f>IF(OR(NOT(ISNUMBER($W303)),NOT(ISNUMBER($S303))),"",ROUND($W303-$S303,2))</x:f>
        <x:v>2580.24</x:v>
      </x:c>
      <x:c r="Y303" s="85" t="n">
        <x:f>IF(OR(NOT(ISNUMBER($W303)),NOT(ISNUMBER($X303)),$W303=0),"",ROUND($X303/$W303,4))</x:f>
        <x:v>0.4105</x:v>
      </x:c>
      <x:c r="Z303" s="82" t="n">
        <x:f>IF(OR($AH303&lt;&gt;"Valid",$AI303&lt;&gt;"Valid"),"",INT($D303-$C303))</x:f>
        <x:v>4</x:v>
      </x:c>
      <x:c r="AA303" s="86" t="str">
        <x:f>IF($AH303&lt;&gt;"Valid","",TEXT($C303,"mmmm"))</x:f>
        <x:v>May</x:v>
      </x:c>
      <x:c r="AB303" s="82" t="n">
        <x:f>IF($AH303&lt;&gt;"Valid","",YEAR($C303))</x:f>
        <x:v>2025</x:v>
      </x:c>
      <x:c r="AC303" s="80" t="str">
        <x:v>Consistent</x:v>
      </x:c>
      <x:c r="AD303" s="80" t="str">
        <x:v>Eligible</x:v>
      </x:c>
      <x:c r="AE303" s="80" t="str">
        <x:f>IF(OR($AH303&lt;&gt;"Valid",$AI303&lt;&gt;"Valid",$AJ303&lt;&gt;"Valid",LEFT($AM303,7)="Invalid",IFERROR(ABS($AQ303)&gt;0.01,FALSE),IFERROR(ABS($AR303)&gt;0.01,FALSE),COUNTIF($AS303,"*Conflicting duplicate*")&gt;0,COUNTIF($AS303,"*Completed order not paid*")&gt;0),"Invalid",IF(OR($H303="Unknown",$N303="Unknown",$AM303="Missing discount imputed as 0"),"Warning","Clean"))</x:f>
        <x:v>Clean</x:v>
      </x:c>
      <x:c r="AF303" s="80" t="str">
        <x:v>Pass</x:v>
      </x:c>
      <x:c r="AG303" s="80" t="str">
        <x:v>No text cleanup required</x:v>
      </x:c>
      <x:c r="AH303" s="12" t="str">
        <x:f>IF(C303="","Missing date",IF(ISNUMBER(C303),"Valid","Unrecognized/invalid date"))</x:f>
        <x:v>Valid</x:v>
      </x:c>
      <x:c r="AI303" s="12" t="str">
        <x:f>IF(D303="","Missing date",IF(ISNUMBER(D303),"Valid","Unrecognized/invalid date"))</x:f>
        <x:v>Valid</x:v>
      </x:c>
      <x:c r="AJ303" s="12" t="str">
        <x:v>Valid</x:v>
      </x:c>
      <x:c r="AK303" s="12" t="str">
        <x:v>Pass</x:v>
      </x:c>
      <x:c r="AL303" s="12" t="str">
        <x:v>None</x:v>
      </x:c>
      <x:c r="AM303" s="12" t="str">
        <x:v>Valid</x:v>
      </x:c>
      <x:c r="AN303" s="12" t="str">
        <x:v>Include in completed sales</x:v>
      </x:c>
      <x:c r="AO303" s="12" t="str">
        <x:v>Not a refunded record</x:v>
      </x:c>
      <x:c r="AP303" s="37" t="n">
        <x:f>IF(LEFT($AM303,7)="Invalid","",IF($AM303="Missing discount imputed as 0",IF(AND(COUNT($O303,$P303,$R303,$S303)=4,$O303&gt;0,$P303&gt;=0,$R303&gt;=0,$S303&gt;=0),0,""),IF(AND(ISNUMBER($Q303),$Q303&gt;=0,$Q303&lt;=0.5),$Q303,"")))</x:f>
        <x:v>0.05</x:v>
      </x:c>
      <x:c r="AQ303" s="152" t="n">
        <x:f>IF(OR($W303="",NOT(ISNUMBER($R303))),"",ROUND($R303-$W303,2))</x:f>
        <x:v>0</x:v>
      </x:c>
      <x:c r="AR303" s="152" t="n">
        <x:f>IF(OR($X303="",NOT(ISNUMBER($T303))),"",ROUND($T303-$X303,2))</x:f>
        <x:v>0</x:v>
      </x:c>
      <x:c r="AS303" s="14" t="str">
        <x:v>OK</x:v>
      </x:c>
    </x:row>
    <x:row r="304">
      <x:c r="A304" s="80" t="n">
        <x:v>304</x:v>
      </x:c>
      <x:c r="B304" s="80" t="str">
        <x:v>ORD-2025-10303</x:v>
      </x:c>
      <x:c r="C304" s="81" t="n">
        <x:v>45812</x:v>
      </x:c>
      <x:c r="D304" s="81" t="n">
        <x:v>45820</x:v>
      </x:c>
      <x:c r="E304" s="80" t="str">
        <x:v>CUST-1623</x:v>
      </x:c>
      <x:c r="F304" s="80" t="str">
        <x:v>Neha Gupta</x:v>
      </x:c>
      <x:c r="G304" s="80" t="str">
        <x:v>Consumer</x:v>
      </x:c>
      <x:c r="H304" s="80" t="str">
        <x:v>West</x:v>
      </x:c>
      <x:c r="I304" s="80" t="str">
        <x:v>Goa</x:v>
      </x:c>
      <x:c r="J304" s="80" t="str">
        <x:v>Panaji</x:v>
      </x:c>
      <x:c r="K304" s="80" t="str">
        <x:v>Office Supplies</x:v>
      </x:c>
      <x:c r="L304" s="80" t="str">
        <x:v>Storage</x:v>
      </x:c>
      <x:c r="M304" s="80" t="str">
        <x:v>Elite Storage 535</x:v>
      </x:c>
      <x:c r="N304" s="80" t="str">
        <x:v>Same Day</x:v>
      </x:c>
      <x:c r="O304" s="82" t="n">
        <x:v>2</x:v>
      </x:c>
      <x:c r="P304" s="83" t="n">
        <x:v>2703.28</x:v>
      </x:c>
      <x:c r="Q304" s="84" t="n">
        <x:v>0.25</x:v>
      </x:c>
      <x:c r="R304" s="83" t="n">
        <x:v>4054.92</x:v>
      </x:c>
      <x:c r="S304" s="83" t="n">
        <x:v>2424.83</x:v>
      </x:c>
      <x:c r="T304" s="83" t="n">
        <x:v>1630.09</x:v>
      </x:c>
      <x:c r="U304" s="83" t="str">
        <x:v>Paid</x:v>
      </x:c>
      <x:c r="V304" s="83" t="str">
        <x:v>Completed</x:v>
      </x:c>
      <x:c r="W304" s="151" t="n">
        <x:f>IF(OR(NOT(ISNUMBER($AP304)),COUNT($O304,$P304)&lt;2,$O304&lt;=0,$P304&lt;0),"",ROUND($O304*$P304*(1-$AP304),2))</x:f>
        <x:v>4054.92</x:v>
      </x:c>
      <x:c r="X304" s="151" t="n">
        <x:f>IF(OR(NOT(ISNUMBER($W304)),NOT(ISNUMBER($S304))),"",ROUND($W304-$S304,2))</x:f>
        <x:v>1630.09</x:v>
      </x:c>
      <x:c r="Y304" s="85" t="n">
        <x:f>IF(OR(NOT(ISNUMBER($W304)),NOT(ISNUMBER($X304)),$W304=0),"",ROUND($X304/$W304,4))</x:f>
        <x:v>0.402</x:v>
      </x:c>
      <x:c r="Z304" s="82" t="n">
        <x:f>IF(OR($AH304&lt;&gt;"Valid",$AI304&lt;&gt;"Valid"),"",INT($D304-$C304))</x:f>
        <x:v>8</x:v>
      </x:c>
      <x:c r="AA304" s="86" t="str">
        <x:f>IF($AH304&lt;&gt;"Valid","",TEXT($C304,"mmmm"))</x:f>
        <x:v>June</x:v>
      </x:c>
      <x:c r="AB304" s="82" t="n">
        <x:f>IF($AH304&lt;&gt;"Valid","",YEAR($C304))</x:f>
        <x:v>2025</x:v>
      </x:c>
      <x:c r="AC304" s="80" t="str">
        <x:v>Consistent</x:v>
      </x:c>
      <x:c r="AD304" s="80" t="str">
        <x:v>Eligible</x:v>
      </x:c>
      <x:c r="AE304" s="80" t="str">
        <x:f>IF(OR($AH304&lt;&gt;"Valid",$AI304&lt;&gt;"Valid",$AJ304&lt;&gt;"Valid",LEFT($AM304,7)="Invalid",IFERROR(ABS($AQ304)&gt;0.01,FALSE),IFERROR(ABS($AR304)&gt;0.01,FALSE),COUNTIF($AS304,"*Conflicting duplicate*")&gt;0,COUNTIF($AS304,"*Completed order not paid*")&gt;0),"Invalid",IF(OR($H304="Unknown",$N304="Unknown",$AM304="Missing discount imputed as 0"),"Warning","Clean"))</x:f>
        <x:v>Clean</x:v>
      </x:c>
      <x:c r="AF304" s="80" t="str">
        <x:v>Cleaned</x:v>
      </x:c>
      <x:c r="AG304" s="80" t="str">
        <x:v>category: Case standardization</x:v>
      </x:c>
      <x:c r="AH304" s="12" t="str">
        <x:f>IF(C304="","Missing date",IF(ISNUMBER(C304),"Valid","Unrecognized/invalid date"))</x:f>
        <x:v>Valid</x:v>
      </x:c>
      <x:c r="AI304" s="12" t="str">
        <x:f>IF(D304="","Missing date",IF(ISNUMBER(D304),"Valid","Unrecognized/invalid date"))</x:f>
        <x:v>Valid</x:v>
      </x:c>
      <x:c r="AJ304" s="12" t="str">
        <x:v>Valid</x:v>
      </x:c>
      <x:c r="AK304" s="12" t="str">
        <x:v>Pass</x:v>
      </x:c>
      <x:c r="AL304" s="12" t="str">
        <x:v>None</x:v>
      </x:c>
      <x:c r="AM304" s="12" t="str">
        <x:v>Valid</x:v>
      </x:c>
      <x:c r="AN304" s="12" t="str">
        <x:v>Include in completed sales</x:v>
      </x:c>
      <x:c r="AO304" s="12" t="str">
        <x:v>Not a refunded record</x:v>
      </x:c>
      <x:c r="AP304" s="37" t="n">
        <x:f>IF(LEFT($AM304,7)="Invalid","",IF($AM304="Missing discount imputed as 0",IF(AND(COUNT($O304,$P304,$R304,$S304)=4,$O304&gt;0,$P304&gt;=0,$R304&gt;=0,$S304&gt;=0),0,""),IF(AND(ISNUMBER($Q304),$Q304&gt;=0,$Q304&lt;=0.5),$Q304,"")))</x:f>
        <x:v>0.25</x:v>
      </x:c>
      <x:c r="AQ304" s="152" t="n">
        <x:f>IF(OR($W304="",NOT(ISNUMBER($R304))),"",ROUND($R304-$W304,2))</x:f>
        <x:v>0</x:v>
      </x:c>
      <x:c r="AR304" s="152" t="n">
        <x:f>IF(OR($X304="",NOT(ISNUMBER($T304))),"",ROUND($T304-$X304,2))</x:f>
        <x:v>0</x:v>
      </x:c>
      <x:c r="AS304" s="14" t="str">
        <x:v>OK</x:v>
      </x:c>
    </x:row>
    <x:row r="305">
      <x:c r="A305" s="80" t="n">
        <x:v>305</x:v>
      </x:c>
      <x:c r="B305" s="80" t="str">
        <x:v>ORD-2024-10304</x:v>
      </x:c>
      <x:c r="C305" s="81" t="n">
        <x:v>45466</x:v>
      </x:c>
      <x:c r="D305" s="81" t="n">
        <x:v>45471</x:v>
      </x:c>
      <x:c r="E305" s="80" t="str">
        <x:v>CUST-9035</x:v>
      </x:c>
      <x:c r="F305" s="80" t="str">
        <x:v>Diya Patel</x:v>
      </x:c>
      <x:c r="G305" s="80" t="str">
        <x:v>Home Office</x:v>
      </x:c>
      <x:c r="H305" s="80" t="str">
        <x:v>West</x:v>
      </x:c>
      <x:c r="I305" s="80" t="str">
        <x:v>Gujarat</x:v>
      </x:c>
      <x:c r="J305" s="80" t="str">
        <x:v>Ahmedabad</x:v>
      </x:c>
      <x:c r="K305" s="80" t="str">
        <x:v>Furniture</x:v>
      </x:c>
      <x:c r="L305" s="80" t="str">
        <x:v>Chairs</x:v>
      </x:c>
      <x:c r="M305" s="80" t="str">
        <x:v>Elite Chairs 107</x:v>
      </x:c>
      <x:c r="N305" s="80" t="str">
        <x:v>Standard Class</x:v>
      </x:c>
      <x:c r="O305" s="82" t="n">
        <x:v>2</x:v>
      </x:c>
      <x:c r="P305" s="83" t="n">
        <x:v>1313.14</x:v>
      </x:c>
      <x:c r="Q305" s="84" t="n">
        <x:v>0.1</x:v>
      </x:c>
      <x:c r="R305" s="83" t="n">
        <x:v>2363.65</x:v>
      </x:c>
      <x:c r="S305" s="83" t="n">
        <x:v>1876.1</x:v>
      </x:c>
      <x:c r="T305" s="83" t="n">
        <x:v>487.55</x:v>
      </x:c>
      <x:c r="U305" s="83" t="str">
        <x:v>Pending</x:v>
      </x:c>
      <x:c r="V305" s="83" t="str">
        <x:v>Returned</x:v>
      </x:c>
      <x:c r="W305" s="151" t="n">
        <x:f>IF(OR(NOT(ISNUMBER($AP305)),COUNT($O305,$P305)&lt;2,$O305&lt;=0,$P305&lt;0),"",ROUND($O305*$P305*(1-$AP305),2))</x:f>
        <x:v>2363.65</x:v>
      </x:c>
      <x:c r="X305" s="151" t="n">
        <x:f>IF(OR(NOT(ISNUMBER($W305)),NOT(ISNUMBER($S305))),"",ROUND($W305-$S305,2))</x:f>
        <x:v>487.55</x:v>
      </x:c>
      <x:c r="Y305" s="85" t="n">
        <x:f>IF(OR(NOT(ISNUMBER($W305)),NOT(ISNUMBER($X305)),$W305=0),"",ROUND($X305/$W305,4))</x:f>
        <x:v>0.2063</x:v>
      </x:c>
      <x:c r="Z305" s="82" t="n">
        <x:f>IF(OR($AH305&lt;&gt;"Valid",$AI305&lt;&gt;"Valid"),"",INT($D305-$C305))</x:f>
        <x:v>5</x:v>
      </x:c>
      <x:c r="AA305" s="86" t="str">
        <x:f>IF($AH305&lt;&gt;"Valid","",TEXT($C305,"mmmm"))</x:f>
        <x:v>June</x:v>
      </x:c>
      <x:c r="AB305" s="82" t="n">
        <x:f>IF($AH305&lt;&gt;"Valid","",YEAR($C305))</x:f>
        <x:v>2024</x:v>
      </x:c>
      <x:c r="AC305" s="80" t="str">
        <x:v>Consistent</x:v>
      </x:c>
      <x:c r="AD305" s="80" t="str">
        <x:v>Excluded</x:v>
      </x:c>
      <x:c r="AE305" s="80" t="str">
        <x:f>IF(OR($AH305&lt;&gt;"Valid",$AI305&lt;&gt;"Valid",$AJ305&lt;&gt;"Valid",LEFT($AM305,7)="Invalid",IFERROR(ABS($AQ305)&gt;0.01,FALSE),IFERROR(ABS($AR305)&gt;0.01,FALSE),COUNTIF($AS305,"*Conflicting duplicate*")&gt;0,COUNTIF($AS305,"*Completed order not paid*")&gt;0),"Invalid",IF(OR($H305="Unknown",$N305="Unknown",$AM305="Missing discount imputed as 0"),"Warning","Clean"))</x:f>
        <x:v>Clean</x:v>
      </x:c>
      <x:c r="AF305" s="80" t="str">
        <x:v>Pass</x:v>
      </x:c>
      <x:c r="AG305" s="80" t="str">
        <x:v>No text cleanup required</x:v>
      </x:c>
      <x:c r="AH305" s="12" t="str">
        <x:f>IF(C305="","Missing date",IF(ISNUMBER(C305),"Valid","Unrecognized/invalid date"))</x:f>
        <x:v>Valid</x:v>
      </x:c>
      <x:c r="AI305" s="12" t="str">
        <x:f>IF(D305="","Missing date",IF(ISNUMBER(D305),"Valid","Unrecognized/invalid date"))</x:f>
        <x:v>Valid</x:v>
      </x:c>
      <x:c r="AJ305" s="12" t="str">
        <x:v>Valid</x:v>
      </x:c>
      <x:c r="AK305" s="12" t="str">
        <x:v>Pass</x:v>
      </x:c>
      <x:c r="AL305" s="12" t="str">
        <x:v>None</x:v>
      </x:c>
      <x:c r="AM305" s="12" t="str">
        <x:v>Valid</x:v>
      </x:c>
      <x:c r="AN305" s="12" t="str">
        <x:v>Exclude from completed sales</x:v>
      </x:c>
      <x:c r="AO305" s="12" t="str">
        <x:v>Not a refunded record</x:v>
      </x:c>
      <x:c r="AP305" s="37" t="n">
        <x:f>IF(LEFT($AM305,7)="Invalid","",IF($AM305="Missing discount imputed as 0",IF(AND(COUNT($O305,$P305,$R305,$S305)=4,$O305&gt;0,$P305&gt;=0,$R305&gt;=0,$S305&gt;=0),0,""),IF(AND(ISNUMBER($Q305),$Q305&gt;=0,$Q305&lt;=0.5),$Q305,"")))</x:f>
        <x:v>0.1</x:v>
      </x:c>
      <x:c r="AQ305" s="152" t="n">
        <x:f>IF(OR($W305="",NOT(ISNUMBER($R305))),"",ROUND($R305-$W305,2))</x:f>
        <x:v>0</x:v>
      </x:c>
      <x:c r="AR305" s="152" t="n">
        <x:f>IF(OR($X305="",NOT(ISNUMBER($T305))),"",ROUND($T305-$X305,2))</x:f>
        <x:v>0</x:v>
      </x:c>
      <x:c r="AS305" s="14" t="str">
        <x:v>OK</x:v>
      </x:c>
    </x:row>
    <x:row r="306">
      <x:c r="A306" s="80" t="n">
        <x:v>306</x:v>
      </x:c>
      <x:c r="B306" s="80" t="str">
        <x:v>ORD-2024-10305</x:v>
      </x:c>
      <x:c r="C306" s="81" t="n">
        <x:v>45357</x:v>
      </x:c>
      <x:c r="D306" s="81" t="n">
        <x:v>45364</x:v>
      </x:c>
      <x:c r="E306" s="80" t="str">
        <x:v>CUST-6286</x:v>
      </x:c>
      <x:c r="F306" s="80" t="str">
        <x:v>Karan Malhotra</x:v>
      </x:c>
      <x:c r="G306" s="80" t="str">
        <x:v>Consumer</x:v>
      </x:c>
      <x:c r="H306" s="80" t="str">
        <x:v>North</x:v>
      </x:c>
      <x:c r="I306" s="80" t="str">
        <x:v>Punjab</x:v>
      </x:c>
      <x:c r="J306" s="80" t="str">
        <x:v>Ludhiana</x:v>
      </x:c>
      <x:c r="K306" s="80" t="str">
        <x:v>Furniture</x:v>
      </x:c>
      <x:c r="L306" s="80" t="str">
        <x:v>Furnishings</x:v>
      </x:c>
      <x:c r="M306" s="80" t="str">
        <x:v>Pro Furnishings 991</x:v>
      </x:c>
      <x:c r="N306" s="80" t="str">
        <x:v>Standard Class</x:v>
      </x:c>
      <x:c r="O306" s="82" t="n">
        <x:v>6</x:v>
      </x:c>
      <x:c r="P306" s="83" t="n">
        <x:v>2403.05</x:v>
      </x:c>
      <x:c r="Q306" s="84" t="n">
        <x:v>0.1</x:v>
      </x:c>
      <x:c r="R306" s="83" t="n">
        <x:v>12976.47</x:v>
      </x:c>
      <x:c r="S306" s="83" t="n">
        <x:v>10019.98</x:v>
      </x:c>
      <x:c r="T306" s="83" t="n">
        <x:v>2956.49</x:v>
      </x:c>
      <x:c r="U306" s="83" t="str">
        <x:v>Paid</x:v>
      </x:c>
      <x:c r="V306" s="83" t="str">
        <x:v>Completed</x:v>
      </x:c>
      <x:c r="W306" s="151" t="n">
        <x:f>IF(OR(NOT(ISNUMBER($AP306)),COUNT($O306,$P306)&lt;2,$O306&lt;=0,$P306&lt;0),"",ROUND($O306*$P306*(1-$AP306),2))</x:f>
        <x:v>12976.47</x:v>
      </x:c>
      <x:c r="X306" s="151" t="n">
        <x:f>IF(OR(NOT(ISNUMBER($W306)),NOT(ISNUMBER($S306))),"",ROUND($W306-$S306,2))</x:f>
        <x:v>2956.49</x:v>
      </x:c>
      <x:c r="Y306" s="85" t="n">
        <x:f>IF(OR(NOT(ISNUMBER($W306)),NOT(ISNUMBER($X306)),$W306=0),"",ROUND($X306/$W306,4))</x:f>
        <x:v>0.2278</x:v>
      </x:c>
      <x:c r="Z306" s="82" t="n">
        <x:f>IF(OR($AH306&lt;&gt;"Valid",$AI306&lt;&gt;"Valid"),"",INT($D306-$C306))</x:f>
        <x:v>7</x:v>
      </x:c>
      <x:c r="AA306" s="86" t="str">
        <x:f>IF($AH306&lt;&gt;"Valid","",TEXT($C306,"mmmm"))</x:f>
        <x:v>March</x:v>
      </x:c>
      <x:c r="AB306" s="82" t="n">
        <x:f>IF($AH306&lt;&gt;"Valid","",YEAR($C306))</x:f>
        <x:v>2024</x:v>
      </x:c>
      <x:c r="AC306" s="80" t="str">
        <x:v>Consistent</x:v>
      </x:c>
      <x:c r="AD306" s="80" t="str">
        <x:v>Eligible</x:v>
      </x:c>
      <x:c r="AE306" s="80" t="str">
        <x:f>IF(OR($AH306&lt;&gt;"Valid",$AI306&lt;&gt;"Valid",$AJ306&lt;&gt;"Valid",LEFT($AM306,7)="Invalid",IFERROR(ABS($AQ306)&gt;0.01,FALSE),IFERROR(ABS($AR306)&gt;0.01,FALSE),COUNTIF($AS306,"*Conflicting duplicate*")&gt;0,COUNTIF($AS306,"*Completed order not paid*")&gt;0),"Invalid",IF(OR($H306="Unknown",$N306="Unknown",$AM306="Missing discount imputed as 0"),"Warning","Clean"))</x:f>
        <x:v>Clean</x:v>
      </x:c>
      <x:c r="AF306" s="80" t="str">
        <x:v>Pass</x:v>
      </x:c>
      <x:c r="AG306" s="80" t="str">
        <x:v>No text cleanup required</x:v>
      </x:c>
      <x:c r="AH306" s="12" t="str">
        <x:f>IF(C306="","Missing date",IF(ISNUMBER(C306),"Valid","Unrecognized/invalid date"))</x:f>
        <x:v>Valid</x:v>
      </x:c>
      <x:c r="AI306" s="12" t="str">
        <x:f>IF(D306="","Missing date",IF(ISNUMBER(D306),"Valid","Unrecognized/invalid date"))</x:f>
        <x:v>Valid</x:v>
      </x:c>
      <x:c r="AJ306" s="12" t="str">
        <x:v>Valid</x:v>
      </x:c>
      <x:c r="AK306" s="12" t="str">
        <x:v>Pass</x:v>
      </x:c>
      <x:c r="AL306" s="12" t="str">
        <x:v>None</x:v>
      </x:c>
      <x:c r="AM306" s="12" t="str">
        <x:v>Valid</x:v>
      </x:c>
      <x:c r="AN306" s="12" t="str">
        <x:v>Include in completed sales</x:v>
      </x:c>
      <x:c r="AO306" s="12" t="str">
        <x:v>Not a refunded record</x:v>
      </x:c>
      <x:c r="AP306" s="37" t="n">
        <x:f>IF(LEFT($AM306,7)="Invalid","",IF($AM306="Missing discount imputed as 0",IF(AND(COUNT($O306,$P306,$R306,$S306)=4,$O306&gt;0,$P306&gt;=0,$R306&gt;=0,$S306&gt;=0),0,""),IF(AND(ISNUMBER($Q306),$Q306&gt;=0,$Q306&lt;=0.5),$Q306,"")))</x:f>
        <x:v>0.1</x:v>
      </x:c>
      <x:c r="AQ306" s="152" t="n">
        <x:f>IF(OR($W306="",NOT(ISNUMBER($R306))),"",ROUND($R306-$W306,2))</x:f>
        <x:v>0</x:v>
      </x:c>
      <x:c r="AR306" s="152" t="n">
        <x:f>IF(OR($X306="",NOT(ISNUMBER($T306))),"",ROUND($T306-$X306,2))</x:f>
        <x:v>0</x:v>
      </x:c>
      <x:c r="AS306" s="14" t="str">
        <x:v>OK</x:v>
      </x:c>
    </x:row>
    <x:row r="307">
      <x:c r="A307" s="80" t="n">
        <x:v>307</x:v>
      </x:c>
      <x:c r="B307" s="80" t="str">
        <x:v>ORD-2024-10306</x:v>
      </x:c>
      <x:c r="C307" s="81" t="n">
        <x:v>45413</x:v>
      </x:c>
      <x:c r="D307" s="81" t="n">
        <x:v>45414</x:v>
      </x:c>
      <x:c r="E307" s="80" t="str">
        <x:v>CUST-7246</x:v>
      </x:c>
      <x:c r="F307" s="80" t="str">
        <x:v>Ananya Rao</x:v>
      </x:c>
      <x:c r="G307" s="80" t="str">
        <x:v>Consumer</x:v>
      </x:c>
      <x:c r="H307" s="80" t="str">
        <x:v>East</x:v>
      </x:c>
      <x:c r="I307" s="80" t="str">
        <x:v>Assam</x:v>
      </x:c>
      <x:c r="J307" s="80" t="str">
        <x:v>Guwahati</x:v>
      </x:c>
      <x:c r="K307" s="80" t="str">
        <x:v>Furniture</x:v>
      </x:c>
      <x:c r="L307" s="80" t="str">
        <x:v>Chairs</x:v>
      </x:c>
      <x:c r="M307" s="80" t="str">
        <x:v>Eco Chairs 105</x:v>
      </x:c>
      <x:c r="N307" s="80" t="str">
        <x:v>First Class</x:v>
      </x:c>
      <x:c r="O307" s="82" t="n">
        <x:v>4</x:v>
      </x:c>
      <x:c r="P307" s="83" t="n">
        <x:v>4156.06</x:v>
      </x:c>
      <x:c r="Q307" s="84" t="n">
        <x:v>0.55</x:v>
      </x:c>
      <x:c r="R307" s="83" t="n">
        <x:v>13299.39</x:v>
      </x:c>
      <x:c r="S307" s="83" t="n">
        <x:v>9851.91</x:v>
      </x:c>
      <x:c r="T307" s="83" t="n">
        <x:v>3447.48</x:v>
      </x:c>
      <x:c r="U307" s="83" t="str">
        <x:v>Paid</x:v>
      </x:c>
      <x:c r="V307" s="83" t="str">
        <x:v>Cancelled</x:v>
      </x:c>
      <x:c r="W307" s="151" t="str">
        <x:f>IF(OR(NOT(ISNUMBER($AP307)),COUNT($O307,$P307)&lt;2,$O307&lt;=0,$P307&lt;0),"",ROUND($O307*$P307*(1-$AP307),2))</x:f>
      </x:c>
      <x:c r="X307" s="151" t="str">
        <x:f>IF(OR(NOT(ISNUMBER($W307)),NOT(ISNUMBER($S307))),"",ROUND($W307-$S307,2))</x:f>
      </x:c>
      <x:c r="Y307" s="85" t="str">
        <x:f>IF(OR(NOT(ISNUMBER($W307)),NOT(ISNUMBER($X307)),$W307=0),"",ROUND($X307/$W307,4))</x:f>
      </x:c>
      <x:c r="Z307" s="82" t="n">
        <x:f>IF(OR($AH307&lt;&gt;"Valid",$AI307&lt;&gt;"Valid"),"",INT($D307-$C307))</x:f>
        <x:v>1</x:v>
      </x:c>
      <x:c r="AA307" s="86" t="str">
        <x:f>IF($AH307&lt;&gt;"Valid","",TEXT($C307,"mmmm"))</x:f>
        <x:v>May</x:v>
      </x:c>
      <x:c r="AB307" s="82" t="n">
        <x:f>IF($AH307&lt;&gt;"Valid","",YEAR($C307))</x:f>
        <x:v>2024</x:v>
      </x:c>
      <x:c r="AC307" s="80" t="str">
        <x:v>Cancelled (excluded from completed-sales summary)</x:v>
      </x:c>
      <x:c r="AD307" s="80" t="str">
        <x:v>Excluded</x:v>
      </x:c>
      <x:c r="AE307" s="80" t="str">
        <x:f>IF(OR($AH307&lt;&gt;"Valid",$AI307&lt;&gt;"Valid",$AJ307&lt;&gt;"Valid",LEFT($AM307,7)="Invalid",IFERROR(ABS($AQ307)&gt;0.01,FALSE),IFERROR(ABS($AR307)&gt;0.01,FALSE),COUNTIF($AS307,"*Conflicting duplicate*")&gt;0,COUNTIF($AS307,"*Completed order not paid*")&gt;0),"Invalid",IF(OR($H307="Unknown",$N307="Unknown",$AM307="Missing discount imputed as 0"),"Warning","Clean"))</x:f>
        <x:v>Invalid</x:v>
      </x:c>
      <x:c r="AF307" s="80" t="str">
        <x:v>Review</x:v>
      </x:c>
      <x:c r="AG307" s="80" t="str">
        <x:v>No text cleanup required</x:v>
      </x:c>
      <x:c r="AH307" s="12" t="str">
        <x:f>IF(C307="","Missing date",IF(ISNUMBER(C307),"Valid","Unrecognized/invalid date"))</x:f>
        <x:v>Valid</x:v>
      </x:c>
      <x:c r="AI307" s="12" t="str">
        <x:f>IF(D307="","Missing date",IF(ISNUMBER(D307),"Valid","Unrecognized/invalid date"))</x:f>
        <x:v>Valid</x:v>
      </x:c>
      <x:c r="AJ307" s="12" t="str">
        <x:v>Valid</x:v>
      </x:c>
      <x:c r="AK307" s="12" t="str">
        <x:v>Pass</x:v>
      </x:c>
      <x:c r="AL307" s="12" t="str">
        <x:v>Cancelled order – excluded from completed sales</x:v>
      </x:c>
      <x:c r="AM307" s="12" t="str">
        <x:v>Invalid discount – above 50% allowed range</x:v>
      </x:c>
      <x:c r="AN307" s="12" t="str">
        <x:v>Exclude from completed sales</x:v>
      </x:c>
      <x:c r="AO307" s="12" t="str">
        <x:v>Not a refunded record</x:v>
      </x:c>
      <x:c r="AP307" s="37" t="str">
        <x:f>IF(LEFT($AM307,7)="Invalid","",IF($AM307="Missing discount imputed as 0",IF(AND(COUNT($O307,$P307,$R307,$S307)=4,$O307&gt;0,$P307&gt;=0,$R307&gt;=0,$S307&gt;=0),0,""),IF(AND(ISNUMBER($Q307),$Q307&gt;=0,$Q307&lt;=0.5),$Q307,"")))</x:f>
      </x:c>
      <x:c r="AQ307" s="152" t="str">
        <x:f>IF(OR($W307="",NOT(ISNUMBER($R307))),"",ROUND($R307-$W307,2))</x:f>
      </x:c>
      <x:c r="AR307" s="152" t="str">
        <x:f>IF(OR($X307="",NOT(ISNUMBER($T307))),"",ROUND($T307-$X307,2))</x:f>
      </x:c>
      <x:c r="AS307" s="14" t="str">
        <x:v>Discount above allowed range (&gt;50%)</x:v>
      </x:c>
    </x:row>
    <x:row r="308">
      <x:c r="A308" s="80" t="n">
        <x:v>308</x:v>
      </x:c>
      <x:c r="B308" s="80" t="str">
        <x:v>ORD-2025-10307</x:v>
      </x:c>
      <x:c r="C308" s="81" t="n">
        <x:v>45708</x:v>
      </x:c>
      <x:c r="D308" s="81" t="n">
        <x:v>45711</x:v>
      </x:c>
      <x:c r="E308" s="80" t="str">
        <x:v>CUST-2589</x:v>
      </x:c>
      <x:c r="F308" s="80" t="str">
        <x:v>Aarav Sharma</x:v>
      </x:c>
      <x:c r="G308" s="80" t="str">
        <x:v>Consumer</x:v>
      </x:c>
      <x:c r="H308" s="80" t="str">
        <x:v>North</x:v>
      </x:c>
      <x:c r="I308" s="80" t="str">
        <x:v>Rajasthan</x:v>
      </x:c>
      <x:c r="J308" s="80" t="str">
        <x:v>Jaipur</x:v>
      </x:c>
      <x:c r="K308" s="80" t="str">
        <x:v>Technology</x:v>
      </x:c>
      <x:c r="L308" s="80" t="str">
        <x:v>Phones</x:v>
      </x:c>
      <x:c r="M308" s="80" t="str">
        <x:v>Pro Phones 530</x:v>
      </x:c>
      <x:c r="N308" s="80" t="str">
        <x:v>Second Class</x:v>
      </x:c>
      <x:c r="O308" s="82" t="n">
        <x:v>4</x:v>
      </x:c>
      <x:c r="P308" s="83" t="n">
        <x:v>3673.11</x:v>
      </x:c>
      <x:c r="Q308" s="84" t="n">
        <x:v>0</x:v>
      </x:c>
      <x:c r="R308" s="83" t="n">
        <x:v>14692.44</x:v>
      </x:c>
      <x:c r="S308" s="83" t="n">
        <x:v>10082.19</x:v>
      </x:c>
      <x:c r="T308" s="83" t="n">
        <x:v>4610.25</x:v>
      </x:c>
      <x:c r="U308" s="83" t="str">
        <x:v>Paid</x:v>
      </x:c>
      <x:c r="V308" s="83" t="str">
        <x:v>Completed</x:v>
      </x:c>
      <x:c r="W308" s="151" t="n">
        <x:f>IF(OR(NOT(ISNUMBER($AP308)),COUNT($O308,$P308)&lt;2,$O308&lt;=0,$P308&lt;0),"",ROUND($O308*$P308*(1-$AP308),2))</x:f>
        <x:v>14692.44</x:v>
      </x:c>
      <x:c r="X308" s="151" t="n">
        <x:f>IF(OR(NOT(ISNUMBER($W308)),NOT(ISNUMBER($S308))),"",ROUND($W308-$S308,2))</x:f>
        <x:v>4610.25</x:v>
      </x:c>
      <x:c r="Y308" s="85" t="n">
        <x:f>IF(OR(NOT(ISNUMBER($W308)),NOT(ISNUMBER($X308)),$W308=0),"",ROUND($X308/$W308,4))</x:f>
        <x:v>0.3138</x:v>
      </x:c>
      <x:c r="Z308" s="82" t="n">
        <x:f>IF(OR($AH308&lt;&gt;"Valid",$AI308&lt;&gt;"Valid"),"",INT($D308-$C308))</x:f>
        <x:v>3</x:v>
      </x:c>
      <x:c r="AA308" s="86" t="str">
        <x:f>IF($AH308&lt;&gt;"Valid","",TEXT($C308,"mmmm"))</x:f>
        <x:v>February</x:v>
      </x:c>
      <x:c r="AB308" s="82" t="n">
        <x:f>IF($AH308&lt;&gt;"Valid","",YEAR($C308))</x:f>
        <x:v>2025</x:v>
      </x:c>
      <x:c r="AC308" s="80" t="str">
        <x:v>Consistent</x:v>
      </x:c>
      <x:c r="AD308" s="80" t="str">
        <x:v>Eligible</x:v>
      </x:c>
      <x:c r="AE308" s="80" t="str">
        <x:f>IF(OR($AH308&lt;&gt;"Valid",$AI308&lt;&gt;"Valid",$AJ308&lt;&gt;"Valid",LEFT($AM308,7)="Invalid",IFERROR(ABS($AQ308)&gt;0.01,FALSE),IFERROR(ABS($AR308)&gt;0.01,FALSE),COUNTIF($AS308,"*Conflicting duplicate*")&gt;0,COUNTIF($AS308,"*Completed order not paid*")&gt;0),"Invalid",IF(OR($H308="Unknown",$N308="Unknown",$AM308="Missing discount imputed as 0"),"Warning","Clean"))</x:f>
        <x:v>Clean</x:v>
      </x:c>
      <x:c r="AF308" s="80" t="str">
        <x:v>Pass</x:v>
      </x:c>
      <x:c r="AG308" s="80" t="str">
        <x:v>No text cleanup required</x:v>
      </x:c>
      <x:c r="AH308" s="12" t="str">
        <x:f>IF(C308="","Missing date",IF(ISNUMBER(C308),"Valid","Unrecognized/invalid date"))</x:f>
        <x:v>Valid</x:v>
      </x:c>
      <x:c r="AI308" s="12" t="str">
        <x:f>IF(D308="","Missing date",IF(ISNUMBER(D308),"Valid","Unrecognized/invalid date"))</x:f>
        <x:v>Valid</x:v>
      </x:c>
      <x:c r="AJ308" s="12" t="str">
        <x:v>Valid</x:v>
      </x:c>
      <x:c r="AK308" s="12" t="str">
        <x:v>Pass</x:v>
      </x:c>
      <x:c r="AL308" s="12" t="str">
        <x:v>None</x:v>
      </x:c>
      <x:c r="AM308" s="12" t="str">
        <x:v>Valid</x:v>
      </x:c>
      <x:c r="AN308" s="12" t="str">
        <x:v>Include in completed sales</x:v>
      </x:c>
      <x:c r="AO308" s="12" t="str">
        <x:v>Not a refunded record</x:v>
      </x:c>
      <x:c r="AP308" s="37" t="n">
        <x:f>IF(LEFT($AM308,7)="Invalid","",IF($AM308="Missing discount imputed as 0",IF(AND(COUNT($O308,$P308,$R308,$S308)=4,$O308&gt;0,$P308&gt;=0,$R308&gt;=0,$S308&gt;=0),0,""),IF(AND(ISNUMBER($Q308),$Q308&gt;=0,$Q308&lt;=0.5),$Q308,"")))</x:f>
        <x:v>0</x:v>
      </x:c>
      <x:c r="AQ308" s="152" t="n">
        <x:f>IF(OR($W308="",NOT(ISNUMBER($R308))),"",ROUND($R308-$W308,2))</x:f>
        <x:v>0</x:v>
      </x:c>
      <x:c r="AR308" s="152" t="n">
        <x:f>IF(OR($X308="",NOT(ISNUMBER($T308))),"",ROUND($T308-$X308,2))</x:f>
        <x:v>0</x:v>
      </x:c>
      <x:c r="AS308" s="14" t="str">
        <x:v>OK</x:v>
      </x:c>
    </x:row>
    <x:row r="309">
      <x:c r="A309" s="80" t="n">
        <x:v>309</x:v>
      </x:c>
      <x:c r="B309" s="80" t="str">
        <x:v>ORD-2025-10308</x:v>
      </x:c>
      <x:c r="C309" s="81" t="n">
        <x:v>45850</x:v>
      </x:c>
      <x:c r="D309" s="81" t="n">
        <x:v>45857</x:v>
      </x:c>
      <x:c r="E309" s="80" t="str">
        <x:v>CUST-4153</x:v>
      </x:c>
      <x:c r="F309" s="80" t="str">
        <x:v>Ananya Rao</x:v>
      </x:c>
      <x:c r="G309" s="80" t="str">
        <x:v>Corporate</x:v>
      </x:c>
      <x:c r="H309" s="80" t="str">
        <x:v>North</x:v>
      </x:c>
      <x:c r="I309" s="80" t="str">
        <x:v>Uttar Pradesh</x:v>
      </x:c>
      <x:c r="J309" s="80" t="str">
        <x:v>Noida</x:v>
      </x:c>
      <x:c r="K309" s="80" t="str">
        <x:v>Furniture</x:v>
      </x:c>
      <x:c r="L309" s="80" t="str">
        <x:v>Tables</x:v>
      </x:c>
      <x:c r="M309" s="80" t="str">
        <x:v>Basic Tables 911</x:v>
      </x:c>
      <x:c r="N309" s="80" t="str">
        <x:v>First Class</x:v>
      </x:c>
      <x:c r="O309" s="82" t="n">
        <x:v>9</x:v>
      </x:c>
      <x:c r="P309" s="83" t="n">
        <x:v>4093.04</x:v>
      </x:c>
      <x:c r="Q309" s="84" t="n">
        <x:v>0.2</x:v>
      </x:c>
      <x:c r="R309" s="83" t="n">
        <x:v>29469.89</x:v>
      </x:c>
      <x:c r="S309" s="83" t="n">
        <x:v>18935.51</x:v>
      </x:c>
      <x:c r="T309" s="83" t="n">
        <x:v>10534.38</x:v>
      </x:c>
      <x:c r="U309" s="83" t="str">
        <x:v>Pending</x:v>
      </x:c>
      <x:c r="V309" s="83" t="str">
        <x:v>Cancelled</x:v>
      </x:c>
      <x:c r="W309" s="151" t="n">
        <x:f>IF(OR(NOT(ISNUMBER($AP309)),COUNT($O309,$P309)&lt;2,$O309&lt;=0,$P309&lt;0),"",ROUND($O309*$P309*(1-$AP309),2))</x:f>
        <x:v>29469.89</x:v>
      </x:c>
      <x:c r="X309" s="151" t="n">
        <x:f>IF(OR(NOT(ISNUMBER($W309)),NOT(ISNUMBER($S309))),"",ROUND($W309-$S309,2))</x:f>
        <x:v>10534.38</x:v>
      </x:c>
      <x:c r="Y309" s="85" t="n">
        <x:f>IF(OR(NOT(ISNUMBER($W309)),NOT(ISNUMBER($X309)),$W309=0),"",ROUND($X309/$W309,4))</x:f>
        <x:v>0.3575</x:v>
      </x:c>
      <x:c r="Z309" s="82" t="n">
        <x:f>IF(OR($AH309&lt;&gt;"Valid",$AI309&lt;&gt;"Valid"),"",INT($D309-$C309))</x:f>
        <x:v>7</x:v>
      </x:c>
      <x:c r="AA309" s="86" t="str">
        <x:f>IF($AH309&lt;&gt;"Valid","",TEXT($C309,"mmmm"))</x:f>
        <x:v>July</x:v>
      </x:c>
      <x:c r="AB309" s="82" t="n">
        <x:f>IF($AH309&lt;&gt;"Valid","",YEAR($C309))</x:f>
        <x:v>2025</x:v>
      </x:c>
      <x:c r="AC309" s="80" t="str">
        <x:v>Cancelled (excluded from completed-sales summary)</x:v>
      </x:c>
      <x:c r="AD309" s="80" t="str">
        <x:v>Excluded</x:v>
      </x:c>
      <x:c r="AE309" s="80" t="str">
        <x:f>IF(OR($AH309&lt;&gt;"Valid",$AI309&lt;&gt;"Valid",$AJ309&lt;&gt;"Valid",LEFT($AM309,7)="Invalid",IFERROR(ABS($AQ309)&gt;0.01,FALSE),IFERROR(ABS($AR309)&gt;0.01,FALSE),COUNTIF($AS309,"*Conflicting duplicate*")&gt;0,COUNTIF($AS309,"*Completed order not paid*")&gt;0),"Invalid",IF(OR($H309="Unknown",$N309="Unknown",$AM309="Missing discount imputed as 0"),"Warning","Clean"))</x:f>
        <x:v>Clean</x:v>
      </x:c>
      <x:c r="AF309" s="80" t="str">
        <x:v>Cleaned</x:v>
      </x:c>
      <x:c r="AG309" s="80" t="str">
        <x:v>payment_status: Case standardization</x:v>
      </x:c>
      <x:c r="AH309" s="12" t="str">
        <x:f>IF(C309="","Missing date",IF(ISNUMBER(C309),"Valid","Unrecognized/invalid date"))</x:f>
        <x:v>Valid</x:v>
      </x:c>
      <x:c r="AI309" s="12" t="str">
        <x:f>IF(D309="","Missing date",IF(ISNUMBER(D309),"Valid","Unrecognized/invalid date"))</x:f>
        <x:v>Valid</x:v>
      </x:c>
      <x:c r="AJ309" s="12" t="str">
        <x:v>Valid</x:v>
      </x:c>
      <x:c r="AK309" s="12" t="str">
        <x:v>Pass</x:v>
      </x:c>
      <x:c r="AL309" s="12" t="str">
        <x:v>Cancelled order – excluded from completed sales</x:v>
      </x:c>
      <x:c r="AM309" s="12" t="str">
        <x:v>Valid</x:v>
      </x:c>
      <x:c r="AN309" s="12" t="str">
        <x:v>Exclude from completed sales</x:v>
      </x:c>
      <x:c r="AO309" s="12" t="str">
        <x:v>Not a refunded record</x:v>
      </x:c>
      <x:c r="AP309" s="37" t="n">
        <x:f>IF(LEFT($AM309,7)="Invalid","",IF($AM309="Missing discount imputed as 0",IF(AND(COUNT($O309,$P309,$R309,$S309)=4,$O309&gt;0,$P309&gt;=0,$R309&gt;=0,$S309&gt;=0),0,""),IF(AND(ISNUMBER($Q309),$Q309&gt;=0,$Q309&lt;=0.5),$Q309,"")))</x:f>
        <x:v>0.2</x:v>
      </x:c>
      <x:c r="AQ309" s="152" t="n">
        <x:f>IF(OR($W309="",NOT(ISNUMBER($R309))),"",ROUND($R309-$W309,2))</x:f>
        <x:v>0</x:v>
      </x:c>
      <x:c r="AR309" s="152" t="n">
        <x:f>IF(OR($X309="",NOT(ISNUMBER($T309))),"",ROUND($T309-$X309,2))</x:f>
        <x:v>0</x:v>
      </x:c>
      <x:c r="AS309" s="14" t="str">
        <x:v>OK</x:v>
      </x:c>
    </x:row>
    <x:row r="310">
      <x:c r="A310" s="80" t="n">
        <x:v>310</x:v>
      </x:c>
      <x:c r="B310" s="80" t="str">
        <x:v>ORD-2025-10309</x:v>
      </x:c>
      <x:c r="C310" s="81" t="n">
        <x:v>45821</x:v>
      </x:c>
      <x:c r="D310" s="81" t="n">
        <x:v>45827</x:v>
      </x:c>
      <x:c r="E310" s="80" t="str">
        <x:v>CUST-6727</x:v>
      </x:c>
      <x:c r="F310" s="80" t="str">
        <x:v>Rohan Mehta</x:v>
      </x:c>
      <x:c r="G310" s="80" t="str">
        <x:v>Consumer</x:v>
      </x:c>
      <x:c r="H310" s="80" t="str">
        <x:v>North</x:v>
      </x:c>
      <x:c r="I310" s="80" t="str">
        <x:v>Rajasthan</x:v>
      </x:c>
      <x:c r="J310" s="80" t="str">
        <x:v>Jaipur</x:v>
      </x:c>
      <x:c r="K310" s="80" t="str">
        <x:v>Furniture</x:v>
      </x:c>
      <x:c r="L310" s="80" t="str">
        <x:v>Tables</x:v>
      </x:c>
      <x:c r="M310" s="80" t="str">
        <x:v>Classic Tables 224</x:v>
      </x:c>
      <x:c r="N310" s="80" t="str">
        <x:v>First Class</x:v>
      </x:c>
      <x:c r="O310" s="82" t="n">
        <x:v>4</x:v>
      </x:c>
      <x:c r="P310" s="83" t="n">
        <x:v>731.57</x:v>
      </x:c>
      <x:c r="Q310" s="84" t="n">
        <x:v>0.2</x:v>
      </x:c>
      <x:c r="R310" s="83" t="n">
        <x:v>2341.02</x:v>
      </x:c>
      <x:c r="S310" s="83" t="n">
        <x:v>1565.49</x:v>
      </x:c>
      <x:c r="T310" s="83" t="n">
        <x:v>775.53</x:v>
      </x:c>
      <x:c r="U310" s="83" t="str">
        <x:v>Paid</x:v>
      </x:c>
      <x:c r="V310" s="83" t="str">
        <x:v>Completed</x:v>
      </x:c>
      <x:c r="W310" s="151" t="n">
        <x:f>IF(OR(NOT(ISNUMBER($AP310)),COUNT($O310,$P310)&lt;2,$O310&lt;=0,$P310&lt;0),"",ROUND($O310*$P310*(1-$AP310),2))</x:f>
        <x:v>2341.02</x:v>
      </x:c>
      <x:c r="X310" s="151" t="n">
        <x:f>IF(OR(NOT(ISNUMBER($W310)),NOT(ISNUMBER($S310))),"",ROUND($W310-$S310,2))</x:f>
        <x:v>775.53</x:v>
      </x:c>
      <x:c r="Y310" s="85" t="n">
        <x:f>IF(OR(NOT(ISNUMBER($W310)),NOT(ISNUMBER($X310)),$W310=0),"",ROUND($X310/$W310,4))</x:f>
        <x:v>0.3313</x:v>
      </x:c>
      <x:c r="Z310" s="82" t="n">
        <x:f>IF(OR($AH310&lt;&gt;"Valid",$AI310&lt;&gt;"Valid"),"",INT($D310-$C310))</x:f>
        <x:v>6</x:v>
      </x:c>
      <x:c r="AA310" s="86" t="str">
        <x:f>IF($AH310&lt;&gt;"Valid","",TEXT($C310,"mmmm"))</x:f>
        <x:v>June</x:v>
      </x:c>
      <x:c r="AB310" s="82" t="n">
        <x:f>IF($AH310&lt;&gt;"Valid","",YEAR($C310))</x:f>
        <x:v>2025</x:v>
      </x:c>
      <x:c r="AC310" s="80" t="str">
        <x:v>Consistent</x:v>
      </x:c>
      <x:c r="AD310" s="80" t="str">
        <x:v>Eligible</x:v>
      </x:c>
      <x:c r="AE310" s="80" t="str">
        <x:f>IF(OR($AH310&lt;&gt;"Valid",$AI310&lt;&gt;"Valid",$AJ310&lt;&gt;"Valid",LEFT($AM310,7)="Invalid",IFERROR(ABS($AQ310)&gt;0.01,FALSE),IFERROR(ABS($AR310)&gt;0.01,FALSE),COUNTIF($AS310,"*Conflicting duplicate*")&gt;0,COUNTIF($AS310,"*Completed order not paid*")&gt;0),"Invalid",IF(OR($H310="Unknown",$N310="Unknown",$AM310="Missing discount imputed as 0"),"Warning","Clean"))</x:f>
        <x:v>Clean</x:v>
      </x:c>
      <x:c r="AF310" s="80" t="str">
        <x:v>Pass</x:v>
      </x:c>
      <x:c r="AG310" s="80" t="str">
        <x:v>No text cleanup required</x:v>
      </x:c>
      <x:c r="AH310" s="12" t="str">
        <x:f>IF(C310="","Missing date",IF(ISNUMBER(C310),"Valid","Unrecognized/invalid date"))</x:f>
        <x:v>Valid</x:v>
      </x:c>
      <x:c r="AI310" s="12" t="str">
        <x:f>IF(D310="","Missing date",IF(ISNUMBER(D310),"Valid","Unrecognized/invalid date"))</x:f>
        <x:v>Valid</x:v>
      </x:c>
      <x:c r="AJ310" s="12" t="str">
        <x:v>Valid</x:v>
      </x:c>
      <x:c r="AK310" s="12" t="str">
        <x:v>Pass</x:v>
      </x:c>
      <x:c r="AL310" s="12" t="str">
        <x:v>None</x:v>
      </x:c>
      <x:c r="AM310" s="12" t="str">
        <x:v>Valid</x:v>
      </x:c>
      <x:c r="AN310" s="12" t="str">
        <x:v>Include in completed sales</x:v>
      </x:c>
      <x:c r="AO310" s="12" t="str">
        <x:v>Not a refunded record</x:v>
      </x:c>
      <x:c r="AP310" s="37" t="n">
        <x:f>IF(LEFT($AM310,7)="Invalid","",IF($AM310="Missing discount imputed as 0",IF(AND(COUNT($O310,$P310,$R310,$S310)=4,$O310&gt;0,$P310&gt;=0,$R310&gt;=0,$S310&gt;=0),0,""),IF(AND(ISNUMBER($Q310),$Q310&gt;=0,$Q310&lt;=0.5),$Q310,"")))</x:f>
        <x:v>0.2</x:v>
      </x:c>
      <x:c r="AQ310" s="152" t="n">
        <x:f>IF(OR($W310="",NOT(ISNUMBER($R310))),"",ROUND($R310-$W310,2))</x:f>
        <x:v>0</x:v>
      </x:c>
      <x:c r="AR310" s="152" t="n">
        <x:f>IF(OR($X310="",NOT(ISNUMBER($T310))),"",ROUND($T310-$X310,2))</x:f>
        <x:v>0</x:v>
      </x:c>
      <x:c r="AS310" s="14" t="str">
        <x:v>OK</x:v>
      </x:c>
    </x:row>
    <x:row r="311">
      <x:c r="A311" s="80" t="n">
        <x:v>311</x:v>
      </x:c>
      <x:c r="B311" s="80" t="str">
        <x:v>ORD-2024-10310</x:v>
      </x:c>
      <x:c r="C311" s="81" t="n">
        <x:v>45493</x:v>
      </x:c>
      <x:c r="D311" s="81" t="n">
        <x:v>45495</x:v>
      </x:c>
      <x:c r="E311" s="80" t="str">
        <x:v>CUST-8860</x:v>
      </x:c>
      <x:c r="F311" s="80" t="str">
        <x:v>Ananya Rao</x:v>
      </x:c>
      <x:c r="G311" s="80" t="str">
        <x:v>Consumer</x:v>
      </x:c>
      <x:c r="H311" s="80" t="str">
        <x:v>South</x:v>
      </x:c>
      <x:c r="I311" s="80" t="str">
        <x:v>Tamil Nadu</x:v>
      </x:c>
      <x:c r="J311" s="80" t="str">
        <x:v>Chennai</x:v>
      </x:c>
      <x:c r="K311" s="80" t="str">
        <x:v>Furniture</x:v>
      </x:c>
      <x:c r="L311" s="80" t="str">
        <x:v>Tables</x:v>
      </x:c>
      <x:c r="M311" s="80" t="str">
        <x:v>Prime Tables 214</x:v>
      </x:c>
      <x:c r="N311" s="80" t="str">
        <x:v>First Class</x:v>
      </x:c>
      <x:c r="O311" s="82" t="n">
        <x:v>7</x:v>
      </x:c>
      <x:c r="P311" s="83" t="n">
        <x:v>2060.73</x:v>
      </x:c>
      <x:c r="Q311" s="84" t="n">
        <x:v>0.1</x:v>
      </x:c>
      <x:c r="R311" s="83" t="n">
        <x:v>12982.6</x:v>
      </x:c>
      <x:c r="S311" s="83" t="n">
        <x:v>7246.36</x:v>
      </x:c>
      <x:c r="T311" s="83" t="n">
        <x:v>5736.24</x:v>
      </x:c>
      <x:c r="U311" s="83" t="str">
        <x:v>Paid</x:v>
      </x:c>
      <x:c r="V311" s="83" t="str">
        <x:v>Cancelled</x:v>
      </x:c>
      <x:c r="W311" s="151" t="n">
        <x:f>IF(OR(NOT(ISNUMBER($AP311)),COUNT($O311,$P311)&lt;2,$O311&lt;=0,$P311&lt;0),"",ROUND($O311*$P311*(1-$AP311),2))</x:f>
        <x:v>12982.6</x:v>
      </x:c>
      <x:c r="X311" s="151" t="n">
        <x:f>IF(OR(NOT(ISNUMBER($W311)),NOT(ISNUMBER($S311))),"",ROUND($W311-$S311,2))</x:f>
        <x:v>5736.24</x:v>
      </x:c>
      <x:c r="Y311" s="85" t="n">
        <x:f>IF(OR(NOT(ISNUMBER($W311)),NOT(ISNUMBER($X311)),$W311=0),"",ROUND($X311/$W311,4))</x:f>
        <x:v>0.4418</x:v>
      </x:c>
      <x:c r="Z311" s="82" t="n">
        <x:f>IF(OR($AH311&lt;&gt;"Valid",$AI311&lt;&gt;"Valid"),"",INT($D311-$C311))</x:f>
        <x:v>2</x:v>
      </x:c>
      <x:c r="AA311" s="86" t="str">
        <x:f>IF($AH311&lt;&gt;"Valid","",TEXT($C311,"mmmm"))</x:f>
        <x:v>July</x:v>
      </x:c>
      <x:c r="AB311" s="82" t="n">
        <x:f>IF($AH311&lt;&gt;"Valid","",YEAR($C311))</x:f>
        <x:v>2024</x:v>
      </x:c>
      <x:c r="AC311" s="80" t="str">
        <x:v>Cancelled (excluded from completed-sales summary)</x:v>
      </x:c>
      <x:c r="AD311" s="80" t="str">
        <x:v>Excluded</x:v>
      </x:c>
      <x:c r="AE311" s="80" t="str">
        <x:f>IF(OR($AH311&lt;&gt;"Valid",$AI311&lt;&gt;"Valid",$AJ311&lt;&gt;"Valid",LEFT($AM311,7)="Invalid",IFERROR(ABS($AQ311)&gt;0.01,FALSE),IFERROR(ABS($AR311)&gt;0.01,FALSE),COUNTIF($AS311,"*Conflicting duplicate*")&gt;0,COUNTIF($AS311,"*Completed order not paid*")&gt;0),"Invalid",IF(OR($H311="Unknown",$N311="Unknown",$AM311="Missing discount imputed as 0"),"Warning","Clean"))</x:f>
        <x:v>Clean</x:v>
      </x:c>
      <x:c r="AF311" s="80" t="str">
        <x:v>Pass</x:v>
      </x:c>
      <x:c r="AG311" s="80" t="str">
        <x:v>No text cleanup required</x:v>
      </x:c>
      <x:c r="AH311" s="12" t="str">
        <x:f>IF(C311="","Missing date",IF(ISNUMBER(C311),"Valid","Unrecognized/invalid date"))</x:f>
        <x:v>Valid</x:v>
      </x:c>
      <x:c r="AI311" s="12" t="str">
        <x:f>IF(D311="","Missing date",IF(ISNUMBER(D311),"Valid","Unrecognized/invalid date"))</x:f>
        <x:v>Valid</x:v>
      </x:c>
      <x:c r="AJ311" s="12" t="str">
        <x:v>Valid</x:v>
      </x:c>
      <x:c r="AK311" s="12" t="str">
        <x:v>Pass</x:v>
      </x:c>
      <x:c r="AL311" s="12" t="str">
        <x:v>Cancelled order – excluded from completed sales</x:v>
      </x:c>
      <x:c r="AM311" s="12" t="str">
        <x:v>Valid</x:v>
      </x:c>
      <x:c r="AN311" s="12" t="str">
        <x:v>Exclude from completed sales</x:v>
      </x:c>
      <x:c r="AO311" s="12" t="str">
        <x:v>Not a refunded record</x:v>
      </x:c>
      <x:c r="AP311" s="37" t="n">
        <x:f>IF(LEFT($AM311,7)="Invalid","",IF($AM311="Missing discount imputed as 0",IF(AND(COUNT($O311,$P311,$R311,$S311)=4,$O311&gt;0,$P311&gt;=0,$R311&gt;=0,$S311&gt;=0),0,""),IF(AND(ISNUMBER($Q311),$Q311&gt;=0,$Q311&lt;=0.5),$Q311,"")))</x:f>
        <x:v>0.1</x:v>
      </x:c>
      <x:c r="AQ311" s="152" t="n">
        <x:f>IF(OR($W311="",NOT(ISNUMBER($R311))),"",ROUND($R311-$W311,2))</x:f>
        <x:v>0</x:v>
      </x:c>
      <x:c r="AR311" s="152" t="n">
        <x:f>IF(OR($X311="",NOT(ISNUMBER($T311))),"",ROUND($T311-$X311,2))</x:f>
        <x:v>0</x:v>
      </x:c>
      <x:c r="AS311" s="14" t="str">
        <x:v>OK</x:v>
      </x:c>
    </x:row>
    <x:row r="312">
      <x:c r="A312" s="80" t="n">
        <x:v>312</x:v>
      </x:c>
      <x:c r="B312" s="80" t="str">
        <x:v>ORD-2024-10311</x:v>
      </x:c>
      <x:c r="C312" s="81" t="n">
        <x:v>45477</x:v>
      </x:c>
      <x:c r="D312" s="81" t="n">
        <x:v>45481</x:v>
      </x:c>
      <x:c r="E312" s="80" t="str">
        <x:v>CUST-3784</x:v>
      </x:c>
      <x:c r="F312" s="80" t="str">
        <x:v>Rohan Mehta</x:v>
      </x:c>
      <x:c r="G312" s="80" t="str">
        <x:v>Small Business</x:v>
      </x:c>
      <x:c r="H312" s="80" t="str">
        <x:v>South</x:v>
      </x:c>
      <x:c r="I312" s="80" t="str">
        <x:v>Tamil Nadu</x:v>
      </x:c>
      <x:c r="J312" s="80" t="str">
        <x:v>Chennai</x:v>
      </x:c>
      <x:c r="K312" s="80" t="str">
        <x:v>Technology</x:v>
      </x:c>
      <x:c r="L312" s="80" t="str">
        <x:v>Machines</x:v>
      </x:c>
      <x:c r="M312" s="80" t="str">
        <x:v>Max Machines 988</x:v>
      </x:c>
      <x:c r="N312" s="80" t="str">
        <x:v>First Class</x:v>
      </x:c>
      <x:c r="O312" s="82" t="n">
        <x:v>8</x:v>
      </x:c>
      <x:c r="P312" s="83" t="n">
        <x:v>2034.25</x:v>
      </x:c>
      <x:c r="Q312" s="84" t="n">
        <x:v>0</x:v>
      </x:c>
      <x:c r="R312" s="83" t="n">
        <x:v>16274</x:v>
      </x:c>
      <x:c r="S312" s="83" t="n">
        <x:v>9424.25</x:v>
      </x:c>
      <x:c r="T312" s="83" t="n">
        <x:v>6849.75</x:v>
      </x:c>
      <x:c r="U312" s="83" t="str">
        <x:v>Paid</x:v>
      </x:c>
      <x:c r="V312" s="83" t="str">
        <x:v>Completed</x:v>
      </x:c>
      <x:c r="W312" s="151" t="n">
        <x:f>IF(OR(NOT(ISNUMBER($AP312)),COUNT($O312,$P312)&lt;2,$O312&lt;=0,$P312&lt;0),"",ROUND($O312*$P312*(1-$AP312),2))</x:f>
        <x:v>16274</x:v>
      </x:c>
      <x:c r="X312" s="151" t="n">
        <x:f>IF(OR(NOT(ISNUMBER($W312)),NOT(ISNUMBER($S312))),"",ROUND($W312-$S312,2))</x:f>
        <x:v>6849.75</x:v>
      </x:c>
      <x:c r="Y312" s="85" t="n">
        <x:f>IF(OR(NOT(ISNUMBER($W312)),NOT(ISNUMBER($X312)),$W312=0),"",ROUND($X312/$W312,4))</x:f>
        <x:v>0.4209</x:v>
      </x:c>
      <x:c r="Z312" s="82" t="n">
        <x:f>IF(OR($AH312&lt;&gt;"Valid",$AI312&lt;&gt;"Valid"),"",INT($D312-$C312))</x:f>
        <x:v>4</x:v>
      </x:c>
      <x:c r="AA312" s="86" t="str">
        <x:f>IF($AH312&lt;&gt;"Valid","",TEXT($C312,"mmmm"))</x:f>
        <x:v>July</x:v>
      </x:c>
      <x:c r="AB312" s="82" t="n">
        <x:f>IF($AH312&lt;&gt;"Valid","",YEAR($C312))</x:f>
        <x:v>2024</x:v>
      </x:c>
      <x:c r="AC312" s="80" t="str">
        <x:v>Consistent</x:v>
      </x:c>
      <x:c r="AD312" s="80" t="str">
        <x:v>Eligible</x:v>
      </x:c>
      <x:c r="AE312" s="80" t="str">
        <x:f>IF(OR($AH312&lt;&gt;"Valid",$AI312&lt;&gt;"Valid",$AJ312&lt;&gt;"Valid",LEFT($AM312,7)="Invalid",IFERROR(ABS($AQ312)&gt;0.01,FALSE),IFERROR(ABS($AR312)&gt;0.01,FALSE),COUNTIF($AS312,"*Conflicting duplicate*")&gt;0,COUNTIF($AS312,"*Completed order not paid*")&gt;0),"Invalid",IF(OR($H312="Unknown",$N312="Unknown",$AM312="Missing discount imputed as 0"),"Warning","Clean"))</x:f>
        <x:v>Clean</x:v>
      </x:c>
      <x:c r="AF312" s="80" t="str">
        <x:v>Pass</x:v>
      </x:c>
      <x:c r="AG312" s="80" t="str">
        <x:v>No text cleanup required</x:v>
      </x:c>
      <x:c r="AH312" s="12" t="str">
        <x:f>IF(C312="","Missing date",IF(ISNUMBER(C312),"Valid","Unrecognized/invalid date"))</x:f>
        <x:v>Valid</x:v>
      </x:c>
      <x:c r="AI312" s="12" t="str">
        <x:f>IF(D312="","Missing date",IF(ISNUMBER(D312),"Valid","Unrecognized/invalid date"))</x:f>
        <x:v>Valid</x:v>
      </x:c>
      <x:c r="AJ312" s="12" t="str">
        <x:v>Valid</x:v>
      </x:c>
      <x:c r="AK312" s="12" t="str">
        <x:v>Pass</x:v>
      </x:c>
      <x:c r="AL312" s="12" t="str">
        <x:v>None</x:v>
      </x:c>
      <x:c r="AM312" s="12" t="str">
        <x:v>Valid</x:v>
      </x:c>
      <x:c r="AN312" s="12" t="str">
        <x:v>Include in completed sales</x:v>
      </x:c>
      <x:c r="AO312" s="12" t="str">
        <x:v>Not a refunded record</x:v>
      </x:c>
      <x:c r="AP312" s="37" t="n">
        <x:f>IF(LEFT($AM312,7)="Invalid","",IF($AM312="Missing discount imputed as 0",IF(AND(COUNT($O312,$P312,$R312,$S312)=4,$O312&gt;0,$P312&gt;=0,$R312&gt;=0,$S312&gt;=0),0,""),IF(AND(ISNUMBER($Q312),$Q312&gt;=0,$Q312&lt;=0.5),$Q312,"")))</x:f>
        <x:v>0</x:v>
      </x:c>
      <x:c r="AQ312" s="152" t="n">
        <x:f>IF(OR($W312="",NOT(ISNUMBER($R312))),"",ROUND($R312-$W312,2))</x:f>
        <x:v>0</x:v>
      </x:c>
      <x:c r="AR312" s="152" t="n">
        <x:f>IF(OR($X312="",NOT(ISNUMBER($T312))),"",ROUND($T312-$X312,2))</x:f>
        <x:v>0</x:v>
      </x:c>
      <x:c r="AS312" s="14" t="str">
        <x:v>OK</x:v>
      </x:c>
    </x:row>
    <x:row r="313">
      <x:c r="A313" s="80" t="n">
        <x:v>313</x:v>
      </x:c>
      <x:c r="B313" s="80" t="str">
        <x:v>ORD-2024-10312</x:v>
      </x:c>
      <x:c r="C313" s="81" t="n">
        <x:v>45409</x:v>
      </x:c>
      <x:c r="D313" s="81" t="n">
        <x:v>45414</x:v>
      </x:c>
      <x:c r="E313" s="80" t="str">
        <x:v>CUST-3545</x:v>
      </x:c>
      <x:c r="F313" s="80" t="str">
        <x:v>Mira Das</x:v>
      </x:c>
      <x:c r="G313" s="80" t="str">
        <x:v>Corporate</x:v>
      </x:c>
      <x:c r="H313" s="80" t="str">
        <x:v>South</x:v>
      </x:c>
      <x:c r="I313" s="80" t="str">
        <x:v>Karnataka</x:v>
      </x:c>
      <x:c r="J313" s="80" t="str">
        <x:v>Bengaluru</x:v>
      </x:c>
      <x:c r="K313" s="80" t="str">
        <x:v>Office Supplies</x:v>
      </x:c>
      <x:c r="L313" s="80" t="str">
        <x:v>Binders</x:v>
      </x:c>
      <x:c r="M313" s="80" t="str">
        <x:v>Max Binders 425</x:v>
      </x:c>
      <x:c r="N313" s="80" t="str">
        <x:v>Second Class</x:v>
      </x:c>
      <x:c r="O313" s="82" t="n">
        <x:v>5</x:v>
      </x:c>
      <x:c r="P313" s="83" t="n">
        <x:v>554.04</x:v>
      </x:c>
      <x:c r="Q313" s="84" t="n">
        <x:v>0.1</x:v>
      </x:c>
      <x:c r="R313" s="83" t="n">
        <x:v>2493.18</x:v>
      </x:c>
      <x:c r="S313" s="83" t="n">
        <x:v>1764</x:v>
      </x:c>
      <x:c r="T313" s="83" t="n">
        <x:v>729.18</x:v>
      </x:c>
      <x:c r="U313" s="83" t="str">
        <x:v>Paid</x:v>
      </x:c>
      <x:c r="V313" s="83" t="str">
        <x:v>Completed</x:v>
      </x:c>
      <x:c r="W313" s="151" t="n">
        <x:f>IF(OR(NOT(ISNUMBER($AP313)),COUNT($O313,$P313)&lt;2,$O313&lt;=0,$P313&lt;0),"",ROUND($O313*$P313*(1-$AP313),2))</x:f>
        <x:v>2493.18</x:v>
      </x:c>
      <x:c r="X313" s="151" t="n">
        <x:f>IF(OR(NOT(ISNUMBER($W313)),NOT(ISNUMBER($S313))),"",ROUND($W313-$S313,2))</x:f>
        <x:v>729.18</x:v>
      </x:c>
      <x:c r="Y313" s="85" t="n">
        <x:f>IF(OR(NOT(ISNUMBER($W313)),NOT(ISNUMBER($X313)),$W313=0),"",ROUND($X313/$W313,4))</x:f>
        <x:v>0.2925</x:v>
      </x:c>
      <x:c r="Z313" s="82" t="n">
        <x:f>IF(OR($AH313&lt;&gt;"Valid",$AI313&lt;&gt;"Valid"),"",INT($D313-$C313))</x:f>
        <x:v>5</x:v>
      </x:c>
      <x:c r="AA313" s="86" t="str">
        <x:f>IF($AH313&lt;&gt;"Valid","",TEXT($C313,"mmmm"))</x:f>
        <x:v>April</x:v>
      </x:c>
      <x:c r="AB313" s="82" t="n">
        <x:f>IF($AH313&lt;&gt;"Valid","",YEAR($C313))</x:f>
        <x:v>2024</x:v>
      </x:c>
      <x:c r="AC313" s="80" t="str">
        <x:v>Consistent</x:v>
      </x:c>
      <x:c r="AD313" s="80" t="str">
        <x:v>Eligible</x:v>
      </x:c>
      <x:c r="AE313" s="80" t="str">
        <x:f>IF(OR($AH313&lt;&gt;"Valid",$AI313&lt;&gt;"Valid",$AJ313&lt;&gt;"Valid",LEFT($AM313,7)="Invalid",IFERROR(ABS($AQ313)&gt;0.01,FALSE),IFERROR(ABS($AR313)&gt;0.01,FALSE),COUNTIF($AS313,"*Conflicting duplicate*")&gt;0,COUNTIF($AS313,"*Completed order not paid*")&gt;0),"Invalid",IF(OR($H313="Unknown",$N313="Unknown",$AM313="Missing discount imputed as 0"),"Warning","Clean"))</x:f>
        <x:v>Clean</x:v>
      </x:c>
      <x:c r="AF313" s="80" t="str">
        <x:v>Pass</x:v>
      </x:c>
      <x:c r="AG313" s="80" t="str">
        <x:v>No text cleanup required</x:v>
      </x:c>
      <x:c r="AH313" s="12" t="str">
        <x:f>IF(C313="","Missing date",IF(ISNUMBER(C313),"Valid","Unrecognized/invalid date"))</x:f>
        <x:v>Valid</x:v>
      </x:c>
      <x:c r="AI313" s="12" t="str">
        <x:f>IF(D313="","Missing date",IF(ISNUMBER(D313),"Valid","Unrecognized/invalid date"))</x:f>
        <x:v>Valid</x:v>
      </x:c>
      <x:c r="AJ313" s="12" t="str">
        <x:v>Valid</x:v>
      </x:c>
      <x:c r="AK313" s="12" t="str">
        <x:v>Pass</x:v>
      </x:c>
      <x:c r="AL313" s="12" t="str">
        <x:v>None</x:v>
      </x:c>
      <x:c r="AM313" s="12" t="str">
        <x:v>Valid</x:v>
      </x:c>
      <x:c r="AN313" s="12" t="str">
        <x:v>Include in completed sales</x:v>
      </x:c>
      <x:c r="AO313" s="12" t="str">
        <x:v>Not a refunded record</x:v>
      </x:c>
      <x:c r="AP313" s="37" t="n">
        <x:f>IF(LEFT($AM313,7)="Invalid","",IF($AM313="Missing discount imputed as 0",IF(AND(COUNT($O313,$P313,$R313,$S313)=4,$O313&gt;0,$P313&gt;=0,$R313&gt;=0,$S313&gt;=0),0,""),IF(AND(ISNUMBER($Q313),$Q313&gt;=0,$Q313&lt;=0.5),$Q313,"")))</x:f>
        <x:v>0.1</x:v>
      </x:c>
      <x:c r="AQ313" s="152" t="n">
        <x:f>IF(OR($W313="",NOT(ISNUMBER($R313))),"",ROUND($R313-$W313,2))</x:f>
        <x:v>0</x:v>
      </x:c>
      <x:c r="AR313" s="152" t="n">
        <x:f>IF(OR($X313="",NOT(ISNUMBER($T313))),"",ROUND($T313-$X313,2))</x:f>
        <x:v>0</x:v>
      </x:c>
      <x:c r="AS313" s="14" t="str">
        <x:v>OK</x:v>
      </x:c>
    </x:row>
    <x:row r="314">
      <x:c r="A314" s="80" t="n">
        <x:v>314</x:v>
      </x:c>
      <x:c r="B314" s="80" t="str">
        <x:v>ORD-2024-10313</x:v>
      </x:c>
      <x:c r="C314" s="81" t="n">
        <x:v>45504</x:v>
      </x:c>
      <x:c r="D314" s="81" t="n">
        <x:v>45508</x:v>
      </x:c>
      <x:c r="E314" s="80" t="str">
        <x:v>CUST-4851</x:v>
      </x:c>
      <x:c r="F314" s="80" t="str">
        <x:v>Karan Malhotra</x:v>
      </x:c>
      <x:c r="G314" s="80" t="str">
        <x:v>Small Business</x:v>
      </x:c>
      <x:c r="H314" s="80" t="str">
        <x:v>East</x:v>
      </x:c>
      <x:c r="I314" s="80" t="str">
        <x:v>Assam</x:v>
      </x:c>
      <x:c r="J314" s="80" t="str">
        <x:v>Guwahati</x:v>
      </x:c>
      <x:c r="K314" s="80" t="str">
        <x:v>Technology</x:v>
      </x:c>
      <x:c r="L314" s="80" t="str">
        <x:v>Phones</x:v>
      </x:c>
      <x:c r="M314" s="80" t="str">
        <x:v>Elite Phones 679</x:v>
      </x:c>
      <x:c r="N314" s="80" t="str">
        <x:v>Standard Class</x:v>
      </x:c>
      <x:c r="O314" s="82" t="n">
        <x:v>8</x:v>
      </x:c>
      <x:c r="P314" s="83" t="n">
        <x:v>2614.74</x:v>
      </x:c>
      <x:c r="Q314" s="84" t="n">
        <x:v>0</x:v>
      </x:c>
      <x:c r="R314" s="83" t="n">
        <x:v>15688.44</x:v>
      </x:c>
      <x:c r="S314" s="83" t="n">
        <x:v>10047.33</x:v>
      </x:c>
      <x:c r="T314" s="83" t="n">
        <x:v>5641.11</x:v>
      </x:c>
      <x:c r="U314" s="83" t="str">
        <x:v>Paid</x:v>
      </x:c>
      <x:c r="V314" s="83" t="str">
        <x:v>Cancelled</x:v>
      </x:c>
      <x:c r="W314" s="151" t="n">
        <x:f>IF(OR(NOT(ISNUMBER($AP314)),COUNT($O314,$P314)&lt;2,$O314&lt;=0,$P314&lt;0),"",ROUND($O314*$P314*(1-$AP314),2))</x:f>
        <x:v>20917.92</x:v>
      </x:c>
      <x:c r="X314" s="151" t="n">
        <x:f>IF(OR(NOT(ISNUMBER($W314)),NOT(ISNUMBER($S314))),"",ROUND($W314-$S314,2))</x:f>
        <x:v>10870.59</x:v>
      </x:c>
      <x:c r="Y314" s="85" t="n">
        <x:f>IF(OR(NOT(ISNUMBER($W314)),NOT(ISNUMBER($X314)),$W314=0),"",ROUND($X314/$W314,4))</x:f>
        <x:v>0.5197</x:v>
      </x:c>
      <x:c r="Z314" s="82" t="n">
        <x:f>IF(OR($AH314&lt;&gt;"Valid",$AI314&lt;&gt;"Valid"),"",INT($D314-$C314))</x:f>
        <x:v>4</x:v>
      </x:c>
      <x:c r="AA314" s="86" t="str">
        <x:f>IF($AH314&lt;&gt;"Valid","",TEXT($C314,"mmmm"))</x:f>
        <x:v>July</x:v>
      </x:c>
      <x:c r="AB314" s="82" t="n">
        <x:f>IF($AH314&lt;&gt;"Valid","",YEAR($C314))</x:f>
        <x:v>2024</x:v>
      </x:c>
      <x:c r="AC314" s="80" t="str">
        <x:v>Cancelled (excluded from completed-sales summary)</x:v>
      </x:c>
      <x:c r="AD314" s="80" t="str">
        <x:v>Excluded</x:v>
      </x:c>
      <x:c r="AE314" s="80" t="str">
        <x:f>IF(OR($AH314&lt;&gt;"Valid",$AI314&lt;&gt;"Valid",$AJ314&lt;&gt;"Valid",LEFT($AM314,7)="Invalid",IFERROR(ABS($AQ314)&gt;0.01,FALSE),IFERROR(ABS($AR314)&gt;0.01,FALSE),COUNTIF($AS314,"*Conflicting duplicate*")&gt;0,COUNTIF($AS314,"*Completed order not paid*")&gt;0),"Invalid",IF(OR($H314="Unknown",$N314="Unknown",$AM314="Missing discount imputed as 0"),"Warning","Clean"))</x:f>
        <x:v>Invalid</x:v>
      </x:c>
      <x:c r="AF314" s="80" t="str">
        <x:v>Review</x:v>
      </x:c>
      <x:c r="AG314" s="80" t="str">
        <x:v>discount: Imputed 0; discount: Missing value set to 0 after sales-field validation</x:v>
      </x:c>
      <x:c r="AH314" s="12" t="str">
        <x:f>IF(C314="","Missing date",IF(ISNUMBER(C314),"Valid","Unrecognized/invalid date"))</x:f>
        <x:v>Valid</x:v>
      </x:c>
      <x:c r="AI314" s="12" t="str">
        <x:f>IF(D314="","Missing date",IF(ISNUMBER(D314),"Valid","Unrecognized/invalid date"))</x:f>
        <x:v>Valid</x:v>
      </x:c>
      <x:c r="AJ314" s="12" t="str">
        <x:v>Valid</x:v>
      </x:c>
      <x:c r="AK314" s="12" t="str">
        <x:v>Pass</x:v>
      </x:c>
      <x:c r="AL314" s="12" t="str">
        <x:v>Missing discount imputed as 0; Cancelled order – excluded from completed sales</x:v>
      </x:c>
      <x:c r="AM314" s="12" t="str">
        <x:v>Missing discount imputed as 0</x:v>
      </x:c>
      <x:c r="AN314" s="12" t="str">
        <x:v>Exclude from completed sales</x:v>
      </x:c>
      <x:c r="AO314" s="12" t="str">
        <x:v>Not a refunded record</x:v>
      </x:c>
      <x:c r="AP314" s="37" t="n">
        <x:f>IF(LEFT($AM314,7)="Invalid","",IF($AM314="Missing discount imputed as 0",IF(AND(COUNT($O314,$P314,$R314,$S314)=4,$O314&gt;0,$P314&gt;=0,$R314&gt;=0,$S314&gt;=0),0,""),IF(AND(ISNUMBER($Q314),$Q314&gt;=0,$Q314&lt;=0.5),$Q314,"")))</x:f>
        <x:v>0</x:v>
      </x:c>
      <x:c r="AQ314" s="152" t="n">
        <x:f>IF(OR($W314="",NOT(ISNUMBER($R314))),"",ROUND($R314-$W314,2))</x:f>
        <x:v>-5229.48</x:v>
      </x:c>
      <x:c r="AR314" s="152" t="n">
        <x:f>IF(OR($X314="",NOT(ISNUMBER($T314))),"",ROUND($T314-$X314,2))</x:f>
        <x:v>-5229.48</x:v>
      </x:c>
      <x:c r="AS314" s="14" t="str">
        <x:v>Sales calculation mismatch</x:v>
      </x:c>
    </x:row>
    <x:row r="315">
      <x:c r="A315" s="80" t="n">
        <x:v>315</x:v>
      </x:c>
      <x:c r="B315" s="80" t="str">
        <x:v>ORD-2025-10314</x:v>
      </x:c>
      <x:c r="C315" s="81" t="n">
        <x:v>45807</x:v>
      </x:c>
      <x:c r="D315" s="81" t="n">
        <x:v>45808</x:v>
      </x:c>
      <x:c r="E315" s="80" t="str">
        <x:v>CUST-4770</x:v>
      </x:c>
      <x:c r="F315" s="80" t="str">
        <x:v>Rahul Verma</x:v>
      </x:c>
      <x:c r="G315" s="80" t="str">
        <x:v>Corporate</x:v>
      </x:c>
      <x:c r="H315" s="80" t="str">
        <x:v>North</x:v>
      </x:c>
      <x:c r="I315" s="80" t="str">
        <x:v>Uttar Pradesh</x:v>
      </x:c>
      <x:c r="J315" s="80" t="str">
        <x:v>Noida</x:v>
      </x:c>
      <x:c r="K315" s="80" t="str">
        <x:v>Technology</x:v>
      </x:c>
      <x:c r="L315" s="80" t="str">
        <x:v>Phones</x:v>
      </x:c>
      <x:c r="M315" s="80" t="str">
        <x:v>Pro Phones 764</x:v>
      </x:c>
      <x:c r="N315" s="80" t="str">
        <x:v>First Class</x:v>
      </x:c>
      <x:c r="O315" s="82" t="n">
        <x:v>8</x:v>
      </x:c>
      <x:c r="P315" s="83" t="n">
        <x:v>2081.43</x:v>
      </x:c>
      <x:c r="Q315" s="84" t="n">
        <x:v>0.25</x:v>
      </x:c>
      <x:c r="R315" s="83" t="n">
        <x:v>12488.58</x:v>
      </x:c>
      <x:c r="S315" s="83" t="n">
        <x:v>10717.4</x:v>
      </x:c>
      <x:c r="T315" s="83" t="n">
        <x:v>1771.18</x:v>
      </x:c>
      <x:c r="U315" s="83" t="str">
        <x:v>Refunded</x:v>
      </x:c>
      <x:c r="V315" s="83" t="str">
        <x:v>Cancelled</x:v>
      </x:c>
      <x:c r="W315" s="151" t="n">
        <x:f>IF(OR(NOT(ISNUMBER($AP315)),COUNT($O315,$P315)&lt;2,$O315&lt;=0,$P315&lt;0),"",ROUND($O315*$P315*(1-$AP315),2))</x:f>
        <x:v>12488.58</x:v>
      </x:c>
      <x:c r="X315" s="151" t="n">
        <x:f>IF(OR(NOT(ISNUMBER($W315)),NOT(ISNUMBER($S315))),"",ROUND($W315-$S315,2))</x:f>
        <x:v>1771.18</x:v>
      </x:c>
      <x:c r="Y315" s="85" t="n">
        <x:f>IF(OR(NOT(ISNUMBER($W315)),NOT(ISNUMBER($X315)),$W315=0),"",ROUND($X315/$W315,4))</x:f>
        <x:v>0.1418</x:v>
      </x:c>
      <x:c r="Z315" s="82" t="n">
        <x:f>IF(OR($AH315&lt;&gt;"Valid",$AI315&lt;&gt;"Valid"),"",INT($D315-$C315))</x:f>
        <x:v>1</x:v>
      </x:c>
      <x:c r="AA315" s="86" t="str">
        <x:f>IF($AH315&lt;&gt;"Valid","",TEXT($C315,"mmmm"))</x:f>
        <x:v>May</x:v>
      </x:c>
      <x:c r="AB315" s="82" t="n">
        <x:f>IF($AH315&lt;&gt;"Valid","",YEAR($C315))</x:f>
        <x:v>2025</x:v>
      </x:c>
      <x:c r="AC315" s="80" t="str">
        <x:v>Cancelled (excluded from completed-sales summary)</x:v>
      </x:c>
      <x:c r="AD315" s="80" t="str">
        <x:v>Excluded</x:v>
      </x:c>
      <x:c r="AE315" s="80" t="str">
        <x:f>IF(OR($AH315&lt;&gt;"Valid",$AI315&lt;&gt;"Valid",$AJ315&lt;&gt;"Valid",LEFT($AM315,7)="Invalid",IFERROR(ABS($AQ315)&gt;0.01,FALSE),IFERROR(ABS($AR315)&gt;0.01,FALSE),COUNTIF($AS315,"*Conflicting duplicate*")&gt;0,COUNTIF($AS315,"*Completed order not paid*")&gt;0),"Invalid",IF(OR($H315="Unknown",$N315="Unknown",$AM315="Missing discount imputed as 0"),"Warning","Clean"))</x:f>
        <x:v>Clean</x:v>
      </x:c>
      <x:c r="AF315" s="80" t="str">
        <x:v>Pass</x:v>
      </x:c>
      <x:c r="AG315" s="80" t="str">
        <x:v>No text cleanup required</x:v>
      </x:c>
      <x:c r="AH315" s="12" t="str">
        <x:f>IF(C315="","Missing date",IF(ISNUMBER(C315),"Valid","Unrecognized/invalid date"))</x:f>
        <x:v>Valid</x:v>
      </x:c>
      <x:c r="AI315" s="12" t="str">
        <x:f>IF(D315="","Missing date",IF(ISNUMBER(D315),"Valid","Unrecognized/invalid date"))</x:f>
        <x:v>Valid</x:v>
      </x:c>
      <x:c r="AJ315" s="12" t="str">
        <x:v>Valid</x:v>
      </x:c>
      <x:c r="AK315" s="12" t="str">
        <x:v>Pass</x:v>
      </x:c>
      <x:c r="AL315" s="12" t="str">
        <x:v>Cancelled order – excluded from completed sales; Refunded payment – separately summarized</x:v>
      </x:c>
      <x:c r="AM315" s="12" t="str">
        <x:v>Valid</x:v>
      </x:c>
      <x:c r="AN315" s="12" t="str">
        <x:v>Exclude from completed sales</x:v>
      </x:c>
      <x:c r="AO315" s="12" t="str">
        <x:v>Include in refunded summary</x:v>
      </x:c>
      <x:c r="AP315" s="37" t="n">
        <x:f>IF(LEFT($AM315,7)="Invalid","",IF($AM315="Missing discount imputed as 0",IF(AND(COUNT($O315,$P315,$R315,$S315)=4,$O315&gt;0,$P315&gt;=0,$R315&gt;=0,$S315&gt;=0),0,""),IF(AND(ISNUMBER($Q315),$Q315&gt;=0,$Q315&lt;=0.5),$Q315,"")))</x:f>
        <x:v>0.25</x:v>
      </x:c>
      <x:c r="AQ315" s="152" t="n">
        <x:f>IF(OR($W315="",NOT(ISNUMBER($R315))),"",ROUND($R315-$W315,2))</x:f>
        <x:v>0</x:v>
      </x:c>
      <x:c r="AR315" s="152" t="n">
        <x:f>IF(OR($X315="",NOT(ISNUMBER($T315))),"",ROUND($T315-$X315,2))</x:f>
        <x:v>0</x:v>
      </x:c>
      <x:c r="AS315" s="14" t="str">
        <x:v>OK</x:v>
      </x:c>
    </x:row>
    <x:row r="316">
      <x:c r="A316" s="80" t="n">
        <x:v>316</x:v>
      </x:c>
      <x:c r="B316" s="80" t="str">
        <x:v>ORD-2025-10315</x:v>
      </x:c>
      <x:c r="C316" s="81" t="n">
        <x:v>45795</x:v>
      </x:c>
      <x:c r="D316" s="81" t="n">
        <x:v>45797</x:v>
      </x:c>
      <x:c r="E316" s="80" t="str">
        <x:v>CUST-1945</x:v>
      </x:c>
      <x:c r="F316" s="80" t="str">
        <x:v>Isha Nair</x:v>
      </x:c>
      <x:c r="G316" s="80" t="str">
        <x:v>Corporate</x:v>
      </x:c>
      <x:c r="H316" s="80" t="str">
        <x:v>West</x:v>
      </x:c>
      <x:c r="I316" s="80" t="str">
        <x:v>Madhya Pradesh</x:v>
      </x:c>
      <x:c r="J316" s="80" t="str">
        <x:v>Indore</x:v>
      </x:c>
      <x:c r="K316" s="80" t="str">
        <x:v>Office Supplies</x:v>
      </x:c>
      <x:c r="L316" s="80" t="str">
        <x:v>Labels</x:v>
      </x:c>
      <x:c r="M316" s="80" t="str">
        <x:v>Elite Labels 544</x:v>
      </x:c>
      <x:c r="N316" s="80" t="str">
        <x:v>Standard Class</x:v>
      </x:c>
      <x:c r="O316" s="82" t="n">
        <x:v>9</x:v>
      </x:c>
      <x:c r="P316" s="83" t="n">
        <x:v>847.76</x:v>
      </x:c>
      <x:c r="Q316" s="84" t="n">
        <x:v>0.15</x:v>
      </x:c>
      <x:c r="R316" s="83" t="n">
        <x:v>6485.36</x:v>
      </x:c>
      <x:c r="S316" s="83" t="n">
        <x:v>5376.17</x:v>
      </x:c>
      <x:c r="T316" s="83" t="n">
        <x:v>1109.19</x:v>
      </x:c>
      <x:c r="U316" s="83" t="str">
        <x:v>Failed</x:v>
      </x:c>
      <x:c r="V316" s="83" t="str">
        <x:v>Returned</x:v>
      </x:c>
      <x:c r="W316" s="151" t="n">
        <x:f>IF(OR(NOT(ISNUMBER($AP316)),COUNT($O316,$P316)&lt;2,$O316&lt;=0,$P316&lt;0),"",ROUND($O316*$P316*(1-$AP316),2))</x:f>
        <x:v>6485.36</x:v>
      </x:c>
      <x:c r="X316" s="151" t="n">
        <x:f>IF(OR(NOT(ISNUMBER($W316)),NOT(ISNUMBER($S316))),"",ROUND($W316-$S316,2))</x:f>
        <x:v>1109.19</x:v>
      </x:c>
      <x:c r="Y316" s="85" t="n">
        <x:f>IF(OR(NOT(ISNUMBER($W316)),NOT(ISNUMBER($X316)),$W316=0),"",ROUND($X316/$W316,4))</x:f>
        <x:v>0.171</x:v>
      </x:c>
      <x:c r="Z316" s="82" t="n">
        <x:f>IF(OR($AH316&lt;&gt;"Valid",$AI316&lt;&gt;"Valid"),"",INT($D316-$C316))</x:f>
        <x:v>2</x:v>
      </x:c>
      <x:c r="AA316" s="86" t="str">
        <x:f>IF($AH316&lt;&gt;"Valid","",TEXT($C316,"mmmm"))</x:f>
        <x:v>May</x:v>
      </x:c>
      <x:c r="AB316" s="82" t="n">
        <x:f>IF($AH316&lt;&gt;"Valid","",YEAR($C316))</x:f>
        <x:v>2025</x:v>
      </x:c>
      <x:c r="AC316" s="80" t="str">
        <x:v>Failed payment (excluded from completed-sales summary)</x:v>
      </x:c>
      <x:c r="AD316" s="80" t="str">
        <x:v>Excluded</x:v>
      </x:c>
      <x:c r="AE316" s="80" t="str">
        <x:f>IF(OR($AH316&lt;&gt;"Valid",$AI316&lt;&gt;"Valid",$AJ316&lt;&gt;"Valid",LEFT($AM316,7)="Invalid",IFERROR(ABS($AQ316)&gt;0.01,FALSE),IFERROR(ABS($AR316)&gt;0.01,FALSE),COUNTIF($AS316,"*Conflicting duplicate*")&gt;0,COUNTIF($AS316,"*Completed order not paid*")&gt;0),"Invalid",IF(OR($H316="Unknown",$N316="Unknown",$AM316="Missing discount imputed as 0"),"Warning","Clean"))</x:f>
        <x:v>Clean</x:v>
      </x:c>
      <x:c r="AF316" s="80" t="str">
        <x:v>Review</x:v>
      </x:c>
      <x:c r="AG316" s="80" t="str">
        <x:v>No text cleanup required</x:v>
      </x:c>
      <x:c r="AH316" s="12" t="str">
        <x:f>IF(C316="","Missing date",IF(ISNUMBER(C316),"Valid","Unrecognized/invalid date"))</x:f>
        <x:v>Valid</x:v>
      </x:c>
      <x:c r="AI316" s="12" t="str">
        <x:f>IF(D316="","Missing date",IF(ISNUMBER(D316),"Valid","Unrecognized/invalid date"))</x:f>
        <x:v>Valid</x:v>
      </x:c>
      <x:c r="AJ316" s="12" t="str">
        <x:v>Valid</x:v>
      </x:c>
      <x:c r="AK316" s="12" t="str">
        <x:v>Pass</x:v>
      </x:c>
      <x:c r="AL316" s="12" t="str">
        <x:v>Failed payment – excluded from completed sales</x:v>
      </x:c>
      <x:c r="AM316" s="12" t="str">
        <x:v>Valid</x:v>
      </x:c>
      <x:c r="AN316" s="12" t="str">
        <x:v>Exclude from completed sales</x:v>
      </x:c>
      <x:c r="AO316" s="12" t="str">
        <x:v>Not a refunded record</x:v>
      </x:c>
      <x:c r="AP316" s="37" t="n">
        <x:f>IF(LEFT($AM316,7)="Invalid","",IF($AM316="Missing discount imputed as 0",IF(AND(COUNT($O316,$P316,$R316,$S316)=4,$O316&gt;0,$P316&gt;=0,$R316&gt;=0,$S316&gt;=0),0,""),IF(AND(ISNUMBER($Q316),$Q316&gt;=0,$Q316&lt;=0.5),$Q316,"")))</x:f>
        <x:v>0.15</x:v>
      </x:c>
      <x:c r="AQ316" s="152" t="n">
        <x:f>IF(OR($W316="",NOT(ISNUMBER($R316))),"",ROUND($R316-$W316,2))</x:f>
        <x:v>0</x:v>
      </x:c>
      <x:c r="AR316" s="152" t="n">
        <x:f>IF(OR($X316="",NOT(ISNUMBER($T316))),"",ROUND($T316-$X316,2))</x:f>
        <x:v>0</x:v>
      </x:c>
      <x:c r="AS316" s="14" t="str">
        <x:v>Conflicting duplicate order ID</x:v>
      </x:c>
    </x:row>
    <x:row r="317">
      <x:c r="A317" s="80" t="n">
        <x:v>317</x:v>
      </x:c>
      <x:c r="B317" s="80" t="str">
        <x:v>ORD-2024-10316</x:v>
      </x:c>
      <x:c r="C317" s="81" t="n">
        <x:v>45475</x:v>
      </x:c>
      <x:c r="D317" s="81" t="n">
        <x:v>45481</x:v>
      </x:c>
      <x:c r="E317" s="80" t="str">
        <x:v>CUST-7565</x:v>
      </x:c>
      <x:c r="F317" s="80" t="str">
        <x:v>Rohan Mehta</x:v>
      </x:c>
      <x:c r="G317" s="80" t="str">
        <x:v>Consumer</x:v>
      </x:c>
      <x:c r="H317" s="80" t="str">
        <x:v>North</x:v>
      </x:c>
      <x:c r="I317" s="80" t="str">
        <x:v>Delhi</x:v>
      </x:c>
      <x:c r="J317" s="80" t="str">
        <x:v>New Delhi</x:v>
      </x:c>
      <x:c r="K317" s="80" t="str">
        <x:v>Office Supplies</x:v>
      </x:c>
      <x:c r="L317" s="80" t="str">
        <x:v>Paper</x:v>
      </x:c>
      <x:c r="M317" s="80" t="str">
        <x:v>Smart Paper 817</x:v>
      </x:c>
      <x:c r="N317" s="80" t="str">
        <x:v>Standard Class</x:v>
      </x:c>
      <x:c r="O317" s="82" t="n">
        <x:v>9</x:v>
      </x:c>
      <x:c r="P317" s="83" t="n">
        <x:v>3450.4</x:v>
      </x:c>
      <x:c r="Q317" s="84" t="n">
        <x:v>0.05</x:v>
      </x:c>
      <x:c r="R317" s="83" t="n">
        <x:v>29500.92</x:v>
      </x:c>
      <x:c r="S317" s="83" t="n">
        <x:v>17989.68</x:v>
      </x:c>
      <x:c r="T317" s="83" t="n">
        <x:v>11511.24</x:v>
      </x:c>
      <x:c r="U317" s="83" t="str">
        <x:v>Pending</x:v>
      </x:c>
      <x:c r="V317" s="83" t="str">
        <x:v>Returned</x:v>
      </x:c>
      <x:c r="W317" s="151" t="n">
        <x:f>IF(OR(NOT(ISNUMBER($AP317)),COUNT($O317,$P317)&lt;2,$O317&lt;=0,$P317&lt;0),"",ROUND($O317*$P317*(1-$AP317),2))</x:f>
        <x:v>29500.92</x:v>
      </x:c>
      <x:c r="X317" s="151" t="n">
        <x:f>IF(OR(NOT(ISNUMBER($W317)),NOT(ISNUMBER($S317))),"",ROUND($W317-$S317,2))</x:f>
        <x:v>11511.24</x:v>
      </x:c>
      <x:c r="Y317" s="85" t="n">
        <x:f>IF(OR(NOT(ISNUMBER($W317)),NOT(ISNUMBER($X317)),$W317=0),"",ROUND($X317/$W317,4))</x:f>
        <x:v>0.3902</x:v>
      </x:c>
      <x:c r="Z317" s="82" t="n">
        <x:f>IF(OR($AH317&lt;&gt;"Valid",$AI317&lt;&gt;"Valid"),"",INT($D317-$C317))</x:f>
        <x:v>6</x:v>
      </x:c>
      <x:c r="AA317" s="86" t="str">
        <x:f>IF($AH317&lt;&gt;"Valid","",TEXT($C317,"mmmm"))</x:f>
        <x:v>July</x:v>
      </x:c>
      <x:c r="AB317" s="82" t="n">
        <x:f>IF($AH317&lt;&gt;"Valid","",YEAR($C317))</x:f>
        <x:v>2024</x:v>
      </x:c>
      <x:c r="AC317" s="80" t="str">
        <x:v>Consistent</x:v>
      </x:c>
      <x:c r="AD317" s="80" t="str">
        <x:v>Excluded</x:v>
      </x:c>
      <x:c r="AE317" s="80" t="str">
        <x:f>IF(OR($AH317&lt;&gt;"Valid",$AI317&lt;&gt;"Valid",$AJ317&lt;&gt;"Valid",LEFT($AM317,7)="Invalid",IFERROR(ABS($AQ317)&gt;0.01,FALSE),IFERROR(ABS($AR317)&gt;0.01,FALSE),COUNTIF($AS317,"*Conflicting duplicate*")&gt;0,COUNTIF($AS317,"*Completed order not paid*")&gt;0),"Invalid",IF(OR($H317="Unknown",$N317="Unknown",$AM317="Missing discount imputed as 0"),"Warning","Clean"))</x:f>
        <x:v>Clean</x:v>
      </x:c>
      <x:c r="AF317" s="80" t="str">
        <x:v>Pass</x:v>
      </x:c>
      <x:c r="AG317" s="80" t="str">
        <x:v>No text cleanup required</x:v>
      </x:c>
      <x:c r="AH317" s="12" t="str">
        <x:f>IF(C317="","Missing date",IF(ISNUMBER(C317),"Valid","Unrecognized/invalid date"))</x:f>
        <x:v>Valid</x:v>
      </x:c>
      <x:c r="AI317" s="12" t="str">
        <x:f>IF(D317="","Missing date",IF(ISNUMBER(D317),"Valid","Unrecognized/invalid date"))</x:f>
        <x:v>Valid</x:v>
      </x:c>
      <x:c r="AJ317" s="12" t="str">
        <x:v>Valid</x:v>
      </x:c>
      <x:c r="AK317" s="12" t="str">
        <x:v>Pass</x:v>
      </x:c>
      <x:c r="AL317" s="12" t="str">
        <x:v>None</x:v>
      </x:c>
      <x:c r="AM317" s="12" t="str">
        <x:v>Valid</x:v>
      </x:c>
      <x:c r="AN317" s="12" t="str">
        <x:v>Exclude from completed sales</x:v>
      </x:c>
      <x:c r="AO317" s="12" t="str">
        <x:v>Not a refunded record</x:v>
      </x:c>
      <x:c r="AP317" s="37" t="n">
        <x:f>IF(LEFT($AM317,7)="Invalid","",IF($AM317="Missing discount imputed as 0",IF(AND(COUNT($O317,$P317,$R317,$S317)=4,$O317&gt;0,$P317&gt;=0,$R317&gt;=0,$S317&gt;=0),0,""),IF(AND(ISNUMBER($Q317),$Q317&gt;=0,$Q317&lt;=0.5),$Q317,"")))</x:f>
        <x:v>0.05</x:v>
      </x:c>
      <x:c r="AQ317" s="152" t="n">
        <x:f>IF(OR($W317="",NOT(ISNUMBER($R317))),"",ROUND($R317-$W317,2))</x:f>
        <x:v>0</x:v>
      </x:c>
      <x:c r="AR317" s="152" t="n">
        <x:f>IF(OR($X317="",NOT(ISNUMBER($T317))),"",ROUND($T317-$X317,2))</x:f>
        <x:v>0</x:v>
      </x:c>
      <x:c r="AS317" s="14" t="str">
        <x:v>OK</x:v>
      </x:c>
    </x:row>
    <x:row r="318">
      <x:c r="A318" s="80" t="n">
        <x:v>318</x:v>
      </x:c>
      <x:c r="B318" s="80" t="str">
        <x:v>ORD-2024-10317</x:v>
      </x:c>
      <x:c r="C318" s="81" t="n">
        <x:v>45338</x:v>
      </x:c>
      <x:c r="D318" s="81" t="n">
        <x:v>45340</x:v>
      </x:c>
      <x:c r="E318" s="80" t="str">
        <x:v>CUST-9913</x:v>
      </x:c>
      <x:c r="F318" s="80" t="str">
        <x:v>Karan Malhotra</x:v>
      </x:c>
      <x:c r="G318" s="80" t="str">
        <x:v>Corporate</x:v>
      </x:c>
      <x:c r="H318" s="80" t="str">
        <x:v>North</x:v>
      </x:c>
      <x:c r="I318" s="80" t="str">
        <x:v>Punjab</x:v>
      </x:c>
      <x:c r="J318" s="80" t="str">
        <x:v>Ludhiana</x:v>
      </x:c>
      <x:c r="K318" s="80" t="str">
        <x:v>Office Supplies</x:v>
      </x:c>
      <x:c r="L318" s="80" t="str">
        <x:v>Labels</x:v>
      </x:c>
      <x:c r="M318" s="80" t="str">
        <x:v>Classic Labels 466</x:v>
      </x:c>
      <x:c r="N318" s="80" t="str">
        <x:v>Standard Class</x:v>
      </x:c>
      <x:c r="O318" s="82" t="n">
        <x:v>2</x:v>
      </x:c>
      <x:c r="P318" s="83" t="n">
        <x:v>1947.53</x:v>
      </x:c>
      <x:c r="Q318" s="84" t="n">
        <x:v>0.2</x:v>
      </x:c>
      <x:c r="R318" s="83" t="n">
        <x:v>3116.05</x:v>
      </x:c>
      <x:c r="S318" s="83" t="n">
        <x:v>1956.63</x:v>
      </x:c>
      <x:c r="T318" s="83" t="n">
        <x:v>1159.42</x:v>
      </x:c>
      <x:c r="U318" s="83" t="str">
        <x:v>Paid</x:v>
      </x:c>
      <x:c r="V318" s="83" t="str">
        <x:v>Cancelled</x:v>
      </x:c>
      <x:c r="W318" s="151" t="n">
        <x:f>IF(OR(NOT(ISNUMBER($AP318)),COUNT($O318,$P318)&lt;2,$O318&lt;=0,$P318&lt;0),"",ROUND($O318*$P318*(1-$AP318),2))</x:f>
        <x:v>3116.05</x:v>
      </x:c>
      <x:c r="X318" s="151" t="n">
        <x:f>IF(OR(NOT(ISNUMBER($W318)),NOT(ISNUMBER($S318))),"",ROUND($W318-$S318,2))</x:f>
        <x:v>1159.42</x:v>
      </x:c>
      <x:c r="Y318" s="85" t="n">
        <x:f>IF(OR(NOT(ISNUMBER($W318)),NOT(ISNUMBER($X318)),$W318=0),"",ROUND($X318/$W318,4))</x:f>
        <x:v>0.3721</x:v>
      </x:c>
      <x:c r="Z318" s="82" t="n">
        <x:f>IF(OR($AH318&lt;&gt;"Valid",$AI318&lt;&gt;"Valid"),"",INT($D318-$C318))</x:f>
        <x:v>2</x:v>
      </x:c>
      <x:c r="AA318" s="86" t="str">
        <x:f>IF($AH318&lt;&gt;"Valid","",TEXT($C318,"mmmm"))</x:f>
        <x:v>February</x:v>
      </x:c>
      <x:c r="AB318" s="82" t="n">
        <x:f>IF($AH318&lt;&gt;"Valid","",YEAR($C318))</x:f>
        <x:v>2024</x:v>
      </x:c>
      <x:c r="AC318" s="80" t="str">
        <x:v>Cancelled (excluded from completed-sales summary)</x:v>
      </x:c>
      <x:c r="AD318" s="80" t="str">
        <x:v>Excluded</x:v>
      </x:c>
      <x:c r="AE318" s="80" t="str">
        <x:f>IF(OR($AH318&lt;&gt;"Valid",$AI318&lt;&gt;"Valid",$AJ318&lt;&gt;"Valid",LEFT($AM318,7)="Invalid",IFERROR(ABS($AQ318)&gt;0.01,FALSE),IFERROR(ABS($AR318)&gt;0.01,FALSE),COUNTIF($AS318,"*Conflicting duplicate*")&gt;0,COUNTIF($AS318,"*Completed order not paid*")&gt;0),"Invalid",IF(OR($H318="Unknown",$N318="Unknown",$AM318="Missing discount imputed as 0"),"Warning","Clean"))</x:f>
        <x:v>Clean</x:v>
      </x:c>
      <x:c r="AF318" s="80" t="str">
        <x:v>Pass</x:v>
      </x:c>
      <x:c r="AG318" s="80" t="str">
        <x:v>No text cleanup required</x:v>
      </x:c>
      <x:c r="AH318" s="12" t="str">
        <x:f>IF(C318="","Missing date",IF(ISNUMBER(C318),"Valid","Unrecognized/invalid date"))</x:f>
        <x:v>Valid</x:v>
      </x:c>
      <x:c r="AI318" s="12" t="str">
        <x:f>IF(D318="","Missing date",IF(ISNUMBER(D318),"Valid","Unrecognized/invalid date"))</x:f>
        <x:v>Valid</x:v>
      </x:c>
      <x:c r="AJ318" s="12" t="str">
        <x:v>Valid</x:v>
      </x:c>
      <x:c r="AK318" s="12" t="str">
        <x:v>Pass</x:v>
      </x:c>
      <x:c r="AL318" s="12" t="str">
        <x:v>Cancelled order – excluded from completed sales</x:v>
      </x:c>
      <x:c r="AM318" s="12" t="str">
        <x:v>Valid</x:v>
      </x:c>
      <x:c r="AN318" s="12" t="str">
        <x:v>Exclude from completed sales</x:v>
      </x:c>
      <x:c r="AO318" s="12" t="str">
        <x:v>Not a refunded record</x:v>
      </x:c>
      <x:c r="AP318" s="37" t="n">
        <x:f>IF(LEFT($AM318,7)="Invalid","",IF($AM318="Missing discount imputed as 0",IF(AND(COUNT($O318,$P318,$R318,$S318)=4,$O318&gt;0,$P318&gt;=0,$R318&gt;=0,$S318&gt;=0),0,""),IF(AND(ISNUMBER($Q318),$Q318&gt;=0,$Q318&lt;=0.5),$Q318,"")))</x:f>
        <x:v>0.2</x:v>
      </x:c>
      <x:c r="AQ318" s="152" t="n">
        <x:f>IF(OR($W318="",NOT(ISNUMBER($R318))),"",ROUND($R318-$W318,2))</x:f>
        <x:v>0</x:v>
      </x:c>
      <x:c r="AR318" s="152" t="n">
        <x:f>IF(OR($X318="",NOT(ISNUMBER($T318))),"",ROUND($T318-$X318,2))</x:f>
        <x:v>0</x:v>
      </x:c>
      <x:c r="AS318" s="14" t="str">
        <x:v>OK</x:v>
      </x:c>
    </x:row>
    <x:row r="319">
      <x:c r="A319" s="80" t="n">
        <x:v>319</x:v>
      </x:c>
      <x:c r="B319" s="80" t="str">
        <x:v>ORD-2025-10318</x:v>
      </x:c>
      <x:c r="C319" s="81" t="n">
        <x:v>45898</x:v>
      </x:c>
      <x:c r="D319" s="81" t="n">
        <x:v>45904</x:v>
      </x:c>
      <x:c r="E319" s="80" t="str">
        <x:v>CUST-7992</x:v>
      </x:c>
      <x:c r="F319" s="80" t="str">
        <x:v>Neha Gupta</x:v>
      </x:c>
      <x:c r="G319" s="80" t="str">
        <x:v>Corporate</x:v>
      </x:c>
      <x:c r="H319" s="80" t="str">
        <x:v>South</x:v>
      </x:c>
      <x:c r="I319" s="80" t="str">
        <x:v>Kerala</x:v>
      </x:c>
      <x:c r="J319" s="80" t="str">
        <x:v>Kochi</x:v>
      </x:c>
      <x:c r="K319" s="80" t="str">
        <x:v>Furniture</x:v>
      </x:c>
      <x:c r="L319" s="80" t="str">
        <x:v>Tables</x:v>
      </x:c>
      <x:c r="M319" s="80" t="str">
        <x:v>Pro Tables 778</x:v>
      </x:c>
      <x:c r="N319" s="80" t="str">
        <x:v>First Class</x:v>
      </x:c>
      <x:c r="O319" s="82" t="n">
        <x:v>9</x:v>
      </x:c>
      <x:c r="P319" s="83" t="n">
        <x:v>2996.97</x:v>
      </x:c>
      <x:c r="Q319" s="84" t="n">
        <x:v>0.15</x:v>
      </x:c>
      <x:c r="R319" s="83" t="n">
        <x:v>22926.82</x:v>
      </x:c>
      <x:c r="S319" s="83" t="n">
        <x:v>14621.59</x:v>
      </x:c>
      <x:c r="T319" s="83" t="n">
        <x:v>8305.23</x:v>
      </x:c>
      <x:c r="U319" s="83" t="str">
        <x:v>Paid</x:v>
      </x:c>
      <x:c r="V319" s="83" t="str">
        <x:v>Completed</x:v>
      </x:c>
      <x:c r="W319" s="151" t="n">
        <x:f>IF(OR(NOT(ISNUMBER($AP319)),COUNT($O319,$P319)&lt;2,$O319&lt;=0,$P319&lt;0),"",ROUND($O319*$P319*(1-$AP319),2))</x:f>
        <x:v>22926.82</x:v>
      </x:c>
      <x:c r="X319" s="151" t="n">
        <x:f>IF(OR(NOT(ISNUMBER($W319)),NOT(ISNUMBER($S319))),"",ROUND($W319-$S319,2))</x:f>
        <x:v>8305.23</x:v>
      </x:c>
      <x:c r="Y319" s="85" t="n">
        <x:f>IF(OR(NOT(ISNUMBER($W319)),NOT(ISNUMBER($X319)),$W319=0),"",ROUND($X319/$W319,4))</x:f>
        <x:v>0.3622</x:v>
      </x:c>
      <x:c r="Z319" s="82" t="n">
        <x:f>IF(OR($AH319&lt;&gt;"Valid",$AI319&lt;&gt;"Valid"),"",INT($D319-$C319))</x:f>
        <x:v>6</x:v>
      </x:c>
      <x:c r="AA319" s="86" t="str">
        <x:f>IF($AH319&lt;&gt;"Valid","",TEXT($C319,"mmmm"))</x:f>
        <x:v>August</x:v>
      </x:c>
      <x:c r="AB319" s="82" t="n">
        <x:f>IF($AH319&lt;&gt;"Valid","",YEAR($C319))</x:f>
        <x:v>2025</x:v>
      </x:c>
      <x:c r="AC319" s="80" t="str">
        <x:v>Consistent</x:v>
      </x:c>
      <x:c r="AD319" s="80" t="str">
        <x:v>Eligible</x:v>
      </x:c>
      <x:c r="AE319" s="80" t="str">
        <x:f>IF(OR($AH319&lt;&gt;"Valid",$AI319&lt;&gt;"Valid",$AJ319&lt;&gt;"Valid",LEFT($AM319,7)="Invalid",IFERROR(ABS($AQ319)&gt;0.01,FALSE),IFERROR(ABS($AR319)&gt;0.01,FALSE),COUNTIF($AS319,"*Conflicting duplicate*")&gt;0,COUNTIF($AS319,"*Completed order not paid*")&gt;0),"Invalid",IF(OR($H319="Unknown",$N319="Unknown",$AM319="Missing discount imputed as 0"),"Warning","Clean"))</x:f>
        <x:v>Clean</x:v>
      </x:c>
      <x:c r="AF319" s="80" t="str">
        <x:v>Pass</x:v>
      </x:c>
      <x:c r="AG319" s="80" t="str">
        <x:v>No text cleanup required</x:v>
      </x:c>
      <x:c r="AH319" s="12" t="str">
        <x:f>IF(C319="","Missing date",IF(ISNUMBER(C319),"Valid","Unrecognized/invalid date"))</x:f>
        <x:v>Valid</x:v>
      </x:c>
      <x:c r="AI319" s="12" t="str">
        <x:f>IF(D319="","Missing date",IF(ISNUMBER(D319),"Valid","Unrecognized/invalid date"))</x:f>
        <x:v>Valid</x:v>
      </x:c>
      <x:c r="AJ319" s="12" t="str">
        <x:v>Valid</x:v>
      </x:c>
      <x:c r="AK319" s="12" t="str">
        <x:v>Pass</x:v>
      </x:c>
      <x:c r="AL319" s="12" t="str">
        <x:v>None</x:v>
      </x:c>
      <x:c r="AM319" s="12" t="str">
        <x:v>Valid</x:v>
      </x:c>
      <x:c r="AN319" s="12" t="str">
        <x:v>Include in completed sales</x:v>
      </x:c>
      <x:c r="AO319" s="12" t="str">
        <x:v>Not a refunded record</x:v>
      </x:c>
      <x:c r="AP319" s="37" t="n">
        <x:f>IF(LEFT($AM319,7)="Invalid","",IF($AM319="Missing discount imputed as 0",IF(AND(COUNT($O319,$P319,$R319,$S319)=4,$O319&gt;0,$P319&gt;=0,$R319&gt;=0,$S319&gt;=0),0,""),IF(AND(ISNUMBER($Q319),$Q319&gt;=0,$Q319&lt;=0.5),$Q319,"")))</x:f>
        <x:v>0.15</x:v>
      </x:c>
      <x:c r="AQ319" s="152" t="n">
        <x:f>IF(OR($W319="",NOT(ISNUMBER($R319))),"",ROUND($R319-$W319,2))</x:f>
        <x:v>0</x:v>
      </x:c>
      <x:c r="AR319" s="152" t="n">
        <x:f>IF(OR($X319="",NOT(ISNUMBER($T319))),"",ROUND($T319-$X319,2))</x:f>
        <x:v>0</x:v>
      </x:c>
      <x:c r="AS319" s="14" t="str">
        <x:v>OK</x:v>
      </x:c>
    </x:row>
    <x:row r="320">
      <x:c r="A320" s="80" t="n">
        <x:v>320</x:v>
      </x:c>
      <x:c r="B320" s="80" t="str">
        <x:v>ORD-2024-10319</x:v>
      </x:c>
      <x:c r="C320" s="81" t="n">
        <x:v>45407</x:v>
      </x:c>
      <x:c r="D320" s="81" t="n">
        <x:v>45412</x:v>
      </x:c>
      <x:c r="E320" s="80" t="str">
        <x:v>CUST-8877</x:v>
      </x:c>
      <x:c r="F320" s="80" t="str">
        <x:v>Mira Das</x:v>
      </x:c>
      <x:c r="G320" s="80" t="str">
        <x:v>Small Business</x:v>
      </x:c>
      <x:c r="H320" s="80" t="str">
        <x:v>South</x:v>
      </x:c>
      <x:c r="I320" s="80" t="str">
        <x:v>Karnataka</x:v>
      </x:c>
      <x:c r="J320" s="80" t="str">
        <x:v>Bengaluru</x:v>
      </x:c>
      <x:c r="K320" s="80" t="str">
        <x:v>Technology</x:v>
      </x:c>
      <x:c r="L320" s="80" t="str">
        <x:v>Phones</x:v>
      </x:c>
      <x:c r="M320" s="80" t="str">
        <x:v>Basic Phones 789</x:v>
      </x:c>
      <x:c r="N320" s="80" t="str">
        <x:v>Standard Class</x:v>
      </x:c>
      <x:c r="O320" s="82" t="n">
        <x:v>3</x:v>
      </x:c>
      <x:c r="P320" s="83" t="n">
        <x:v>4149.46</x:v>
      </x:c>
      <x:c r="Q320" s="84" t="n">
        <x:v>0.1</x:v>
      </x:c>
      <x:c r="R320" s="83" t="n">
        <x:v>11203.54</x:v>
      </x:c>
      <x:c r="S320" s="83" t="n">
        <x:v>8452.93</x:v>
      </x:c>
      <x:c r="T320" s="83" t="n">
        <x:v>2750.61</x:v>
      </x:c>
      <x:c r="U320" s="83" t="str">
        <x:v>Paid</x:v>
      </x:c>
      <x:c r="V320" s="83" t="str">
        <x:v>Completed</x:v>
      </x:c>
      <x:c r="W320" s="151" t="n">
        <x:f>IF(OR(NOT(ISNUMBER($AP320)),COUNT($O320,$P320)&lt;2,$O320&lt;=0,$P320&lt;0),"",ROUND($O320*$P320*(1-$AP320),2))</x:f>
        <x:v>11203.54</x:v>
      </x:c>
      <x:c r="X320" s="151" t="n">
        <x:f>IF(OR(NOT(ISNUMBER($W320)),NOT(ISNUMBER($S320))),"",ROUND($W320-$S320,2))</x:f>
        <x:v>2750.61</x:v>
      </x:c>
      <x:c r="Y320" s="85" t="n">
        <x:f>IF(OR(NOT(ISNUMBER($W320)),NOT(ISNUMBER($X320)),$W320=0),"",ROUND($X320/$W320,4))</x:f>
        <x:v>0.2455</x:v>
      </x:c>
      <x:c r="Z320" s="82" t="n">
        <x:f>IF(OR($AH320&lt;&gt;"Valid",$AI320&lt;&gt;"Valid"),"",INT($D320-$C320))</x:f>
        <x:v>5</x:v>
      </x:c>
      <x:c r="AA320" s="86" t="str">
        <x:f>IF($AH320&lt;&gt;"Valid","",TEXT($C320,"mmmm"))</x:f>
        <x:v>April</x:v>
      </x:c>
      <x:c r="AB320" s="82" t="n">
        <x:f>IF($AH320&lt;&gt;"Valid","",YEAR($C320))</x:f>
        <x:v>2024</x:v>
      </x:c>
      <x:c r="AC320" s="80" t="str">
        <x:v>Consistent</x:v>
      </x:c>
      <x:c r="AD320" s="80" t="str">
        <x:v>Eligible</x:v>
      </x:c>
      <x:c r="AE320" s="80" t="str">
        <x:f>IF(OR($AH320&lt;&gt;"Valid",$AI320&lt;&gt;"Valid",$AJ320&lt;&gt;"Valid",LEFT($AM320,7)="Invalid",IFERROR(ABS($AQ320)&gt;0.01,FALSE),IFERROR(ABS($AR320)&gt;0.01,FALSE),COUNTIF($AS320,"*Conflicting duplicate*")&gt;0,COUNTIF($AS320,"*Completed order not paid*")&gt;0),"Invalid",IF(OR($H320="Unknown",$N320="Unknown",$AM320="Missing discount imputed as 0"),"Warning","Clean"))</x:f>
        <x:v>Clean</x:v>
      </x:c>
      <x:c r="AF320" s="80" t="str">
        <x:v>Pass</x:v>
      </x:c>
      <x:c r="AG320" s="80" t="str">
        <x:v>No text cleanup required</x:v>
      </x:c>
      <x:c r="AH320" s="12" t="str">
        <x:f>IF(C320="","Missing date",IF(ISNUMBER(C320),"Valid","Unrecognized/invalid date"))</x:f>
        <x:v>Valid</x:v>
      </x:c>
      <x:c r="AI320" s="12" t="str">
        <x:f>IF(D320="","Missing date",IF(ISNUMBER(D320),"Valid","Unrecognized/invalid date"))</x:f>
        <x:v>Valid</x:v>
      </x:c>
      <x:c r="AJ320" s="12" t="str">
        <x:v>Valid</x:v>
      </x:c>
      <x:c r="AK320" s="12" t="str">
        <x:v>Pass</x:v>
      </x:c>
      <x:c r="AL320" s="12" t="str">
        <x:v>None</x:v>
      </x:c>
      <x:c r="AM320" s="12" t="str">
        <x:v>Valid</x:v>
      </x:c>
      <x:c r="AN320" s="12" t="str">
        <x:v>Include in completed sales</x:v>
      </x:c>
      <x:c r="AO320" s="12" t="str">
        <x:v>Not a refunded record</x:v>
      </x:c>
      <x:c r="AP320" s="37" t="n">
        <x:f>IF(LEFT($AM320,7)="Invalid","",IF($AM320="Missing discount imputed as 0",IF(AND(COUNT($O320,$P320,$R320,$S320)=4,$O320&gt;0,$P320&gt;=0,$R320&gt;=0,$S320&gt;=0),0,""),IF(AND(ISNUMBER($Q320),$Q320&gt;=0,$Q320&lt;=0.5),$Q320,"")))</x:f>
        <x:v>0.1</x:v>
      </x:c>
      <x:c r="AQ320" s="152" t="n">
        <x:f>IF(OR($W320="",NOT(ISNUMBER($R320))),"",ROUND($R320-$W320,2))</x:f>
        <x:v>0</x:v>
      </x:c>
      <x:c r="AR320" s="152" t="n">
        <x:f>IF(OR($X320="",NOT(ISNUMBER($T320))),"",ROUND($T320-$X320,2))</x:f>
        <x:v>0</x:v>
      </x:c>
      <x:c r="AS320" s="14" t="str">
        <x:v>OK</x:v>
      </x:c>
    </x:row>
    <x:row r="321">
      <x:c r="A321" s="80" t="n">
        <x:v>321</x:v>
      </x:c>
      <x:c r="B321" s="80" t="str">
        <x:v>ORD-2024-10320</x:v>
      </x:c>
      <x:c r="C321" s="81" t="n">
        <x:v>45525</x:v>
      </x:c>
      <x:c r="D321" s="81" t="n">
        <x:v>45529</x:v>
      </x:c>
      <x:c r="E321" s="80" t="str">
        <x:v>CUST-4589</x:v>
      </x:c>
      <x:c r="F321" s="80" t="str">
        <x:v>Diya Patel</x:v>
      </x:c>
      <x:c r="G321" s="80" t="str">
        <x:v>Consumer</x:v>
      </x:c>
      <x:c r="H321" s="80" t="str">
        <x:v>West</x:v>
      </x:c>
      <x:c r="I321" s="80" t="str">
        <x:v>Gujarat</x:v>
      </x:c>
      <x:c r="J321" s="80" t="str">
        <x:v>Ahmedabad</x:v>
      </x:c>
      <x:c r="K321" s="80" t="str">
        <x:v>Office Supplies</x:v>
      </x:c>
      <x:c r="L321" s="80" t="str">
        <x:v>Binders</x:v>
      </x:c>
      <x:c r="M321" s="80" t="str">
        <x:v>Prime Binders 554</x:v>
      </x:c>
      <x:c r="N321" s="80" t="str">
        <x:v>First Class</x:v>
      </x:c>
      <x:c r="O321" s="82" t="n">
        <x:v>1</x:v>
      </x:c>
      <x:c r="P321" s="83" t="n">
        <x:v>270.28</x:v>
      </x:c>
      <x:c r="Q321" s="84" t="n">
        <x:v>0</x:v>
      </x:c>
      <x:c r="R321" s="83" t="n">
        <x:v>270.28</x:v>
      </x:c>
      <x:c r="S321" s="83" t="n">
        <x:v>156.34</x:v>
      </x:c>
      <x:c r="T321" s="83" t="n">
        <x:v>113.94</x:v>
      </x:c>
      <x:c r="U321" s="83" t="str">
        <x:v>Paid</x:v>
      </x:c>
      <x:c r="V321" s="83" t="str">
        <x:v>Completed</x:v>
      </x:c>
      <x:c r="W321" s="151" t="n">
        <x:f>IF(OR(NOT(ISNUMBER($AP321)),COUNT($O321,$P321)&lt;2,$O321&lt;=0,$P321&lt;0),"",ROUND($O321*$P321*(1-$AP321),2))</x:f>
        <x:v>270.28</x:v>
      </x:c>
      <x:c r="X321" s="151" t="n">
        <x:f>IF(OR(NOT(ISNUMBER($W321)),NOT(ISNUMBER($S321))),"",ROUND($W321-$S321,2))</x:f>
        <x:v>113.94</x:v>
      </x:c>
      <x:c r="Y321" s="85" t="n">
        <x:f>IF(OR(NOT(ISNUMBER($W321)),NOT(ISNUMBER($X321)),$W321=0),"",ROUND($X321/$W321,4))</x:f>
        <x:v>0.4216</x:v>
      </x:c>
      <x:c r="Z321" s="82" t="n">
        <x:f>IF(OR($AH321&lt;&gt;"Valid",$AI321&lt;&gt;"Valid"),"",INT($D321-$C321))</x:f>
        <x:v>4</x:v>
      </x:c>
      <x:c r="AA321" s="86" t="str">
        <x:f>IF($AH321&lt;&gt;"Valid","",TEXT($C321,"mmmm"))</x:f>
        <x:v>August</x:v>
      </x:c>
      <x:c r="AB321" s="82" t="n">
        <x:f>IF($AH321&lt;&gt;"Valid","",YEAR($C321))</x:f>
        <x:v>2024</x:v>
      </x:c>
      <x:c r="AC321" s="80" t="str">
        <x:v>Consistent</x:v>
      </x:c>
      <x:c r="AD321" s="80" t="str">
        <x:v>Eligible</x:v>
      </x:c>
      <x:c r="AE321" s="80" t="str">
        <x:f>IF(OR($AH321&lt;&gt;"Valid",$AI321&lt;&gt;"Valid",$AJ321&lt;&gt;"Valid",LEFT($AM321,7)="Invalid",IFERROR(ABS($AQ321)&gt;0.01,FALSE),IFERROR(ABS($AR321)&gt;0.01,FALSE),COUNTIF($AS321,"*Conflicting duplicate*")&gt;0,COUNTIF($AS321,"*Completed order not paid*")&gt;0),"Invalid",IF(OR($H321="Unknown",$N321="Unknown",$AM321="Missing discount imputed as 0"),"Warning","Clean"))</x:f>
        <x:v>Clean</x:v>
      </x:c>
      <x:c r="AF321" s="80" t="str">
        <x:v>Pass</x:v>
      </x:c>
      <x:c r="AG321" s="80" t="str">
        <x:v>No text cleanup required</x:v>
      </x:c>
      <x:c r="AH321" s="12" t="str">
        <x:f>IF(C321="","Missing date",IF(ISNUMBER(C321),"Valid","Unrecognized/invalid date"))</x:f>
        <x:v>Valid</x:v>
      </x:c>
      <x:c r="AI321" s="12" t="str">
        <x:f>IF(D321="","Missing date",IF(ISNUMBER(D321),"Valid","Unrecognized/invalid date"))</x:f>
        <x:v>Valid</x:v>
      </x:c>
      <x:c r="AJ321" s="12" t="str">
        <x:v>Valid</x:v>
      </x:c>
      <x:c r="AK321" s="12" t="str">
        <x:v>Pass</x:v>
      </x:c>
      <x:c r="AL321" s="12" t="str">
        <x:v>None</x:v>
      </x:c>
      <x:c r="AM321" s="12" t="str">
        <x:v>Valid</x:v>
      </x:c>
      <x:c r="AN321" s="12" t="str">
        <x:v>Include in completed sales</x:v>
      </x:c>
      <x:c r="AO321" s="12" t="str">
        <x:v>Not a refunded record</x:v>
      </x:c>
      <x:c r="AP321" s="37" t="n">
        <x:f>IF(LEFT($AM321,7)="Invalid","",IF($AM321="Missing discount imputed as 0",IF(AND(COUNT($O321,$P321,$R321,$S321)=4,$O321&gt;0,$P321&gt;=0,$R321&gt;=0,$S321&gt;=0),0,""),IF(AND(ISNUMBER($Q321),$Q321&gt;=0,$Q321&lt;=0.5),$Q321,"")))</x:f>
        <x:v>0</x:v>
      </x:c>
      <x:c r="AQ321" s="152" t="n">
        <x:f>IF(OR($W321="",NOT(ISNUMBER($R321))),"",ROUND($R321-$W321,2))</x:f>
        <x:v>0</x:v>
      </x:c>
      <x:c r="AR321" s="152" t="n">
        <x:f>IF(OR($X321="",NOT(ISNUMBER($T321))),"",ROUND($T321-$X321,2))</x:f>
        <x:v>0</x:v>
      </x:c>
      <x:c r="AS321" s="14" t="str">
        <x:v>OK</x:v>
      </x:c>
    </x:row>
    <x:row r="322">
      <x:c r="A322" s="80" t="n">
        <x:v>322</x:v>
      </x:c>
      <x:c r="B322" s="80" t="str">
        <x:v>ORD-2024-10321</x:v>
      </x:c>
      <x:c r="C322" s="81" t="n">
        <x:v>45630</x:v>
      </x:c>
      <x:c r="D322" s="81" t="n">
        <x:v>45632</x:v>
      </x:c>
      <x:c r="E322" s="80" t="str">
        <x:v>CUST-4667</x:v>
      </x:c>
      <x:c r="F322" s="80" t="str">
        <x:v>Aarav Sharma</x:v>
      </x:c>
      <x:c r="G322" s="80" t="str">
        <x:v>Home Office</x:v>
      </x:c>
      <x:c r="H322" s="80" t="str">
        <x:v>East</x:v>
      </x:c>
      <x:c r="I322" s="80" t="str">
        <x:v>West Bengal</x:v>
      </x:c>
      <x:c r="J322" s="80" t="str">
        <x:v>Kolkata</x:v>
      </x:c>
      <x:c r="K322" s="80" t="str">
        <x:v>Office Supplies</x:v>
      </x:c>
      <x:c r="L322" s="80" t="str">
        <x:v>Art</x:v>
      </x:c>
      <x:c r="M322" s="80" t="str">
        <x:v>Classic Art 299</x:v>
      </x:c>
      <x:c r="N322" s="80" t="str">
        <x:v>Second Class</x:v>
      </x:c>
      <x:c r="O322" s="82" t="n">
        <x:v>3</x:v>
      </x:c>
      <x:c r="P322" s="83" t="n">
        <x:v>876.14</x:v>
      </x:c>
      <x:c r="Q322" s="84" t="n">
        <x:v>0.7</x:v>
      </x:c>
      <x:c r="R322" s="83" t="n">
        <x:v>2628.42</x:v>
      </x:c>
      <x:c r="S322" s="83" t="n">
        <x:v>1541.54</x:v>
      </x:c>
      <x:c r="T322" s="83" t="n">
        <x:v>1086.88</x:v>
      </x:c>
      <x:c r="U322" s="83" t="str">
        <x:v>Pending</x:v>
      </x:c>
      <x:c r="V322" s="83" t="str">
        <x:v>Returned</x:v>
      </x:c>
      <x:c r="W322" s="151" t="str">
        <x:f>IF(OR(NOT(ISNUMBER($AP322)),COUNT($O322,$P322)&lt;2,$O322&lt;=0,$P322&lt;0),"",ROUND($O322*$P322*(1-$AP322),2))</x:f>
      </x:c>
      <x:c r="X322" s="151" t="str">
        <x:f>IF(OR(NOT(ISNUMBER($W322)),NOT(ISNUMBER($S322))),"",ROUND($W322-$S322,2))</x:f>
      </x:c>
      <x:c r="Y322" s="85" t="str">
        <x:f>IF(OR(NOT(ISNUMBER($W322)),NOT(ISNUMBER($X322)),$W322=0),"",ROUND($X322/$W322,4))</x:f>
      </x:c>
      <x:c r="Z322" s="82" t="n">
        <x:f>IF(OR($AH322&lt;&gt;"Valid",$AI322&lt;&gt;"Valid"),"",INT($D322-$C322))</x:f>
        <x:v>2</x:v>
      </x:c>
      <x:c r="AA322" s="86" t="str">
        <x:f>IF($AH322&lt;&gt;"Valid","",TEXT($C322,"mmmm"))</x:f>
        <x:v>December</x:v>
      </x:c>
      <x:c r="AB322" s="82" t="n">
        <x:f>IF($AH322&lt;&gt;"Valid","",YEAR($C322))</x:f>
        <x:v>2024</x:v>
      </x:c>
      <x:c r="AC322" s="80" t="str">
        <x:v>Consistent</x:v>
      </x:c>
      <x:c r="AD322" s="80" t="str">
        <x:v>Excluded</x:v>
      </x:c>
      <x:c r="AE322" s="80" t="str">
        <x:f>IF(OR($AH322&lt;&gt;"Valid",$AI322&lt;&gt;"Valid",$AJ322&lt;&gt;"Valid",LEFT($AM322,7)="Invalid",IFERROR(ABS($AQ322)&gt;0.01,FALSE),IFERROR(ABS($AR322)&gt;0.01,FALSE),COUNTIF($AS322,"*Conflicting duplicate*")&gt;0,COUNTIF($AS322,"*Completed order not paid*")&gt;0),"Invalid",IF(OR($H322="Unknown",$N322="Unknown",$AM322="Missing discount imputed as 0"),"Warning","Clean"))</x:f>
        <x:v>Invalid</x:v>
      </x:c>
      <x:c r="AF322" s="80" t="str">
        <x:v>Review</x:v>
      </x:c>
      <x:c r="AG322" s="80" t="str">
        <x:v>discount: Percent text converted</x:v>
      </x:c>
      <x:c r="AH322" s="12" t="str">
        <x:f>IF(C322="","Missing date",IF(ISNUMBER(C322),"Valid","Unrecognized/invalid date"))</x:f>
        <x:v>Valid</x:v>
      </x:c>
      <x:c r="AI322" s="12" t="str">
        <x:f>IF(D322="","Missing date",IF(ISNUMBER(D322),"Valid","Unrecognized/invalid date"))</x:f>
        <x:v>Valid</x:v>
      </x:c>
      <x:c r="AJ322" s="12" t="str">
        <x:v>Valid</x:v>
      </x:c>
      <x:c r="AK322" s="12" t="str">
        <x:v>Pass</x:v>
      </x:c>
      <x:c r="AL322" s="12" t="str">
        <x:v>None</x:v>
      </x:c>
      <x:c r="AM322" s="12" t="str">
        <x:v>Invalid discount – above 50% allowed range</x:v>
      </x:c>
      <x:c r="AN322" s="12" t="str">
        <x:v>Exclude from completed sales</x:v>
      </x:c>
      <x:c r="AO322" s="12" t="str">
        <x:v>Not a refunded record</x:v>
      </x:c>
      <x:c r="AP322" s="37" t="str">
        <x:f>IF(LEFT($AM322,7)="Invalid","",IF($AM322="Missing discount imputed as 0",IF(AND(COUNT($O322,$P322,$R322,$S322)=4,$O322&gt;0,$P322&gt;=0,$R322&gt;=0,$S322&gt;=0),0,""),IF(AND(ISNUMBER($Q322),$Q322&gt;=0,$Q322&lt;=0.5),$Q322,"")))</x:f>
      </x:c>
      <x:c r="AQ322" s="152" t="str">
        <x:f>IF(OR($W322="",NOT(ISNUMBER($R322))),"",ROUND($R322-$W322,2))</x:f>
      </x:c>
      <x:c r="AR322" s="152" t="str">
        <x:f>IF(OR($X322="",NOT(ISNUMBER($T322))),"",ROUND($T322-$X322,2))</x:f>
      </x:c>
      <x:c r="AS322" s="14" t="str">
        <x:v>Discount above allowed range (&gt;50%)</x:v>
      </x:c>
    </x:row>
    <x:row r="323">
      <x:c r="A323" s="80" t="n">
        <x:v>323</x:v>
      </x:c>
      <x:c r="B323" s="80" t="str">
        <x:v>ORD-2024-10322</x:v>
      </x:c>
      <x:c r="C323" s="81" t="n">
        <x:v>45466</x:v>
      </x:c>
      <x:c r="D323" s="81" t="n">
        <x:v>45473</x:v>
      </x:c>
      <x:c r="E323" s="80" t="str">
        <x:v>CUST-7821</x:v>
      </x:c>
      <x:c r="F323" s="80" t="str">
        <x:v>Neha Gupta</x:v>
      </x:c>
      <x:c r="G323" s="80" t="str">
        <x:v>Small Business</x:v>
      </x:c>
      <x:c r="H323" s="80" t="str">
        <x:v>West</x:v>
      </x:c>
      <x:c r="I323" s="80" t="str">
        <x:v>Goa</x:v>
      </x:c>
      <x:c r="J323" s="80" t="str">
        <x:v>Panaji</x:v>
      </x:c>
      <x:c r="K323" s="80" t="str">
        <x:v>Technology</x:v>
      </x:c>
      <x:c r="L323" s="80" t="str">
        <x:v>Accessories</x:v>
      </x:c>
      <x:c r="M323" s="80" t="str">
        <x:v>Eco Accessories 220</x:v>
      </x:c>
      <x:c r="N323" s="80" t="str">
        <x:v>Same Day</x:v>
      </x:c>
      <x:c r="O323" s="82" t="n">
        <x:v>4</x:v>
      </x:c>
      <x:c r="P323" s="83" t="n">
        <x:v>674.82</x:v>
      </x:c>
      <x:c r="Q323" s="84" t="n">
        <x:v>0</x:v>
      </x:c>
      <x:c r="R323" s="83" t="n">
        <x:v>2699.28</x:v>
      </x:c>
      <x:c r="S323" s="83" t="n">
        <x:v>1759.76</x:v>
      </x:c>
      <x:c r="T323" s="83" t="n">
        <x:v>939.52</x:v>
      </x:c>
      <x:c r="U323" s="83" t="str">
        <x:v>Failed</x:v>
      </x:c>
      <x:c r="V323" s="83" t="str">
        <x:v>Cancelled</x:v>
      </x:c>
      <x:c r="W323" s="151" t="n">
        <x:f>IF(OR(NOT(ISNUMBER($AP323)),COUNT($O323,$P323)&lt;2,$O323&lt;=0,$P323&lt;0),"",ROUND($O323*$P323*(1-$AP323),2))</x:f>
        <x:v>2699.28</x:v>
      </x:c>
      <x:c r="X323" s="151" t="n">
        <x:f>IF(OR(NOT(ISNUMBER($W323)),NOT(ISNUMBER($S323))),"",ROUND($W323-$S323,2))</x:f>
        <x:v>939.52</x:v>
      </x:c>
      <x:c r="Y323" s="85" t="n">
        <x:f>IF(OR(NOT(ISNUMBER($W323)),NOT(ISNUMBER($X323)),$W323=0),"",ROUND($X323/$W323,4))</x:f>
        <x:v>0.3481</x:v>
      </x:c>
      <x:c r="Z323" s="82" t="n">
        <x:f>IF(OR($AH323&lt;&gt;"Valid",$AI323&lt;&gt;"Valid"),"",INT($D323-$C323))</x:f>
        <x:v>7</x:v>
      </x:c>
      <x:c r="AA323" s="86" t="str">
        <x:f>IF($AH323&lt;&gt;"Valid","",TEXT($C323,"mmmm"))</x:f>
        <x:v>June</x:v>
      </x:c>
      <x:c r="AB323" s="82" t="n">
        <x:f>IF($AH323&lt;&gt;"Valid","",YEAR($C323))</x:f>
        <x:v>2024</x:v>
      </x:c>
      <x:c r="AC323" s="80" t="str">
        <x:v>Cancelled (excluded from completed-sales summary)</x:v>
      </x:c>
      <x:c r="AD323" s="80" t="str">
        <x:v>Excluded</x:v>
      </x:c>
      <x:c r="AE323" s="80" t="str">
        <x:f>IF(OR($AH323&lt;&gt;"Valid",$AI323&lt;&gt;"Valid",$AJ323&lt;&gt;"Valid",LEFT($AM323,7)="Invalid",IFERROR(ABS($AQ323)&gt;0.01,FALSE),IFERROR(ABS($AR323)&gt;0.01,FALSE),COUNTIF($AS323,"*Conflicting duplicate*")&gt;0,COUNTIF($AS323,"*Completed order not paid*")&gt;0),"Invalid",IF(OR($H323="Unknown",$N323="Unknown",$AM323="Missing discount imputed as 0"),"Warning","Clean"))</x:f>
        <x:v>Clean</x:v>
      </x:c>
      <x:c r="AF323" s="80" t="str">
        <x:v>Pass</x:v>
      </x:c>
      <x:c r="AG323" s="80" t="str">
        <x:v>No text cleanup required</x:v>
      </x:c>
      <x:c r="AH323" s="12" t="str">
        <x:f>IF(C323="","Missing date",IF(ISNUMBER(C323),"Valid","Unrecognized/invalid date"))</x:f>
        <x:v>Valid</x:v>
      </x:c>
      <x:c r="AI323" s="12" t="str">
        <x:f>IF(D323="","Missing date",IF(ISNUMBER(D323),"Valid","Unrecognized/invalid date"))</x:f>
        <x:v>Valid</x:v>
      </x:c>
      <x:c r="AJ323" s="12" t="str">
        <x:v>Valid</x:v>
      </x:c>
      <x:c r="AK323" s="12" t="str">
        <x:v>Pass</x:v>
      </x:c>
      <x:c r="AL323" s="12" t="str">
        <x:v>Cancelled order – excluded from completed sales; Failed payment – excluded from completed sales</x:v>
      </x:c>
      <x:c r="AM323" s="12" t="str">
        <x:v>Valid</x:v>
      </x:c>
      <x:c r="AN323" s="12" t="str">
        <x:v>Exclude from completed sales</x:v>
      </x:c>
      <x:c r="AO323" s="12" t="str">
        <x:v>Not a refunded record</x:v>
      </x:c>
      <x:c r="AP323" s="37" t="n">
        <x:f>IF(LEFT($AM323,7)="Invalid","",IF($AM323="Missing discount imputed as 0",IF(AND(COUNT($O323,$P323,$R323,$S323)=4,$O323&gt;0,$P323&gt;=0,$R323&gt;=0,$S323&gt;=0),0,""),IF(AND(ISNUMBER($Q323),$Q323&gt;=0,$Q323&lt;=0.5),$Q323,"")))</x:f>
        <x:v>0</x:v>
      </x:c>
      <x:c r="AQ323" s="152" t="n">
        <x:f>IF(OR($W323="",NOT(ISNUMBER($R323))),"",ROUND($R323-$W323,2))</x:f>
        <x:v>0</x:v>
      </x:c>
      <x:c r="AR323" s="152" t="n">
        <x:f>IF(OR($X323="",NOT(ISNUMBER($T323))),"",ROUND($T323-$X323,2))</x:f>
        <x:v>0</x:v>
      </x:c>
      <x:c r="AS323" s="14" t="str">
        <x:v>OK</x:v>
      </x:c>
    </x:row>
    <x:row r="324">
      <x:c r="A324" s="80" t="n">
        <x:v>324</x:v>
      </x:c>
      <x:c r="B324" s="80" t="str">
        <x:v>ORD-2024-10323</x:v>
      </x:c>
      <x:c r="C324" s="81" t="n">
        <x:v>45608</x:v>
      </x:c>
      <x:c r="D324" s="81" t="n">
        <x:v>45608</x:v>
      </x:c>
      <x:c r="E324" s="80" t="str">
        <x:v>CUST-8579</x:v>
      </x:c>
      <x:c r="F324" s="80" t="str">
        <x:v>Isha Nair</x:v>
      </x:c>
      <x:c r="G324" s="80" t="str">
        <x:v>Consumer</x:v>
      </x:c>
      <x:c r="H324" s="80" t="str">
        <x:v>North</x:v>
      </x:c>
      <x:c r="I324" s="80" t="str">
        <x:v>Uttar Pradesh</x:v>
      </x:c>
      <x:c r="J324" s="80" t="str">
        <x:v>Noida</x:v>
      </x:c>
      <x:c r="K324" s="80" t="str">
        <x:v>Technology</x:v>
      </x:c>
      <x:c r="L324" s="80" t="str">
        <x:v>Phones</x:v>
      </x:c>
      <x:c r="M324" s="80" t="str">
        <x:v>Max Phones 422</x:v>
      </x:c>
      <x:c r="N324" s="80" t="str">
        <x:v>Second Class</x:v>
      </x:c>
      <x:c r="O324" s="82" t="n">
        <x:v>6</x:v>
      </x:c>
      <x:c r="P324" s="83" t="n">
        <x:v>1369.48</x:v>
      </x:c>
      <x:c r="Q324" s="84" t="n">
        <x:v>0.15</x:v>
      </x:c>
      <x:c r="R324" s="83" t="n">
        <x:v>6984.35</x:v>
      </x:c>
      <x:c r="S324" s="83" t="n">
        <x:v>4023.63</x:v>
      </x:c>
      <x:c r="T324" s="83" t="n">
        <x:v>2960.72</x:v>
      </x:c>
      <x:c r="U324" s="83" t="str">
        <x:v>Paid</x:v>
      </x:c>
      <x:c r="V324" s="83" t="str">
        <x:v>Completed</x:v>
      </x:c>
      <x:c r="W324" s="151" t="n">
        <x:f>IF(OR(NOT(ISNUMBER($AP324)),COUNT($O324,$P324)&lt;2,$O324&lt;=0,$P324&lt;0),"",ROUND($O324*$P324*(1-$AP324),2))</x:f>
        <x:v>6984.35</x:v>
      </x:c>
      <x:c r="X324" s="151" t="n">
        <x:f>IF(OR(NOT(ISNUMBER($W324)),NOT(ISNUMBER($S324))),"",ROUND($W324-$S324,2))</x:f>
        <x:v>2960.72</x:v>
      </x:c>
      <x:c r="Y324" s="85" t="n">
        <x:f>IF(OR(NOT(ISNUMBER($W324)),NOT(ISNUMBER($X324)),$W324=0),"",ROUND($X324/$W324,4))</x:f>
        <x:v>0.4239</x:v>
      </x:c>
      <x:c r="Z324" s="82" t="n">
        <x:f>IF(OR($AH324&lt;&gt;"Valid",$AI324&lt;&gt;"Valid"),"",INT($D324-$C324))</x:f>
        <x:v>0</x:v>
      </x:c>
      <x:c r="AA324" s="86" t="str">
        <x:f>IF($AH324&lt;&gt;"Valid","",TEXT($C324,"mmmm"))</x:f>
        <x:v>November</x:v>
      </x:c>
      <x:c r="AB324" s="82" t="n">
        <x:f>IF($AH324&lt;&gt;"Valid","",YEAR($C324))</x:f>
        <x:v>2024</x:v>
      </x:c>
      <x:c r="AC324" s="80" t="str">
        <x:v>Consistent</x:v>
      </x:c>
      <x:c r="AD324" s="80" t="str">
        <x:v>Eligible</x:v>
      </x:c>
      <x:c r="AE324" s="80" t="str">
        <x:f>IF(OR($AH324&lt;&gt;"Valid",$AI324&lt;&gt;"Valid",$AJ324&lt;&gt;"Valid",LEFT($AM324,7)="Invalid",IFERROR(ABS($AQ324)&gt;0.01,FALSE),IFERROR(ABS($AR324)&gt;0.01,FALSE),COUNTIF($AS324,"*Conflicting duplicate*")&gt;0,COUNTIF($AS324,"*Completed order not paid*")&gt;0),"Invalid",IF(OR($H324="Unknown",$N324="Unknown",$AM324="Missing discount imputed as 0"),"Warning","Clean"))</x:f>
        <x:v>Clean</x:v>
      </x:c>
      <x:c r="AF324" s="80" t="str">
        <x:v>Pass</x:v>
      </x:c>
      <x:c r="AG324" s="80" t="str">
        <x:v>No text cleanup required</x:v>
      </x:c>
      <x:c r="AH324" s="12" t="str">
        <x:f>IF(C324="","Missing date",IF(ISNUMBER(C324),"Valid","Unrecognized/invalid date"))</x:f>
        <x:v>Valid</x:v>
      </x:c>
      <x:c r="AI324" s="12" t="str">
        <x:f>IF(D324="","Missing date",IF(ISNUMBER(D324),"Valid","Unrecognized/invalid date"))</x:f>
        <x:v>Valid</x:v>
      </x:c>
      <x:c r="AJ324" s="12" t="str">
        <x:v>Valid</x:v>
      </x:c>
      <x:c r="AK324" s="12" t="str">
        <x:v>Pass</x:v>
      </x:c>
      <x:c r="AL324" s="12" t="str">
        <x:v>None</x:v>
      </x:c>
      <x:c r="AM324" s="12" t="str">
        <x:v>Valid</x:v>
      </x:c>
      <x:c r="AN324" s="12" t="str">
        <x:v>Include in completed sales</x:v>
      </x:c>
      <x:c r="AO324" s="12" t="str">
        <x:v>Not a refunded record</x:v>
      </x:c>
      <x:c r="AP324" s="37" t="n">
        <x:f>IF(LEFT($AM324,7)="Invalid","",IF($AM324="Missing discount imputed as 0",IF(AND(COUNT($O324,$P324,$R324,$S324)=4,$O324&gt;0,$P324&gt;=0,$R324&gt;=0,$S324&gt;=0),0,""),IF(AND(ISNUMBER($Q324),$Q324&gt;=0,$Q324&lt;=0.5),$Q324,"")))</x:f>
        <x:v>0.15</x:v>
      </x:c>
      <x:c r="AQ324" s="152" t="n">
        <x:f>IF(OR($W324="",NOT(ISNUMBER($R324))),"",ROUND($R324-$W324,2))</x:f>
        <x:v>0</x:v>
      </x:c>
      <x:c r="AR324" s="152" t="n">
        <x:f>IF(OR($X324="",NOT(ISNUMBER($T324))),"",ROUND($T324-$X324,2))</x:f>
        <x:v>0</x:v>
      </x:c>
      <x:c r="AS324" s="14" t="str">
        <x:v>OK</x:v>
      </x:c>
    </x:row>
    <x:row r="325">
      <x:c r="A325" s="80" t="n">
        <x:v>325</x:v>
      </x:c>
      <x:c r="B325" s="80" t="str">
        <x:v>ORD-2024-10324</x:v>
      </x:c>
      <x:c r="C325" s="81" t="n">
        <x:v>45347</x:v>
      </x:c>
      <x:c r="D325" s="81" t="n">
        <x:v>45351</x:v>
      </x:c>
      <x:c r="E325" s="80" t="str">
        <x:v>CUST-6909</x:v>
      </x:c>
      <x:c r="F325" s="80" t="str">
        <x:v>Isha Nair</x:v>
      </x:c>
      <x:c r="G325" s="80" t="str">
        <x:v>Small Business</x:v>
      </x:c>
      <x:c r="H325" s="80" t="str">
        <x:v>West</x:v>
      </x:c>
      <x:c r="I325" s="80" t="str">
        <x:v>Goa</x:v>
      </x:c>
      <x:c r="J325" s="80" t="str">
        <x:v>Panaji</x:v>
      </x:c>
      <x:c r="K325" s="80" t="str">
        <x:v>Furniture</x:v>
      </x:c>
      <x:c r="L325" s="80" t="str">
        <x:v>Furnishings</x:v>
      </x:c>
      <x:c r="M325" s="80" t="str">
        <x:v>Eco Furnishings 897</x:v>
      </x:c>
      <x:c r="N325" s="80" t="str">
        <x:v>Standard Class</x:v>
      </x:c>
      <x:c r="O325" s="82" t="n">
        <x:v>9</x:v>
      </x:c>
      <x:c r="P325" s="83" t="n">
        <x:v>1331.46</x:v>
      </x:c>
      <x:c r="Q325" s="84" t="n">
        <x:v>0.15</x:v>
      </x:c>
      <x:c r="R325" s="83" t="n">
        <x:v>10185.67</x:v>
      </x:c>
      <x:c r="S325" s="83" t="n">
        <x:v>6479.31</x:v>
      </x:c>
      <x:c r="T325" s="83" t="n">
        <x:v>3706.36</x:v>
      </x:c>
      <x:c r="U325" s="83" t="str">
        <x:v>Paid</x:v>
      </x:c>
      <x:c r="V325" s="83" t="str">
        <x:v>Completed</x:v>
      </x:c>
      <x:c r="W325" s="151" t="n">
        <x:f>IF(OR(NOT(ISNUMBER($AP325)),COUNT($O325,$P325)&lt;2,$O325&lt;=0,$P325&lt;0),"",ROUND($O325*$P325*(1-$AP325),2))</x:f>
        <x:v>10185.67</x:v>
      </x:c>
      <x:c r="X325" s="151" t="n">
        <x:f>IF(OR(NOT(ISNUMBER($W325)),NOT(ISNUMBER($S325))),"",ROUND($W325-$S325,2))</x:f>
        <x:v>3706.36</x:v>
      </x:c>
      <x:c r="Y325" s="85" t="n">
        <x:f>IF(OR(NOT(ISNUMBER($W325)),NOT(ISNUMBER($X325)),$W325=0),"",ROUND($X325/$W325,4))</x:f>
        <x:v>0.3639</x:v>
      </x:c>
      <x:c r="Z325" s="82" t="n">
        <x:f>IF(OR($AH325&lt;&gt;"Valid",$AI325&lt;&gt;"Valid"),"",INT($D325-$C325))</x:f>
        <x:v>4</x:v>
      </x:c>
      <x:c r="AA325" s="86" t="str">
        <x:f>IF($AH325&lt;&gt;"Valid","",TEXT($C325,"mmmm"))</x:f>
        <x:v>February</x:v>
      </x:c>
      <x:c r="AB325" s="82" t="n">
        <x:f>IF($AH325&lt;&gt;"Valid","",YEAR($C325))</x:f>
        <x:v>2024</x:v>
      </x:c>
      <x:c r="AC325" s="80" t="str">
        <x:v>Consistent</x:v>
      </x:c>
      <x:c r="AD325" s="80" t="str">
        <x:v>Eligible</x:v>
      </x:c>
      <x:c r="AE325" s="80" t="str">
        <x:f>IF(OR($AH325&lt;&gt;"Valid",$AI325&lt;&gt;"Valid",$AJ325&lt;&gt;"Valid",LEFT($AM325,7)="Invalid",IFERROR(ABS($AQ325)&gt;0.01,FALSE),IFERROR(ABS($AR325)&gt;0.01,FALSE),COUNTIF($AS325,"*Conflicting duplicate*")&gt;0,COUNTIF($AS325,"*Completed order not paid*")&gt;0),"Invalid",IF(OR($H325="Unknown",$N325="Unknown",$AM325="Missing discount imputed as 0"),"Warning","Clean"))</x:f>
        <x:v>Clean</x:v>
      </x:c>
      <x:c r="AF325" s="80" t="str">
        <x:v>Pass</x:v>
      </x:c>
      <x:c r="AG325" s="80" t="str">
        <x:v>No text cleanup required</x:v>
      </x:c>
      <x:c r="AH325" s="12" t="str">
        <x:f>IF(C325="","Missing date",IF(ISNUMBER(C325),"Valid","Unrecognized/invalid date"))</x:f>
        <x:v>Valid</x:v>
      </x:c>
      <x:c r="AI325" s="12" t="str">
        <x:f>IF(D325="","Missing date",IF(ISNUMBER(D325),"Valid","Unrecognized/invalid date"))</x:f>
        <x:v>Valid</x:v>
      </x:c>
      <x:c r="AJ325" s="12" t="str">
        <x:v>Valid</x:v>
      </x:c>
      <x:c r="AK325" s="12" t="str">
        <x:v>Pass</x:v>
      </x:c>
      <x:c r="AL325" s="12" t="str">
        <x:v>None</x:v>
      </x:c>
      <x:c r="AM325" s="12" t="str">
        <x:v>Valid</x:v>
      </x:c>
      <x:c r="AN325" s="12" t="str">
        <x:v>Include in completed sales</x:v>
      </x:c>
      <x:c r="AO325" s="12" t="str">
        <x:v>Not a refunded record</x:v>
      </x:c>
      <x:c r="AP325" s="37" t="n">
        <x:f>IF(LEFT($AM325,7)="Invalid","",IF($AM325="Missing discount imputed as 0",IF(AND(COUNT($O325,$P325,$R325,$S325)=4,$O325&gt;0,$P325&gt;=0,$R325&gt;=0,$S325&gt;=0),0,""),IF(AND(ISNUMBER($Q325),$Q325&gt;=0,$Q325&lt;=0.5),$Q325,"")))</x:f>
        <x:v>0.15</x:v>
      </x:c>
      <x:c r="AQ325" s="152" t="n">
        <x:f>IF(OR($W325="",NOT(ISNUMBER($R325))),"",ROUND($R325-$W325,2))</x:f>
        <x:v>0</x:v>
      </x:c>
      <x:c r="AR325" s="152" t="n">
        <x:f>IF(OR($X325="",NOT(ISNUMBER($T325))),"",ROUND($T325-$X325,2))</x:f>
        <x:v>0</x:v>
      </x:c>
      <x:c r="AS325" s="14" t="str">
        <x:v>OK</x:v>
      </x:c>
    </x:row>
    <x:row r="326">
      <x:c r="A326" s="80" t="n">
        <x:v>326</x:v>
      </x:c>
      <x:c r="B326" s="80" t="str">
        <x:v>ORD-2025-10325</x:v>
      </x:c>
      <x:c r="C326" s="81" t="n">
        <x:v>45869</x:v>
      </x:c>
      <x:c r="D326" s="81" t="n">
        <x:v>45871</x:v>
      </x:c>
      <x:c r="E326" s="80" t="str">
        <x:v>CUST-7212</x:v>
      </x:c>
      <x:c r="F326" s="80" t="str">
        <x:v>Rohan Mehta</x:v>
      </x:c>
      <x:c r="G326" s="80" t="str">
        <x:v>Home Office</x:v>
      </x:c>
      <x:c r="H326" s="80" t="str">
        <x:v>South</x:v>
      </x:c>
      <x:c r="I326" s="80" t="str">
        <x:v>Andhra Pradesh</x:v>
      </x:c>
      <x:c r="J326" s="80" t="str">
        <x:v>Vijayawada</x:v>
      </x:c>
      <x:c r="K326" s="80" t="str">
        <x:v>Office Supplies</x:v>
      </x:c>
      <x:c r="L326" s="80" t="str">
        <x:v>Labels</x:v>
      </x:c>
      <x:c r="M326" s="80" t="str">
        <x:v>Basic Labels 102</x:v>
      </x:c>
      <x:c r="N326" s="80" t="str">
        <x:v>Same Day</x:v>
      </x:c>
      <x:c r="O326" s="82" t="n">
        <x:v>1</x:v>
      </x:c>
      <x:c r="P326" s="83" t="n">
        <x:v>1947.88</x:v>
      </x:c>
      <x:c r="Q326" s="84" t="n">
        <x:v>0.15</x:v>
      </x:c>
      <x:c r="R326" s="83" t="n">
        <x:v>1655.7</x:v>
      </x:c>
      <x:c r="S326" s="83" t="n">
        <x:v>1354.8</x:v>
      </x:c>
      <x:c r="T326" s="83" t="n">
        <x:v>300.9</x:v>
      </x:c>
      <x:c r="U326" s="83" t="str">
        <x:v>Paid</x:v>
      </x:c>
      <x:c r="V326" s="83" t="str">
        <x:v>Returned</x:v>
      </x:c>
      <x:c r="W326" s="151" t="n">
        <x:f>IF(OR(NOT(ISNUMBER($AP326)),COUNT($O326,$P326)&lt;2,$O326&lt;=0,$P326&lt;0),"",ROUND($O326*$P326*(1-$AP326),2))</x:f>
        <x:v>1655.7</x:v>
      </x:c>
      <x:c r="X326" s="151" t="n">
        <x:f>IF(OR(NOT(ISNUMBER($W326)),NOT(ISNUMBER($S326))),"",ROUND($W326-$S326,2))</x:f>
        <x:v>300.9</x:v>
      </x:c>
      <x:c r="Y326" s="85" t="n">
        <x:f>IF(OR(NOT(ISNUMBER($W326)),NOT(ISNUMBER($X326)),$W326=0),"",ROUND($X326/$W326,4))</x:f>
        <x:v>0.1817</x:v>
      </x:c>
      <x:c r="Z326" s="82" t="n">
        <x:f>IF(OR($AH326&lt;&gt;"Valid",$AI326&lt;&gt;"Valid"),"",INT($D326-$C326))</x:f>
        <x:v>2</x:v>
      </x:c>
      <x:c r="AA326" s="86" t="str">
        <x:f>IF($AH326&lt;&gt;"Valid","",TEXT($C326,"mmmm"))</x:f>
        <x:v>July</x:v>
      </x:c>
      <x:c r="AB326" s="82" t="n">
        <x:f>IF($AH326&lt;&gt;"Valid","",YEAR($C326))</x:f>
        <x:v>2025</x:v>
      </x:c>
      <x:c r="AC326" s="80" t="str">
        <x:v>Consistent</x:v>
      </x:c>
      <x:c r="AD326" s="80" t="str">
        <x:v>Excluded</x:v>
      </x:c>
      <x:c r="AE326" s="80" t="str">
        <x:f>IF(OR($AH326&lt;&gt;"Valid",$AI326&lt;&gt;"Valid",$AJ326&lt;&gt;"Valid",LEFT($AM326,7)="Invalid",IFERROR(ABS($AQ326)&gt;0.01,FALSE),IFERROR(ABS($AR326)&gt;0.01,FALSE),COUNTIF($AS326,"*Conflicting duplicate*")&gt;0,COUNTIF($AS326,"*Completed order not paid*")&gt;0),"Invalid",IF(OR($H326="Unknown",$N326="Unknown",$AM326="Missing discount imputed as 0"),"Warning","Clean"))</x:f>
        <x:v>Clean</x:v>
      </x:c>
      <x:c r="AF326" s="80" t="str">
        <x:v>Pass</x:v>
      </x:c>
      <x:c r="AG326" s="80" t="str">
        <x:v>No text cleanup required</x:v>
      </x:c>
      <x:c r="AH326" s="12" t="str">
        <x:f>IF(C326="","Missing date",IF(ISNUMBER(C326),"Valid","Unrecognized/invalid date"))</x:f>
        <x:v>Valid</x:v>
      </x:c>
      <x:c r="AI326" s="12" t="str">
        <x:f>IF(D326="","Missing date",IF(ISNUMBER(D326),"Valid","Unrecognized/invalid date"))</x:f>
        <x:v>Valid</x:v>
      </x:c>
      <x:c r="AJ326" s="12" t="str">
        <x:v>Valid</x:v>
      </x:c>
      <x:c r="AK326" s="12" t="str">
        <x:v>Pass</x:v>
      </x:c>
      <x:c r="AL326" s="12" t="str">
        <x:v>None</x:v>
      </x:c>
      <x:c r="AM326" s="12" t="str">
        <x:v>Valid</x:v>
      </x:c>
      <x:c r="AN326" s="12" t="str">
        <x:v>Exclude from completed sales</x:v>
      </x:c>
      <x:c r="AO326" s="12" t="str">
        <x:v>Not a refunded record</x:v>
      </x:c>
      <x:c r="AP326" s="37" t="n">
        <x:f>IF(LEFT($AM326,7)="Invalid","",IF($AM326="Missing discount imputed as 0",IF(AND(COUNT($O326,$P326,$R326,$S326)=4,$O326&gt;0,$P326&gt;=0,$R326&gt;=0,$S326&gt;=0),0,""),IF(AND(ISNUMBER($Q326),$Q326&gt;=0,$Q326&lt;=0.5),$Q326,"")))</x:f>
        <x:v>0.15</x:v>
      </x:c>
      <x:c r="AQ326" s="152" t="n">
        <x:f>IF(OR($W326="",NOT(ISNUMBER($R326))),"",ROUND($R326-$W326,2))</x:f>
        <x:v>0</x:v>
      </x:c>
      <x:c r="AR326" s="152" t="n">
        <x:f>IF(OR($X326="",NOT(ISNUMBER($T326))),"",ROUND($T326-$X326,2))</x:f>
        <x:v>0</x:v>
      </x:c>
      <x:c r="AS326" s="14" t="str">
        <x:v>OK</x:v>
      </x:c>
    </x:row>
    <x:row r="327">
      <x:c r="A327" s="80" t="n">
        <x:v>327</x:v>
      </x:c>
      <x:c r="B327" s="80" t="str">
        <x:v>ORD-2025-10326</x:v>
      </x:c>
      <x:c r="C327" s="81" t="n">
        <x:v>45916</x:v>
      </x:c>
      <x:c r="D327" s="81" t="n">
        <x:v>45922</x:v>
      </x:c>
      <x:c r="E327" s="80" t="str">
        <x:v>CUST-7980</x:v>
      </x:c>
      <x:c r="F327" s="80" t="str">
        <x:v>Sneha Kapoor</x:v>
      </x:c>
      <x:c r="G327" s="80" t="str">
        <x:v>Home Office</x:v>
      </x:c>
      <x:c r="H327" s="80" t="str">
        <x:v>East</x:v>
      </x:c>
      <x:c r="I327" s="80" t="str">
        <x:v>West Bengal</x:v>
      </x:c>
      <x:c r="J327" s="80" t="str">
        <x:v>Kolkata</x:v>
      </x:c>
      <x:c r="K327" s="80" t="str">
        <x:v>Technology</x:v>
      </x:c>
      <x:c r="L327" s="80" t="str">
        <x:v>Copiers</x:v>
      </x:c>
      <x:c r="M327" s="80" t="str">
        <x:v>Prime Copiers 170</x:v>
      </x:c>
      <x:c r="N327" s="80" t="str">
        <x:v>Second Class</x:v>
      </x:c>
      <x:c r="O327" s="82" t="n">
        <x:v>5</x:v>
      </x:c>
      <x:c r="P327" s="83" t="n">
        <x:v>3671.2</x:v>
      </x:c>
      <x:c r="Q327" s="84" t="n">
        <x:v>0.15</x:v>
      </x:c>
      <x:c r="R327" s="83" t="n">
        <x:v>15602.6</x:v>
      </x:c>
      <x:c r="S327" s="83" t="n">
        <x:v>11908.52</x:v>
      </x:c>
      <x:c r="T327" s="83" t="n">
        <x:v>3694.08</x:v>
      </x:c>
      <x:c r="U327" s="83" t="str">
        <x:v>Paid</x:v>
      </x:c>
      <x:c r="V327" s="83" t="str">
        <x:v>Completed</x:v>
      </x:c>
      <x:c r="W327" s="151" t="n">
        <x:f>IF(OR(NOT(ISNUMBER($AP327)),COUNT($O327,$P327)&lt;2,$O327&lt;=0,$P327&lt;0),"",ROUND($O327*$P327*(1-$AP327),2))</x:f>
        <x:v>15602.6</x:v>
      </x:c>
      <x:c r="X327" s="151" t="n">
        <x:f>IF(OR(NOT(ISNUMBER($W327)),NOT(ISNUMBER($S327))),"",ROUND($W327-$S327,2))</x:f>
        <x:v>3694.08</x:v>
      </x:c>
      <x:c r="Y327" s="85" t="n">
        <x:f>IF(OR(NOT(ISNUMBER($W327)),NOT(ISNUMBER($X327)),$W327=0),"",ROUND($X327/$W327,4))</x:f>
        <x:v>0.2368</x:v>
      </x:c>
      <x:c r="Z327" s="82" t="n">
        <x:f>IF(OR($AH327&lt;&gt;"Valid",$AI327&lt;&gt;"Valid"),"",INT($D327-$C327))</x:f>
        <x:v>6</x:v>
      </x:c>
      <x:c r="AA327" s="86" t="str">
        <x:f>IF($AH327&lt;&gt;"Valid","",TEXT($C327,"mmmm"))</x:f>
        <x:v>September</x:v>
      </x:c>
      <x:c r="AB327" s="82" t="n">
        <x:f>IF($AH327&lt;&gt;"Valid","",YEAR($C327))</x:f>
        <x:v>2025</x:v>
      </x:c>
      <x:c r="AC327" s="80" t="str">
        <x:v>Consistent</x:v>
      </x:c>
      <x:c r="AD327" s="80" t="str">
        <x:v>Eligible</x:v>
      </x:c>
      <x:c r="AE327" s="80" t="str">
        <x:f>IF(OR($AH327&lt;&gt;"Valid",$AI327&lt;&gt;"Valid",$AJ327&lt;&gt;"Valid",LEFT($AM327,7)="Invalid",IFERROR(ABS($AQ327)&gt;0.01,FALSE),IFERROR(ABS($AR327)&gt;0.01,FALSE),COUNTIF($AS327,"*Conflicting duplicate*")&gt;0,COUNTIF($AS327,"*Completed order not paid*")&gt;0),"Invalid",IF(OR($H327="Unknown",$N327="Unknown",$AM327="Missing discount imputed as 0"),"Warning","Clean"))</x:f>
        <x:v>Clean</x:v>
      </x:c>
      <x:c r="AF327" s="80" t="str">
        <x:v>Pass</x:v>
      </x:c>
      <x:c r="AG327" s="80" t="str">
        <x:v>No text cleanup required</x:v>
      </x:c>
      <x:c r="AH327" s="12" t="str">
        <x:f>IF(C327="","Missing date",IF(ISNUMBER(C327),"Valid","Unrecognized/invalid date"))</x:f>
        <x:v>Valid</x:v>
      </x:c>
      <x:c r="AI327" s="12" t="str">
        <x:f>IF(D327="","Missing date",IF(ISNUMBER(D327),"Valid","Unrecognized/invalid date"))</x:f>
        <x:v>Valid</x:v>
      </x:c>
      <x:c r="AJ327" s="12" t="str">
        <x:v>Valid</x:v>
      </x:c>
      <x:c r="AK327" s="12" t="str">
        <x:v>Pass</x:v>
      </x:c>
      <x:c r="AL327" s="12" t="str">
        <x:v>None</x:v>
      </x:c>
      <x:c r="AM327" s="12" t="str">
        <x:v>Valid</x:v>
      </x:c>
      <x:c r="AN327" s="12" t="str">
        <x:v>Include in completed sales</x:v>
      </x:c>
      <x:c r="AO327" s="12" t="str">
        <x:v>Not a refunded record</x:v>
      </x:c>
      <x:c r="AP327" s="37" t="n">
        <x:f>IF(LEFT($AM327,7)="Invalid","",IF($AM327="Missing discount imputed as 0",IF(AND(COUNT($O327,$P327,$R327,$S327)=4,$O327&gt;0,$P327&gt;=0,$R327&gt;=0,$S327&gt;=0),0,""),IF(AND(ISNUMBER($Q327),$Q327&gt;=0,$Q327&lt;=0.5),$Q327,"")))</x:f>
        <x:v>0.15</x:v>
      </x:c>
      <x:c r="AQ327" s="152" t="n">
        <x:f>IF(OR($W327="",NOT(ISNUMBER($R327))),"",ROUND($R327-$W327,2))</x:f>
        <x:v>0</x:v>
      </x:c>
      <x:c r="AR327" s="152" t="n">
        <x:f>IF(OR($X327="",NOT(ISNUMBER($T327))),"",ROUND($T327-$X327,2))</x:f>
        <x:v>0</x:v>
      </x:c>
      <x:c r="AS327" s="14" t="str">
        <x:v>OK</x:v>
      </x:c>
    </x:row>
    <x:row r="328">
      <x:c r="A328" s="80" t="n">
        <x:v>328</x:v>
      </x:c>
      <x:c r="B328" s="80" t="str">
        <x:v>ORD-2025-10327</x:v>
      </x:c>
      <x:c r="C328" s="81" t="n">
        <x:v>45860</x:v>
      </x:c>
      <x:c r="D328" s="81" t="n">
        <x:v>45860</x:v>
      </x:c>
      <x:c r="E328" s="80" t="str">
        <x:v>CUST-1966</x:v>
      </x:c>
      <x:c r="F328" s="80" t="str">
        <x:v>Sneha Kapoor</x:v>
      </x:c>
      <x:c r="G328" s="80" t="str">
        <x:v>Corporate</x:v>
      </x:c>
      <x:c r="H328" s="80" t="str">
        <x:v>East</x:v>
      </x:c>
      <x:c r="I328" s="80" t="str">
        <x:v>Jharkhand</x:v>
      </x:c>
      <x:c r="J328" s="80" t="str">
        <x:v>Ranchi</x:v>
      </x:c>
      <x:c r="K328" s="80" t="str">
        <x:v>Furniture</x:v>
      </x:c>
      <x:c r="L328" s="80" t="str">
        <x:v>Furnishings</x:v>
      </x:c>
      <x:c r="M328" s="80" t="str">
        <x:v>Smart Furnishings 533</x:v>
      </x:c>
      <x:c r="N328" s="80" t="str">
        <x:v>Same Day</x:v>
      </x:c>
      <x:c r="O328" s="82" t="n">
        <x:v>5</x:v>
      </x:c>
      <x:c r="P328" s="83" t="n">
        <x:v>3187.05</x:v>
      </x:c>
      <x:c r="Q328" s="84" t="n">
        <x:v>0.05</x:v>
      </x:c>
      <x:c r="R328" s="83" t="n">
        <x:v>15138.49</x:v>
      </x:c>
      <x:c r="S328" s="83" t="n">
        <x:v>11235.72</x:v>
      </x:c>
      <x:c r="T328" s="83" t="n">
        <x:v>3902.77</x:v>
      </x:c>
      <x:c r="U328" s="83" t="str">
        <x:v>Paid</x:v>
      </x:c>
      <x:c r="V328" s="83" t="str">
        <x:v>Completed</x:v>
      </x:c>
      <x:c r="W328" s="151" t="n">
        <x:f>IF(OR(NOT(ISNUMBER($AP328)),COUNT($O328,$P328)&lt;2,$O328&lt;=0,$P328&lt;0),"",ROUND($O328*$P328*(1-$AP328),2))</x:f>
        <x:v>15138.49</x:v>
      </x:c>
      <x:c r="X328" s="151" t="n">
        <x:f>IF(OR(NOT(ISNUMBER($W328)),NOT(ISNUMBER($S328))),"",ROUND($W328-$S328,2))</x:f>
        <x:v>3902.77</x:v>
      </x:c>
      <x:c r="Y328" s="85" t="n">
        <x:f>IF(OR(NOT(ISNUMBER($W328)),NOT(ISNUMBER($X328)),$W328=0),"",ROUND($X328/$W328,4))</x:f>
        <x:v>0.2578</x:v>
      </x:c>
      <x:c r="Z328" s="82" t="n">
        <x:f>IF(OR($AH328&lt;&gt;"Valid",$AI328&lt;&gt;"Valid"),"",INT($D328-$C328))</x:f>
        <x:v>0</x:v>
      </x:c>
      <x:c r="AA328" s="86" t="str">
        <x:f>IF($AH328&lt;&gt;"Valid","",TEXT($C328,"mmmm"))</x:f>
        <x:v>July</x:v>
      </x:c>
      <x:c r="AB328" s="82" t="n">
        <x:f>IF($AH328&lt;&gt;"Valid","",YEAR($C328))</x:f>
        <x:v>2025</x:v>
      </x:c>
      <x:c r="AC328" s="80" t="str">
        <x:v>Consistent</x:v>
      </x:c>
      <x:c r="AD328" s="80" t="str">
        <x:v>Eligible</x:v>
      </x:c>
      <x:c r="AE328" s="80" t="str">
        <x:f>IF(OR($AH328&lt;&gt;"Valid",$AI328&lt;&gt;"Valid",$AJ328&lt;&gt;"Valid",LEFT($AM328,7)="Invalid",IFERROR(ABS($AQ328)&gt;0.01,FALSE),IFERROR(ABS($AR328)&gt;0.01,FALSE),COUNTIF($AS328,"*Conflicting duplicate*")&gt;0,COUNTIF($AS328,"*Completed order not paid*")&gt;0),"Invalid",IF(OR($H328="Unknown",$N328="Unknown",$AM328="Missing discount imputed as 0"),"Warning","Clean"))</x:f>
        <x:v>Clean</x:v>
      </x:c>
      <x:c r="AF328" s="80" t="str">
        <x:v>Pass</x:v>
      </x:c>
      <x:c r="AG328" s="80" t="str">
        <x:v>No text cleanup required</x:v>
      </x:c>
      <x:c r="AH328" s="12" t="str">
        <x:f>IF(C328="","Missing date",IF(ISNUMBER(C328),"Valid","Unrecognized/invalid date"))</x:f>
        <x:v>Valid</x:v>
      </x:c>
      <x:c r="AI328" s="12" t="str">
        <x:f>IF(D328="","Missing date",IF(ISNUMBER(D328),"Valid","Unrecognized/invalid date"))</x:f>
        <x:v>Valid</x:v>
      </x:c>
      <x:c r="AJ328" s="12" t="str">
        <x:v>Valid</x:v>
      </x:c>
      <x:c r="AK328" s="12" t="str">
        <x:v>Pass</x:v>
      </x:c>
      <x:c r="AL328" s="12" t="str">
        <x:v>None</x:v>
      </x:c>
      <x:c r="AM328" s="12" t="str">
        <x:v>Valid</x:v>
      </x:c>
      <x:c r="AN328" s="12" t="str">
        <x:v>Include in completed sales</x:v>
      </x:c>
      <x:c r="AO328" s="12" t="str">
        <x:v>Not a refunded record</x:v>
      </x:c>
      <x:c r="AP328" s="37" t="n">
        <x:f>IF(LEFT($AM328,7)="Invalid","",IF($AM328="Missing discount imputed as 0",IF(AND(COUNT($O328,$P328,$R328,$S328)=4,$O328&gt;0,$P328&gt;=0,$R328&gt;=0,$S328&gt;=0),0,""),IF(AND(ISNUMBER($Q328),$Q328&gt;=0,$Q328&lt;=0.5),$Q328,"")))</x:f>
        <x:v>0.05</x:v>
      </x:c>
      <x:c r="AQ328" s="152" t="n">
        <x:f>IF(OR($W328="",NOT(ISNUMBER($R328))),"",ROUND($R328-$W328,2))</x:f>
        <x:v>0</x:v>
      </x:c>
      <x:c r="AR328" s="152" t="n">
        <x:f>IF(OR($X328="",NOT(ISNUMBER($T328))),"",ROUND($T328-$X328,2))</x:f>
        <x:v>0</x:v>
      </x:c>
      <x:c r="AS328" s="14" t="str">
        <x:v>OK</x:v>
      </x:c>
    </x:row>
    <x:row r="329">
      <x:c r="A329" s="80" t="n">
        <x:v>329</x:v>
      </x:c>
      <x:c r="B329" s="80" t="str">
        <x:v>ORD-2024-10328</x:v>
      </x:c>
      <x:c r="C329" s="81" t="n">
        <x:v>45497</x:v>
      </x:c>
      <x:c r="D329" s="81" t="n">
        <x:v>45500</x:v>
      </x:c>
      <x:c r="E329" s="80" t="str">
        <x:v>CUST-6163</x:v>
      </x:c>
      <x:c r="F329" s="80" t="str">
        <x:v>Isha Nair</x:v>
      </x:c>
      <x:c r="G329" s="80" t="str">
        <x:v>Consumer</x:v>
      </x:c>
      <x:c r="H329" s="80" t="str">
        <x:v>West</x:v>
      </x:c>
      <x:c r="I329" s="80" t="str">
        <x:v>Rajasthan</x:v>
      </x:c>
      <x:c r="J329" s="80" t="str">
        <x:v>Udaipur</x:v>
      </x:c>
      <x:c r="K329" s="80" t="str">
        <x:v>Technology</x:v>
      </x:c>
      <x:c r="L329" s="80" t="str">
        <x:v>Accessories</x:v>
      </x:c>
      <x:c r="M329" s="80" t="str">
        <x:v>Classic Accessories 489</x:v>
      </x:c>
      <x:c r="N329" s="80" t="str">
        <x:v>Second Class</x:v>
      </x:c>
      <x:c r="O329" s="82" t="n">
        <x:v>3</x:v>
      </x:c>
      <x:c r="P329" s="83" t="n">
        <x:v>1834.55</x:v>
      </x:c>
      <x:c r="Q329" s="84" t="n">
        <x:v>0.2</x:v>
      </x:c>
      <x:c r="R329" s="83" t="n">
        <x:v>4402.92</x:v>
      </x:c>
      <x:c r="S329" s="83" t="n">
        <x:v>2993.94</x:v>
      </x:c>
      <x:c r="T329" s="83" t="n">
        <x:v>1408.98</x:v>
      </x:c>
      <x:c r="U329" s="83" t="str">
        <x:v>Pending</x:v>
      </x:c>
      <x:c r="V329" s="83" t="str">
        <x:v>Cancelled</x:v>
      </x:c>
      <x:c r="W329" s="151" t="n">
        <x:f>IF(OR(NOT(ISNUMBER($AP329)),COUNT($O329,$P329)&lt;2,$O329&lt;=0,$P329&lt;0),"",ROUND($O329*$P329*(1-$AP329),2))</x:f>
        <x:v>4402.92</x:v>
      </x:c>
      <x:c r="X329" s="151" t="n">
        <x:f>IF(OR(NOT(ISNUMBER($W329)),NOT(ISNUMBER($S329))),"",ROUND($W329-$S329,2))</x:f>
        <x:v>1408.98</x:v>
      </x:c>
      <x:c r="Y329" s="85" t="n">
        <x:f>IF(OR(NOT(ISNUMBER($W329)),NOT(ISNUMBER($X329)),$W329=0),"",ROUND($X329/$W329,4))</x:f>
        <x:v>0.32</x:v>
      </x:c>
      <x:c r="Z329" s="82" t="n">
        <x:f>IF(OR($AH329&lt;&gt;"Valid",$AI329&lt;&gt;"Valid"),"",INT($D329-$C329))</x:f>
        <x:v>3</x:v>
      </x:c>
      <x:c r="AA329" s="86" t="str">
        <x:f>IF($AH329&lt;&gt;"Valid","",TEXT($C329,"mmmm"))</x:f>
        <x:v>July</x:v>
      </x:c>
      <x:c r="AB329" s="82" t="n">
        <x:f>IF($AH329&lt;&gt;"Valid","",YEAR($C329))</x:f>
        <x:v>2024</x:v>
      </x:c>
      <x:c r="AC329" s="80" t="str">
        <x:v>Cancelled (excluded from completed-sales summary)</x:v>
      </x:c>
      <x:c r="AD329" s="80" t="str">
        <x:v>Excluded</x:v>
      </x:c>
      <x:c r="AE329" s="80" t="str">
        <x:f>IF(OR($AH329&lt;&gt;"Valid",$AI329&lt;&gt;"Valid",$AJ329&lt;&gt;"Valid",LEFT($AM329,7)="Invalid",IFERROR(ABS($AQ329)&gt;0.01,FALSE),IFERROR(ABS($AR329)&gt;0.01,FALSE),COUNTIF($AS329,"*Conflicting duplicate*")&gt;0,COUNTIF($AS329,"*Completed order not paid*")&gt;0),"Invalid",IF(OR($H329="Unknown",$N329="Unknown",$AM329="Missing discount imputed as 0"),"Warning","Clean"))</x:f>
        <x:v>Clean</x:v>
      </x:c>
      <x:c r="AF329" s="80" t="str">
        <x:v>Pass</x:v>
      </x:c>
      <x:c r="AG329" s="80" t="str">
        <x:v>No text cleanup required</x:v>
      </x:c>
      <x:c r="AH329" s="12" t="str">
        <x:f>IF(C329="","Missing date",IF(ISNUMBER(C329),"Valid","Unrecognized/invalid date"))</x:f>
        <x:v>Valid</x:v>
      </x:c>
      <x:c r="AI329" s="12" t="str">
        <x:f>IF(D329="","Missing date",IF(ISNUMBER(D329),"Valid","Unrecognized/invalid date"))</x:f>
        <x:v>Valid</x:v>
      </x:c>
      <x:c r="AJ329" s="12" t="str">
        <x:v>Valid</x:v>
      </x:c>
      <x:c r="AK329" s="12" t="str">
        <x:v>Pass</x:v>
      </x:c>
      <x:c r="AL329" s="12" t="str">
        <x:v>Cancelled order – excluded from completed sales</x:v>
      </x:c>
      <x:c r="AM329" s="12" t="str">
        <x:v>Valid</x:v>
      </x:c>
      <x:c r="AN329" s="12" t="str">
        <x:v>Exclude from completed sales</x:v>
      </x:c>
      <x:c r="AO329" s="12" t="str">
        <x:v>Not a refunded record</x:v>
      </x:c>
      <x:c r="AP329" s="37" t="n">
        <x:f>IF(LEFT($AM329,7)="Invalid","",IF($AM329="Missing discount imputed as 0",IF(AND(COUNT($O329,$P329,$R329,$S329)=4,$O329&gt;0,$P329&gt;=0,$R329&gt;=0,$S329&gt;=0),0,""),IF(AND(ISNUMBER($Q329),$Q329&gt;=0,$Q329&lt;=0.5),$Q329,"")))</x:f>
        <x:v>0.2</x:v>
      </x:c>
      <x:c r="AQ329" s="152" t="n">
        <x:f>IF(OR($W329="",NOT(ISNUMBER($R329))),"",ROUND($R329-$W329,2))</x:f>
        <x:v>0</x:v>
      </x:c>
      <x:c r="AR329" s="152" t="n">
        <x:f>IF(OR($X329="",NOT(ISNUMBER($T329))),"",ROUND($T329-$X329,2))</x:f>
        <x:v>0</x:v>
      </x:c>
      <x:c r="AS329" s="14" t="str">
        <x:v>OK</x:v>
      </x:c>
    </x:row>
    <x:row r="330">
      <x:c r="A330" s="80" t="n">
        <x:v>330</x:v>
      </x:c>
      <x:c r="B330" s="80" t="str">
        <x:v>ORD-2025-10329</x:v>
      </x:c>
      <x:c r="C330" s="81" t="n">
        <x:v>45806</x:v>
      </x:c>
      <x:c r="D330" s="81" t="n">
        <x:v>45812</x:v>
      </x:c>
      <x:c r="E330" s="80" t="str">
        <x:v>CUST-7239</x:v>
      </x:c>
      <x:c r="F330" s="80" t="str">
        <x:v>Diya Patel</x:v>
      </x:c>
      <x:c r="G330" s="80" t="str">
        <x:v>Consumer</x:v>
      </x:c>
      <x:c r="H330" s="80" t="str">
        <x:v>West</x:v>
      </x:c>
      <x:c r="I330" s="80" t="str">
        <x:v>Maharashtra</x:v>
      </x:c>
      <x:c r="J330" s="80" t="str">
        <x:v>Mumbai</x:v>
      </x:c>
      <x:c r="K330" s="80" t="str">
        <x:v>Office Supplies</x:v>
      </x:c>
      <x:c r="L330" s="80" t="str">
        <x:v>Storage</x:v>
      </x:c>
      <x:c r="M330" s="80" t="str">
        <x:v>Smart Storage 439</x:v>
      </x:c>
      <x:c r="N330" s="80" t="str">
        <x:v>First Class</x:v>
      </x:c>
      <x:c r="O330" s="82" t="n">
        <x:v>6</x:v>
      </x:c>
      <x:c r="P330" s="83" t="n">
        <x:v>3100.68</x:v>
      </x:c>
      <x:c r="Q330" s="84" t="n">
        <x:v>0</x:v>
      </x:c>
      <x:c r="R330" s="83" t="n">
        <x:v>18604.08</x:v>
      </x:c>
      <x:c r="S330" s="83" t="n">
        <x:v>15834.3</x:v>
      </x:c>
      <x:c r="T330" s="83" t="n">
        <x:v>2769.78</x:v>
      </x:c>
      <x:c r="U330" s="83" t="str">
        <x:v>Paid</x:v>
      </x:c>
      <x:c r="V330" s="83" t="str">
        <x:v>Completed</x:v>
      </x:c>
      <x:c r="W330" s="151" t="n">
        <x:f>IF(OR(NOT(ISNUMBER($AP330)),COUNT($O330,$P330)&lt;2,$O330&lt;=0,$P330&lt;0),"",ROUND($O330*$P330*(1-$AP330),2))</x:f>
        <x:v>18604.08</x:v>
      </x:c>
      <x:c r="X330" s="151" t="n">
        <x:f>IF(OR(NOT(ISNUMBER($W330)),NOT(ISNUMBER($S330))),"",ROUND($W330-$S330,2))</x:f>
        <x:v>2769.78</x:v>
      </x:c>
      <x:c r="Y330" s="85" t="n">
        <x:f>IF(OR(NOT(ISNUMBER($W330)),NOT(ISNUMBER($X330)),$W330=0),"",ROUND($X330/$W330,4))</x:f>
        <x:v>0.1489</x:v>
      </x:c>
      <x:c r="Z330" s="82" t="n">
        <x:f>IF(OR($AH330&lt;&gt;"Valid",$AI330&lt;&gt;"Valid"),"",INT($D330-$C330))</x:f>
        <x:v>6</x:v>
      </x:c>
      <x:c r="AA330" s="86" t="str">
        <x:f>IF($AH330&lt;&gt;"Valid","",TEXT($C330,"mmmm"))</x:f>
        <x:v>May</x:v>
      </x:c>
      <x:c r="AB330" s="82" t="n">
        <x:f>IF($AH330&lt;&gt;"Valid","",YEAR($C330))</x:f>
        <x:v>2025</x:v>
      </x:c>
      <x:c r="AC330" s="80" t="str">
        <x:v>Consistent</x:v>
      </x:c>
      <x:c r="AD330" s="80" t="str">
        <x:v>Eligible</x:v>
      </x:c>
      <x:c r="AE330" s="80" t="str">
        <x:f>IF(OR($AH330&lt;&gt;"Valid",$AI330&lt;&gt;"Valid",$AJ330&lt;&gt;"Valid",LEFT($AM330,7)="Invalid",IFERROR(ABS($AQ330)&gt;0.01,FALSE),IFERROR(ABS($AR330)&gt;0.01,FALSE),COUNTIF($AS330,"*Conflicting duplicate*")&gt;0,COUNTIF($AS330,"*Completed order not paid*")&gt;0),"Invalid",IF(OR($H330="Unknown",$N330="Unknown",$AM330="Missing discount imputed as 0"),"Warning","Clean"))</x:f>
        <x:v>Clean</x:v>
      </x:c>
      <x:c r="AF330" s="80" t="str">
        <x:v>Pass</x:v>
      </x:c>
      <x:c r="AG330" s="80" t="str">
        <x:v>No text cleanup required</x:v>
      </x:c>
      <x:c r="AH330" s="12" t="str">
        <x:f>IF(C330="","Missing date",IF(ISNUMBER(C330),"Valid","Unrecognized/invalid date"))</x:f>
        <x:v>Valid</x:v>
      </x:c>
      <x:c r="AI330" s="12" t="str">
        <x:f>IF(D330="","Missing date",IF(ISNUMBER(D330),"Valid","Unrecognized/invalid date"))</x:f>
        <x:v>Valid</x:v>
      </x:c>
      <x:c r="AJ330" s="12" t="str">
        <x:v>Valid</x:v>
      </x:c>
      <x:c r="AK330" s="12" t="str">
        <x:v>Pass</x:v>
      </x:c>
      <x:c r="AL330" s="12" t="str">
        <x:v>None</x:v>
      </x:c>
      <x:c r="AM330" s="12" t="str">
        <x:v>Valid</x:v>
      </x:c>
      <x:c r="AN330" s="12" t="str">
        <x:v>Include in completed sales</x:v>
      </x:c>
      <x:c r="AO330" s="12" t="str">
        <x:v>Not a refunded record</x:v>
      </x:c>
      <x:c r="AP330" s="37" t="n">
        <x:f>IF(LEFT($AM330,7)="Invalid","",IF($AM330="Missing discount imputed as 0",IF(AND(COUNT($O330,$P330,$R330,$S330)=4,$O330&gt;0,$P330&gt;=0,$R330&gt;=0,$S330&gt;=0),0,""),IF(AND(ISNUMBER($Q330),$Q330&gt;=0,$Q330&lt;=0.5),$Q330,"")))</x:f>
        <x:v>0</x:v>
      </x:c>
      <x:c r="AQ330" s="152" t="n">
        <x:f>IF(OR($W330="",NOT(ISNUMBER($R330))),"",ROUND($R330-$W330,2))</x:f>
        <x:v>0</x:v>
      </x:c>
      <x:c r="AR330" s="152" t="n">
        <x:f>IF(OR($X330="",NOT(ISNUMBER($T330))),"",ROUND($T330-$X330,2))</x:f>
        <x:v>0</x:v>
      </x:c>
      <x:c r="AS330" s="14" t="str">
        <x:v>OK</x:v>
      </x:c>
    </x:row>
    <x:row r="331">
      <x:c r="A331" s="80" t="n">
        <x:v>331</x:v>
      </x:c>
      <x:c r="B331" s="80" t="str">
        <x:v>ORD-2025-10330</x:v>
      </x:c>
      <x:c r="C331" s="81" t="n">
        <x:v>45789</x:v>
      </x:c>
      <x:c r="D331" s="81" t="n">
        <x:v>45795</x:v>
      </x:c>
      <x:c r="E331" s="80" t="str">
        <x:v>CUST-9718</x:v>
      </x:c>
      <x:c r="F331" s="80" t="str">
        <x:v>Neha Gupta</x:v>
      </x:c>
      <x:c r="G331" s="80" t="str">
        <x:v>Small Business</x:v>
      </x:c>
      <x:c r="H331" s="80" t="str">
        <x:v>West</x:v>
      </x:c>
      <x:c r="I331" s="80" t="str">
        <x:v>Maharashtra</x:v>
      </x:c>
      <x:c r="J331" s="80" t="str">
        <x:v>Mumbai</x:v>
      </x:c>
      <x:c r="K331" s="80" t="str">
        <x:v>Office Supplies</x:v>
      </x:c>
      <x:c r="L331" s="80" t="str">
        <x:v>Storage</x:v>
      </x:c>
      <x:c r="M331" s="80" t="str">
        <x:v>Prime Storage 232</x:v>
      </x:c>
      <x:c r="N331" s="80" t="str">
        <x:v>Standard Class</x:v>
      </x:c>
      <x:c r="O331" s="82" t="n">
        <x:v>4</x:v>
      </x:c>
      <x:c r="P331" s="83" t="n">
        <x:v>4053.03</x:v>
      </x:c>
      <x:c r="Q331" s="84" t="n">
        <x:v>0.05</x:v>
      </x:c>
      <x:c r="R331" s="83" t="n">
        <x:v>15401.51</x:v>
      </x:c>
      <x:c r="S331" s="83" t="n">
        <x:v>8650.42</x:v>
      </x:c>
      <x:c r="T331" s="83" t="n">
        <x:v>6751.09</x:v>
      </x:c>
      <x:c r="U331" s="83" t="str">
        <x:v>Paid</x:v>
      </x:c>
      <x:c r="V331" s="83" t="str">
        <x:v>Completed</x:v>
      </x:c>
      <x:c r="W331" s="151" t="n">
        <x:f>IF(OR(NOT(ISNUMBER($AP331)),COUNT($O331,$P331)&lt;2,$O331&lt;=0,$P331&lt;0),"",ROUND($O331*$P331*(1-$AP331),2))</x:f>
        <x:v>15401.51</x:v>
      </x:c>
      <x:c r="X331" s="151" t="n">
        <x:f>IF(OR(NOT(ISNUMBER($W331)),NOT(ISNUMBER($S331))),"",ROUND($W331-$S331,2))</x:f>
        <x:v>6751.09</x:v>
      </x:c>
      <x:c r="Y331" s="85" t="n">
        <x:f>IF(OR(NOT(ISNUMBER($W331)),NOT(ISNUMBER($X331)),$W331=0),"",ROUND($X331/$W331,4))</x:f>
        <x:v>0.4383</x:v>
      </x:c>
      <x:c r="Z331" s="82" t="n">
        <x:f>IF(OR($AH331&lt;&gt;"Valid",$AI331&lt;&gt;"Valid"),"",INT($D331-$C331))</x:f>
        <x:v>6</x:v>
      </x:c>
      <x:c r="AA331" s="86" t="str">
        <x:f>IF($AH331&lt;&gt;"Valid","",TEXT($C331,"mmmm"))</x:f>
        <x:v>May</x:v>
      </x:c>
      <x:c r="AB331" s="82" t="n">
        <x:f>IF($AH331&lt;&gt;"Valid","",YEAR($C331))</x:f>
        <x:v>2025</x:v>
      </x:c>
      <x:c r="AC331" s="80" t="str">
        <x:v>Consistent</x:v>
      </x:c>
      <x:c r="AD331" s="80" t="str">
        <x:v>Eligible</x:v>
      </x:c>
      <x:c r="AE331" s="80" t="str">
        <x:f>IF(OR($AH331&lt;&gt;"Valid",$AI331&lt;&gt;"Valid",$AJ331&lt;&gt;"Valid",LEFT($AM331,7)="Invalid",IFERROR(ABS($AQ331)&gt;0.01,FALSE),IFERROR(ABS($AR331)&gt;0.01,FALSE),COUNTIF($AS331,"*Conflicting duplicate*")&gt;0,COUNTIF($AS331,"*Completed order not paid*")&gt;0),"Invalid",IF(OR($H331="Unknown",$N331="Unknown",$AM331="Missing discount imputed as 0"),"Warning","Clean"))</x:f>
        <x:v>Clean</x:v>
      </x:c>
      <x:c r="AF331" s="80" t="str">
        <x:v>Pass</x:v>
      </x:c>
      <x:c r="AG331" s="80" t="str">
        <x:v>No text cleanup required</x:v>
      </x:c>
      <x:c r="AH331" s="12" t="str">
        <x:f>IF(C331="","Missing date",IF(ISNUMBER(C331),"Valid","Unrecognized/invalid date"))</x:f>
        <x:v>Valid</x:v>
      </x:c>
      <x:c r="AI331" s="12" t="str">
        <x:f>IF(D331="","Missing date",IF(ISNUMBER(D331),"Valid","Unrecognized/invalid date"))</x:f>
        <x:v>Valid</x:v>
      </x:c>
      <x:c r="AJ331" s="12" t="str">
        <x:v>Valid</x:v>
      </x:c>
      <x:c r="AK331" s="12" t="str">
        <x:v>Pass</x:v>
      </x:c>
      <x:c r="AL331" s="12" t="str">
        <x:v>None</x:v>
      </x:c>
      <x:c r="AM331" s="12" t="str">
        <x:v>Valid</x:v>
      </x:c>
      <x:c r="AN331" s="12" t="str">
        <x:v>Include in completed sales</x:v>
      </x:c>
      <x:c r="AO331" s="12" t="str">
        <x:v>Not a refunded record</x:v>
      </x:c>
      <x:c r="AP331" s="37" t="n">
        <x:f>IF(LEFT($AM331,7)="Invalid","",IF($AM331="Missing discount imputed as 0",IF(AND(COUNT($O331,$P331,$R331,$S331)=4,$O331&gt;0,$P331&gt;=0,$R331&gt;=0,$S331&gt;=0),0,""),IF(AND(ISNUMBER($Q331),$Q331&gt;=0,$Q331&lt;=0.5),$Q331,"")))</x:f>
        <x:v>0.05</x:v>
      </x:c>
      <x:c r="AQ331" s="152" t="n">
        <x:f>IF(OR($W331="",NOT(ISNUMBER($R331))),"",ROUND($R331-$W331,2))</x:f>
        <x:v>0</x:v>
      </x:c>
      <x:c r="AR331" s="152" t="n">
        <x:f>IF(OR($X331="",NOT(ISNUMBER($T331))),"",ROUND($T331-$X331,2))</x:f>
        <x:v>0</x:v>
      </x:c>
      <x:c r="AS331" s="14" t="str">
        <x:v>OK</x:v>
      </x:c>
    </x:row>
    <x:row r="332">
      <x:c r="A332" s="80" t="n">
        <x:v>332</x:v>
      </x:c>
      <x:c r="B332" s="80" t="str">
        <x:v>ORD-2024-10331</x:v>
      </x:c>
      <x:c r="C332" s="81" t="n">
        <x:v>45428</x:v>
      </x:c>
      <x:c r="D332" s="81" t="n">
        <x:v>45436</x:v>
      </x:c>
      <x:c r="E332" s="80" t="str">
        <x:v>CUST-1116</x:v>
      </x:c>
      <x:c r="F332" s="80" t="str">
        <x:v>Arjun Bose</x:v>
      </x:c>
      <x:c r="G332" s="80" t="str">
        <x:v>Home Office</x:v>
      </x:c>
      <x:c r="H332" s="80" t="str">
        <x:v>North</x:v>
      </x:c>
      <x:c r="I332" s="80" t="str">
        <x:v>Punjab</x:v>
      </x:c>
      <x:c r="J332" s="80" t="str">
        <x:v>Ludhiana</x:v>
      </x:c>
      <x:c r="K332" s="80" t="str">
        <x:v>Technology</x:v>
      </x:c>
      <x:c r="L332" s="80" t="str">
        <x:v>Accessories</x:v>
      </x:c>
      <x:c r="M332" s="80" t="str">
        <x:v>Prime Accessories 335</x:v>
      </x:c>
      <x:c r="N332" s="80" t="str">
        <x:v>Same Day</x:v>
      </x:c>
      <x:c r="O332" s="82" t="n">
        <x:v>1</x:v>
      </x:c>
      <x:c r="P332" s="83" t="n">
        <x:v>783.09</x:v>
      </x:c>
      <x:c r="Q332" s="84" t="n">
        <x:v>0</x:v>
      </x:c>
      <x:c r="R332" s="83" t="n">
        <x:v>783.09</x:v>
      </x:c>
      <x:c r="S332" s="83" t="n">
        <x:v>503.89</x:v>
      </x:c>
      <x:c r="T332" s="83" t="n">
        <x:v>279.2</x:v>
      </x:c>
      <x:c r="U332" s="83" t="str">
        <x:v>Failed</x:v>
      </x:c>
      <x:c r="V332" s="83" t="str">
        <x:v>Cancelled</x:v>
      </x:c>
      <x:c r="W332" s="151" t="n">
        <x:f>IF(OR(NOT(ISNUMBER($AP332)),COUNT($O332,$P332)&lt;2,$O332&lt;=0,$P332&lt;0),"",ROUND($O332*$P332*(1-$AP332),2))</x:f>
        <x:v>783.09</x:v>
      </x:c>
      <x:c r="X332" s="151" t="n">
        <x:f>IF(OR(NOT(ISNUMBER($W332)),NOT(ISNUMBER($S332))),"",ROUND($W332-$S332,2))</x:f>
        <x:v>279.2</x:v>
      </x:c>
      <x:c r="Y332" s="85" t="n">
        <x:f>IF(OR(NOT(ISNUMBER($W332)),NOT(ISNUMBER($X332)),$W332=0),"",ROUND($X332/$W332,4))</x:f>
        <x:v>0.3565</x:v>
      </x:c>
      <x:c r="Z332" s="82" t="n">
        <x:f>IF(OR($AH332&lt;&gt;"Valid",$AI332&lt;&gt;"Valid"),"",INT($D332-$C332))</x:f>
        <x:v>8</x:v>
      </x:c>
      <x:c r="AA332" s="86" t="str">
        <x:f>IF($AH332&lt;&gt;"Valid","",TEXT($C332,"mmmm"))</x:f>
        <x:v>May</x:v>
      </x:c>
      <x:c r="AB332" s="82" t="n">
        <x:f>IF($AH332&lt;&gt;"Valid","",YEAR($C332))</x:f>
        <x:v>2024</x:v>
      </x:c>
      <x:c r="AC332" s="80" t="str">
        <x:v>Cancelled (excluded from completed-sales summary)</x:v>
      </x:c>
      <x:c r="AD332" s="80" t="str">
        <x:v>Excluded</x:v>
      </x:c>
      <x:c r="AE332" s="80" t="str">
        <x:f>IF(OR($AH332&lt;&gt;"Valid",$AI332&lt;&gt;"Valid",$AJ332&lt;&gt;"Valid",LEFT($AM332,7)="Invalid",IFERROR(ABS($AQ332)&gt;0.01,FALSE),IFERROR(ABS($AR332)&gt;0.01,FALSE),COUNTIF($AS332,"*Conflicting duplicate*")&gt;0,COUNTIF($AS332,"*Completed order not paid*")&gt;0),"Invalid",IF(OR($H332="Unknown",$N332="Unknown",$AM332="Missing discount imputed as 0"),"Warning","Clean"))</x:f>
        <x:v>Clean</x:v>
      </x:c>
      <x:c r="AF332" s="80" t="str">
        <x:v>Pass</x:v>
      </x:c>
      <x:c r="AG332" s="80" t="str">
        <x:v>No text cleanup required</x:v>
      </x:c>
      <x:c r="AH332" s="12" t="str">
        <x:f>IF(C332="","Missing date",IF(ISNUMBER(C332),"Valid","Unrecognized/invalid date"))</x:f>
        <x:v>Valid</x:v>
      </x:c>
      <x:c r="AI332" s="12" t="str">
        <x:f>IF(D332="","Missing date",IF(ISNUMBER(D332),"Valid","Unrecognized/invalid date"))</x:f>
        <x:v>Valid</x:v>
      </x:c>
      <x:c r="AJ332" s="12" t="str">
        <x:v>Valid</x:v>
      </x:c>
      <x:c r="AK332" s="12" t="str">
        <x:v>Pass</x:v>
      </x:c>
      <x:c r="AL332" s="12" t="str">
        <x:v>Cancelled order – excluded from completed sales; Failed payment – excluded from completed sales</x:v>
      </x:c>
      <x:c r="AM332" s="12" t="str">
        <x:v>Valid</x:v>
      </x:c>
      <x:c r="AN332" s="12" t="str">
        <x:v>Exclude from completed sales</x:v>
      </x:c>
      <x:c r="AO332" s="12" t="str">
        <x:v>Not a refunded record</x:v>
      </x:c>
      <x:c r="AP332" s="37" t="n">
        <x:f>IF(LEFT($AM332,7)="Invalid","",IF($AM332="Missing discount imputed as 0",IF(AND(COUNT($O332,$P332,$R332,$S332)=4,$O332&gt;0,$P332&gt;=0,$R332&gt;=0,$S332&gt;=0),0,""),IF(AND(ISNUMBER($Q332),$Q332&gt;=0,$Q332&lt;=0.5),$Q332,"")))</x:f>
        <x:v>0</x:v>
      </x:c>
      <x:c r="AQ332" s="152" t="n">
        <x:f>IF(OR($W332="",NOT(ISNUMBER($R332))),"",ROUND($R332-$W332,2))</x:f>
        <x:v>0</x:v>
      </x:c>
      <x:c r="AR332" s="152" t="n">
        <x:f>IF(OR($X332="",NOT(ISNUMBER($T332))),"",ROUND($T332-$X332,2))</x:f>
        <x:v>0</x:v>
      </x:c>
      <x:c r="AS332" s="14" t="str">
        <x:v>OK</x:v>
      </x:c>
    </x:row>
    <x:row r="333">
      <x:c r="A333" s="80" t="n">
        <x:v>333</x:v>
      </x:c>
      <x:c r="B333" s="80" t="str">
        <x:v>ORD-2024-10332</x:v>
      </x:c>
      <x:c r="C333" s="81" t="n">
        <x:v>45630</x:v>
      </x:c>
      <x:c r="D333" s="81" t="n">
        <x:v>45632</x:v>
      </x:c>
      <x:c r="E333" s="80" t="str">
        <x:v>CUST-9346</x:v>
      </x:c>
      <x:c r="F333" s="80" t="str">
        <x:v>Sneha Kapoor</x:v>
      </x:c>
      <x:c r="G333" s="80" t="str">
        <x:v>Home Office</x:v>
      </x:c>
      <x:c r="H333" s="80" t="str">
        <x:v>East</x:v>
      </x:c>
      <x:c r="I333" s="80" t="str">
        <x:v>Odisha</x:v>
      </x:c>
      <x:c r="J333" s="80" t="str">
        <x:v>Bhubaneswar</x:v>
      </x:c>
      <x:c r="K333" s="80" t="str">
        <x:v>Office Supplies</x:v>
      </x:c>
      <x:c r="L333" s="80" t="str">
        <x:v>Binders</x:v>
      </x:c>
      <x:c r="M333" s="80" t="str">
        <x:v>Smart Binders 939</x:v>
      </x:c>
      <x:c r="N333" s="80" t="str">
        <x:v>Second Class</x:v>
      </x:c>
      <x:c r="O333" s="82" t="n">
        <x:v>4</x:v>
      </x:c>
      <x:c r="P333" s="83" t="n">
        <x:v>2685.66</x:v>
      </x:c>
      <x:c r="Q333" s="84" t="n">
        <x:v>0</x:v>
      </x:c>
      <x:c r="R333" s="83" t="n">
        <x:v>10742.64</x:v>
      </x:c>
      <x:c r="S333" s="83" t="n">
        <x:v>6477.37</x:v>
      </x:c>
      <x:c r="T333" s="83" t="n">
        <x:v>4265.27</x:v>
      </x:c>
      <x:c r="U333" s="83" t="str">
        <x:v>Paid</x:v>
      </x:c>
      <x:c r="V333" s="83" t="str">
        <x:v>Returned</x:v>
      </x:c>
      <x:c r="W333" s="151" t="n">
        <x:f>IF(OR(NOT(ISNUMBER($AP333)),COUNT($O333,$P333)&lt;2,$O333&lt;=0,$P333&lt;0),"",ROUND($O333*$P333*(1-$AP333),2))</x:f>
        <x:v>10742.64</x:v>
      </x:c>
      <x:c r="X333" s="151" t="n">
        <x:f>IF(OR(NOT(ISNUMBER($W333)),NOT(ISNUMBER($S333))),"",ROUND($W333-$S333,2))</x:f>
        <x:v>4265.27</x:v>
      </x:c>
      <x:c r="Y333" s="85" t="n">
        <x:f>IF(OR(NOT(ISNUMBER($W333)),NOT(ISNUMBER($X333)),$W333=0),"",ROUND($X333/$W333,4))</x:f>
        <x:v>0.397</x:v>
      </x:c>
      <x:c r="Z333" s="82" t="n">
        <x:f>IF(OR($AH333&lt;&gt;"Valid",$AI333&lt;&gt;"Valid"),"",INT($D333-$C333))</x:f>
        <x:v>2</x:v>
      </x:c>
      <x:c r="AA333" s="86" t="str">
        <x:f>IF($AH333&lt;&gt;"Valid","",TEXT($C333,"mmmm"))</x:f>
        <x:v>December</x:v>
      </x:c>
      <x:c r="AB333" s="82" t="n">
        <x:f>IF($AH333&lt;&gt;"Valid","",YEAR($C333))</x:f>
        <x:v>2024</x:v>
      </x:c>
      <x:c r="AC333" s="80" t="str">
        <x:v>Consistent</x:v>
      </x:c>
      <x:c r="AD333" s="80" t="str">
        <x:v>Excluded</x:v>
      </x:c>
      <x:c r="AE333" s="80" t="str">
        <x:f>IF(OR($AH333&lt;&gt;"Valid",$AI333&lt;&gt;"Valid",$AJ333&lt;&gt;"Valid",LEFT($AM333,7)="Invalid",IFERROR(ABS($AQ333)&gt;0.01,FALSE),IFERROR(ABS($AR333)&gt;0.01,FALSE),COUNTIF($AS333,"*Conflicting duplicate*")&gt;0,COUNTIF($AS333,"*Completed order not paid*")&gt;0),"Invalid",IF(OR($H333="Unknown",$N333="Unknown",$AM333="Missing discount imputed as 0"),"Warning","Clean"))</x:f>
        <x:v>Clean</x:v>
      </x:c>
      <x:c r="AF333" s="80" t="str">
        <x:v>Review</x:v>
      </x:c>
      <x:c r="AG333" s="80" t="str">
        <x:v>No text cleanup required</x:v>
      </x:c>
      <x:c r="AH333" s="12" t="str">
        <x:f>IF(C333="","Missing date",IF(ISNUMBER(C333),"Valid","Unrecognized/invalid date"))</x:f>
        <x:v>Valid</x:v>
      </x:c>
      <x:c r="AI333" s="12" t="str">
        <x:f>IF(D333="","Missing date",IF(ISNUMBER(D333),"Valid","Unrecognized/invalid date"))</x:f>
        <x:v>Valid</x:v>
      </x:c>
      <x:c r="AJ333" s="12" t="str">
        <x:v>Valid</x:v>
      </x:c>
      <x:c r="AK333" s="12" t="str">
        <x:v>Pass</x:v>
      </x:c>
      <x:c r="AL333" s="12" t="str">
        <x:v>None</x:v>
      </x:c>
      <x:c r="AM333" s="12" t="str">
        <x:v>Valid</x:v>
      </x:c>
      <x:c r="AN333" s="12" t="str">
        <x:v>Exclude from completed sales</x:v>
      </x:c>
      <x:c r="AO333" s="12" t="str">
        <x:v>Not a refunded record</x:v>
      </x:c>
      <x:c r="AP333" s="37" t="n">
        <x:f>IF(LEFT($AM333,7)="Invalid","",IF($AM333="Missing discount imputed as 0",IF(AND(COUNT($O333,$P333,$R333,$S333)=4,$O333&gt;0,$P333&gt;=0,$R333&gt;=0,$S333&gt;=0),0,""),IF(AND(ISNUMBER($Q333),$Q333&gt;=0,$Q333&lt;=0.5),$Q333,"")))</x:f>
        <x:v>0</x:v>
      </x:c>
      <x:c r="AQ333" s="152" t="n">
        <x:f>IF(OR($W333="",NOT(ISNUMBER($R333))),"",ROUND($R333-$W333,2))</x:f>
        <x:v>0</x:v>
      </x:c>
      <x:c r="AR333" s="152" t="n">
        <x:f>IF(OR($X333="",NOT(ISNUMBER($T333))),"",ROUND($T333-$X333,2))</x:f>
        <x:v>0</x:v>
      </x:c>
      <x:c r="AS333" s="14" t="str">
        <x:v>Conflicting duplicate order ID</x:v>
      </x:c>
    </x:row>
    <x:row r="334">
      <x:c r="A334" s="80" t="n">
        <x:v>334</x:v>
      </x:c>
      <x:c r="B334" s="80" t="str">
        <x:v>ORD-2025-10333</x:v>
      </x:c>
      <x:c r="C334" s="81" t="n">
        <x:v>45804</x:v>
      </x:c>
      <x:c r="D334" s="81" t="n">
        <x:v>45805</x:v>
      </x:c>
      <x:c r="E334" s="80" t="str">
        <x:v>CUST-5332</x:v>
      </x:c>
      <x:c r="F334" s="80" t="str">
        <x:v>Aarav Sharma</x:v>
      </x:c>
      <x:c r="G334" s="80" t="str">
        <x:v>Consumer</x:v>
      </x:c>
      <x:c r="H334" s="80" t="str">
        <x:v>South</x:v>
      </x:c>
      <x:c r="I334" s="80" t="str">
        <x:v>Andhra Pradesh</x:v>
      </x:c>
      <x:c r="J334" s="80" t="str">
        <x:v>Vijayawada</x:v>
      </x:c>
      <x:c r="K334" s="80" t="str">
        <x:v>Technology</x:v>
      </x:c>
      <x:c r="L334" s="80" t="str">
        <x:v>Machines</x:v>
      </x:c>
      <x:c r="M334" s="80" t="str">
        <x:v>Basic Machines 601</x:v>
      </x:c>
      <x:c r="N334" s="80" t="str">
        <x:v>Second Class</x:v>
      </x:c>
      <x:c r="O334" s="82" t="n">
        <x:v>2</x:v>
      </x:c>
      <x:c r="P334" s="83" t="n">
        <x:v>3911.96</x:v>
      </x:c>
      <x:c r="Q334" s="84" t="n">
        <x:v>0</x:v>
      </x:c>
      <x:c r="R334" s="83" t="n">
        <x:v>7823.92</x:v>
      </x:c>
      <x:c r="S334" s="83" t="n">
        <x:v>6034.63</x:v>
      </x:c>
      <x:c r="T334" s="83" t="n">
        <x:v>1789.29</x:v>
      </x:c>
      <x:c r="U334" s="83" t="str">
        <x:v>Paid</x:v>
      </x:c>
      <x:c r="V334" s="83" t="str">
        <x:v>Completed</x:v>
      </x:c>
      <x:c r="W334" s="151" t="n">
        <x:f>IF(OR(NOT(ISNUMBER($AP334)),COUNT($O334,$P334)&lt;2,$O334&lt;=0,$P334&lt;0),"",ROUND($O334*$P334*(1-$AP334),2))</x:f>
        <x:v>7823.92</x:v>
      </x:c>
      <x:c r="X334" s="151" t="n">
        <x:f>IF(OR(NOT(ISNUMBER($W334)),NOT(ISNUMBER($S334))),"",ROUND($W334-$S334,2))</x:f>
        <x:v>1789.29</x:v>
      </x:c>
      <x:c r="Y334" s="85" t="n">
        <x:f>IF(OR(NOT(ISNUMBER($W334)),NOT(ISNUMBER($X334)),$W334=0),"",ROUND($X334/$W334,4))</x:f>
        <x:v>0.2287</x:v>
      </x:c>
      <x:c r="Z334" s="82" t="n">
        <x:f>IF(OR($AH334&lt;&gt;"Valid",$AI334&lt;&gt;"Valid"),"",INT($D334-$C334))</x:f>
        <x:v>1</x:v>
      </x:c>
      <x:c r="AA334" s="86" t="str">
        <x:f>IF($AH334&lt;&gt;"Valid","",TEXT($C334,"mmmm"))</x:f>
        <x:v>May</x:v>
      </x:c>
      <x:c r="AB334" s="82" t="n">
        <x:f>IF($AH334&lt;&gt;"Valid","",YEAR($C334))</x:f>
        <x:v>2025</x:v>
      </x:c>
      <x:c r="AC334" s="80" t="str">
        <x:v>Consistent</x:v>
      </x:c>
      <x:c r="AD334" s="80" t="str">
        <x:v>Eligible</x:v>
      </x:c>
      <x:c r="AE334" s="80" t="str">
        <x:f>IF(OR($AH334&lt;&gt;"Valid",$AI334&lt;&gt;"Valid",$AJ334&lt;&gt;"Valid",LEFT($AM334,7)="Invalid",IFERROR(ABS($AQ334)&gt;0.01,FALSE),IFERROR(ABS($AR334)&gt;0.01,FALSE),COUNTIF($AS334,"*Conflicting duplicate*")&gt;0,COUNTIF($AS334,"*Completed order not paid*")&gt;0),"Invalid",IF(OR($H334="Unknown",$N334="Unknown",$AM334="Missing discount imputed as 0"),"Warning","Clean"))</x:f>
        <x:v>Clean</x:v>
      </x:c>
      <x:c r="AF334" s="80" t="str">
        <x:v>Cleaned</x:v>
      </x:c>
      <x:c r="AG334" s="80" t="str">
        <x:v>sub_category: Case standardization</x:v>
      </x:c>
      <x:c r="AH334" s="12" t="str">
        <x:f>IF(C334="","Missing date",IF(ISNUMBER(C334),"Valid","Unrecognized/invalid date"))</x:f>
        <x:v>Valid</x:v>
      </x:c>
      <x:c r="AI334" s="12" t="str">
        <x:f>IF(D334="","Missing date",IF(ISNUMBER(D334),"Valid","Unrecognized/invalid date"))</x:f>
        <x:v>Valid</x:v>
      </x:c>
      <x:c r="AJ334" s="12" t="str">
        <x:v>Valid</x:v>
      </x:c>
      <x:c r="AK334" s="12" t="str">
        <x:v>Pass</x:v>
      </x:c>
      <x:c r="AL334" s="12" t="str">
        <x:v>None</x:v>
      </x:c>
      <x:c r="AM334" s="12" t="str">
        <x:v>Valid</x:v>
      </x:c>
      <x:c r="AN334" s="12" t="str">
        <x:v>Include in completed sales</x:v>
      </x:c>
      <x:c r="AO334" s="12" t="str">
        <x:v>Not a refunded record</x:v>
      </x:c>
      <x:c r="AP334" s="37" t="n">
        <x:f>IF(LEFT($AM334,7)="Invalid","",IF($AM334="Missing discount imputed as 0",IF(AND(COUNT($O334,$P334,$R334,$S334)=4,$O334&gt;0,$P334&gt;=0,$R334&gt;=0,$S334&gt;=0),0,""),IF(AND(ISNUMBER($Q334),$Q334&gt;=0,$Q334&lt;=0.5),$Q334,"")))</x:f>
        <x:v>0</x:v>
      </x:c>
      <x:c r="AQ334" s="152" t="n">
        <x:f>IF(OR($W334="",NOT(ISNUMBER($R334))),"",ROUND($R334-$W334,2))</x:f>
        <x:v>0</x:v>
      </x:c>
      <x:c r="AR334" s="152" t="n">
        <x:f>IF(OR($X334="",NOT(ISNUMBER($T334))),"",ROUND($T334-$X334,2))</x:f>
        <x:v>0</x:v>
      </x:c>
      <x:c r="AS334" s="14" t="str">
        <x:v>OK</x:v>
      </x:c>
    </x:row>
    <x:row r="335">
      <x:c r="A335" s="80" t="n">
        <x:v>335</x:v>
      </x:c>
      <x:c r="B335" s="80" t="str">
        <x:v>ORD-2025-10334</x:v>
      </x:c>
      <x:c r="C335" s="81" t="n">
        <x:v>45830</x:v>
      </x:c>
      <x:c r="D335" s="81" t="n">
        <x:v>45835</x:v>
      </x:c>
      <x:c r="E335" s="80" t="str">
        <x:v>CUST-8081</x:v>
      </x:c>
      <x:c r="F335" s="80" t="str">
        <x:v>Rohan Mehta</x:v>
      </x:c>
      <x:c r="G335" s="80" t="str">
        <x:v>Home Office</x:v>
      </x:c>
      <x:c r="H335" s="80" t="str">
        <x:v>Unknown</x:v>
      </x:c>
      <x:c r="I335" s="80" t="str">
        <x:v>Delhi</x:v>
      </x:c>
      <x:c r="J335" s="80" t="str">
        <x:v>New Delhi</x:v>
      </x:c>
      <x:c r="K335" s="80" t="str">
        <x:v>Technology</x:v>
      </x:c>
      <x:c r="L335" s="80" t="str">
        <x:v>Phones</x:v>
      </x:c>
      <x:c r="M335" s="80" t="str">
        <x:v>Pro Phones 968</x:v>
      </x:c>
      <x:c r="N335" s="80" t="str">
        <x:v>First Class</x:v>
      </x:c>
      <x:c r="O335" s="82" t="n">
        <x:v>2</x:v>
      </x:c>
      <x:c r="P335" s="83" t="n">
        <x:v>1468.05</x:v>
      </x:c>
      <x:c r="Q335" s="84" t="n">
        <x:v>0</x:v>
      </x:c>
      <x:c r="R335" s="83" t="n">
        <x:v>2936.1</x:v>
      </x:c>
      <x:c r="S335" s="83" t="n">
        <x:v>1923.1</x:v>
      </x:c>
      <x:c r="T335" s="83" t="n">
        <x:v>1013</x:v>
      </x:c>
      <x:c r="U335" s="83" t="str">
        <x:v>Paid</x:v>
      </x:c>
      <x:c r="V335" s="83" t="str">
        <x:v>Completed</x:v>
      </x:c>
      <x:c r="W335" s="151" t="n">
        <x:f>IF(OR(NOT(ISNUMBER($AP335)),COUNT($O335,$P335)&lt;2,$O335&lt;=0,$P335&lt;0),"",ROUND($O335*$P335*(1-$AP335),2))</x:f>
        <x:v>2936.1</x:v>
      </x:c>
      <x:c r="X335" s="151" t="n">
        <x:f>IF(OR(NOT(ISNUMBER($W335)),NOT(ISNUMBER($S335))),"",ROUND($W335-$S335,2))</x:f>
        <x:v>1013</x:v>
      </x:c>
      <x:c r="Y335" s="85" t="n">
        <x:f>IF(OR(NOT(ISNUMBER($W335)),NOT(ISNUMBER($X335)),$W335=0),"",ROUND($X335/$W335,4))</x:f>
        <x:v>0.345</x:v>
      </x:c>
      <x:c r="Z335" s="82" t="n">
        <x:f>IF(OR($AH335&lt;&gt;"Valid",$AI335&lt;&gt;"Valid"),"",INT($D335-$C335))</x:f>
        <x:v>5</x:v>
      </x:c>
      <x:c r="AA335" s="86" t="str">
        <x:f>IF($AH335&lt;&gt;"Valid","",TEXT($C335,"mmmm"))</x:f>
        <x:v>June</x:v>
      </x:c>
      <x:c r="AB335" s="82" t="n">
        <x:f>IF($AH335&lt;&gt;"Valid","",YEAR($C335))</x:f>
        <x:v>2025</x:v>
      </x:c>
      <x:c r="AC335" s="80" t="str">
        <x:v>Consistent</x:v>
      </x:c>
      <x:c r="AD335" s="80" t="str">
        <x:v>Eligible</x:v>
      </x:c>
      <x:c r="AE335" s="80" t="str">
        <x:f>IF(OR($AH335&lt;&gt;"Valid",$AI335&lt;&gt;"Valid",$AJ335&lt;&gt;"Valid",LEFT($AM335,7)="Invalid",IFERROR(ABS($AQ335)&gt;0.01,FALSE),IFERROR(ABS($AR335)&gt;0.01,FALSE),COUNTIF($AS335,"*Conflicting duplicate*")&gt;0,COUNTIF($AS335,"*Completed order not paid*")&gt;0),"Invalid",IF(OR($H335="Unknown",$N335="Unknown",$AM335="Missing discount imputed as 0"),"Warning","Clean"))</x:f>
        <x:v>Warning</x:v>
      </x:c>
      <x:c r="AF335" s="80" t="str">
        <x:v>Cleaned</x:v>
      </x:c>
      <x:c r="AG335" s="80" t="str">
        <x:v>region: Missing value filled as Unknown</x:v>
      </x:c>
      <x:c r="AH335" s="12" t="str">
        <x:f>IF(C335="","Missing date",IF(ISNUMBER(C335),"Valid","Unrecognized/invalid date"))</x:f>
        <x:v>Valid</x:v>
      </x:c>
      <x:c r="AI335" s="12" t="str">
        <x:f>IF(D335="","Missing date",IF(ISNUMBER(D335),"Valid","Unrecognized/invalid date"))</x:f>
        <x:v>Valid</x:v>
      </x:c>
      <x:c r="AJ335" s="12" t="str">
        <x:v>Valid</x:v>
      </x:c>
      <x:c r="AK335" s="12" t="str">
        <x:v>Pass</x:v>
      </x:c>
      <x:c r="AL335" s="12" t="str">
        <x:v>Missing region filled as Unknown</x:v>
      </x:c>
      <x:c r="AM335" s="12" t="str">
        <x:v>Valid</x:v>
      </x:c>
      <x:c r="AN335" s="12" t="str">
        <x:v>Include in completed sales</x:v>
      </x:c>
      <x:c r="AO335" s="12" t="str">
        <x:v>Not a refunded record</x:v>
      </x:c>
      <x:c r="AP335" s="37" t="n">
        <x:f>IF(LEFT($AM335,7)="Invalid","",IF($AM335="Missing discount imputed as 0",IF(AND(COUNT($O335,$P335,$R335,$S335)=4,$O335&gt;0,$P335&gt;=0,$R335&gt;=0,$S335&gt;=0),0,""),IF(AND(ISNUMBER($Q335),$Q335&gt;=0,$Q335&lt;=0.5),$Q335,"")))</x:f>
        <x:v>0</x:v>
      </x:c>
      <x:c r="AQ335" s="152" t="n">
        <x:f>IF(OR($W335="",NOT(ISNUMBER($R335))),"",ROUND($R335-$W335,2))</x:f>
        <x:v>0</x:v>
      </x:c>
      <x:c r="AR335" s="152" t="n">
        <x:f>IF(OR($X335="",NOT(ISNUMBER($T335))),"",ROUND($T335-$X335,2))</x:f>
        <x:v>0</x:v>
      </x:c>
      <x:c r="AS335" s="14" t="str">
        <x:v>OK</x:v>
      </x:c>
    </x:row>
    <x:row r="336">
      <x:c r="A336" s="80" t="n">
        <x:v>336</x:v>
      </x:c>
      <x:c r="B336" s="80" t="str">
        <x:v>ORD-2024-10335</x:v>
      </x:c>
      <x:c r="C336" s="81" t="n">
        <x:v>45547</x:v>
      </x:c>
      <x:c r="D336" s="81" t="n">
        <x:v>45552</x:v>
      </x:c>
      <x:c r="E336" s="80" t="str">
        <x:v>CUST-3062</x:v>
      </x:c>
      <x:c r="F336" s="80" t="str">
        <x:v>Ananya Rao</x:v>
      </x:c>
      <x:c r="G336" s="80" t="str">
        <x:v>Consumer</x:v>
      </x:c>
      <x:c r="H336" s="80" t="str">
        <x:v>East</x:v>
      </x:c>
      <x:c r="I336" s="80" t="str">
        <x:v>Jharkhand</x:v>
      </x:c>
      <x:c r="J336" s="80" t="str">
        <x:v>Ranchi</x:v>
      </x:c>
      <x:c r="K336" s="80" t="str">
        <x:v>Office Supplies</x:v>
      </x:c>
      <x:c r="L336" s="80" t="str">
        <x:v>Storage</x:v>
      </x:c>
      <x:c r="M336" s="80" t="str">
        <x:v>Pro Storage 563</x:v>
      </x:c>
      <x:c r="N336" s="80" t="str">
        <x:v>First Class</x:v>
      </x:c>
      <x:c r="O336" s="82" t="n">
        <x:v>9</x:v>
      </x:c>
      <x:c r="P336" s="83" t="n">
        <x:v>1921.47</x:v>
      </x:c>
      <x:c r="Q336" s="84" t="n">
        <x:v>0.25</x:v>
      </x:c>
      <x:c r="R336" s="83" t="n">
        <x:v>12969.92</x:v>
      </x:c>
      <x:c r="S336" s="83" t="n">
        <x:v>9398.46</x:v>
      </x:c>
      <x:c r="T336" s="83" t="n">
        <x:v>3571.46</x:v>
      </x:c>
      <x:c r="U336" s="83" t="str">
        <x:v>Paid</x:v>
      </x:c>
      <x:c r="V336" s="83" t="str">
        <x:v>Completed</x:v>
      </x:c>
      <x:c r="W336" s="151" t="n">
        <x:f>IF(OR(NOT(ISNUMBER($AP336)),COUNT($O336,$P336)&lt;2,$O336&lt;=0,$P336&lt;0),"",ROUND($O336*$P336*(1-$AP336),2))</x:f>
        <x:v>12969.92</x:v>
      </x:c>
      <x:c r="X336" s="151" t="n">
        <x:f>IF(OR(NOT(ISNUMBER($W336)),NOT(ISNUMBER($S336))),"",ROUND($W336-$S336,2))</x:f>
        <x:v>3571.46</x:v>
      </x:c>
      <x:c r="Y336" s="85" t="n">
        <x:f>IF(OR(NOT(ISNUMBER($W336)),NOT(ISNUMBER($X336)),$W336=0),"",ROUND($X336/$W336,4))</x:f>
        <x:v>0.2754</x:v>
      </x:c>
      <x:c r="Z336" s="82" t="n">
        <x:f>IF(OR($AH336&lt;&gt;"Valid",$AI336&lt;&gt;"Valid"),"",INT($D336-$C336))</x:f>
        <x:v>5</x:v>
      </x:c>
      <x:c r="AA336" s="86" t="str">
        <x:f>IF($AH336&lt;&gt;"Valid","",TEXT($C336,"mmmm"))</x:f>
        <x:v>September</x:v>
      </x:c>
      <x:c r="AB336" s="82" t="n">
        <x:f>IF($AH336&lt;&gt;"Valid","",YEAR($C336))</x:f>
        <x:v>2024</x:v>
      </x:c>
      <x:c r="AC336" s="80" t="str">
        <x:v>Consistent</x:v>
      </x:c>
      <x:c r="AD336" s="80" t="str">
        <x:v>Eligible</x:v>
      </x:c>
      <x:c r="AE336" s="80" t="str">
        <x:f>IF(OR($AH336&lt;&gt;"Valid",$AI336&lt;&gt;"Valid",$AJ336&lt;&gt;"Valid",LEFT($AM336,7)="Invalid",IFERROR(ABS($AQ336)&gt;0.01,FALSE),IFERROR(ABS($AR336)&gt;0.01,FALSE),COUNTIF($AS336,"*Conflicting duplicate*")&gt;0,COUNTIF($AS336,"*Completed order not paid*")&gt;0),"Invalid",IF(OR($H336="Unknown",$N336="Unknown",$AM336="Missing discount imputed as 0"),"Warning","Clean"))</x:f>
        <x:v>Clean</x:v>
      </x:c>
      <x:c r="AF336" s="80" t="str">
        <x:v>Pass</x:v>
      </x:c>
      <x:c r="AG336" s="80" t="str">
        <x:v>No text cleanup required</x:v>
      </x:c>
      <x:c r="AH336" s="12" t="str">
        <x:f>IF(C336="","Missing date",IF(ISNUMBER(C336),"Valid","Unrecognized/invalid date"))</x:f>
        <x:v>Valid</x:v>
      </x:c>
      <x:c r="AI336" s="12" t="str">
        <x:f>IF(D336="","Missing date",IF(ISNUMBER(D336),"Valid","Unrecognized/invalid date"))</x:f>
        <x:v>Valid</x:v>
      </x:c>
      <x:c r="AJ336" s="12" t="str">
        <x:v>Valid</x:v>
      </x:c>
      <x:c r="AK336" s="12" t="str">
        <x:v>Pass</x:v>
      </x:c>
      <x:c r="AL336" s="12" t="str">
        <x:v>None</x:v>
      </x:c>
      <x:c r="AM336" s="12" t="str">
        <x:v>Valid</x:v>
      </x:c>
      <x:c r="AN336" s="12" t="str">
        <x:v>Include in completed sales</x:v>
      </x:c>
      <x:c r="AO336" s="12" t="str">
        <x:v>Not a refunded record</x:v>
      </x:c>
      <x:c r="AP336" s="37" t="n">
        <x:f>IF(LEFT($AM336,7)="Invalid","",IF($AM336="Missing discount imputed as 0",IF(AND(COUNT($O336,$P336,$R336,$S336)=4,$O336&gt;0,$P336&gt;=0,$R336&gt;=0,$S336&gt;=0),0,""),IF(AND(ISNUMBER($Q336),$Q336&gt;=0,$Q336&lt;=0.5),$Q336,"")))</x:f>
        <x:v>0.25</x:v>
      </x:c>
      <x:c r="AQ336" s="152" t="n">
        <x:f>IF(OR($W336="",NOT(ISNUMBER($R336))),"",ROUND($R336-$W336,2))</x:f>
        <x:v>0</x:v>
      </x:c>
      <x:c r="AR336" s="152" t="n">
        <x:f>IF(OR($X336="",NOT(ISNUMBER($T336))),"",ROUND($T336-$X336,2))</x:f>
        <x:v>0</x:v>
      </x:c>
      <x:c r="AS336" s="14" t="str">
        <x:v>OK</x:v>
      </x:c>
    </x:row>
    <x:row r="337">
      <x:c r="A337" s="80" t="n">
        <x:v>337</x:v>
      </x:c>
      <x:c r="B337" s="80" t="str">
        <x:v>ORD-2025-10336</x:v>
      </x:c>
      <x:c r="C337" s="81" t="n">
        <x:v>45824</x:v>
      </x:c>
      <x:c r="D337" s="81" t="n">
        <x:v>45826</x:v>
      </x:c>
      <x:c r="E337" s="80" t="str">
        <x:v>CUST-3621</x:v>
      </x:c>
      <x:c r="F337" s="80" t="str">
        <x:v>Rahul Verma</x:v>
      </x:c>
      <x:c r="G337" s="80" t="str">
        <x:v>Home Office</x:v>
      </x:c>
      <x:c r="H337" s="80" t="str">
        <x:v>West</x:v>
      </x:c>
      <x:c r="I337" s="80" t="str">
        <x:v>Madhya Pradesh</x:v>
      </x:c>
      <x:c r="J337" s="80" t="str">
        <x:v>Indore</x:v>
      </x:c>
      <x:c r="K337" s="80" t="str">
        <x:v>Office Supplies</x:v>
      </x:c>
      <x:c r="L337" s="80" t="str">
        <x:v>Paper</x:v>
      </x:c>
      <x:c r="M337" s="80" t="str">
        <x:v>Prime Paper 559</x:v>
      </x:c>
      <x:c r="N337" s="80" t="str">
        <x:v>First Class</x:v>
      </x:c>
      <x:c r="O337" s="82" t="n">
        <x:v>3</x:v>
      </x:c>
      <x:c r="P337" s="83" t="n">
        <x:v>4289.37</x:v>
      </x:c>
      <x:c r="Q337" s="84" t="n">
        <x:v>0.1</x:v>
      </x:c>
      <x:c r="R337" s="83" t="n">
        <x:v>11581.3</x:v>
      </x:c>
      <x:c r="S337" s="83" t="n">
        <x:v>6829.43</x:v>
      </x:c>
      <x:c r="T337" s="83" t="n">
        <x:v>4751.87</x:v>
      </x:c>
      <x:c r="U337" s="83" t="str">
        <x:v>Paid</x:v>
      </x:c>
      <x:c r="V337" s="83" t="str">
        <x:v>Completed</x:v>
      </x:c>
      <x:c r="W337" s="151" t="n">
        <x:f>IF(OR(NOT(ISNUMBER($AP337)),COUNT($O337,$P337)&lt;2,$O337&lt;=0,$P337&lt;0),"",ROUND($O337*$P337*(1-$AP337),2))</x:f>
        <x:v>11581.3</x:v>
      </x:c>
      <x:c r="X337" s="151" t="n">
        <x:f>IF(OR(NOT(ISNUMBER($W337)),NOT(ISNUMBER($S337))),"",ROUND($W337-$S337,2))</x:f>
        <x:v>4751.87</x:v>
      </x:c>
      <x:c r="Y337" s="85" t="n">
        <x:f>IF(OR(NOT(ISNUMBER($W337)),NOT(ISNUMBER($X337)),$W337=0),"",ROUND($X337/$W337,4))</x:f>
        <x:v>0.4103</x:v>
      </x:c>
      <x:c r="Z337" s="82" t="n">
        <x:f>IF(OR($AH337&lt;&gt;"Valid",$AI337&lt;&gt;"Valid"),"",INT($D337-$C337))</x:f>
        <x:v>2</x:v>
      </x:c>
      <x:c r="AA337" s="86" t="str">
        <x:f>IF($AH337&lt;&gt;"Valid","",TEXT($C337,"mmmm"))</x:f>
        <x:v>June</x:v>
      </x:c>
      <x:c r="AB337" s="82" t="n">
        <x:f>IF($AH337&lt;&gt;"Valid","",YEAR($C337))</x:f>
        <x:v>2025</x:v>
      </x:c>
      <x:c r="AC337" s="80" t="str">
        <x:v>Consistent</x:v>
      </x:c>
      <x:c r="AD337" s="80" t="str">
        <x:v>Excluded</x:v>
      </x:c>
      <x:c r="AE337" s="80" t="str">
        <x:f>IF(OR($AH337&lt;&gt;"Valid",$AI337&lt;&gt;"Valid",$AJ337&lt;&gt;"Valid",LEFT($AM337,7)="Invalid",IFERROR(ABS($AQ337)&gt;0.01,FALSE),IFERROR(ABS($AR337)&gt;0.01,FALSE),COUNTIF($AS337,"*Conflicting duplicate*")&gt;0,COUNTIF($AS337,"*Completed order not paid*")&gt;0),"Invalid",IF(OR($H337="Unknown",$N337="Unknown",$AM337="Missing discount imputed as 0"),"Warning","Clean"))</x:f>
        <x:v>Clean</x:v>
      </x:c>
      <x:c r="AF337" s="80" t="str">
        <x:v>Review</x:v>
      </x:c>
      <x:c r="AG337" s="80" t="str">
        <x:v>No text cleanup required</x:v>
      </x:c>
      <x:c r="AH337" s="12" t="str">
        <x:f>IF(C337="","Missing date",IF(ISNUMBER(C337),"Valid","Unrecognized/invalid date"))</x:f>
        <x:v>Valid</x:v>
      </x:c>
      <x:c r="AI337" s="12" t="str">
        <x:f>IF(D337="","Missing date",IF(ISNUMBER(D337),"Valid","Unrecognized/invalid date"))</x:f>
        <x:v>Valid</x:v>
      </x:c>
      <x:c r="AJ337" s="12" t="str">
        <x:v>Valid</x:v>
      </x:c>
      <x:c r="AK337" s="12" t="str">
        <x:v>Pass</x:v>
      </x:c>
      <x:c r="AL337" s="12" t="str">
        <x:v>None</x:v>
      </x:c>
      <x:c r="AM337" s="12" t="str">
        <x:v>Valid</x:v>
      </x:c>
      <x:c r="AN337" s="12" t="str">
        <x:v>Exclude from completed sales</x:v>
      </x:c>
      <x:c r="AO337" s="12" t="str">
        <x:v>Not a refunded record</x:v>
      </x:c>
      <x:c r="AP337" s="37" t="n">
        <x:f>IF(LEFT($AM337,7)="Invalid","",IF($AM337="Missing discount imputed as 0",IF(AND(COUNT($O337,$P337,$R337,$S337)=4,$O337&gt;0,$P337&gt;=0,$R337&gt;=0,$S337&gt;=0),0,""),IF(AND(ISNUMBER($Q337),$Q337&gt;=0,$Q337&lt;=0.5),$Q337,"")))</x:f>
        <x:v>0.1</x:v>
      </x:c>
      <x:c r="AQ337" s="152" t="n">
        <x:f>IF(OR($W337="",NOT(ISNUMBER($R337))),"",ROUND($R337-$W337,2))</x:f>
        <x:v>0</x:v>
      </x:c>
      <x:c r="AR337" s="152" t="n">
        <x:f>IF(OR($X337="",NOT(ISNUMBER($T337))),"",ROUND($T337-$X337,2))</x:f>
        <x:v>0</x:v>
      </x:c>
      <x:c r="AS337" s="14" t="str">
        <x:v>Conflicting duplicate order ID</x:v>
      </x:c>
    </x:row>
    <x:row r="338">
      <x:c r="A338" s="80" t="n">
        <x:v>338</x:v>
      </x:c>
      <x:c r="B338" s="80" t="str">
        <x:v>ORD-2024-10337</x:v>
      </x:c>
      <x:c r="C338" s="81" t="n">
        <x:v>45368</x:v>
      </x:c>
      <x:c r="D338" s="81" t="n">
        <x:v>45372</x:v>
      </x:c>
      <x:c r="E338" s="80" t="str">
        <x:v>CUST-2103</x:v>
      </x:c>
      <x:c r="F338" s="80" t="str">
        <x:v>Aarav Sharma</x:v>
      </x:c>
      <x:c r="G338" s="80" t="str">
        <x:v>Consumer</x:v>
      </x:c>
      <x:c r="H338" s="80" t="str">
        <x:v>North</x:v>
      </x:c>
      <x:c r="I338" s="80" t="str">
        <x:v>Rajasthan</x:v>
      </x:c>
      <x:c r="J338" s="80" t="str">
        <x:v>Jaipur</x:v>
      </x:c>
      <x:c r="K338" s="80" t="str">
        <x:v>Technology</x:v>
      </x:c>
      <x:c r="L338" s="80" t="str">
        <x:v>Copiers</x:v>
      </x:c>
      <x:c r="M338" s="80" t="str">
        <x:v>Pro Copiers 999</x:v>
      </x:c>
      <x:c r="N338" s="80" t="str">
        <x:v>First Class</x:v>
      </x:c>
      <x:c r="O338" s="82" t="n">
        <x:v>8</x:v>
      </x:c>
      <x:c r="P338" s="83" t="n">
        <x:v>1992.57</x:v>
      </x:c>
      <x:c r="Q338" s="84" t="n">
        <x:v>0</x:v>
      </x:c>
      <x:c r="R338" s="83" t="n">
        <x:v>15940.56</x:v>
      </x:c>
      <x:c r="S338" s="83" t="n">
        <x:v>12347.15</x:v>
      </x:c>
      <x:c r="T338" s="83" t="n">
        <x:v>3593.41</x:v>
      </x:c>
      <x:c r="U338" s="83" t="str">
        <x:v>Paid</x:v>
      </x:c>
      <x:c r="V338" s="83" t="str">
        <x:v>Completed</x:v>
      </x:c>
      <x:c r="W338" s="151" t="n">
        <x:f>IF(OR(NOT(ISNUMBER($AP338)),COUNT($O338,$P338)&lt;2,$O338&lt;=0,$P338&lt;0),"",ROUND($O338*$P338*(1-$AP338),2))</x:f>
        <x:v>15940.56</x:v>
      </x:c>
      <x:c r="X338" s="151" t="n">
        <x:f>IF(OR(NOT(ISNUMBER($W338)),NOT(ISNUMBER($S338))),"",ROUND($W338-$S338,2))</x:f>
        <x:v>3593.41</x:v>
      </x:c>
      <x:c r="Y338" s="85" t="n">
        <x:f>IF(OR(NOT(ISNUMBER($W338)),NOT(ISNUMBER($X338)),$W338=0),"",ROUND($X338/$W338,4))</x:f>
        <x:v>0.2254</x:v>
      </x:c>
      <x:c r="Z338" s="82" t="n">
        <x:f>IF(OR($AH338&lt;&gt;"Valid",$AI338&lt;&gt;"Valid"),"",INT($D338-$C338))</x:f>
        <x:v>4</x:v>
      </x:c>
      <x:c r="AA338" s="86" t="str">
        <x:f>IF($AH338&lt;&gt;"Valid","",TEXT($C338,"mmmm"))</x:f>
        <x:v>March</x:v>
      </x:c>
      <x:c r="AB338" s="82" t="n">
        <x:f>IF($AH338&lt;&gt;"Valid","",YEAR($C338))</x:f>
        <x:v>2024</x:v>
      </x:c>
      <x:c r="AC338" s="80" t="str">
        <x:v>Consistent</x:v>
      </x:c>
      <x:c r="AD338" s="80" t="str">
        <x:v>Eligible</x:v>
      </x:c>
      <x:c r="AE338" s="80" t="str">
        <x:f>IF(OR($AH338&lt;&gt;"Valid",$AI338&lt;&gt;"Valid",$AJ338&lt;&gt;"Valid",LEFT($AM338,7)="Invalid",IFERROR(ABS($AQ338)&gt;0.01,FALSE),IFERROR(ABS($AR338)&gt;0.01,FALSE),COUNTIF($AS338,"*Conflicting duplicate*")&gt;0,COUNTIF($AS338,"*Completed order not paid*")&gt;0),"Invalid",IF(OR($H338="Unknown",$N338="Unknown",$AM338="Missing discount imputed as 0"),"Warning","Clean"))</x:f>
        <x:v>Clean</x:v>
      </x:c>
      <x:c r="AF338" s="80" t="str">
        <x:v>Pass</x:v>
      </x:c>
      <x:c r="AG338" s="80" t="str">
        <x:v>No text cleanup required</x:v>
      </x:c>
      <x:c r="AH338" s="12" t="str">
        <x:f>IF(C338="","Missing date",IF(ISNUMBER(C338),"Valid","Unrecognized/invalid date"))</x:f>
        <x:v>Valid</x:v>
      </x:c>
      <x:c r="AI338" s="12" t="str">
        <x:f>IF(D338="","Missing date",IF(ISNUMBER(D338),"Valid","Unrecognized/invalid date"))</x:f>
        <x:v>Valid</x:v>
      </x:c>
      <x:c r="AJ338" s="12" t="str">
        <x:v>Valid</x:v>
      </x:c>
      <x:c r="AK338" s="12" t="str">
        <x:v>Pass</x:v>
      </x:c>
      <x:c r="AL338" s="12" t="str">
        <x:v>None</x:v>
      </x:c>
      <x:c r="AM338" s="12" t="str">
        <x:v>Valid</x:v>
      </x:c>
      <x:c r="AN338" s="12" t="str">
        <x:v>Include in completed sales</x:v>
      </x:c>
      <x:c r="AO338" s="12" t="str">
        <x:v>Not a refunded record</x:v>
      </x:c>
      <x:c r="AP338" s="37" t="n">
        <x:f>IF(LEFT($AM338,7)="Invalid","",IF($AM338="Missing discount imputed as 0",IF(AND(COUNT($O338,$P338,$R338,$S338)=4,$O338&gt;0,$P338&gt;=0,$R338&gt;=0,$S338&gt;=0),0,""),IF(AND(ISNUMBER($Q338),$Q338&gt;=0,$Q338&lt;=0.5),$Q338,"")))</x:f>
        <x:v>0</x:v>
      </x:c>
      <x:c r="AQ338" s="152" t="n">
        <x:f>IF(OR($W338="",NOT(ISNUMBER($R338))),"",ROUND($R338-$W338,2))</x:f>
        <x:v>0</x:v>
      </x:c>
      <x:c r="AR338" s="152" t="n">
        <x:f>IF(OR($X338="",NOT(ISNUMBER($T338))),"",ROUND($T338-$X338,2))</x:f>
        <x:v>0</x:v>
      </x:c>
      <x:c r="AS338" s="14" t="str">
        <x:v>OK</x:v>
      </x:c>
    </x:row>
    <x:row r="339">
      <x:c r="A339" s="80" t="n">
        <x:v>339</x:v>
      </x:c>
      <x:c r="B339" s="80" t="str">
        <x:v>ORD-2024-10338</x:v>
      </x:c>
      <x:c r="C339" s="81" t="n">
        <x:v>45516</x:v>
      </x:c>
      <x:c r="D339" s="81" t="n">
        <x:v>45522</x:v>
      </x:c>
      <x:c r="E339" s="80" t="str">
        <x:v>CUST-4599</x:v>
      </x:c>
      <x:c r="F339" s="80" t="str">
        <x:v>Ananya Rao</x:v>
      </x:c>
      <x:c r="G339" s="80" t="str">
        <x:v>Consumer</x:v>
      </x:c>
      <x:c r="H339" s="80" t="str">
        <x:v>East</x:v>
      </x:c>
      <x:c r="I339" s="80" t="str">
        <x:v>Assam</x:v>
      </x:c>
      <x:c r="J339" s="80" t="str">
        <x:v>Guwahati</x:v>
      </x:c>
      <x:c r="K339" s="80" t="str">
        <x:v>Office Supplies</x:v>
      </x:c>
      <x:c r="L339" s="80" t="str">
        <x:v>Labels</x:v>
      </x:c>
      <x:c r="M339" s="80" t="str">
        <x:v>Classic Labels 206</x:v>
      </x:c>
      <x:c r="N339" s="80" t="str">
        <x:v>Same Day</x:v>
      </x:c>
      <x:c r="O339" s="82" t="n">
        <x:v>6</x:v>
      </x:c>
      <x:c r="P339" s="83" t="n">
        <x:v>1181.74</x:v>
      </x:c>
      <x:c r="Q339" s="84" t="n">
        <x:v>0</x:v>
      </x:c>
      <x:c r="R339" s="83" t="n">
        <x:v>7090.44</x:v>
      </x:c>
      <x:c r="S339" s="83" t="n">
        <x:v>5672.27</x:v>
      </x:c>
      <x:c r="T339" s="83" t="n">
        <x:v>1262.87</x:v>
      </x:c>
      <x:c r="U339" s="83" t="str">
        <x:v>Paid</x:v>
      </x:c>
      <x:c r="V339" s="83" t="str">
        <x:v>Completed</x:v>
      </x:c>
      <x:c r="W339" s="151" t="n">
        <x:f>IF(OR(NOT(ISNUMBER($AP339)),COUNT($O339,$P339)&lt;2,$O339&lt;=0,$P339&lt;0),"",ROUND($O339*$P339*(1-$AP339),2))</x:f>
        <x:v>7090.44</x:v>
      </x:c>
      <x:c r="X339" s="151" t="n">
        <x:f>IF(OR(NOT(ISNUMBER($W339)),NOT(ISNUMBER($S339))),"",ROUND($W339-$S339,2))</x:f>
        <x:v>1418.17</x:v>
      </x:c>
      <x:c r="Y339" s="85" t="n">
        <x:f>IF(OR(NOT(ISNUMBER($W339)),NOT(ISNUMBER($X339)),$W339=0),"",ROUND($X339/$W339,4))</x:f>
        <x:v>0.2</x:v>
      </x:c>
      <x:c r="Z339" s="82" t="n">
        <x:f>IF(OR($AH339&lt;&gt;"Valid",$AI339&lt;&gt;"Valid"),"",INT($D339-$C339))</x:f>
        <x:v>6</x:v>
      </x:c>
      <x:c r="AA339" s="86" t="str">
        <x:f>IF($AH339&lt;&gt;"Valid","",TEXT($C339,"mmmm"))</x:f>
        <x:v>August</x:v>
      </x:c>
      <x:c r="AB339" s="82" t="n">
        <x:f>IF($AH339&lt;&gt;"Valid","",YEAR($C339))</x:f>
        <x:v>2024</x:v>
      </x:c>
      <x:c r="AC339" s="80" t="str">
        <x:v>Consistent</x:v>
      </x:c>
      <x:c r="AD339" s="80" t="str">
        <x:v>Excluded</x:v>
      </x:c>
      <x:c r="AE339" s="80" t="str">
        <x:f>IF(OR($AH339&lt;&gt;"Valid",$AI339&lt;&gt;"Valid",$AJ339&lt;&gt;"Valid",LEFT($AM339,7)="Invalid",IFERROR(ABS($AQ339)&gt;0.01,FALSE),IFERROR(ABS($AR339)&gt;0.01,FALSE),COUNTIF($AS339,"*Conflicting duplicate*")&gt;0,COUNTIF($AS339,"*Completed order not paid*")&gt;0),"Invalid",IF(OR($H339="Unknown",$N339="Unknown",$AM339="Missing discount imputed as 0"),"Warning","Clean"))</x:f>
        <x:v>Invalid</x:v>
      </x:c>
      <x:c r="AF339" s="80" t="str">
        <x:v>Review</x:v>
      </x:c>
      <x:c r="AG339" s="80" t="str">
        <x:v>No text cleanup required</x:v>
      </x:c>
      <x:c r="AH339" s="12" t="str">
        <x:f>IF(C339="","Missing date",IF(ISNUMBER(C339),"Valid","Unrecognized/invalid date"))</x:f>
        <x:v>Valid</x:v>
      </x:c>
      <x:c r="AI339" s="12" t="str">
        <x:f>IF(D339="","Missing date",IF(ISNUMBER(D339),"Valid","Unrecognized/invalid date"))</x:f>
        <x:v>Valid</x:v>
      </x:c>
      <x:c r="AJ339" s="12" t="str">
        <x:v>Valid</x:v>
      </x:c>
      <x:c r="AK339" s="12" t="str">
        <x:v>Pass</x:v>
      </x:c>
      <x:c r="AL339" s="12" t="str">
        <x:v>None</x:v>
      </x:c>
      <x:c r="AM339" s="12" t="str">
        <x:v>Valid</x:v>
      </x:c>
      <x:c r="AN339" s="12" t="str">
        <x:v>Exclude from completed sales</x:v>
      </x:c>
      <x:c r="AO339" s="12" t="str">
        <x:v>Not a refunded record</x:v>
      </x:c>
      <x:c r="AP339" s="37" t="n">
        <x:f>IF(LEFT($AM339,7)="Invalid","",IF($AM339="Missing discount imputed as 0",IF(AND(COUNT($O339,$P339,$R339,$S339)=4,$O339&gt;0,$P339&gt;=0,$R339&gt;=0,$S339&gt;=0),0,""),IF(AND(ISNUMBER($Q339),$Q339&gt;=0,$Q339&lt;=0.5),$Q339,"")))</x:f>
        <x:v>0</x:v>
      </x:c>
      <x:c r="AQ339" s="152" t="n">
        <x:f>IF(OR($W339="",NOT(ISNUMBER($R339))),"",ROUND($R339-$W339,2))</x:f>
        <x:v>0</x:v>
      </x:c>
      <x:c r="AR339" s="152" t="n">
        <x:f>IF(OR($X339="",NOT(ISNUMBER($T339))),"",ROUND($T339-$X339,2))</x:f>
        <x:v>-155.3</x:v>
      </x:c>
      <x:c r="AS339" s="14" t="str">
        <x:v>Profit calculation mismatch</x:v>
      </x:c>
    </x:row>
    <x:row r="340">
      <x:c r="A340" s="80" t="n">
        <x:v>340</x:v>
      </x:c>
      <x:c r="B340" s="80" t="str">
        <x:v>ORD-2024-10339</x:v>
      </x:c>
      <x:c r="C340" s="81" t="n">
        <x:v>45634</x:v>
      </x:c>
      <x:c r="D340" s="81" t="n">
        <x:v>45634</x:v>
      </x:c>
      <x:c r="E340" s="80" t="str">
        <x:v>CUST-3066</x:v>
      </x:c>
      <x:c r="F340" s="80" t="str">
        <x:v>Arjun Bose</x:v>
      </x:c>
      <x:c r="G340" s="80" t="str">
        <x:v>Small Business</x:v>
      </x:c>
      <x:c r="H340" s="80" t="str">
        <x:v>South</x:v>
      </x:c>
      <x:c r="I340" s="80" t="str">
        <x:v>Andhra Pradesh</x:v>
      </x:c>
      <x:c r="J340" s="80" t="str">
        <x:v>Vijayawada</x:v>
      </x:c>
      <x:c r="K340" s="80" t="str">
        <x:v>Technology</x:v>
      </x:c>
      <x:c r="L340" s="80" t="str">
        <x:v>Accessories</x:v>
      </x:c>
      <x:c r="M340" s="80" t="str">
        <x:v>Eco Accessories 315</x:v>
      </x:c>
      <x:c r="N340" s="80" t="str">
        <x:v>First Class</x:v>
      </x:c>
      <x:c r="O340" s="82" t="n">
        <x:v>8</x:v>
      </x:c>
      <x:c r="P340" s="83" t="n">
        <x:v>4402.36</x:v>
      </x:c>
      <x:c r="Q340" s="84" t="n">
        <x:v>0.25</x:v>
      </x:c>
      <x:c r="R340" s="83" t="n">
        <x:v>26414.16</x:v>
      </x:c>
      <x:c r="S340" s="83" t="n">
        <x:v>21822.53</x:v>
      </x:c>
      <x:c r="T340" s="83" t="n">
        <x:v>4591.63</x:v>
      </x:c>
      <x:c r="U340" s="83" t="str">
        <x:v>Paid</x:v>
      </x:c>
      <x:c r="V340" s="83" t="str">
        <x:v>Completed</x:v>
      </x:c>
      <x:c r="W340" s="151" t="n">
        <x:f>IF(OR(NOT(ISNUMBER($AP340)),COUNT($O340,$P340)&lt;2,$O340&lt;=0,$P340&lt;0),"",ROUND($O340*$P340*(1-$AP340),2))</x:f>
        <x:v>26414.16</x:v>
      </x:c>
      <x:c r="X340" s="151" t="n">
        <x:f>IF(OR(NOT(ISNUMBER($W340)),NOT(ISNUMBER($S340))),"",ROUND($W340-$S340,2))</x:f>
        <x:v>4591.63</x:v>
      </x:c>
      <x:c r="Y340" s="85" t="n">
        <x:f>IF(OR(NOT(ISNUMBER($W340)),NOT(ISNUMBER($X340)),$W340=0),"",ROUND($X340/$W340,4))</x:f>
        <x:v>0.1738</x:v>
      </x:c>
      <x:c r="Z340" s="82" t="n">
        <x:f>IF(OR($AH340&lt;&gt;"Valid",$AI340&lt;&gt;"Valid"),"",INT($D340-$C340))</x:f>
        <x:v>0</x:v>
      </x:c>
      <x:c r="AA340" s="86" t="str">
        <x:f>IF($AH340&lt;&gt;"Valid","",TEXT($C340,"mmmm"))</x:f>
        <x:v>December</x:v>
      </x:c>
      <x:c r="AB340" s="82" t="n">
        <x:f>IF($AH340&lt;&gt;"Valid","",YEAR($C340))</x:f>
        <x:v>2024</x:v>
      </x:c>
      <x:c r="AC340" s="80" t="str">
        <x:v>Consistent</x:v>
      </x:c>
      <x:c r="AD340" s="80" t="str">
        <x:v>Eligible</x:v>
      </x:c>
      <x:c r="AE340" s="80" t="str">
        <x:f>IF(OR($AH340&lt;&gt;"Valid",$AI340&lt;&gt;"Valid",$AJ340&lt;&gt;"Valid",LEFT($AM340,7)="Invalid",IFERROR(ABS($AQ340)&gt;0.01,FALSE),IFERROR(ABS($AR340)&gt;0.01,FALSE),COUNTIF($AS340,"*Conflicting duplicate*")&gt;0,COUNTIF($AS340,"*Completed order not paid*")&gt;0),"Invalid",IF(OR($H340="Unknown",$N340="Unknown",$AM340="Missing discount imputed as 0"),"Warning","Clean"))</x:f>
        <x:v>Clean</x:v>
      </x:c>
      <x:c r="AF340" s="80" t="str">
        <x:v>Pass</x:v>
      </x:c>
      <x:c r="AG340" s="80" t="str">
        <x:v>No text cleanup required</x:v>
      </x:c>
      <x:c r="AH340" s="12" t="str">
        <x:f>IF(C340="","Missing date",IF(ISNUMBER(C340),"Valid","Unrecognized/invalid date"))</x:f>
        <x:v>Valid</x:v>
      </x:c>
      <x:c r="AI340" s="12" t="str">
        <x:f>IF(D340="","Missing date",IF(ISNUMBER(D340),"Valid","Unrecognized/invalid date"))</x:f>
        <x:v>Valid</x:v>
      </x:c>
      <x:c r="AJ340" s="12" t="str">
        <x:v>Valid</x:v>
      </x:c>
      <x:c r="AK340" s="12" t="str">
        <x:v>Pass</x:v>
      </x:c>
      <x:c r="AL340" s="12" t="str">
        <x:v>None</x:v>
      </x:c>
      <x:c r="AM340" s="12" t="str">
        <x:v>Valid</x:v>
      </x:c>
      <x:c r="AN340" s="12" t="str">
        <x:v>Include in completed sales</x:v>
      </x:c>
      <x:c r="AO340" s="12" t="str">
        <x:v>Not a refunded record</x:v>
      </x:c>
      <x:c r="AP340" s="37" t="n">
        <x:f>IF(LEFT($AM340,7)="Invalid","",IF($AM340="Missing discount imputed as 0",IF(AND(COUNT($O340,$P340,$R340,$S340)=4,$O340&gt;0,$P340&gt;=0,$R340&gt;=0,$S340&gt;=0),0,""),IF(AND(ISNUMBER($Q340),$Q340&gt;=0,$Q340&lt;=0.5),$Q340,"")))</x:f>
        <x:v>0.25</x:v>
      </x:c>
      <x:c r="AQ340" s="152" t="n">
        <x:f>IF(OR($W340="",NOT(ISNUMBER($R340))),"",ROUND($R340-$W340,2))</x:f>
        <x:v>0</x:v>
      </x:c>
      <x:c r="AR340" s="152" t="n">
        <x:f>IF(OR($X340="",NOT(ISNUMBER($T340))),"",ROUND($T340-$X340,2))</x:f>
        <x:v>0</x:v>
      </x:c>
      <x:c r="AS340" s="14" t="str">
        <x:v>OK</x:v>
      </x:c>
    </x:row>
    <x:row r="341">
      <x:c r="A341" s="80" t="n">
        <x:v>341</x:v>
      </x:c>
      <x:c r="B341" s="80" t="str">
        <x:v>ORD-2025-10340</x:v>
      </x:c>
      <x:c r="C341" s="81" t="n">
        <x:v>45708</x:v>
      </x:c>
      <x:c r="D341" s="81" t="n">
        <x:v>45710</x:v>
      </x:c>
      <x:c r="E341" s="80" t="str">
        <x:v>CUST-2752</x:v>
      </x:c>
      <x:c r="F341" s="80" t="str">
        <x:v>Neha Gupta</x:v>
      </x:c>
      <x:c r="G341" s="80" t="str">
        <x:v>Corporate</x:v>
      </x:c>
      <x:c r="H341" s="80" t="str">
        <x:v>East</x:v>
      </x:c>
      <x:c r="I341" s="80" t="str">
        <x:v>Jharkhand</x:v>
      </x:c>
      <x:c r="J341" s="80" t="str">
        <x:v>Ranchi</x:v>
      </x:c>
      <x:c r="K341" s="80" t="str">
        <x:v>Furniture</x:v>
      </x:c>
      <x:c r="L341" s="80" t="str">
        <x:v>Bookcases</x:v>
      </x:c>
      <x:c r="M341" s="80" t="str">
        <x:v>Elite Bookcases 988</x:v>
      </x:c>
      <x:c r="N341" s="80" t="str">
        <x:v>Standard Class</x:v>
      </x:c>
      <x:c r="O341" s="82" t="n">
        <x:v>8</x:v>
      </x:c>
      <x:c r="P341" s="83" t="n">
        <x:v>3265.76</x:v>
      </x:c>
      <x:c r="Q341" s="84" t="n">
        <x:v>0.2</x:v>
      </x:c>
      <x:c r="R341" s="83" t="n">
        <x:v>20900.86</x:v>
      </x:c>
      <x:c r="S341" s="83" t="n">
        <x:v>12513.14</x:v>
      </x:c>
      <x:c r="T341" s="83" t="n">
        <x:v>8387.72</x:v>
      </x:c>
      <x:c r="U341" s="83" t="str">
        <x:v>Paid</x:v>
      </x:c>
      <x:c r="V341" s="83" t="str">
        <x:v>Completed</x:v>
      </x:c>
      <x:c r="W341" s="151" t="n">
        <x:f>IF(OR(NOT(ISNUMBER($AP341)),COUNT($O341,$P341)&lt;2,$O341&lt;=0,$P341&lt;0),"",ROUND($O341*$P341*(1-$AP341),2))</x:f>
        <x:v>20900.86</x:v>
      </x:c>
      <x:c r="X341" s="151" t="n">
        <x:f>IF(OR(NOT(ISNUMBER($W341)),NOT(ISNUMBER($S341))),"",ROUND($W341-$S341,2))</x:f>
        <x:v>8387.72</x:v>
      </x:c>
      <x:c r="Y341" s="85" t="n">
        <x:f>IF(OR(NOT(ISNUMBER($W341)),NOT(ISNUMBER($X341)),$W341=0),"",ROUND($X341/$W341,4))</x:f>
        <x:v>0.4013</x:v>
      </x:c>
      <x:c r="Z341" s="82" t="n">
        <x:f>IF(OR($AH341&lt;&gt;"Valid",$AI341&lt;&gt;"Valid"),"",INT($D341-$C341))</x:f>
        <x:v>2</x:v>
      </x:c>
      <x:c r="AA341" s="86" t="str">
        <x:f>IF($AH341&lt;&gt;"Valid","",TEXT($C341,"mmmm"))</x:f>
        <x:v>February</x:v>
      </x:c>
      <x:c r="AB341" s="82" t="n">
        <x:f>IF($AH341&lt;&gt;"Valid","",YEAR($C341))</x:f>
        <x:v>2025</x:v>
      </x:c>
      <x:c r="AC341" s="80" t="str">
        <x:v>Consistent</x:v>
      </x:c>
      <x:c r="AD341" s="80" t="str">
        <x:v>Eligible</x:v>
      </x:c>
      <x:c r="AE341" s="80" t="str">
        <x:f>IF(OR($AH341&lt;&gt;"Valid",$AI341&lt;&gt;"Valid",$AJ341&lt;&gt;"Valid",LEFT($AM341,7)="Invalid",IFERROR(ABS($AQ341)&gt;0.01,FALSE),IFERROR(ABS($AR341)&gt;0.01,FALSE),COUNTIF($AS341,"*Conflicting duplicate*")&gt;0,COUNTIF($AS341,"*Completed order not paid*")&gt;0),"Invalid",IF(OR($H341="Unknown",$N341="Unknown",$AM341="Missing discount imputed as 0"),"Warning","Clean"))</x:f>
        <x:v>Clean</x:v>
      </x:c>
      <x:c r="AF341" s="80" t="str">
        <x:v>Pass</x:v>
      </x:c>
      <x:c r="AG341" s="80" t="str">
        <x:v>No text cleanup required</x:v>
      </x:c>
      <x:c r="AH341" s="12" t="str">
        <x:f>IF(C341="","Missing date",IF(ISNUMBER(C341),"Valid","Unrecognized/invalid date"))</x:f>
        <x:v>Valid</x:v>
      </x:c>
      <x:c r="AI341" s="12" t="str">
        <x:f>IF(D341="","Missing date",IF(ISNUMBER(D341),"Valid","Unrecognized/invalid date"))</x:f>
        <x:v>Valid</x:v>
      </x:c>
      <x:c r="AJ341" s="12" t="str">
        <x:v>Valid</x:v>
      </x:c>
      <x:c r="AK341" s="12" t="str">
        <x:v>Pass</x:v>
      </x:c>
      <x:c r="AL341" s="12" t="str">
        <x:v>None</x:v>
      </x:c>
      <x:c r="AM341" s="12" t="str">
        <x:v>Valid</x:v>
      </x:c>
      <x:c r="AN341" s="12" t="str">
        <x:v>Include in completed sales</x:v>
      </x:c>
      <x:c r="AO341" s="12" t="str">
        <x:v>Not a refunded record</x:v>
      </x:c>
      <x:c r="AP341" s="37" t="n">
        <x:f>IF(LEFT($AM341,7)="Invalid","",IF($AM341="Missing discount imputed as 0",IF(AND(COUNT($O341,$P341,$R341,$S341)=4,$O341&gt;0,$P341&gt;=0,$R341&gt;=0,$S341&gt;=0),0,""),IF(AND(ISNUMBER($Q341),$Q341&gt;=0,$Q341&lt;=0.5),$Q341,"")))</x:f>
        <x:v>0.2</x:v>
      </x:c>
      <x:c r="AQ341" s="152" t="n">
        <x:f>IF(OR($W341="",NOT(ISNUMBER($R341))),"",ROUND($R341-$W341,2))</x:f>
        <x:v>0</x:v>
      </x:c>
      <x:c r="AR341" s="152" t="n">
        <x:f>IF(OR($X341="",NOT(ISNUMBER($T341))),"",ROUND($T341-$X341,2))</x:f>
        <x:v>0</x:v>
      </x:c>
      <x:c r="AS341" s="14" t="str">
        <x:v>OK</x:v>
      </x:c>
    </x:row>
    <x:row r="342">
      <x:c r="A342" s="80" t="n">
        <x:v>342</x:v>
      </x:c>
      <x:c r="B342" s="80" t="str">
        <x:v>ORD-2024-10341</x:v>
      </x:c>
      <x:c r="C342" s="81" t="n">
        <x:v>45312</x:v>
      </x:c>
      <x:c r="D342" s="81" t="n">
        <x:v>45320</x:v>
      </x:c>
      <x:c r="E342" s="80" t="str">
        <x:v>CUST-6291</x:v>
      </x:c>
      <x:c r="F342" s="80" t="str">
        <x:v>Neha Gupta</x:v>
      </x:c>
      <x:c r="G342" s="80" t="str">
        <x:v>Consumer</x:v>
      </x:c>
      <x:c r="H342" s="80" t="str">
        <x:v>South</x:v>
      </x:c>
      <x:c r="I342" s="80" t="str">
        <x:v>Karnataka</x:v>
      </x:c>
      <x:c r="J342" s="80" t="str">
        <x:v>Bengaluru</x:v>
      </x:c>
      <x:c r="K342" s="80" t="str">
        <x:v>Office Supplies</x:v>
      </x:c>
      <x:c r="L342" s="80" t="str">
        <x:v>Binders</x:v>
      </x:c>
      <x:c r="M342" s="80" t="str">
        <x:v>Smart Binders 414</x:v>
      </x:c>
      <x:c r="N342" s="80" t="str">
        <x:v>Standard Class</x:v>
      </x:c>
      <x:c r="O342" s="82" t="n">
        <x:v>5</x:v>
      </x:c>
      <x:c r="P342" s="83" t="n">
        <x:v>4058.08</x:v>
      </x:c>
      <x:c r="Q342" s="84" t="n">
        <x:v>0.1</x:v>
      </x:c>
      <x:c r="R342" s="83" t="n">
        <x:v>18261.36</x:v>
      </x:c>
      <x:c r="S342" s="83" t="n">
        <x:v>11399.94</x:v>
      </x:c>
      <x:c r="T342" s="83" t="n">
        <x:v>6861.42</x:v>
      </x:c>
      <x:c r="U342" s="83" t="str">
        <x:v>Paid</x:v>
      </x:c>
      <x:c r="V342" s="83" t="str">
        <x:v>Completed</x:v>
      </x:c>
      <x:c r="W342" s="151" t="n">
        <x:f>IF(OR(NOT(ISNUMBER($AP342)),COUNT($O342,$P342)&lt;2,$O342&lt;=0,$P342&lt;0),"",ROUND($O342*$P342*(1-$AP342),2))</x:f>
        <x:v>18261.36</x:v>
      </x:c>
      <x:c r="X342" s="151" t="n">
        <x:f>IF(OR(NOT(ISNUMBER($W342)),NOT(ISNUMBER($S342))),"",ROUND($W342-$S342,2))</x:f>
        <x:v>6861.42</x:v>
      </x:c>
      <x:c r="Y342" s="85" t="n">
        <x:f>IF(OR(NOT(ISNUMBER($W342)),NOT(ISNUMBER($X342)),$W342=0),"",ROUND($X342/$W342,4))</x:f>
        <x:v>0.3757</x:v>
      </x:c>
      <x:c r="Z342" s="82" t="n">
        <x:f>IF(OR($AH342&lt;&gt;"Valid",$AI342&lt;&gt;"Valid"),"",INT($D342-$C342))</x:f>
        <x:v>8</x:v>
      </x:c>
      <x:c r="AA342" s="86" t="str">
        <x:f>IF($AH342&lt;&gt;"Valid","",TEXT($C342,"mmmm"))</x:f>
        <x:v>January</x:v>
      </x:c>
      <x:c r="AB342" s="82" t="n">
        <x:f>IF($AH342&lt;&gt;"Valid","",YEAR($C342))</x:f>
        <x:v>2024</x:v>
      </x:c>
      <x:c r="AC342" s="80" t="str">
        <x:v>Consistent</x:v>
      </x:c>
      <x:c r="AD342" s="80" t="str">
        <x:v>Eligible</x:v>
      </x:c>
      <x:c r="AE342" s="80" t="str">
        <x:f>IF(OR($AH342&lt;&gt;"Valid",$AI342&lt;&gt;"Valid",$AJ342&lt;&gt;"Valid",LEFT($AM342,7)="Invalid",IFERROR(ABS($AQ342)&gt;0.01,FALSE),IFERROR(ABS($AR342)&gt;0.01,FALSE),COUNTIF($AS342,"*Conflicting duplicate*")&gt;0,COUNTIF($AS342,"*Completed order not paid*")&gt;0),"Invalid",IF(OR($H342="Unknown",$N342="Unknown",$AM342="Missing discount imputed as 0"),"Warning","Clean"))</x:f>
        <x:v>Clean</x:v>
      </x:c>
      <x:c r="AF342" s="80" t="str">
        <x:v>Pass</x:v>
      </x:c>
      <x:c r="AG342" s="80" t="str">
        <x:v>No text cleanup required</x:v>
      </x:c>
      <x:c r="AH342" s="12" t="str">
        <x:f>IF(C342="","Missing date",IF(ISNUMBER(C342),"Valid","Unrecognized/invalid date"))</x:f>
        <x:v>Valid</x:v>
      </x:c>
      <x:c r="AI342" s="12" t="str">
        <x:f>IF(D342="","Missing date",IF(ISNUMBER(D342),"Valid","Unrecognized/invalid date"))</x:f>
        <x:v>Valid</x:v>
      </x:c>
      <x:c r="AJ342" s="12" t="str">
        <x:v>Valid</x:v>
      </x:c>
      <x:c r="AK342" s="12" t="str">
        <x:v>Pass</x:v>
      </x:c>
      <x:c r="AL342" s="12" t="str">
        <x:v>None</x:v>
      </x:c>
      <x:c r="AM342" s="12" t="str">
        <x:v>Valid</x:v>
      </x:c>
      <x:c r="AN342" s="12" t="str">
        <x:v>Include in completed sales</x:v>
      </x:c>
      <x:c r="AO342" s="12" t="str">
        <x:v>Not a refunded record</x:v>
      </x:c>
      <x:c r="AP342" s="37" t="n">
        <x:f>IF(LEFT($AM342,7)="Invalid","",IF($AM342="Missing discount imputed as 0",IF(AND(COUNT($O342,$P342,$R342,$S342)=4,$O342&gt;0,$P342&gt;=0,$R342&gt;=0,$S342&gt;=0),0,""),IF(AND(ISNUMBER($Q342),$Q342&gt;=0,$Q342&lt;=0.5),$Q342,"")))</x:f>
        <x:v>0.1</x:v>
      </x:c>
      <x:c r="AQ342" s="152" t="n">
        <x:f>IF(OR($W342="",NOT(ISNUMBER($R342))),"",ROUND($R342-$W342,2))</x:f>
        <x:v>0</x:v>
      </x:c>
      <x:c r="AR342" s="152" t="n">
        <x:f>IF(OR($X342="",NOT(ISNUMBER($T342))),"",ROUND($T342-$X342,2))</x:f>
        <x:v>0</x:v>
      </x:c>
      <x:c r="AS342" s="14" t="str">
        <x:v>OK</x:v>
      </x:c>
    </x:row>
    <x:row r="343">
      <x:c r="A343" s="80" t="n">
        <x:v>343</x:v>
      </x:c>
      <x:c r="B343" s="80" t="str">
        <x:v>ORD-2025-10342</x:v>
      </x:c>
      <x:c r="C343" s="81" t="n">
        <x:v>45908</x:v>
      </x:c>
      <x:c r="D343" s="81" t="n">
        <x:v>45909</x:v>
      </x:c>
      <x:c r="E343" s="80" t="str">
        <x:v>CUST-9969</x:v>
      </x:c>
      <x:c r="F343" s="80" t="str">
        <x:v>Rohan Mehta</x:v>
      </x:c>
      <x:c r="G343" s="80" t="str">
        <x:v>Home Office</x:v>
      </x:c>
      <x:c r="H343" s="80" t="str">
        <x:v>West</x:v>
      </x:c>
      <x:c r="I343" s="80" t="str">
        <x:v>Gujarat</x:v>
      </x:c>
      <x:c r="J343" s="80" t="str">
        <x:v>Ahmedabad</x:v>
      </x:c>
      <x:c r="K343" s="80" t="str">
        <x:v>Furniture</x:v>
      </x:c>
      <x:c r="L343" s="80" t="str">
        <x:v>Chairs</x:v>
      </x:c>
      <x:c r="M343" s="80" t="str">
        <x:v>Eco Chairs 552</x:v>
      </x:c>
      <x:c r="N343" s="80" t="str">
        <x:v>Second Class</x:v>
      </x:c>
      <x:c r="O343" s="82" t="n">
        <x:v>2</x:v>
      </x:c>
      <x:c r="P343" s="83" t="n">
        <x:v>3960.33</x:v>
      </x:c>
      <x:c r="Q343" s="84" t="n">
        <x:v>0.05</x:v>
      </x:c>
      <x:c r="R343" s="83" t="n">
        <x:v>7524.63</x:v>
      </x:c>
      <x:c r="S343" s="83" t="n">
        <x:v>6229.6</x:v>
      </x:c>
      <x:c r="T343" s="83" t="n">
        <x:v>1295.03</x:v>
      </x:c>
      <x:c r="U343" s="83" t="str">
        <x:v>Paid</x:v>
      </x:c>
      <x:c r="V343" s="83" t="str">
        <x:v>Completed</x:v>
      </x:c>
      <x:c r="W343" s="151" t="n">
        <x:f>IF(OR(NOT(ISNUMBER($AP343)),COUNT($O343,$P343)&lt;2,$O343&lt;=0,$P343&lt;0),"",ROUND($O343*$P343*(1-$AP343),2))</x:f>
        <x:v>7524.63</x:v>
      </x:c>
      <x:c r="X343" s="151" t="n">
        <x:f>IF(OR(NOT(ISNUMBER($W343)),NOT(ISNUMBER($S343))),"",ROUND($W343-$S343,2))</x:f>
        <x:v>1295.03</x:v>
      </x:c>
      <x:c r="Y343" s="85" t="n">
        <x:f>IF(OR(NOT(ISNUMBER($W343)),NOT(ISNUMBER($X343)),$W343=0),"",ROUND($X343/$W343,4))</x:f>
        <x:v>0.1721</x:v>
      </x:c>
      <x:c r="Z343" s="82" t="n">
        <x:f>IF(OR($AH343&lt;&gt;"Valid",$AI343&lt;&gt;"Valid"),"",INT($D343-$C343))</x:f>
        <x:v>1</x:v>
      </x:c>
      <x:c r="AA343" s="86" t="str">
        <x:f>IF($AH343&lt;&gt;"Valid","",TEXT($C343,"mmmm"))</x:f>
        <x:v>September</x:v>
      </x:c>
      <x:c r="AB343" s="82" t="n">
        <x:f>IF($AH343&lt;&gt;"Valid","",YEAR($C343))</x:f>
        <x:v>2025</x:v>
      </x:c>
      <x:c r="AC343" s="80" t="str">
        <x:v>Consistent</x:v>
      </x:c>
      <x:c r="AD343" s="80" t="str">
        <x:v>Eligible</x:v>
      </x:c>
      <x:c r="AE343" s="80" t="str">
        <x:f>IF(OR($AH343&lt;&gt;"Valid",$AI343&lt;&gt;"Valid",$AJ343&lt;&gt;"Valid",LEFT($AM343,7)="Invalid",IFERROR(ABS($AQ343)&gt;0.01,FALSE),IFERROR(ABS($AR343)&gt;0.01,FALSE),COUNTIF($AS343,"*Conflicting duplicate*")&gt;0,COUNTIF($AS343,"*Completed order not paid*")&gt;0),"Invalid",IF(OR($H343="Unknown",$N343="Unknown",$AM343="Missing discount imputed as 0"),"Warning","Clean"))</x:f>
        <x:v>Clean</x:v>
      </x:c>
      <x:c r="AF343" s="80" t="str">
        <x:v>Pass</x:v>
      </x:c>
      <x:c r="AG343" s="80" t="str">
        <x:v>No text cleanup required</x:v>
      </x:c>
      <x:c r="AH343" s="12" t="str">
        <x:f>IF(C343="","Missing date",IF(ISNUMBER(C343),"Valid","Unrecognized/invalid date"))</x:f>
        <x:v>Valid</x:v>
      </x:c>
      <x:c r="AI343" s="12" t="str">
        <x:f>IF(D343="","Missing date",IF(ISNUMBER(D343),"Valid","Unrecognized/invalid date"))</x:f>
        <x:v>Valid</x:v>
      </x:c>
      <x:c r="AJ343" s="12" t="str">
        <x:v>Valid</x:v>
      </x:c>
      <x:c r="AK343" s="12" t="str">
        <x:v>Pass</x:v>
      </x:c>
      <x:c r="AL343" s="12" t="str">
        <x:v>None</x:v>
      </x:c>
      <x:c r="AM343" s="12" t="str">
        <x:v>Valid</x:v>
      </x:c>
      <x:c r="AN343" s="12" t="str">
        <x:v>Include in completed sales</x:v>
      </x:c>
      <x:c r="AO343" s="12" t="str">
        <x:v>Not a refunded record</x:v>
      </x:c>
      <x:c r="AP343" s="37" t="n">
        <x:f>IF(LEFT($AM343,7)="Invalid","",IF($AM343="Missing discount imputed as 0",IF(AND(COUNT($O343,$P343,$R343,$S343)=4,$O343&gt;0,$P343&gt;=0,$R343&gt;=0,$S343&gt;=0),0,""),IF(AND(ISNUMBER($Q343),$Q343&gt;=0,$Q343&lt;=0.5),$Q343,"")))</x:f>
        <x:v>0.05</x:v>
      </x:c>
      <x:c r="AQ343" s="152" t="n">
        <x:f>IF(OR($W343="",NOT(ISNUMBER($R343))),"",ROUND($R343-$W343,2))</x:f>
        <x:v>0</x:v>
      </x:c>
      <x:c r="AR343" s="152" t="n">
        <x:f>IF(OR($X343="",NOT(ISNUMBER($T343))),"",ROUND($T343-$X343,2))</x:f>
        <x:v>0</x:v>
      </x:c>
      <x:c r="AS343" s="14" t="str">
        <x:v>OK</x:v>
      </x:c>
    </x:row>
    <x:row r="344">
      <x:c r="A344" s="80" t="n">
        <x:v>344</x:v>
      </x:c>
      <x:c r="B344" s="80" t="str">
        <x:v>ORD-2025-10343</x:v>
      </x:c>
      <x:c r="C344" s="81" t="n">
        <x:v>45862</x:v>
      </x:c>
      <x:c r="D344" s="81" t="n">
        <x:v>45870</x:v>
      </x:c>
      <x:c r="E344" s="80" t="str">
        <x:v>CUST-3335</x:v>
      </x:c>
      <x:c r="F344" s="80" t="str">
        <x:v>Kabir Singh</x:v>
      </x:c>
      <x:c r="G344" s="80" t="str">
        <x:v>Small Business</x:v>
      </x:c>
      <x:c r="H344" s="80" t="str">
        <x:v>East</x:v>
      </x:c>
      <x:c r="I344" s="80" t="str">
        <x:v>Jharkhand</x:v>
      </x:c>
      <x:c r="J344" s="80" t="str">
        <x:v>Ranchi</x:v>
      </x:c>
      <x:c r="K344" s="80" t="str">
        <x:v>Office Supplies</x:v>
      </x:c>
      <x:c r="L344" s="80" t="str">
        <x:v>Binders</x:v>
      </x:c>
      <x:c r="M344" s="80" t="str">
        <x:v>Smart Binders 574</x:v>
      </x:c>
      <x:c r="N344" s="80" t="str">
        <x:v>First Class</x:v>
      </x:c>
      <x:c r="O344" s="82" t="n">
        <x:v>8</x:v>
      </x:c>
      <x:c r="P344" s="83" t="n">
        <x:v>1528.92</x:v>
      </x:c>
      <x:c r="Q344" s="84" t="n">
        <x:v>0</x:v>
      </x:c>
      <x:c r="R344" s="83" t="n">
        <x:v>12231.36</x:v>
      </x:c>
      <x:c r="S344" s="83" t="n">
        <x:v>8766.9</x:v>
      </x:c>
      <x:c r="T344" s="83" t="n">
        <x:v>3464.46</x:v>
      </x:c>
      <x:c r="U344" s="83" t="str">
        <x:v>Paid</x:v>
      </x:c>
      <x:c r="V344" s="83" t="str">
        <x:v>Completed</x:v>
      </x:c>
      <x:c r="W344" s="151" t="n">
        <x:f>IF(OR(NOT(ISNUMBER($AP344)),COUNT($O344,$P344)&lt;2,$O344&lt;=0,$P344&lt;0),"",ROUND($O344*$P344*(1-$AP344),2))</x:f>
        <x:v>12231.36</x:v>
      </x:c>
      <x:c r="X344" s="151" t="n">
        <x:f>IF(OR(NOT(ISNUMBER($W344)),NOT(ISNUMBER($S344))),"",ROUND($W344-$S344,2))</x:f>
        <x:v>3464.46</x:v>
      </x:c>
      <x:c r="Y344" s="85" t="n">
        <x:f>IF(OR(NOT(ISNUMBER($W344)),NOT(ISNUMBER($X344)),$W344=0),"",ROUND($X344/$W344,4))</x:f>
        <x:v>0.2832</x:v>
      </x:c>
      <x:c r="Z344" s="82" t="n">
        <x:f>IF(OR($AH344&lt;&gt;"Valid",$AI344&lt;&gt;"Valid"),"",INT($D344-$C344))</x:f>
        <x:v>8</x:v>
      </x:c>
      <x:c r="AA344" s="86" t="str">
        <x:f>IF($AH344&lt;&gt;"Valid","",TEXT($C344,"mmmm"))</x:f>
        <x:v>July</x:v>
      </x:c>
      <x:c r="AB344" s="82" t="n">
        <x:f>IF($AH344&lt;&gt;"Valid","",YEAR($C344))</x:f>
        <x:v>2025</x:v>
      </x:c>
      <x:c r="AC344" s="80" t="str">
        <x:v>Consistent</x:v>
      </x:c>
      <x:c r="AD344" s="80" t="str">
        <x:v>Eligible</x:v>
      </x:c>
      <x:c r="AE344" s="80" t="str">
        <x:f>IF(OR($AH344&lt;&gt;"Valid",$AI344&lt;&gt;"Valid",$AJ344&lt;&gt;"Valid",LEFT($AM344,7)="Invalid",IFERROR(ABS($AQ344)&gt;0.01,FALSE),IFERROR(ABS($AR344)&gt;0.01,FALSE),COUNTIF($AS344,"*Conflicting duplicate*")&gt;0,COUNTIF($AS344,"*Completed order not paid*")&gt;0),"Invalid",IF(OR($H344="Unknown",$N344="Unknown",$AM344="Missing discount imputed as 0"),"Warning","Clean"))</x:f>
        <x:v>Clean</x:v>
      </x:c>
      <x:c r="AF344" s="80" t="str">
        <x:v>Pass</x:v>
      </x:c>
      <x:c r="AG344" s="80" t="str">
        <x:v>No text cleanup required</x:v>
      </x:c>
      <x:c r="AH344" s="12" t="str">
        <x:f>IF(C344="","Missing date",IF(ISNUMBER(C344),"Valid","Unrecognized/invalid date"))</x:f>
        <x:v>Valid</x:v>
      </x:c>
      <x:c r="AI344" s="12" t="str">
        <x:f>IF(D344="","Missing date",IF(ISNUMBER(D344),"Valid","Unrecognized/invalid date"))</x:f>
        <x:v>Valid</x:v>
      </x:c>
      <x:c r="AJ344" s="12" t="str">
        <x:v>Valid</x:v>
      </x:c>
      <x:c r="AK344" s="12" t="str">
        <x:v>Pass</x:v>
      </x:c>
      <x:c r="AL344" s="12" t="str">
        <x:v>None</x:v>
      </x:c>
      <x:c r="AM344" s="12" t="str">
        <x:v>Valid</x:v>
      </x:c>
      <x:c r="AN344" s="12" t="str">
        <x:v>Include in completed sales</x:v>
      </x:c>
      <x:c r="AO344" s="12" t="str">
        <x:v>Not a refunded record</x:v>
      </x:c>
      <x:c r="AP344" s="37" t="n">
        <x:f>IF(LEFT($AM344,7)="Invalid","",IF($AM344="Missing discount imputed as 0",IF(AND(COUNT($O344,$P344,$R344,$S344)=4,$O344&gt;0,$P344&gt;=0,$R344&gt;=0,$S344&gt;=0),0,""),IF(AND(ISNUMBER($Q344),$Q344&gt;=0,$Q344&lt;=0.5),$Q344,"")))</x:f>
        <x:v>0</x:v>
      </x:c>
      <x:c r="AQ344" s="152" t="n">
        <x:f>IF(OR($W344="",NOT(ISNUMBER($R344))),"",ROUND($R344-$W344,2))</x:f>
        <x:v>0</x:v>
      </x:c>
      <x:c r="AR344" s="152" t="n">
        <x:f>IF(OR($X344="",NOT(ISNUMBER($T344))),"",ROUND($T344-$X344,2))</x:f>
        <x:v>0</x:v>
      </x:c>
      <x:c r="AS344" s="14" t="str">
        <x:v>OK</x:v>
      </x:c>
    </x:row>
    <x:row r="345">
      <x:c r="A345" s="80" t="n">
        <x:v>345</x:v>
      </x:c>
      <x:c r="B345" s="80" t="str">
        <x:v>ORD-2025-10344</x:v>
      </x:c>
      <x:c r="C345" s="81" t="n">
        <x:v>45933</x:v>
      </x:c>
      <x:c r="D345" s="81" t="n">
        <x:v>45938</x:v>
      </x:c>
      <x:c r="E345" s="80" t="str">
        <x:v>CUST-7358</x:v>
      </x:c>
      <x:c r="F345" s="80" t="str">
        <x:v>Aarav Sharma</x:v>
      </x:c>
      <x:c r="G345" s="80" t="str">
        <x:v>Corporate</x:v>
      </x:c>
      <x:c r="H345" s="80" t="str">
        <x:v>West</x:v>
      </x:c>
      <x:c r="I345" s="80" t="str">
        <x:v>Madhya Pradesh</x:v>
      </x:c>
      <x:c r="J345" s="80" t="str">
        <x:v>Indore</x:v>
      </x:c>
      <x:c r="K345" s="80" t="str">
        <x:v>Technology</x:v>
      </x:c>
      <x:c r="L345" s="80" t="str">
        <x:v>Machines</x:v>
      </x:c>
      <x:c r="M345" s="80" t="str">
        <x:v>Pro Machines 444</x:v>
      </x:c>
      <x:c r="N345" s="80" t="str">
        <x:v>Same Day</x:v>
      </x:c>
      <x:c r="O345" s="82" t="n">
        <x:v>9</x:v>
      </x:c>
      <x:c r="P345" s="83" t="n">
        <x:v>3837</x:v>
      </x:c>
      <x:c r="Q345" s="84" t="n">
        <x:v>0.1</x:v>
      </x:c>
      <x:c r="R345" s="83" t="n">
        <x:v>31079.7</x:v>
      </x:c>
      <x:c r="S345" s="83" t="n">
        <x:v>17758.25</x:v>
      </x:c>
      <x:c r="T345" s="83" t="n">
        <x:v>13321.45</x:v>
      </x:c>
      <x:c r="U345" s="83" t="str">
        <x:v>Paid</x:v>
      </x:c>
      <x:c r="V345" s="83" t="str">
        <x:v>Completed</x:v>
      </x:c>
      <x:c r="W345" s="151" t="n">
        <x:f>IF(OR(NOT(ISNUMBER($AP345)),COUNT($O345,$P345)&lt;2,$O345&lt;=0,$P345&lt;0),"",ROUND($O345*$P345*(1-$AP345),2))</x:f>
        <x:v>31079.7</x:v>
      </x:c>
      <x:c r="X345" s="151" t="n">
        <x:f>IF(OR(NOT(ISNUMBER($W345)),NOT(ISNUMBER($S345))),"",ROUND($W345-$S345,2))</x:f>
        <x:v>13321.45</x:v>
      </x:c>
      <x:c r="Y345" s="85" t="n">
        <x:f>IF(OR(NOT(ISNUMBER($W345)),NOT(ISNUMBER($X345)),$W345=0),"",ROUND($X345/$W345,4))</x:f>
        <x:v>0.4286</x:v>
      </x:c>
      <x:c r="Z345" s="82" t="n">
        <x:f>IF(OR($AH345&lt;&gt;"Valid",$AI345&lt;&gt;"Valid"),"",INT($D345-$C345))</x:f>
        <x:v>5</x:v>
      </x:c>
      <x:c r="AA345" s="86" t="str">
        <x:f>IF($AH345&lt;&gt;"Valid","",TEXT($C345,"mmmm"))</x:f>
        <x:v>October</x:v>
      </x:c>
      <x:c r="AB345" s="82" t="n">
        <x:f>IF($AH345&lt;&gt;"Valid","",YEAR($C345))</x:f>
        <x:v>2025</x:v>
      </x:c>
      <x:c r="AC345" s="80" t="str">
        <x:v>Consistent</x:v>
      </x:c>
      <x:c r="AD345" s="80" t="str">
        <x:v>Eligible</x:v>
      </x:c>
      <x:c r="AE345" s="80" t="str">
        <x:f>IF(OR($AH345&lt;&gt;"Valid",$AI345&lt;&gt;"Valid",$AJ345&lt;&gt;"Valid",LEFT($AM345,7)="Invalid",IFERROR(ABS($AQ345)&gt;0.01,FALSE),IFERROR(ABS($AR345)&gt;0.01,FALSE),COUNTIF($AS345,"*Conflicting duplicate*")&gt;0,COUNTIF($AS345,"*Completed order not paid*")&gt;0),"Invalid",IF(OR($H345="Unknown",$N345="Unknown",$AM345="Missing discount imputed as 0"),"Warning","Clean"))</x:f>
        <x:v>Clean</x:v>
      </x:c>
      <x:c r="AF345" s="80" t="str">
        <x:v>Pass</x:v>
      </x:c>
      <x:c r="AG345" s="80" t="str">
        <x:v>No text cleanup required</x:v>
      </x:c>
      <x:c r="AH345" s="12" t="str">
        <x:f>IF(C345="","Missing date",IF(ISNUMBER(C345),"Valid","Unrecognized/invalid date"))</x:f>
        <x:v>Valid</x:v>
      </x:c>
      <x:c r="AI345" s="12" t="str">
        <x:f>IF(D345="","Missing date",IF(ISNUMBER(D345),"Valid","Unrecognized/invalid date"))</x:f>
        <x:v>Valid</x:v>
      </x:c>
      <x:c r="AJ345" s="12" t="str">
        <x:v>Valid</x:v>
      </x:c>
      <x:c r="AK345" s="12" t="str">
        <x:v>Pass</x:v>
      </x:c>
      <x:c r="AL345" s="12" t="str">
        <x:v>None</x:v>
      </x:c>
      <x:c r="AM345" s="12" t="str">
        <x:v>Valid</x:v>
      </x:c>
      <x:c r="AN345" s="12" t="str">
        <x:v>Include in completed sales</x:v>
      </x:c>
      <x:c r="AO345" s="12" t="str">
        <x:v>Not a refunded record</x:v>
      </x:c>
      <x:c r="AP345" s="37" t="n">
        <x:f>IF(LEFT($AM345,7)="Invalid","",IF($AM345="Missing discount imputed as 0",IF(AND(COUNT($O345,$P345,$R345,$S345)=4,$O345&gt;0,$P345&gt;=0,$R345&gt;=0,$S345&gt;=0),0,""),IF(AND(ISNUMBER($Q345),$Q345&gt;=0,$Q345&lt;=0.5),$Q345,"")))</x:f>
        <x:v>0.1</x:v>
      </x:c>
      <x:c r="AQ345" s="152" t="n">
        <x:f>IF(OR($W345="",NOT(ISNUMBER($R345))),"",ROUND($R345-$W345,2))</x:f>
        <x:v>0</x:v>
      </x:c>
      <x:c r="AR345" s="152" t="n">
        <x:f>IF(OR($X345="",NOT(ISNUMBER($T345))),"",ROUND($T345-$X345,2))</x:f>
        <x:v>0</x:v>
      </x:c>
      <x:c r="AS345" s="14" t="str">
        <x:v>OK</x:v>
      </x:c>
    </x:row>
    <x:row r="346">
      <x:c r="A346" s="80" t="n">
        <x:v>346</x:v>
      </x:c>
      <x:c r="B346" s="80" t="str">
        <x:v>ORD-2024-10345</x:v>
      </x:c>
      <x:c r="C346" s="81" t="n">
        <x:v>45362</x:v>
      </x:c>
      <x:c r="D346" s="81" t="n">
        <x:v>45362</x:v>
      </x:c>
      <x:c r="E346" s="80" t="str">
        <x:v>CUST-8025</x:v>
      </x:c>
      <x:c r="F346" s="80" t="str">
        <x:v>Priya Menon</x:v>
      </x:c>
      <x:c r="G346" s="80" t="str">
        <x:v>Consumer</x:v>
      </x:c>
      <x:c r="H346" s="80" t="str">
        <x:v>North</x:v>
      </x:c>
      <x:c r="I346" s="80" t="str">
        <x:v>Punjab</x:v>
      </x:c>
      <x:c r="J346" s="80" t="str">
        <x:v>Ludhiana</x:v>
      </x:c>
      <x:c r="K346" s="80" t="str">
        <x:v>Furniture</x:v>
      </x:c>
      <x:c r="L346" s="80" t="str">
        <x:v>Bookcases</x:v>
      </x:c>
      <x:c r="M346" s="80" t="str">
        <x:v>Elite Bookcases 184</x:v>
      </x:c>
      <x:c r="N346" s="80" t="str">
        <x:v>Same Day</x:v>
      </x:c>
      <x:c r="O346" s="82" t="n">
        <x:v>9</x:v>
      </x:c>
      <x:c r="P346" s="83" t="n">
        <x:v>3456.38</x:v>
      </x:c>
      <x:c r="Q346" s="84" t="n">
        <x:v>0</x:v>
      </x:c>
      <x:c r="R346" s="83" t="n">
        <x:v>31107.42</x:v>
      </x:c>
      <x:c r="S346" s="83" t="n">
        <x:v>20146.66</x:v>
      </x:c>
      <x:c r="T346" s="83" t="n">
        <x:v>10960.76</x:v>
      </x:c>
      <x:c r="U346" s="83" t="str">
        <x:v>Pending</x:v>
      </x:c>
      <x:c r="V346" s="83" t="str">
        <x:v>Returned</x:v>
      </x:c>
      <x:c r="W346" s="151" t="n">
        <x:f>IF(OR(NOT(ISNUMBER($AP346)),COUNT($O346,$P346)&lt;2,$O346&lt;=0,$P346&lt;0),"",ROUND($O346*$P346*(1-$AP346),2))</x:f>
        <x:v>31107.42</x:v>
      </x:c>
      <x:c r="X346" s="151" t="n">
        <x:f>IF(OR(NOT(ISNUMBER($W346)),NOT(ISNUMBER($S346))),"",ROUND($W346-$S346,2))</x:f>
        <x:v>10960.76</x:v>
      </x:c>
      <x:c r="Y346" s="85" t="n">
        <x:f>IF(OR(NOT(ISNUMBER($W346)),NOT(ISNUMBER($X346)),$W346=0),"",ROUND($X346/$W346,4))</x:f>
        <x:v>0.3524</x:v>
      </x:c>
      <x:c r="Z346" s="82" t="n">
        <x:f>IF(OR($AH346&lt;&gt;"Valid",$AI346&lt;&gt;"Valid"),"",INT($D346-$C346))</x:f>
        <x:v>0</x:v>
      </x:c>
      <x:c r="AA346" s="86" t="str">
        <x:f>IF($AH346&lt;&gt;"Valid","",TEXT($C346,"mmmm"))</x:f>
        <x:v>March</x:v>
      </x:c>
      <x:c r="AB346" s="82" t="n">
        <x:f>IF($AH346&lt;&gt;"Valid","",YEAR($C346))</x:f>
        <x:v>2024</x:v>
      </x:c>
      <x:c r="AC346" s="80" t="str">
        <x:v>Consistent</x:v>
      </x:c>
      <x:c r="AD346" s="80" t="str">
        <x:v>Excluded</x:v>
      </x:c>
      <x:c r="AE346" s="80" t="str">
        <x:f>IF(OR($AH346&lt;&gt;"Valid",$AI346&lt;&gt;"Valid",$AJ346&lt;&gt;"Valid",LEFT($AM346,7)="Invalid",IFERROR(ABS($AQ346)&gt;0.01,FALSE),IFERROR(ABS($AR346)&gt;0.01,FALSE),COUNTIF($AS346,"*Conflicting duplicate*")&gt;0,COUNTIF($AS346,"*Completed order not paid*")&gt;0),"Invalid",IF(OR($H346="Unknown",$N346="Unknown",$AM346="Missing discount imputed as 0"),"Warning","Clean"))</x:f>
        <x:v>Clean</x:v>
      </x:c>
      <x:c r="AF346" s="80" t="str">
        <x:v>Pass</x:v>
      </x:c>
      <x:c r="AG346" s="80" t="str">
        <x:v>No text cleanup required</x:v>
      </x:c>
      <x:c r="AH346" s="12" t="str">
        <x:f>IF(C346="","Missing date",IF(ISNUMBER(C346),"Valid","Unrecognized/invalid date"))</x:f>
        <x:v>Valid</x:v>
      </x:c>
      <x:c r="AI346" s="12" t="str">
        <x:f>IF(D346="","Missing date",IF(ISNUMBER(D346),"Valid","Unrecognized/invalid date"))</x:f>
        <x:v>Valid</x:v>
      </x:c>
      <x:c r="AJ346" s="12" t="str">
        <x:v>Valid</x:v>
      </x:c>
      <x:c r="AK346" s="12" t="str">
        <x:v>Pass</x:v>
      </x:c>
      <x:c r="AL346" s="12" t="str">
        <x:v>None</x:v>
      </x:c>
      <x:c r="AM346" s="12" t="str">
        <x:v>Valid</x:v>
      </x:c>
      <x:c r="AN346" s="12" t="str">
        <x:v>Exclude from completed sales</x:v>
      </x:c>
      <x:c r="AO346" s="12" t="str">
        <x:v>Not a refunded record</x:v>
      </x:c>
      <x:c r="AP346" s="37" t="n">
        <x:f>IF(LEFT($AM346,7)="Invalid","",IF($AM346="Missing discount imputed as 0",IF(AND(COUNT($O346,$P346,$R346,$S346)=4,$O346&gt;0,$P346&gt;=0,$R346&gt;=0,$S346&gt;=0),0,""),IF(AND(ISNUMBER($Q346),$Q346&gt;=0,$Q346&lt;=0.5),$Q346,"")))</x:f>
        <x:v>0</x:v>
      </x:c>
      <x:c r="AQ346" s="152" t="n">
        <x:f>IF(OR($W346="",NOT(ISNUMBER($R346))),"",ROUND($R346-$W346,2))</x:f>
        <x:v>0</x:v>
      </x:c>
      <x:c r="AR346" s="152" t="n">
        <x:f>IF(OR($X346="",NOT(ISNUMBER($T346))),"",ROUND($T346-$X346,2))</x:f>
        <x:v>0</x:v>
      </x:c>
      <x:c r="AS346" s="14" t="str">
        <x:v>OK</x:v>
      </x:c>
    </x:row>
    <x:row r="347">
      <x:c r="A347" s="80" t="n">
        <x:v>347</x:v>
      </x:c>
      <x:c r="B347" s="80" t="str">
        <x:v>ORD-2024-10346</x:v>
      </x:c>
      <x:c r="C347" s="81" t="n">
        <x:v>45549</x:v>
      </x:c>
      <x:c r="D347" s="81" t="n">
        <x:v>45557</x:v>
      </x:c>
      <x:c r="E347" s="80" t="str">
        <x:v>CUST-4634</x:v>
      </x:c>
      <x:c r="F347" s="80" t="str">
        <x:v>Karan Malhotra</x:v>
      </x:c>
      <x:c r="G347" s="80" t="str">
        <x:v>Consumer</x:v>
      </x:c>
      <x:c r="H347" s="80" t="str">
        <x:v>West</x:v>
      </x:c>
      <x:c r="I347" s="80" t="str">
        <x:v>Madhya Pradesh</x:v>
      </x:c>
      <x:c r="J347" s="80" t="str">
        <x:v>Indore</x:v>
      </x:c>
      <x:c r="K347" s="80" t="str">
        <x:v>Furniture</x:v>
      </x:c>
      <x:c r="L347" s="80" t="str">
        <x:v>Furnishings</x:v>
      </x:c>
      <x:c r="M347" s="80" t="str">
        <x:v>Elite Furnishings 138</x:v>
      </x:c>
      <x:c r="N347" s="80" t="str">
        <x:v>Second Class</x:v>
      </x:c>
      <x:c r="O347" s="82" t="n">
        <x:v>2</x:v>
      </x:c>
      <x:c r="P347" s="83" t="n">
        <x:v>2765.3</x:v>
      </x:c>
      <x:c r="Q347" s="84" t="n">
        <x:v>0</x:v>
      </x:c>
      <x:c r="R347" s="83" t="n">
        <x:v>5530.6</x:v>
      </x:c>
      <x:c r="S347" s="83" t="n">
        <x:v>4453.11</x:v>
      </x:c>
      <x:c r="T347" s="83" t="n">
        <x:v>1077.49</x:v>
      </x:c>
      <x:c r="U347" s="83" t="str">
        <x:v>Paid</x:v>
      </x:c>
      <x:c r="V347" s="83" t="str">
        <x:v>Completed</x:v>
      </x:c>
      <x:c r="W347" s="151" t="n">
        <x:f>IF(OR(NOT(ISNUMBER($AP347)),COUNT($O347,$P347)&lt;2,$O347&lt;=0,$P347&lt;0),"",ROUND($O347*$P347*(1-$AP347),2))</x:f>
        <x:v>5530.6</x:v>
      </x:c>
      <x:c r="X347" s="151" t="n">
        <x:f>IF(OR(NOT(ISNUMBER($W347)),NOT(ISNUMBER($S347))),"",ROUND($W347-$S347,2))</x:f>
        <x:v>1077.49</x:v>
      </x:c>
      <x:c r="Y347" s="85" t="n">
        <x:f>IF(OR(NOT(ISNUMBER($W347)),NOT(ISNUMBER($X347)),$W347=0),"",ROUND($X347/$W347,4))</x:f>
        <x:v>0.1948</x:v>
      </x:c>
      <x:c r="Z347" s="82" t="n">
        <x:f>IF(OR($AH347&lt;&gt;"Valid",$AI347&lt;&gt;"Valid"),"",INT($D347-$C347))</x:f>
        <x:v>8</x:v>
      </x:c>
      <x:c r="AA347" s="86" t="str">
        <x:f>IF($AH347&lt;&gt;"Valid","",TEXT($C347,"mmmm"))</x:f>
        <x:v>September</x:v>
      </x:c>
      <x:c r="AB347" s="82" t="n">
        <x:f>IF($AH347&lt;&gt;"Valid","",YEAR($C347))</x:f>
        <x:v>2024</x:v>
      </x:c>
      <x:c r="AC347" s="80" t="str">
        <x:v>Consistent</x:v>
      </x:c>
      <x:c r="AD347" s="80" t="str">
        <x:v>Eligible</x:v>
      </x:c>
      <x:c r="AE347" s="80" t="str">
        <x:f>IF(OR($AH347&lt;&gt;"Valid",$AI347&lt;&gt;"Valid",$AJ347&lt;&gt;"Valid",LEFT($AM347,7)="Invalid",IFERROR(ABS($AQ347)&gt;0.01,FALSE),IFERROR(ABS($AR347)&gt;0.01,FALSE),COUNTIF($AS347,"*Conflicting duplicate*")&gt;0,COUNTIF($AS347,"*Completed order not paid*")&gt;0),"Invalid",IF(OR($H347="Unknown",$N347="Unknown",$AM347="Missing discount imputed as 0"),"Warning","Clean"))</x:f>
        <x:v>Clean</x:v>
      </x:c>
      <x:c r="AF347" s="80" t="str">
        <x:v>Pass</x:v>
      </x:c>
      <x:c r="AG347" s="80" t="str">
        <x:v>No text cleanup required</x:v>
      </x:c>
      <x:c r="AH347" s="12" t="str">
        <x:f>IF(C347="","Missing date",IF(ISNUMBER(C347),"Valid","Unrecognized/invalid date"))</x:f>
        <x:v>Valid</x:v>
      </x:c>
      <x:c r="AI347" s="12" t="str">
        <x:f>IF(D347="","Missing date",IF(ISNUMBER(D347),"Valid","Unrecognized/invalid date"))</x:f>
        <x:v>Valid</x:v>
      </x:c>
      <x:c r="AJ347" s="12" t="str">
        <x:v>Valid</x:v>
      </x:c>
      <x:c r="AK347" s="12" t="str">
        <x:v>Pass</x:v>
      </x:c>
      <x:c r="AL347" s="12" t="str">
        <x:v>None</x:v>
      </x:c>
      <x:c r="AM347" s="12" t="str">
        <x:v>Valid</x:v>
      </x:c>
      <x:c r="AN347" s="12" t="str">
        <x:v>Include in completed sales</x:v>
      </x:c>
      <x:c r="AO347" s="12" t="str">
        <x:v>Not a refunded record</x:v>
      </x:c>
      <x:c r="AP347" s="37" t="n">
        <x:f>IF(LEFT($AM347,7)="Invalid","",IF($AM347="Missing discount imputed as 0",IF(AND(COUNT($O347,$P347,$R347,$S347)=4,$O347&gt;0,$P347&gt;=0,$R347&gt;=0,$S347&gt;=0),0,""),IF(AND(ISNUMBER($Q347),$Q347&gt;=0,$Q347&lt;=0.5),$Q347,"")))</x:f>
        <x:v>0</x:v>
      </x:c>
      <x:c r="AQ347" s="152" t="n">
        <x:f>IF(OR($W347="",NOT(ISNUMBER($R347))),"",ROUND($R347-$W347,2))</x:f>
        <x:v>0</x:v>
      </x:c>
      <x:c r="AR347" s="152" t="n">
        <x:f>IF(OR($X347="",NOT(ISNUMBER($T347))),"",ROUND($T347-$X347,2))</x:f>
        <x:v>0</x:v>
      </x:c>
      <x:c r="AS347" s="14" t="str">
        <x:v>OK</x:v>
      </x:c>
    </x:row>
    <x:row r="348">
      <x:c r="A348" s="80" t="n">
        <x:v>348</x:v>
      </x:c>
      <x:c r="B348" s="80" t="str">
        <x:v>ORD-2025-10347</x:v>
      </x:c>
      <x:c r="C348" s="81" t="n">
        <x:v>45860</x:v>
      </x:c>
      <x:c r="D348" s="81" t="n">
        <x:v>45866</x:v>
      </x:c>
      <x:c r="E348" s="80" t="str">
        <x:v>CUST-3400</x:v>
      </x:c>
      <x:c r="F348" s="80" t="str">
        <x:v>Rahul Verma</x:v>
      </x:c>
      <x:c r="G348" s="80" t="str">
        <x:v>Corporate</x:v>
      </x:c>
      <x:c r="H348" s="80" t="str">
        <x:v>South</x:v>
      </x:c>
      <x:c r="I348" s="80" t="str">
        <x:v>Kerala</x:v>
      </x:c>
      <x:c r="J348" s="80" t="str">
        <x:v>Kochi</x:v>
      </x:c>
      <x:c r="K348" s="80" t="str">
        <x:v>Furniture</x:v>
      </x:c>
      <x:c r="L348" s="80" t="str">
        <x:v>Chairs</x:v>
      </x:c>
      <x:c r="M348" s="80" t="str">
        <x:v>Eco Chairs 369</x:v>
      </x:c>
      <x:c r="N348" s="80" t="str">
        <x:v>Second Class</x:v>
      </x:c>
      <x:c r="O348" s="82" t="n">
        <x:v>6</x:v>
      </x:c>
      <x:c r="P348" s="83" t="n">
        <x:v>1607.46</x:v>
      </x:c>
      <x:c r="Q348" s="84" t="n">
        <x:v>0.2</x:v>
      </x:c>
      <x:c r="R348" s="83" t="n">
        <x:v>7715.81</x:v>
      </x:c>
      <x:c r="S348" s="83" t="n">
        <x:v>4258.42</x:v>
      </x:c>
      <x:c r="T348" s="83" t="n">
        <x:v>3457.39</x:v>
      </x:c>
      <x:c r="U348" s="83" t="str">
        <x:v>Paid</x:v>
      </x:c>
      <x:c r="V348" s="83" t="str">
        <x:v>Completed</x:v>
      </x:c>
      <x:c r="W348" s="151" t="n">
        <x:f>IF(OR(NOT(ISNUMBER($AP348)),COUNT($O348,$P348)&lt;2,$O348&lt;=0,$P348&lt;0),"",ROUND($O348*$P348*(1-$AP348),2))</x:f>
        <x:v>7715.81</x:v>
      </x:c>
      <x:c r="X348" s="151" t="n">
        <x:f>IF(OR(NOT(ISNUMBER($W348)),NOT(ISNUMBER($S348))),"",ROUND($W348-$S348,2))</x:f>
        <x:v>3457.39</x:v>
      </x:c>
      <x:c r="Y348" s="85" t="n">
        <x:f>IF(OR(NOT(ISNUMBER($W348)),NOT(ISNUMBER($X348)),$W348=0),"",ROUND($X348/$W348,4))</x:f>
        <x:v>0.4481</x:v>
      </x:c>
      <x:c r="Z348" s="82" t="n">
        <x:f>IF(OR($AH348&lt;&gt;"Valid",$AI348&lt;&gt;"Valid"),"",INT($D348-$C348))</x:f>
        <x:v>6</x:v>
      </x:c>
      <x:c r="AA348" s="86" t="str">
        <x:f>IF($AH348&lt;&gt;"Valid","",TEXT($C348,"mmmm"))</x:f>
        <x:v>July</x:v>
      </x:c>
      <x:c r="AB348" s="82" t="n">
        <x:f>IF($AH348&lt;&gt;"Valid","",YEAR($C348))</x:f>
        <x:v>2025</x:v>
      </x:c>
      <x:c r="AC348" s="80" t="str">
        <x:v>Consistent</x:v>
      </x:c>
      <x:c r="AD348" s="80" t="str">
        <x:v>Eligible</x:v>
      </x:c>
      <x:c r="AE348" s="80" t="str">
        <x:f>IF(OR($AH348&lt;&gt;"Valid",$AI348&lt;&gt;"Valid",$AJ348&lt;&gt;"Valid",LEFT($AM348,7)="Invalid",IFERROR(ABS($AQ348)&gt;0.01,FALSE),IFERROR(ABS($AR348)&gt;0.01,FALSE),COUNTIF($AS348,"*Conflicting duplicate*")&gt;0,COUNTIF($AS348,"*Completed order not paid*")&gt;0),"Invalid",IF(OR($H348="Unknown",$N348="Unknown",$AM348="Missing discount imputed as 0"),"Warning","Clean"))</x:f>
        <x:v>Clean</x:v>
      </x:c>
      <x:c r="AF348" s="80" t="str">
        <x:v>Pass</x:v>
      </x:c>
      <x:c r="AG348" s="80" t="str">
        <x:v>No text cleanup required</x:v>
      </x:c>
      <x:c r="AH348" s="12" t="str">
        <x:f>IF(C348="","Missing date",IF(ISNUMBER(C348),"Valid","Unrecognized/invalid date"))</x:f>
        <x:v>Valid</x:v>
      </x:c>
      <x:c r="AI348" s="12" t="str">
        <x:f>IF(D348="","Missing date",IF(ISNUMBER(D348),"Valid","Unrecognized/invalid date"))</x:f>
        <x:v>Valid</x:v>
      </x:c>
      <x:c r="AJ348" s="12" t="str">
        <x:v>Valid</x:v>
      </x:c>
      <x:c r="AK348" s="12" t="str">
        <x:v>Pass</x:v>
      </x:c>
      <x:c r="AL348" s="12" t="str">
        <x:v>None</x:v>
      </x:c>
      <x:c r="AM348" s="12" t="str">
        <x:v>Valid</x:v>
      </x:c>
      <x:c r="AN348" s="12" t="str">
        <x:v>Include in completed sales</x:v>
      </x:c>
      <x:c r="AO348" s="12" t="str">
        <x:v>Not a refunded record</x:v>
      </x:c>
      <x:c r="AP348" s="37" t="n">
        <x:f>IF(LEFT($AM348,7)="Invalid","",IF($AM348="Missing discount imputed as 0",IF(AND(COUNT($O348,$P348,$R348,$S348)=4,$O348&gt;0,$P348&gt;=0,$R348&gt;=0,$S348&gt;=0),0,""),IF(AND(ISNUMBER($Q348),$Q348&gt;=0,$Q348&lt;=0.5),$Q348,"")))</x:f>
        <x:v>0.2</x:v>
      </x:c>
      <x:c r="AQ348" s="152" t="n">
        <x:f>IF(OR($W348="",NOT(ISNUMBER($R348))),"",ROUND($R348-$W348,2))</x:f>
        <x:v>0</x:v>
      </x:c>
      <x:c r="AR348" s="152" t="n">
        <x:f>IF(OR($X348="",NOT(ISNUMBER($T348))),"",ROUND($T348-$X348,2))</x:f>
        <x:v>0</x:v>
      </x:c>
      <x:c r="AS348" s="14" t="str">
        <x:v>OK</x:v>
      </x:c>
    </x:row>
    <x:row r="349">
      <x:c r="A349" s="80" t="n">
        <x:v>349</x:v>
      </x:c>
      <x:c r="B349" s="80" t="str">
        <x:v>ORD-2024-10348</x:v>
      </x:c>
      <x:c r="C349" s="81" t="n">
        <x:v>45627</x:v>
      </x:c>
      <x:c r="D349" s="81" t="n">
        <x:v>45634</x:v>
      </x:c>
      <x:c r="E349" s="80" t="str">
        <x:v>CUST-1172</x:v>
      </x:c>
      <x:c r="F349" s="80" t="str">
        <x:v>Aarav Sharma</x:v>
      </x:c>
      <x:c r="G349" s="80" t="str">
        <x:v>Small Business</x:v>
      </x:c>
      <x:c r="H349" s="80" t="str">
        <x:v>West</x:v>
      </x:c>
      <x:c r="I349" s="80" t="str">
        <x:v>Goa</x:v>
      </x:c>
      <x:c r="J349" s="80" t="str">
        <x:v>Panaji</x:v>
      </x:c>
      <x:c r="K349" s="80" t="str">
        <x:v>Furniture</x:v>
      </x:c>
      <x:c r="L349" s="80" t="str">
        <x:v>Chairs</x:v>
      </x:c>
      <x:c r="M349" s="80" t="str">
        <x:v>Max Chairs 487</x:v>
      </x:c>
      <x:c r="N349" s="80" t="str">
        <x:v>Second Class</x:v>
      </x:c>
      <x:c r="O349" s="82" t="n">
        <x:v>5</x:v>
      </x:c>
      <x:c r="P349" s="83" t="n">
        <x:v>2981.49</x:v>
      </x:c>
      <x:c r="Q349" s="84" t="n">
        <x:v>0.2</x:v>
      </x:c>
      <x:c r="R349" s="83" t="n">
        <x:v>11925.96</x:v>
      </x:c>
      <x:c r="S349" s="83" t="n">
        <x:v>10103.51</x:v>
      </x:c>
      <x:c r="T349" s="83" t="n">
        <x:v>1822.45</x:v>
      </x:c>
      <x:c r="U349" s="83" t="str">
        <x:v>Refunded</x:v>
      </x:c>
      <x:c r="V349" s="83" t="str">
        <x:v>Returned</x:v>
      </x:c>
      <x:c r="W349" s="151" t="n">
        <x:f>IF(OR(NOT(ISNUMBER($AP349)),COUNT($O349,$P349)&lt;2,$O349&lt;=0,$P349&lt;0),"",ROUND($O349*$P349*(1-$AP349),2))</x:f>
        <x:v>11925.96</x:v>
      </x:c>
      <x:c r="X349" s="151" t="n">
        <x:f>IF(OR(NOT(ISNUMBER($W349)),NOT(ISNUMBER($S349))),"",ROUND($W349-$S349,2))</x:f>
        <x:v>1822.45</x:v>
      </x:c>
      <x:c r="Y349" s="85" t="n">
        <x:f>IF(OR(NOT(ISNUMBER($W349)),NOT(ISNUMBER($X349)),$W349=0),"",ROUND($X349/$W349,4))</x:f>
        <x:v>0.1528</x:v>
      </x:c>
      <x:c r="Z349" s="82" t="n">
        <x:f>IF(OR($AH349&lt;&gt;"Valid",$AI349&lt;&gt;"Valid"),"",INT($D349-$C349))</x:f>
        <x:v>7</x:v>
      </x:c>
      <x:c r="AA349" s="86" t="str">
        <x:f>IF($AH349&lt;&gt;"Valid","",TEXT($C349,"mmmm"))</x:f>
        <x:v>December</x:v>
      </x:c>
      <x:c r="AB349" s="82" t="n">
        <x:f>IF($AH349&lt;&gt;"Valid","",YEAR($C349))</x:f>
        <x:v>2024</x:v>
      </x:c>
      <x:c r="AC349" s="80" t="str">
        <x:v>Refunded (separately summarized)</x:v>
      </x:c>
      <x:c r="AD349" s="80" t="str">
        <x:v>Excluded</x:v>
      </x:c>
      <x:c r="AE349" s="80" t="str">
        <x:f>IF(OR($AH349&lt;&gt;"Valid",$AI349&lt;&gt;"Valid",$AJ349&lt;&gt;"Valid",LEFT($AM349,7)="Invalid",IFERROR(ABS($AQ349)&gt;0.01,FALSE),IFERROR(ABS($AR349)&gt;0.01,FALSE),COUNTIF($AS349,"*Conflicting duplicate*")&gt;0,COUNTIF($AS349,"*Completed order not paid*")&gt;0),"Invalid",IF(OR($H349="Unknown",$N349="Unknown",$AM349="Missing discount imputed as 0"),"Warning","Clean"))</x:f>
        <x:v>Clean</x:v>
      </x:c>
      <x:c r="AF349" s="80" t="str">
        <x:v>Pass</x:v>
      </x:c>
      <x:c r="AG349" s="80" t="str">
        <x:v>No text cleanup required</x:v>
      </x:c>
      <x:c r="AH349" s="12" t="str">
        <x:f>IF(C349="","Missing date",IF(ISNUMBER(C349),"Valid","Unrecognized/invalid date"))</x:f>
        <x:v>Valid</x:v>
      </x:c>
      <x:c r="AI349" s="12" t="str">
        <x:f>IF(D349="","Missing date",IF(ISNUMBER(D349),"Valid","Unrecognized/invalid date"))</x:f>
        <x:v>Valid</x:v>
      </x:c>
      <x:c r="AJ349" s="12" t="str">
        <x:v>Valid</x:v>
      </x:c>
      <x:c r="AK349" s="12" t="str">
        <x:v>Pass</x:v>
      </x:c>
      <x:c r="AL349" s="12" t="str">
        <x:v>Refunded payment – separately summarized</x:v>
      </x:c>
      <x:c r="AM349" s="12" t="str">
        <x:v>Valid</x:v>
      </x:c>
      <x:c r="AN349" s="12" t="str">
        <x:v>Exclude from completed sales</x:v>
      </x:c>
      <x:c r="AO349" s="12" t="str">
        <x:v>Include in refunded summary</x:v>
      </x:c>
      <x:c r="AP349" s="37" t="n">
        <x:f>IF(LEFT($AM349,7)="Invalid","",IF($AM349="Missing discount imputed as 0",IF(AND(COUNT($O349,$P349,$R349,$S349)=4,$O349&gt;0,$P349&gt;=0,$R349&gt;=0,$S349&gt;=0),0,""),IF(AND(ISNUMBER($Q349),$Q349&gt;=0,$Q349&lt;=0.5),$Q349,"")))</x:f>
        <x:v>0.2</x:v>
      </x:c>
      <x:c r="AQ349" s="152" t="n">
        <x:f>IF(OR($W349="",NOT(ISNUMBER($R349))),"",ROUND($R349-$W349,2))</x:f>
        <x:v>0</x:v>
      </x:c>
      <x:c r="AR349" s="152" t="n">
        <x:f>IF(OR($X349="",NOT(ISNUMBER($T349))),"",ROUND($T349-$X349,2))</x:f>
        <x:v>0</x:v>
      </x:c>
      <x:c r="AS349" s="14" t="str">
        <x:v>OK</x:v>
      </x:c>
    </x:row>
    <x:row r="350">
      <x:c r="A350" s="80" t="n">
        <x:v>350</x:v>
      </x:c>
      <x:c r="B350" s="80" t="str">
        <x:v>ORD-2024-10349</x:v>
      </x:c>
      <x:c r="C350" s="81" t="n">
        <x:v>45445</x:v>
      </x:c>
      <x:c r="D350" s="81" t="n">
        <x:v>45450</x:v>
      </x:c>
      <x:c r="E350" s="80" t="str">
        <x:v>CUST-9517</x:v>
      </x:c>
      <x:c r="F350" s="80" t="str">
        <x:v>Aarav Sharma</x:v>
      </x:c>
      <x:c r="G350" s="80" t="str">
        <x:v>Corporate</x:v>
      </x:c>
      <x:c r="H350" s="80" t="str">
        <x:v>South</x:v>
      </x:c>
      <x:c r="I350" s="80" t="str">
        <x:v>Karnataka</x:v>
      </x:c>
      <x:c r="J350" s="80" t="str">
        <x:v>Bengaluru</x:v>
      </x:c>
      <x:c r="K350" s="80" t="str">
        <x:v>Technology</x:v>
      </x:c>
      <x:c r="L350" s="80" t="str">
        <x:v>Phones</x:v>
      </x:c>
      <x:c r="M350" s="80" t="str">
        <x:v>Classic Phones 989</x:v>
      </x:c>
      <x:c r="N350" s="80" t="str">
        <x:v>Same Day</x:v>
      </x:c>
      <x:c r="O350" s="82" t="n">
        <x:v>9</x:v>
      </x:c>
      <x:c r="P350" s="83" t="n">
        <x:v>2860.26</x:v>
      </x:c>
      <x:c r="Q350" s="84" t="n">
        <x:v>0.25</x:v>
      </x:c>
      <x:c r="R350" s="83" t="n">
        <x:v>19306.76</x:v>
      </x:c>
      <x:c r="S350" s="83" t="n">
        <x:v>14442.38</x:v>
      </x:c>
      <x:c r="T350" s="83" t="n">
        <x:v>4864.38</x:v>
      </x:c>
      <x:c r="U350" s="83" t="str">
        <x:v>Paid</x:v>
      </x:c>
      <x:c r="V350" s="83" t="str">
        <x:v>Completed</x:v>
      </x:c>
      <x:c r="W350" s="151" t="n">
        <x:f>IF(OR(NOT(ISNUMBER($AP350)),COUNT($O350,$P350)&lt;2,$O350&lt;=0,$P350&lt;0),"",ROUND($O350*$P350*(1-$AP350),2))</x:f>
        <x:v>19306.76</x:v>
      </x:c>
      <x:c r="X350" s="151" t="n">
        <x:f>IF(OR(NOT(ISNUMBER($W350)),NOT(ISNUMBER($S350))),"",ROUND($W350-$S350,2))</x:f>
        <x:v>4864.38</x:v>
      </x:c>
      <x:c r="Y350" s="85" t="n">
        <x:f>IF(OR(NOT(ISNUMBER($W350)),NOT(ISNUMBER($X350)),$W350=0),"",ROUND($X350/$W350,4))</x:f>
        <x:v>0.252</x:v>
      </x:c>
      <x:c r="Z350" s="82" t="n">
        <x:f>IF(OR($AH350&lt;&gt;"Valid",$AI350&lt;&gt;"Valid"),"",INT($D350-$C350))</x:f>
        <x:v>5</x:v>
      </x:c>
      <x:c r="AA350" s="86" t="str">
        <x:f>IF($AH350&lt;&gt;"Valid","",TEXT($C350,"mmmm"))</x:f>
        <x:v>June</x:v>
      </x:c>
      <x:c r="AB350" s="82" t="n">
        <x:f>IF($AH350&lt;&gt;"Valid","",YEAR($C350))</x:f>
        <x:v>2024</x:v>
      </x:c>
      <x:c r="AC350" s="80" t="str">
        <x:v>Consistent</x:v>
      </x:c>
      <x:c r="AD350" s="80" t="str">
        <x:v>Eligible</x:v>
      </x:c>
      <x:c r="AE350" s="80" t="str">
        <x:f>IF(OR($AH350&lt;&gt;"Valid",$AI350&lt;&gt;"Valid",$AJ350&lt;&gt;"Valid",LEFT($AM350,7)="Invalid",IFERROR(ABS($AQ350)&gt;0.01,FALSE),IFERROR(ABS($AR350)&gt;0.01,FALSE),COUNTIF($AS350,"*Conflicting duplicate*")&gt;0,COUNTIF($AS350,"*Completed order not paid*")&gt;0),"Invalid",IF(OR($H350="Unknown",$N350="Unknown",$AM350="Missing discount imputed as 0"),"Warning","Clean"))</x:f>
        <x:v>Clean</x:v>
      </x:c>
      <x:c r="AF350" s="80" t="str">
        <x:v>Pass</x:v>
      </x:c>
      <x:c r="AG350" s="80" t="str">
        <x:v>No text cleanup required</x:v>
      </x:c>
      <x:c r="AH350" s="12" t="str">
        <x:f>IF(C350="","Missing date",IF(ISNUMBER(C350),"Valid","Unrecognized/invalid date"))</x:f>
        <x:v>Valid</x:v>
      </x:c>
      <x:c r="AI350" s="12" t="str">
        <x:f>IF(D350="","Missing date",IF(ISNUMBER(D350),"Valid","Unrecognized/invalid date"))</x:f>
        <x:v>Valid</x:v>
      </x:c>
      <x:c r="AJ350" s="12" t="str">
        <x:v>Valid</x:v>
      </x:c>
      <x:c r="AK350" s="12" t="str">
        <x:v>Pass</x:v>
      </x:c>
      <x:c r="AL350" s="12" t="str">
        <x:v>None</x:v>
      </x:c>
      <x:c r="AM350" s="12" t="str">
        <x:v>Valid</x:v>
      </x:c>
      <x:c r="AN350" s="12" t="str">
        <x:v>Include in completed sales</x:v>
      </x:c>
      <x:c r="AO350" s="12" t="str">
        <x:v>Not a refunded record</x:v>
      </x:c>
      <x:c r="AP350" s="37" t="n">
        <x:f>IF(LEFT($AM350,7)="Invalid","",IF($AM350="Missing discount imputed as 0",IF(AND(COUNT($O350,$P350,$R350,$S350)=4,$O350&gt;0,$P350&gt;=0,$R350&gt;=0,$S350&gt;=0),0,""),IF(AND(ISNUMBER($Q350),$Q350&gt;=0,$Q350&lt;=0.5),$Q350,"")))</x:f>
        <x:v>0.25</x:v>
      </x:c>
      <x:c r="AQ350" s="152" t="n">
        <x:f>IF(OR($W350="",NOT(ISNUMBER($R350))),"",ROUND($R350-$W350,2))</x:f>
        <x:v>0</x:v>
      </x:c>
      <x:c r="AR350" s="152" t="n">
        <x:f>IF(OR($X350="",NOT(ISNUMBER($T350))),"",ROUND($T350-$X350,2))</x:f>
        <x:v>0</x:v>
      </x:c>
      <x:c r="AS350" s="14" t="str">
        <x:v>OK</x:v>
      </x:c>
    </x:row>
    <x:row r="351">
      <x:c r="A351" s="80" t="n">
        <x:v>351</x:v>
      </x:c>
      <x:c r="B351" s="80" t="str">
        <x:v>ORD-2025-10350</x:v>
      </x:c>
      <x:c r="C351" s="81" t="n">
        <x:v>45927</x:v>
      </x:c>
      <x:c r="D351" s="81" t="n">
        <x:v>45929</x:v>
      </x:c>
      <x:c r="E351" s="80" t="str">
        <x:v>CUST-6697</x:v>
      </x:c>
      <x:c r="F351" s="80" t="str">
        <x:v>Kabir Singh</x:v>
      </x:c>
      <x:c r="G351" s="80" t="str">
        <x:v>Home Office</x:v>
      </x:c>
      <x:c r="H351" s="80" t="str">
        <x:v>East</x:v>
      </x:c>
      <x:c r="I351" s="80" t="str">
        <x:v>Jharkhand</x:v>
      </x:c>
      <x:c r="J351" s="80" t="str">
        <x:v>Ranchi</x:v>
      </x:c>
      <x:c r="K351" s="80" t="str">
        <x:v>Furniture</x:v>
      </x:c>
      <x:c r="L351" s="80" t="str">
        <x:v>Furnishings</x:v>
      </x:c>
      <x:c r="M351" s="80" t="str">
        <x:v>Max Furnishings 628</x:v>
      </x:c>
      <x:c r="N351" s="80" t="str">
        <x:v>Second Class</x:v>
      </x:c>
      <x:c r="O351" s="82" t="n">
        <x:v>9</x:v>
      </x:c>
      <x:c r="P351" s="83" t="n">
        <x:v>2867.55</x:v>
      </x:c>
      <x:c r="Q351" s="84" t="n">
        <x:v>0.25</x:v>
      </x:c>
      <x:c r="R351" s="83" t="n">
        <x:v>19355.96</x:v>
      </x:c>
      <x:c r="S351" s="83" t="n">
        <x:v>15012.45</x:v>
      </x:c>
      <x:c r="T351" s="83" t="n">
        <x:v>4017.4</x:v>
      </x:c>
      <x:c r="U351" s="83" t="str">
        <x:v>Paid</x:v>
      </x:c>
      <x:c r="V351" s="83" t="str">
        <x:v>Completed</x:v>
      </x:c>
      <x:c r="W351" s="151" t="n">
        <x:f>IF(OR(NOT(ISNUMBER($AP351)),COUNT($O351,$P351)&lt;2,$O351&lt;=0,$P351&lt;0),"",ROUND($O351*$P351*(1-$AP351),2))</x:f>
        <x:v>19355.96</x:v>
      </x:c>
      <x:c r="X351" s="151" t="n">
        <x:f>IF(OR(NOT(ISNUMBER($W351)),NOT(ISNUMBER($S351))),"",ROUND($W351-$S351,2))</x:f>
        <x:v>4343.51</x:v>
      </x:c>
      <x:c r="Y351" s="85" t="n">
        <x:f>IF(OR(NOT(ISNUMBER($W351)),NOT(ISNUMBER($X351)),$W351=0),"",ROUND($X351/$W351,4))</x:f>
        <x:v>0.2244</x:v>
      </x:c>
      <x:c r="Z351" s="82" t="n">
        <x:f>IF(OR($AH351&lt;&gt;"Valid",$AI351&lt;&gt;"Valid"),"",INT($D351-$C351))</x:f>
        <x:v>2</x:v>
      </x:c>
      <x:c r="AA351" s="86" t="str">
        <x:f>IF($AH351&lt;&gt;"Valid","",TEXT($C351,"mmmm"))</x:f>
        <x:v>September</x:v>
      </x:c>
      <x:c r="AB351" s="82" t="n">
        <x:f>IF($AH351&lt;&gt;"Valid","",YEAR($C351))</x:f>
        <x:v>2025</x:v>
      </x:c>
      <x:c r="AC351" s="80" t="str">
        <x:v>Consistent</x:v>
      </x:c>
      <x:c r="AD351" s="80" t="str">
        <x:v>Excluded</x:v>
      </x:c>
      <x:c r="AE351" s="80" t="str">
        <x:f>IF(OR($AH351&lt;&gt;"Valid",$AI351&lt;&gt;"Valid",$AJ351&lt;&gt;"Valid",LEFT($AM351,7)="Invalid",IFERROR(ABS($AQ351)&gt;0.01,FALSE),IFERROR(ABS($AR351)&gt;0.01,FALSE),COUNTIF($AS351,"*Conflicting duplicate*")&gt;0,COUNTIF($AS351,"*Completed order not paid*")&gt;0),"Invalid",IF(OR($H351="Unknown",$N351="Unknown",$AM351="Missing discount imputed as 0"),"Warning","Clean"))</x:f>
        <x:v>Invalid</x:v>
      </x:c>
      <x:c r="AF351" s="80" t="str">
        <x:v>Review</x:v>
      </x:c>
      <x:c r="AG351" s="80" t="str">
        <x:v>No text cleanup required</x:v>
      </x:c>
      <x:c r="AH351" s="12" t="str">
        <x:f>IF(C351="","Missing date",IF(ISNUMBER(C351),"Valid","Unrecognized/invalid date"))</x:f>
        <x:v>Valid</x:v>
      </x:c>
      <x:c r="AI351" s="12" t="str">
        <x:f>IF(D351="","Missing date",IF(ISNUMBER(D351),"Valid","Unrecognized/invalid date"))</x:f>
        <x:v>Valid</x:v>
      </x:c>
      <x:c r="AJ351" s="12" t="str">
        <x:v>Valid</x:v>
      </x:c>
      <x:c r="AK351" s="12" t="str">
        <x:v>Pass</x:v>
      </x:c>
      <x:c r="AL351" s="12" t="str">
        <x:v>None</x:v>
      </x:c>
      <x:c r="AM351" s="12" t="str">
        <x:v>Valid</x:v>
      </x:c>
      <x:c r="AN351" s="12" t="str">
        <x:v>Exclude from completed sales</x:v>
      </x:c>
      <x:c r="AO351" s="12" t="str">
        <x:v>Not a refunded record</x:v>
      </x:c>
      <x:c r="AP351" s="37" t="n">
        <x:f>IF(LEFT($AM351,7)="Invalid","",IF($AM351="Missing discount imputed as 0",IF(AND(COUNT($O351,$P351,$R351,$S351)=4,$O351&gt;0,$P351&gt;=0,$R351&gt;=0,$S351&gt;=0),0,""),IF(AND(ISNUMBER($Q351),$Q351&gt;=0,$Q351&lt;=0.5),$Q351,"")))</x:f>
        <x:v>0.25</x:v>
      </x:c>
      <x:c r="AQ351" s="152" t="n">
        <x:f>IF(OR($W351="",NOT(ISNUMBER($R351))),"",ROUND($R351-$W351,2))</x:f>
        <x:v>0</x:v>
      </x:c>
      <x:c r="AR351" s="152" t="n">
        <x:f>IF(OR($X351="",NOT(ISNUMBER($T351))),"",ROUND($T351-$X351,2))</x:f>
        <x:v>-326.11</x:v>
      </x:c>
      <x:c r="AS351" s="14" t="str">
        <x:v>Profit calculation mismatch</x:v>
      </x:c>
    </x:row>
    <x:row r="352">
      <x:c r="A352" s="80" t="n">
        <x:v>352</x:v>
      </x:c>
      <x:c r="B352" s="80" t="str">
        <x:v>ORD-2024-10351</x:v>
      </x:c>
      <x:c r="C352" s="81" t="n">
        <x:v>45298</x:v>
      </x:c>
      <x:c r="D352" s="81" t="n">
        <x:v>45305</x:v>
      </x:c>
      <x:c r="E352" s="80" t="str">
        <x:v>CUST-7644</x:v>
      </x:c>
      <x:c r="F352" s="80" t="str">
        <x:v>Sneha Kapoor</x:v>
      </x:c>
      <x:c r="G352" s="80" t="str">
        <x:v>Small Business</x:v>
      </x:c>
      <x:c r="H352" s="80" t="str">
        <x:v>East</x:v>
      </x:c>
      <x:c r="I352" s="80" t="str">
        <x:v>Jharkhand</x:v>
      </x:c>
      <x:c r="J352" s="80" t="str">
        <x:v>Ranchi</x:v>
      </x:c>
      <x:c r="K352" s="80" t="str">
        <x:v>Furniture</x:v>
      </x:c>
      <x:c r="L352" s="80" t="str">
        <x:v>Furnishings</x:v>
      </x:c>
      <x:c r="M352" s="80" t="str">
        <x:v>Elite Furnishings 279</x:v>
      </x:c>
      <x:c r="N352" s="80" t="str">
        <x:v>Second Class</x:v>
      </x:c>
      <x:c r="O352" s="82" t="n">
        <x:v>4</x:v>
      </x:c>
      <x:c r="P352" s="83" t="n">
        <x:v>3309.54</x:v>
      </x:c>
      <x:c r="Q352" s="84" t="n">
        <x:v>0.1</x:v>
      </x:c>
      <x:c r="R352" s="83" t="n">
        <x:v>11914.34</x:v>
      </x:c>
      <x:c r="S352" s="83" t="n">
        <x:v>9771.24</x:v>
      </x:c>
      <x:c r="T352" s="83" t="n">
        <x:v>2143.1</x:v>
      </x:c>
      <x:c r="U352" s="83" t="str">
        <x:v>Refunded</x:v>
      </x:c>
      <x:c r="V352" s="83" t="str">
        <x:v>Returned</x:v>
      </x:c>
      <x:c r="W352" s="151" t="n">
        <x:f>IF(OR(NOT(ISNUMBER($AP352)),COUNT($O352,$P352)&lt;2,$O352&lt;=0,$P352&lt;0),"",ROUND($O352*$P352*(1-$AP352),2))</x:f>
        <x:v>11914.34</x:v>
      </x:c>
      <x:c r="X352" s="151" t="n">
        <x:f>IF(OR(NOT(ISNUMBER($W352)),NOT(ISNUMBER($S352))),"",ROUND($W352-$S352,2))</x:f>
        <x:v>2143.1</x:v>
      </x:c>
      <x:c r="Y352" s="85" t="n">
        <x:f>IF(OR(NOT(ISNUMBER($W352)),NOT(ISNUMBER($X352)),$W352=0),"",ROUND($X352/$W352,4))</x:f>
        <x:v>0.1799</x:v>
      </x:c>
      <x:c r="Z352" s="82" t="n">
        <x:f>IF(OR($AH352&lt;&gt;"Valid",$AI352&lt;&gt;"Valid"),"",INT($D352-$C352))</x:f>
        <x:v>7</x:v>
      </x:c>
      <x:c r="AA352" s="86" t="str">
        <x:f>IF($AH352&lt;&gt;"Valid","",TEXT($C352,"mmmm"))</x:f>
        <x:v>January</x:v>
      </x:c>
      <x:c r="AB352" s="82" t="n">
        <x:f>IF($AH352&lt;&gt;"Valid","",YEAR($C352))</x:f>
        <x:v>2024</x:v>
      </x:c>
      <x:c r="AC352" s="80" t="str">
        <x:v>Refunded (separately summarized)</x:v>
      </x:c>
      <x:c r="AD352" s="80" t="str">
        <x:v>Excluded</x:v>
      </x:c>
      <x:c r="AE352" s="80" t="str">
        <x:f>IF(OR($AH352&lt;&gt;"Valid",$AI352&lt;&gt;"Valid",$AJ352&lt;&gt;"Valid",LEFT($AM352,7)="Invalid",IFERROR(ABS($AQ352)&gt;0.01,FALSE),IFERROR(ABS($AR352)&gt;0.01,FALSE),COUNTIF($AS352,"*Conflicting duplicate*")&gt;0,COUNTIF($AS352,"*Completed order not paid*")&gt;0),"Invalid",IF(OR($H352="Unknown",$N352="Unknown",$AM352="Missing discount imputed as 0"),"Warning","Clean"))</x:f>
        <x:v>Clean</x:v>
      </x:c>
      <x:c r="AF352" s="80" t="str">
        <x:v>Pass</x:v>
      </x:c>
      <x:c r="AG352" s="80" t="str">
        <x:v>No text cleanup required</x:v>
      </x:c>
      <x:c r="AH352" s="12" t="str">
        <x:f>IF(C352="","Missing date",IF(ISNUMBER(C352),"Valid","Unrecognized/invalid date"))</x:f>
        <x:v>Valid</x:v>
      </x:c>
      <x:c r="AI352" s="12" t="str">
        <x:f>IF(D352="","Missing date",IF(ISNUMBER(D352),"Valid","Unrecognized/invalid date"))</x:f>
        <x:v>Valid</x:v>
      </x:c>
      <x:c r="AJ352" s="12" t="str">
        <x:v>Valid</x:v>
      </x:c>
      <x:c r="AK352" s="12" t="str">
        <x:v>Pass</x:v>
      </x:c>
      <x:c r="AL352" s="12" t="str">
        <x:v>Refunded payment – separately summarized</x:v>
      </x:c>
      <x:c r="AM352" s="12" t="str">
        <x:v>Valid</x:v>
      </x:c>
      <x:c r="AN352" s="12" t="str">
        <x:v>Exclude from completed sales</x:v>
      </x:c>
      <x:c r="AO352" s="12" t="str">
        <x:v>Include in refunded summary</x:v>
      </x:c>
      <x:c r="AP352" s="37" t="n">
        <x:f>IF(LEFT($AM352,7)="Invalid","",IF($AM352="Missing discount imputed as 0",IF(AND(COUNT($O352,$P352,$R352,$S352)=4,$O352&gt;0,$P352&gt;=0,$R352&gt;=0,$S352&gt;=0),0,""),IF(AND(ISNUMBER($Q352),$Q352&gt;=0,$Q352&lt;=0.5),$Q352,"")))</x:f>
        <x:v>0.1</x:v>
      </x:c>
      <x:c r="AQ352" s="152" t="n">
        <x:f>IF(OR($W352="",NOT(ISNUMBER($R352))),"",ROUND($R352-$W352,2))</x:f>
        <x:v>0</x:v>
      </x:c>
      <x:c r="AR352" s="152" t="n">
        <x:f>IF(OR($X352="",NOT(ISNUMBER($T352))),"",ROUND($T352-$X352,2))</x:f>
        <x:v>0</x:v>
      </x:c>
      <x:c r="AS352" s="14" t="str">
        <x:v>OK</x:v>
      </x:c>
    </x:row>
    <x:row r="353">
      <x:c r="A353" s="80" t="n">
        <x:v>353</x:v>
      </x:c>
      <x:c r="B353" s="80" t="str">
        <x:v>ORD-2025-10352</x:v>
      </x:c>
      <x:c r="C353" s="81" t="n">
        <x:v>45800</x:v>
      </x:c>
      <x:c r="D353" s="81" t="n">
        <x:v>45804</x:v>
      </x:c>
      <x:c r="E353" s="80" t="str">
        <x:v>CUST-9963</x:v>
      </x:c>
      <x:c r="F353" s="80" t="str">
        <x:v>Vikram Iyer</x:v>
      </x:c>
      <x:c r="G353" s="80" t="str">
        <x:v>Small Business</x:v>
      </x:c>
      <x:c r="H353" s="80" t="str">
        <x:v>South</x:v>
      </x:c>
      <x:c r="I353" s="80" t="str">
        <x:v>Telangana</x:v>
      </x:c>
      <x:c r="J353" s="80" t="str">
        <x:v>Hyderabad</x:v>
      </x:c>
      <x:c r="K353" s="80" t="str">
        <x:v>Office Supplies</x:v>
      </x:c>
      <x:c r="L353" s="80" t="str">
        <x:v>Storage</x:v>
      </x:c>
      <x:c r="M353" s="80" t="str">
        <x:v>Pro Storage 847</x:v>
      </x:c>
      <x:c r="N353" s="80" t="str">
        <x:v>First Class</x:v>
      </x:c>
      <x:c r="O353" s="82" t="n">
        <x:v>6</x:v>
      </x:c>
      <x:c r="P353" s="83" t="n">
        <x:v>719.44</x:v>
      </x:c>
      <x:c r="Q353" s="84" t="n">
        <x:v>0.25</x:v>
      </x:c>
      <x:c r="R353" s="83" t="n">
        <x:v>3237.48</x:v>
      </x:c>
      <x:c r="S353" s="83" t="n">
        <x:v>2118.34</x:v>
      </x:c>
      <x:c r="T353" s="83" t="n">
        <x:v>1119.14</x:v>
      </x:c>
      <x:c r="U353" s="83" t="str">
        <x:v>Pending</x:v>
      </x:c>
      <x:c r="V353" s="83" t="str">
        <x:v>Cancelled</x:v>
      </x:c>
      <x:c r="W353" s="151" t="n">
        <x:f>IF(OR(NOT(ISNUMBER($AP353)),COUNT($O353,$P353)&lt;2,$O353&lt;=0,$P353&lt;0),"",ROUND($O353*$P353*(1-$AP353),2))</x:f>
        <x:v>3237.48</x:v>
      </x:c>
      <x:c r="X353" s="151" t="n">
        <x:f>IF(OR(NOT(ISNUMBER($W353)),NOT(ISNUMBER($S353))),"",ROUND($W353-$S353,2))</x:f>
        <x:v>1119.14</x:v>
      </x:c>
      <x:c r="Y353" s="85" t="n">
        <x:f>IF(OR(NOT(ISNUMBER($W353)),NOT(ISNUMBER($X353)),$W353=0),"",ROUND($X353/$W353,4))</x:f>
        <x:v>0.3457</x:v>
      </x:c>
      <x:c r="Z353" s="82" t="n">
        <x:f>IF(OR($AH353&lt;&gt;"Valid",$AI353&lt;&gt;"Valid"),"",INT($D353-$C353))</x:f>
        <x:v>4</x:v>
      </x:c>
      <x:c r="AA353" s="86" t="str">
        <x:f>IF($AH353&lt;&gt;"Valid","",TEXT($C353,"mmmm"))</x:f>
        <x:v>May</x:v>
      </x:c>
      <x:c r="AB353" s="82" t="n">
        <x:f>IF($AH353&lt;&gt;"Valid","",YEAR($C353))</x:f>
        <x:v>2025</x:v>
      </x:c>
      <x:c r="AC353" s="80" t="str">
        <x:v>Cancelled (excluded from completed-sales summary)</x:v>
      </x:c>
      <x:c r="AD353" s="80" t="str">
        <x:v>Excluded</x:v>
      </x:c>
      <x:c r="AE353" s="80" t="str">
        <x:f>IF(OR($AH353&lt;&gt;"Valid",$AI353&lt;&gt;"Valid",$AJ353&lt;&gt;"Valid",LEFT($AM353,7)="Invalid",IFERROR(ABS($AQ353)&gt;0.01,FALSE),IFERROR(ABS($AR353)&gt;0.01,FALSE),COUNTIF($AS353,"*Conflicting duplicate*")&gt;0,COUNTIF($AS353,"*Completed order not paid*")&gt;0),"Invalid",IF(OR($H353="Unknown",$N353="Unknown",$AM353="Missing discount imputed as 0"),"Warning","Clean"))</x:f>
        <x:v>Clean</x:v>
      </x:c>
      <x:c r="AF353" s="80" t="str">
        <x:v>Pass</x:v>
      </x:c>
      <x:c r="AG353" s="80" t="str">
        <x:v>No text cleanup required</x:v>
      </x:c>
      <x:c r="AH353" s="12" t="str">
        <x:f>IF(C353="","Missing date",IF(ISNUMBER(C353),"Valid","Unrecognized/invalid date"))</x:f>
        <x:v>Valid</x:v>
      </x:c>
      <x:c r="AI353" s="12" t="str">
        <x:f>IF(D353="","Missing date",IF(ISNUMBER(D353),"Valid","Unrecognized/invalid date"))</x:f>
        <x:v>Valid</x:v>
      </x:c>
      <x:c r="AJ353" s="12" t="str">
        <x:v>Valid</x:v>
      </x:c>
      <x:c r="AK353" s="12" t="str">
        <x:v>Pass</x:v>
      </x:c>
      <x:c r="AL353" s="12" t="str">
        <x:v>Cancelled order – excluded from completed sales</x:v>
      </x:c>
      <x:c r="AM353" s="12" t="str">
        <x:v>Valid</x:v>
      </x:c>
      <x:c r="AN353" s="12" t="str">
        <x:v>Exclude from completed sales</x:v>
      </x:c>
      <x:c r="AO353" s="12" t="str">
        <x:v>Not a refunded record</x:v>
      </x:c>
      <x:c r="AP353" s="37" t="n">
        <x:f>IF(LEFT($AM353,7)="Invalid","",IF($AM353="Missing discount imputed as 0",IF(AND(COUNT($O353,$P353,$R353,$S353)=4,$O353&gt;0,$P353&gt;=0,$R353&gt;=0,$S353&gt;=0),0,""),IF(AND(ISNUMBER($Q353),$Q353&gt;=0,$Q353&lt;=0.5),$Q353,"")))</x:f>
        <x:v>0.25</x:v>
      </x:c>
      <x:c r="AQ353" s="152" t="n">
        <x:f>IF(OR($W353="",NOT(ISNUMBER($R353))),"",ROUND($R353-$W353,2))</x:f>
        <x:v>0</x:v>
      </x:c>
      <x:c r="AR353" s="152" t="n">
        <x:f>IF(OR($X353="",NOT(ISNUMBER($T353))),"",ROUND($T353-$X353,2))</x:f>
        <x:v>0</x:v>
      </x:c>
      <x:c r="AS353" s="14" t="str">
        <x:v>OK</x:v>
      </x:c>
    </x:row>
    <x:row r="354">
      <x:c r="A354" s="80" t="n">
        <x:v>354</x:v>
      </x:c>
      <x:c r="B354" s="80" t="str">
        <x:v>ORD-2025-10353</x:v>
      </x:c>
      <x:c r="C354" s="81" t="n">
        <x:v>45884</x:v>
      </x:c>
      <x:c r="D354" s="81" t="n">
        <x:v>45886</x:v>
      </x:c>
      <x:c r="E354" s="80" t="str">
        <x:v>CUST-6382</x:v>
      </x:c>
      <x:c r="F354" s="80" t="str">
        <x:v>Diya Patel</x:v>
      </x:c>
      <x:c r="G354" s="80" t="str">
        <x:v>Small Business</x:v>
      </x:c>
      <x:c r="H354" s="80" t="str">
        <x:v>East</x:v>
      </x:c>
      <x:c r="I354" s="80" t="str">
        <x:v>Assam</x:v>
      </x:c>
      <x:c r="J354" s="80" t="str">
        <x:v>Guwahati</x:v>
      </x:c>
      <x:c r="K354" s="80" t="str">
        <x:v>Technology</x:v>
      </x:c>
      <x:c r="L354" s="80" t="str">
        <x:v>Copiers</x:v>
      </x:c>
      <x:c r="M354" s="80" t="str">
        <x:v>Elite Copiers 706</x:v>
      </x:c>
      <x:c r="N354" s="80" t="str">
        <x:v>First Class</x:v>
      </x:c>
      <x:c r="O354" s="82" t="n">
        <x:v>5</x:v>
      </x:c>
      <x:c r="P354" s="83" t="n">
        <x:v>2862.6</x:v>
      </x:c>
      <x:c r="Q354" s="84" t="n">
        <x:v>0.25</x:v>
      </x:c>
      <x:c r="R354" s="83" t="n">
        <x:v>10734.75</x:v>
      </x:c>
      <x:c r="S354" s="83" t="n">
        <x:v>6475.73</x:v>
      </x:c>
      <x:c r="T354" s="83" t="n">
        <x:v>4259.02</x:v>
      </x:c>
      <x:c r="U354" s="83" t="str">
        <x:v>Paid</x:v>
      </x:c>
      <x:c r="V354" s="83" t="str">
        <x:v>Completed</x:v>
      </x:c>
      <x:c r="W354" s="151" t="n">
        <x:f>IF(OR(NOT(ISNUMBER($AP354)),COUNT($O354,$P354)&lt;2,$O354&lt;=0,$P354&lt;0),"",ROUND($O354*$P354*(1-$AP354),2))</x:f>
        <x:v>10734.75</x:v>
      </x:c>
      <x:c r="X354" s="151" t="n">
        <x:f>IF(OR(NOT(ISNUMBER($W354)),NOT(ISNUMBER($S354))),"",ROUND($W354-$S354,2))</x:f>
        <x:v>4259.02</x:v>
      </x:c>
      <x:c r="Y354" s="85" t="n">
        <x:f>IF(OR(NOT(ISNUMBER($W354)),NOT(ISNUMBER($X354)),$W354=0),"",ROUND($X354/$W354,4))</x:f>
        <x:v>0.3968</x:v>
      </x:c>
      <x:c r="Z354" s="82" t="n">
        <x:f>IF(OR($AH354&lt;&gt;"Valid",$AI354&lt;&gt;"Valid"),"",INT($D354-$C354))</x:f>
        <x:v>2</x:v>
      </x:c>
      <x:c r="AA354" s="86" t="str">
        <x:f>IF($AH354&lt;&gt;"Valid","",TEXT($C354,"mmmm"))</x:f>
        <x:v>August</x:v>
      </x:c>
      <x:c r="AB354" s="82" t="n">
        <x:f>IF($AH354&lt;&gt;"Valid","",YEAR($C354))</x:f>
        <x:v>2025</x:v>
      </x:c>
      <x:c r="AC354" s="80" t="str">
        <x:v>Consistent</x:v>
      </x:c>
      <x:c r="AD354" s="80" t="str">
        <x:v>Eligible</x:v>
      </x:c>
      <x:c r="AE354" s="80" t="str">
        <x:f>IF(OR($AH354&lt;&gt;"Valid",$AI354&lt;&gt;"Valid",$AJ354&lt;&gt;"Valid",LEFT($AM354,7)="Invalid",IFERROR(ABS($AQ354)&gt;0.01,FALSE),IFERROR(ABS($AR354)&gt;0.01,FALSE),COUNTIF($AS354,"*Conflicting duplicate*")&gt;0,COUNTIF($AS354,"*Completed order not paid*")&gt;0),"Invalid",IF(OR($H354="Unknown",$N354="Unknown",$AM354="Missing discount imputed as 0"),"Warning","Clean"))</x:f>
        <x:v>Clean</x:v>
      </x:c>
      <x:c r="AF354" s="80" t="str">
        <x:v>Pass</x:v>
      </x:c>
      <x:c r="AG354" s="80" t="str">
        <x:v>No text cleanup required</x:v>
      </x:c>
      <x:c r="AH354" s="12" t="str">
        <x:f>IF(C354="","Missing date",IF(ISNUMBER(C354),"Valid","Unrecognized/invalid date"))</x:f>
        <x:v>Valid</x:v>
      </x:c>
      <x:c r="AI354" s="12" t="str">
        <x:f>IF(D354="","Missing date",IF(ISNUMBER(D354),"Valid","Unrecognized/invalid date"))</x:f>
        <x:v>Valid</x:v>
      </x:c>
      <x:c r="AJ354" s="12" t="str">
        <x:v>Valid</x:v>
      </x:c>
      <x:c r="AK354" s="12" t="str">
        <x:v>Pass</x:v>
      </x:c>
      <x:c r="AL354" s="12" t="str">
        <x:v>None</x:v>
      </x:c>
      <x:c r="AM354" s="12" t="str">
        <x:v>Valid</x:v>
      </x:c>
      <x:c r="AN354" s="12" t="str">
        <x:v>Include in completed sales</x:v>
      </x:c>
      <x:c r="AO354" s="12" t="str">
        <x:v>Not a refunded record</x:v>
      </x:c>
      <x:c r="AP354" s="37" t="n">
        <x:f>IF(LEFT($AM354,7)="Invalid","",IF($AM354="Missing discount imputed as 0",IF(AND(COUNT($O354,$P354,$R354,$S354)=4,$O354&gt;0,$P354&gt;=0,$R354&gt;=0,$S354&gt;=0),0,""),IF(AND(ISNUMBER($Q354),$Q354&gt;=0,$Q354&lt;=0.5),$Q354,"")))</x:f>
        <x:v>0.25</x:v>
      </x:c>
      <x:c r="AQ354" s="152" t="n">
        <x:f>IF(OR($W354="",NOT(ISNUMBER($R354))),"",ROUND($R354-$W354,2))</x:f>
        <x:v>0</x:v>
      </x:c>
      <x:c r="AR354" s="152" t="n">
        <x:f>IF(OR($X354="",NOT(ISNUMBER($T354))),"",ROUND($T354-$X354,2))</x:f>
        <x:v>0</x:v>
      </x:c>
      <x:c r="AS354" s="14" t="str">
        <x:v>OK</x:v>
      </x:c>
    </x:row>
    <x:row r="355">
      <x:c r="A355" s="80" t="n">
        <x:v>355</x:v>
      </x:c>
      <x:c r="B355" s="80" t="str">
        <x:v>ORD-2025-10354</x:v>
      </x:c>
      <x:c r="C355" s="81" t="n">
        <x:v>45709</x:v>
      </x:c>
      <x:c r="D355" s="81" t="n">
        <x:v>45715</x:v>
      </x:c>
      <x:c r="E355" s="80" t="str">
        <x:v>CUST-3253</x:v>
      </x:c>
      <x:c r="F355" s="80" t="str">
        <x:v>Ananya Rao</x:v>
      </x:c>
      <x:c r="G355" s="80" t="str">
        <x:v>Consumer</x:v>
      </x:c>
      <x:c r="H355" s="80" t="str">
        <x:v>North</x:v>
      </x:c>
      <x:c r="I355" s="80" t="str">
        <x:v>Rajasthan</x:v>
      </x:c>
      <x:c r="J355" s="80" t="str">
        <x:v>Jaipur</x:v>
      </x:c>
      <x:c r="K355" s="80" t="str">
        <x:v>Office Supplies</x:v>
      </x:c>
      <x:c r="L355" s="80" t="str">
        <x:v>Art</x:v>
      </x:c>
      <x:c r="M355" s="80" t="str">
        <x:v>Prime Art 978</x:v>
      </x:c>
      <x:c r="N355" s="80" t="str">
        <x:v>Same Day</x:v>
      </x:c>
      <x:c r="O355" s="82" t="n">
        <x:v>9</x:v>
      </x:c>
      <x:c r="P355" s="83" t="n">
        <x:v>1431.67</x:v>
      </x:c>
      <x:c r="Q355" s="84" t="n">
        <x:v>0.2</x:v>
      </x:c>
      <x:c r="R355" s="83" t="n">
        <x:v>10308.02</x:v>
      </x:c>
      <x:c r="S355" s="83" t="n">
        <x:v>5822.31</x:v>
      </x:c>
      <x:c r="T355" s="83" t="n">
        <x:v>4485.71</x:v>
      </x:c>
      <x:c r="U355" s="83" t="str">
        <x:v>Paid</x:v>
      </x:c>
      <x:c r="V355" s="83" t="str">
        <x:v>Completed</x:v>
      </x:c>
      <x:c r="W355" s="151" t="n">
        <x:f>IF(OR(NOT(ISNUMBER($AP355)),COUNT($O355,$P355)&lt;2,$O355&lt;=0,$P355&lt;0),"",ROUND($O355*$P355*(1-$AP355),2))</x:f>
        <x:v>10308.02</x:v>
      </x:c>
      <x:c r="X355" s="151" t="n">
        <x:f>IF(OR(NOT(ISNUMBER($W355)),NOT(ISNUMBER($S355))),"",ROUND($W355-$S355,2))</x:f>
        <x:v>4485.71</x:v>
      </x:c>
      <x:c r="Y355" s="85" t="n">
        <x:f>IF(OR(NOT(ISNUMBER($W355)),NOT(ISNUMBER($X355)),$W355=0),"",ROUND($X355/$W355,4))</x:f>
        <x:v>0.4352</x:v>
      </x:c>
      <x:c r="Z355" s="82" t="n">
        <x:f>IF(OR($AH355&lt;&gt;"Valid",$AI355&lt;&gt;"Valid"),"",INT($D355-$C355))</x:f>
        <x:v>6</x:v>
      </x:c>
      <x:c r="AA355" s="86" t="str">
        <x:f>IF($AH355&lt;&gt;"Valid","",TEXT($C355,"mmmm"))</x:f>
        <x:v>February</x:v>
      </x:c>
      <x:c r="AB355" s="82" t="n">
        <x:f>IF($AH355&lt;&gt;"Valid","",YEAR($C355))</x:f>
        <x:v>2025</x:v>
      </x:c>
      <x:c r="AC355" s="80" t="str">
        <x:v>Consistent</x:v>
      </x:c>
      <x:c r="AD355" s="80" t="str">
        <x:v>Eligible</x:v>
      </x:c>
      <x:c r="AE355" s="80" t="str">
        <x:f>IF(OR($AH355&lt;&gt;"Valid",$AI355&lt;&gt;"Valid",$AJ355&lt;&gt;"Valid",LEFT($AM355,7)="Invalid",IFERROR(ABS($AQ355)&gt;0.01,FALSE),IFERROR(ABS($AR355)&gt;0.01,FALSE),COUNTIF($AS355,"*Conflicting duplicate*")&gt;0,COUNTIF($AS355,"*Completed order not paid*")&gt;0),"Invalid",IF(OR($H355="Unknown",$N355="Unknown",$AM355="Missing discount imputed as 0"),"Warning","Clean"))</x:f>
        <x:v>Clean</x:v>
      </x:c>
      <x:c r="AF355" s="80" t="str">
        <x:v>Pass</x:v>
      </x:c>
      <x:c r="AG355" s="80" t="str">
        <x:v>No text cleanup required</x:v>
      </x:c>
      <x:c r="AH355" s="12" t="str">
        <x:f>IF(C355="","Missing date",IF(ISNUMBER(C355),"Valid","Unrecognized/invalid date"))</x:f>
        <x:v>Valid</x:v>
      </x:c>
      <x:c r="AI355" s="12" t="str">
        <x:f>IF(D355="","Missing date",IF(ISNUMBER(D355),"Valid","Unrecognized/invalid date"))</x:f>
        <x:v>Valid</x:v>
      </x:c>
      <x:c r="AJ355" s="12" t="str">
        <x:v>Valid</x:v>
      </x:c>
      <x:c r="AK355" s="12" t="str">
        <x:v>Pass</x:v>
      </x:c>
      <x:c r="AL355" s="12" t="str">
        <x:v>None</x:v>
      </x:c>
      <x:c r="AM355" s="12" t="str">
        <x:v>Valid</x:v>
      </x:c>
      <x:c r="AN355" s="12" t="str">
        <x:v>Include in completed sales</x:v>
      </x:c>
      <x:c r="AO355" s="12" t="str">
        <x:v>Not a refunded record</x:v>
      </x:c>
      <x:c r="AP355" s="37" t="n">
        <x:f>IF(LEFT($AM355,7)="Invalid","",IF($AM355="Missing discount imputed as 0",IF(AND(COUNT($O355,$P355,$R355,$S355)=4,$O355&gt;0,$P355&gt;=0,$R355&gt;=0,$S355&gt;=0),0,""),IF(AND(ISNUMBER($Q355),$Q355&gt;=0,$Q355&lt;=0.5),$Q355,"")))</x:f>
        <x:v>0.2</x:v>
      </x:c>
      <x:c r="AQ355" s="152" t="n">
        <x:f>IF(OR($W355="",NOT(ISNUMBER($R355))),"",ROUND($R355-$W355,2))</x:f>
        <x:v>0</x:v>
      </x:c>
      <x:c r="AR355" s="152" t="n">
        <x:f>IF(OR($X355="",NOT(ISNUMBER($T355))),"",ROUND($T355-$X355,2))</x:f>
        <x:v>0</x:v>
      </x:c>
      <x:c r="AS355" s="14" t="str">
        <x:v>OK</x:v>
      </x:c>
    </x:row>
    <x:row r="356">
      <x:c r="A356" s="80" t="n">
        <x:v>356</x:v>
      </x:c>
      <x:c r="B356" s="80" t="str">
        <x:v>ORD-2024-10355</x:v>
      </x:c>
      <x:c r="C356" s="81" t="n">
        <x:v>45653</x:v>
      </x:c>
      <x:c r="D356" s="81" t="n">
        <x:v>45657</x:v>
      </x:c>
      <x:c r="E356" s="80" t="str">
        <x:v>CUST-1058</x:v>
      </x:c>
      <x:c r="F356" s="80" t="str">
        <x:v>Kabir Singh</x:v>
      </x:c>
      <x:c r="G356" s="80" t="str">
        <x:v>Corporate</x:v>
      </x:c>
      <x:c r="H356" s="80" t="str">
        <x:v>North</x:v>
      </x:c>
      <x:c r="I356" s="80" t="str">
        <x:v>Punjab</x:v>
      </x:c>
      <x:c r="J356" s="80" t="str">
        <x:v>Ludhiana</x:v>
      </x:c>
      <x:c r="K356" s="80" t="str">
        <x:v>Furniture</x:v>
      </x:c>
      <x:c r="L356" s="80" t="str">
        <x:v>Furnishings</x:v>
      </x:c>
      <x:c r="M356" s="80" t="str">
        <x:v>Classic Furnishings 498</x:v>
      </x:c>
      <x:c r="N356" s="80" t="str">
        <x:v>Standard Class</x:v>
      </x:c>
      <x:c r="O356" s="82" t="n">
        <x:v>6</x:v>
      </x:c>
      <x:c r="P356" s="83" t="n">
        <x:v>3346.78</x:v>
      </x:c>
      <x:c r="Q356" s="84" t="n">
        <x:v>-0.06</x:v>
      </x:c>
      <x:c r="R356" s="83" t="n">
        <x:v>20080.68</x:v>
      </x:c>
      <x:c r="S356" s="83" t="n">
        <x:v>12908.84</x:v>
      </x:c>
      <x:c r="T356" s="83" t="n">
        <x:v>7171.84</x:v>
      </x:c>
      <x:c r="U356" s="83" t="str">
        <x:v>Pending</x:v>
      </x:c>
      <x:c r="V356" s="83" t="str">
        <x:v>Cancelled</x:v>
      </x:c>
      <x:c r="W356" s="151" t="str">
        <x:f>IF(OR(NOT(ISNUMBER($AP356)),COUNT($O356,$P356)&lt;2,$O356&lt;=0,$P356&lt;0),"",ROUND($O356*$P356*(1-$AP356),2))</x:f>
      </x:c>
      <x:c r="X356" s="151" t="str">
        <x:f>IF(OR(NOT(ISNUMBER($W356)),NOT(ISNUMBER($S356))),"",ROUND($W356-$S356,2))</x:f>
      </x:c>
      <x:c r="Y356" s="85" t="str">
        <x:f>IF(OR(NOT(ISNUMBER($W356)),NOT(ISNUMBER($X356)),$W356=0),"",ROUND($X356/$W356,4))</x:f>
      </x:c>
      <x:c r="Z356" s="82" t="n">
        <x:f>IF(OR($AH356&lt;&gt;"Valid",$AI356&lt;&gt;"Valid"),"",INT($D356-$C356))</x:f>
        <x:v>4</x:v>
      </x:c>
      <x:c r="AA356" s="86" t="str">
        <x:f>IF($AH356&lt;&gt;"Valid","",TEXT($C356,"mmmm"))</x:f>
        <x:v>December</x:v>
      </x:c>
      <x:c r="AB356" s="82" t="n">
        <x:f>IF($AH356&lt;&gt;"Valid","",YEAR($C356))</x:f>
        <x:v>2024</x:v>
      </x:c>
      <x:c r="AC356" s="80" t="str">
        <x:v>Cancelled (excluded from completed-sales summary)</x:v>
      </x:c>
      <x:c r="AD356" s="80" t="str">
        <x:v>Excluded</x:v>
      </x:c>
      <x:c r="AE356" s="80" t="str">
        <x:f>IF(OR($AH356&lt;&gt;"Valid",$AI356&lt;&gt;"Valid",$AJ356&lt;&gt;"Valid",LEFT($AM356,7)="Invalid",IFERROR(ABS($AQ356)&gt;0.01,FALSE),IFERROR(ABS($AR356)&gt;0.01,FALSE),COUNTIF($AS356,"*Conflicting duplicate*")&gt;0,COUNTIF($AS356,"*Completed order not paid*")&gt;0),"Invalid",IF(OR($H356="Unknown",$N356="Unknown",$AM356="Missing discount imputed as 0"),"Warning","Clean"))</x:f>
        <x:v>Invalid</x:v>
      </x:c>
      <x:c r="AF356" s="80" t="str">
        <x:v>Review</x:v>
      </x:c>
      <x:c r="AG356" s="80" t="str">
        <x:v>segment: Case standardization</x:v>
      </x:c>
      <x:c r="AH356" s="12" t="str">
        <x:f>IF(C356="","Missing date",IF(ISNUMBER(C356),"Valid","Unrecognized/invalid date"))</x:f>
        <x:v>Valid</x:v>
      </x:c>
      <x:c r="AI356" s="12" t="str">
        <x:f>IF(D356="","Missing date",IF(ISNUMBER(D356),"Valid","Unrecognized/invalid date"))</x:f>
        <x:v>Valid</x:v>
      </x:c>
      <x:c r="AJ356" s="12" t="str">
        <x:v>Valid</x:v>
      </x:c>
      <x:c r="AK356" s="12" t="str">
        <x:v>Pass</x:v>
      </x:c>
      <x:c r="AL356" s="12" t="str">
        <x:v>Cancelled order – excluded from completed sales</x:v>
      </x:c>
      <x:c r="AM356" s="12" t="str">
        <x:v>Invalid discount – negative</x:v>
      </x:c>
      <x:c r="AN356" s="12" t="str">
        <x:v>Exclude from completed sales</x:v>
      </x:c>
      <x:c r="AO356" s="12" t="str">
        <x:v>Not a refunded record</x:v>
      </x:c>
      <x:c r="AP356" s="37" t="str">
        <x:f>IF(LEFT($AM356,7)="Invalid","",IF($AM356="Missing discount imputed as 0",IF(AND(COUNT($O356,$P356,$R356,$S356)=4,$O356&gt;0,$P356&gt;=0,$R356&gt;=0,$S356&gt;=0),0,""),IF(AND(ISNUMBER($Q356),$Q356&gt;=0,$Q356&lt;=0.5),$Q356,"")))</x:f>
      </x:c>
      <x:c r="AQ356" s="152" t="str">
        <x:f>IF(OR($W356="",NOT(ISNUMBER($R356))),"",ROUND($R356-$W356,2))</x:f>
      </x:c>
      <x:c r="AR356" s="152" t="str">
        <x:f>IF(OR($X356="",NOT(ISNUMBER($T356))),"",ROUND($T356-$X356,2))</x:f>
      </x:c>
      <x:c r="AS356" s="14" t="str">
        <x:v>Negative discount</x:v>
      </x:c>
    </x:row>
    <x:row r="357">
      <x:c r="A357" s="80" t="n">
        <x:v>357</x:v>
      </x:c>
      <x:c r="B357" s="80" t="str">
        <x:v>ORD-2024-10356</x:v>
      </x:c>
      <x:c r="C357" s="81" t="n">
        <x:v>45424</x:v>
      </x:c>
      <x:c r="D357" s="81" t="n">
        <x:v>45421</x:v>
      </x:c>
      <x:c r="E357" s="80" t="str">
        <x:v>CUST-6414</x:v>
      </x:c>
      <x:c r="F357" s="80" t="str">
        <x:v>Priya Menon</x:v>
      </x:c>
      <x:c r="G357" s="80" t="str">
        <x:v>Corporate</x:v>
      </x:c>
      <x:c r="H357" s="80" t="str">
        <x:v>West</x:v>
      </x:c>
      <x:c r="I357" s="80" t="str">
        <x:v>Rajasthan</x:v>
      </x:c>
      <x:c r="J357" s="80" t="str">
        <x:v>Udaipur</x:v>
      </x:c>
      <x:c r="K357" s="80" t="str">
        <x:v>Furniture</x:v>
      </x:c>
      <x:c r="L357" s="80" t="str">
        <x:v>Tables</x:v>
      </x:c>
      <x:c r="M357" s="80" t="str">
        <x:v>Max Tables 829</x:v>
      </x:c>
      <x:c r="N357" s="80" t="str">
        <x:v>Standard Class</x:v>
      </x:c>
      <x:c r="O357" s="82" t="n">
        <x:v>5</x:v>
      </x:c>
      <x:c r="P357" s="83" t="n">
        <x:v>3203.48</x:v>
      </x:c>
      <x:c r="Q357" s="84" t="n">
        <x:v>0</x:v>
      </x:c>
      <x:c r="R357" s="83" t="n">
        <x:v>16017.4</x:v>
      </x:c>
      <x:c r="S357" s="83" t="n">
        <x:v>9557.8</x:v>
      </x:c>
      <x:c r="T357" s="83" t="n">
        <x:v>6459.6</x:v>
      </x:c>
      <x:c r="U357" s="83" t="str">
        <x:v>Pending</x:v>
      </x:c>
      <x:c r="V357" s="83" t="str">
        <x:v>Cancelled</x:v>
      </x:c>
      <x:c r="W357" s="151" t="n">
        <x:f>IF(OR(NOT(ISNUMBER($AP357)),COUNT($O357,$P357)&lt;2,$O357&lt;=0,$P357&lt;0),"",ROUND($O357*$P357*(1-$AP357),2))</x:f>
        <x:v>16017.4</x:v>
      </x:c>
      <x:c r="X357" s="151" t="n">
        <x:f>IF(OR(NOT(ISNUMBER($W357)),NOT(ISNUMBER($S357))),"",ROUND($W357-$S357,2))</x:f>
        <x:v>6459.6</x:v>
      </x:c>
      <x:c r="Y357" s="85" t="n">
        <x:f>IF(OR(NOT(ISNUMBER($W357)),NOT(ISNUMBER($X357)),$W357=0),"",ROUND($X357/$W357,4))</x:f>
        <x:v>0.4033</x:v>
      </x:c>
      <x:c r="Z357" s="82" t="n">
        <x:f>IF(OR($AH357&lt;&gt;"Valid",$AI357&lt;&gt;"Valid"),"",INT($D357-$C357))</x:f>
        <x:v>-3</x:v>
      </x:c>
      <x:c r="AA357" s="86" t="str">
        <x:f>IF($AH357&lt;&gt;"Valid","",TEXT($C357,"mmmm"))</x:f>
        <x:v>May</x:v>
      </x:c>
      <x:c r="AB357" s="82" t="n">
        <x:f>IF($AH357&lt;&gt;"Valid","",YEAR($C357))</x:f>
        <x:v>2024</x:v>
      </x:c>
      <x:c r="AC357" s="80" t="str">
        <x:v>Cancelled (excluded from completed-sales summary)</x:v>
      </x:c>
      <x:c r="AD357" s="80" t="str">
        <x:v>Excluded</x:v>
      </x:c>
      <x:c r="AE357" s="80" t="str">
        <x:f>IF(OR($AH357&lt;&gt;"Valid",$AI357&lt;&gt;"Valid",$AJ357&lt;&gt;"Valid",LEFT($AM357,7)="Invalid",IFERROR(ABS($AQ357)&gt;0.01,FALSE),IFERROR(ABS($AR357)&gt;0.01,FALSE),COUNTIF($AS357,"*Conflicting duplicate*")&gt;0,COUNTIF($AS357,"*Completed order not paid*")&gt;0),"Invalid",IF(OR($H357="Unknown",$N357="Unknown",$AM357="Missing discount imputed as 0"),"Warning","Clean"))</x:f>
        <x:v>Invalid</x:v>
      </x:c>
      <x:c r="AF357" s="80" t="str">
        <x:v>Review</x:v>
      </x:c>
      <x:c r="AG357" s="80" t="str">
        <x:v>No text cleanup required</x:v>
      </x:c>
      <x:c r="AH357" s="12" t="str">
        <x:f>IF(C357="","Missing date",IF(ISNUMBER(C357),"Valid","Unrecognized/invalid date"))</x:f>
        <x:v>Valid</x:v>
      </x:c>
      <x:c r="AI357" s="12" t="str">
        <x:f>IF(D357="","Missing date",IF(ISNUMBER(D357),"Valid","Unrecognized/invalid date"))</x:f>
        <x:v>Valid</x:v>
      </x:c>
      <x:c r="AJ357" s="12" t="str">
        <x:v>Invalid</x:v>
      </x:c>
      <x:c r="AK357" s="12" t="str">
        <x:v>Ship date is earlier than order date</x:v>
      </x:c>
      <x:c r="AL357" s="12" t="str">
        <x:v>Cancelled order – excluded from completed sales</x:v>
      </x:c>
      <x:c r="AM357" s="12" t="str">
        <x:v>Valid</x:v>
      </x:c>
      <x:c r="AN357" s="12" t="str">
        <x:v>Exclude from completed sales</x:v>
      </x:c>
      <x:c r="AO357" s="12" t="str">
        <x:v>Not a refunded record</x:v>
      </x:c>
      <x:c r="AP357" s="37" t="n">
        <x:f>IF(LEFT($AM357,7)="Invalid","",IF($AM357="Missing discount imputed as 0",IF(AND(COUNT($O357,$P357,$R357,$S357)=4,$O357&gt;0,$P357&gt;=0,$R357&gt;=0,$S357&gt;=0),0,""),IF(AND(ISNUMBER($Q357),$Q357&gt;=0,$Q357&lt;=0.5),$Q357,"")))</x:f>
        <x:v>0</x:v>
      </x:c>
      <x:c r="AQ357" s="152" t="n">
        <x:f>IF(OR($W357="",NOT(ISNUMBER($R357))),"",ROUND($R357-$W357,2))</x:f>
        <x:v>0</x:v>
      </x:c>
      <x:c r="AR357" s="152" t="n">
        <x:f>IF(OR($X357="",NOT(ISNUMBER($T357))),"",ROUND($T357-$X357,2))</x:f>
        <x:v>0</x:v>
      </x:c>
      <x:c r="AS357" s="14" t="str">
        <x:v>Ship date earlier than order date</x:v>
      </x:c>
    </x:row>
    <x:row r="358">
      <x:c r="A358" s="80" t="n">
        <x:v>358</x:v>
      </x:c>
      <x:c r="B358" s="80" t="str">
        <x:v>ORD-2025-10357</x:v>
      </x:c>
      <x:c r="C358" s="81" t="n">
        <x:v>45835</x:v>
      </x:c>
      <x:c r="D358" s="81" t="n">
        <x:v>45837</x:v>
      </x:c>
      <x:c r="E358" s="80" t="str">
        <x:v>CUST-9268</x:v>
      </x:c>
      <x:c r="F358" s="80" t="str">
        <x:v>Rohan Mehta</x:v>
      </x:c>
      <x:c r="G358" s="80" t="str">
        <x:v>Home Office</x:v>
      </x:c>
      <x:c r="H358" s="80" t="str">
        <x:v>South</x:v>
      </x:c>
      <x:c r="I358" s="80" t="str">
        <x:v>Telangana</x:v>
      </x:c>
      <x:c r="J358" s="80" t="str">
        <x:v>Hyderabad</x:v>
      </x:c>
      <x:c r="K358" s="80" t="str">
        <x:v>Furniture</x:v>
      </x:c>
      <x:c r="L358" s="80" t="str">
        <x:v>Chairs</x:v>
      </x:c>
      <x:c r="M358" s="80" t="str">
        <x:v>Eco Chairs 346</x:v>
      </x:c>
      <x:c r="N358" s="80" t="str">
        <x:v>First Class</x:v>
      </x:c>
      <x:c r="O358" s="82" t="n">
        <x:v>5</x:v>
      </x:c>
      <x:c r="P358" s="83" t="n">
        <x:v>621.7</x:v>
      </x:c>
      <x:c r="Q358" s="84" t="n">
        <x:v>0.2</x:v>
      </x:c>
      <x:c r="R358" s="83" t="n">
        <x:v>2486.8</x:v>
      </x:c>
      <x:c r="S358" s="83" t="n">
        <x:v>2131.73</x:v>
      </x:c>
      <x:c r="T358" s="83" t="n">
        <x:v>355.07</x:v>
      </x:c>
      <x:c r="U358" s="83" t="str">
        <x:v>Pending</x:v>
      </x:c>
      <x:c r="V358" s="83" t="str">
        <x:v>Returned</x:v>
      </x:c>
      <x:c r="W358" s="151" t="n">
        <x:f>IF(OR(NOT(ISNUMBER($AP358)),COUNT($O358,$P358)&lt;2,$O358&lt;=0,$P358&lt;0),"",ROUND($O358*$P358*(1-$AP358),2))</x:f>
        <x:v>2486.8</x:v>
      </x:c>
      <x:c r="X358" s="151" t="n">
        <x:f>IF(OR(NOT(ISNUMBER($W358)),NOT(ISNUMBER($S358))),"",ROUND($W358-$S358,2))</x:f>
        <x:v>355.07</x:v>
      </x:c>
      <x:c r="Y358" s="85" t="n">
        <x:f>IF(OR(NOT(ISNUMBER($W358)),NOT(ISNUMBER($X358)),$W358=0),"",ROUND($X358/$W358,4))</x:f>
        <x:v>0.1428</x:v>
      </x:c>
      <x:c r="Z358" s="82" t="n">
        <x:f>IF(OR($AH358&lt;&gt;"Valid",$AI358&lt;&gt;"Valid"),"",INT($D358-$C358))</x:f>
        <x:v>2</x:v>
      </x:c>
      <x:c r="AA358" s="86" t="str">
        <x:f>IF($AH358&lt;&gt;"Valid","",TEXT($C358,"mmmm"))</x:f>
        <x:v>June</x:v>
      </x:c>
      <x:c r="AB358" s="82" t="n">
        <x:f>IF($AH358&lt;&gt;"Valid","",YEAR($C358))</x:f>
        <x:v>2025</x:v>
      </x:c>
      <x:c r="AC358" s="80" t="str">
        <x:v>Consistent</x:v>
      </x:c>
      <x:c r="AD358" s="80" t="str">
        <x:v>Excluded</x:v>
      </x:c>
      <x:c r="AE358" s="80" t="str">
        <x:f>IF(OR($AH358&lt;&gt;"Valid",$AI358&lt;&gt;"Valid",$AJ358&lt;&gt;"Valid",LEFT($AM358,7)="Invalid",IFERROR(ABS($AQ358)&gt;0.01,FALSE),IFERROR(ABS($AR358)&gt;0.01,FALSE),COUNTIF($AS358,"*Conflicting duplicate*")&gt;0,COUNTIF($AS358,"*Completed order not paid*")&gt;0),"Invalid",IF(OR($H358="Unknown",$N358="Unknown",$AM358="Missing discount imputed as 0"),"Warning","Clean"))</x:f>
        <x:v>Clean</x:v>
      </x:c>
      <x:c r="AF358" s="80" t="str">
        <x:v>Pass</x:v>
      </x:c>
      <x:c r="AG358" s="80" t="str">
        <x:v>No text cleanup required</x:v>
      </x:c>
      <x:c r="AH358" s="12" t="str">
        <x:f>IF(C358="","Missing date",IF(ISNUMBER(C358),"Valid","Unrecognized/invalid date"))</x:f>
        <x:v>Valid</x:v>
      </x:c>
      <x:c r="AI358" s="12" t="str">
        <x:f>IF(D358="","Missing date",IF(ISNUMBER(D358),"Valid","Unrecognized/invalid date"))</x:f>
        <x:v>Valid</x:v>
      </x:c>
      <x:c r="AJ358" s="12" t="str">
        <x:v>Valid</x:v>
      </x:c>
      <x:c r="AK358" s="12" t="str">
        <x:v>Pass</x:v>
      </x:c>
      <x:c r="AL358" s="12" t="str">
        <x:v>None</x:v>
      </x:c>
      <x:c r="AM358" s="12" t="str">
        <x:v>Valid</x:v>
      </x:c>
      <x:c r="AN358" s="12" t="str">
        <x:v>Exclude from completed sales</x:v>
      </x:c>
      <x:c r="AO358" s="12" t="str">
        <x:v>Not a refunded record</x:v>
      </x:c>
      <x:c r="AP358" s="37" t="n">
        <x:f>IF(LEFT($AM358,7)="Invalid","",IF($AM358="Missing discount imputed as 0",IF(AND(COUNT($O358,$P358,$R358,$S358)=4,$O358&gt;0,$P358&gt;=0,$R358&gt;=0,$S358&gt;=0),0,""),IF(AND(ISNUMBER($Q358),$Q358&gt;=0,$Q358&lt;=0.5),$Q358,"")))</x:f>
        <x:v>0.2</x:v>
      </x:c>
      <x:c r="AQ358" s="152" t="n">
        <x:f>IF(OR($W358="",NOT(ISNUMBER($R358))),"",ROUND($R358-$W358,2))</x:f>
        <x:v>0</x:v>
      </x:c>
      <x:c r="AR358" s="152" t="n">
        <x:f>IF(OR($X358="",NOT(ISNUMBER($T358))),"",ROUND($T358-$X358,2))</x:f>
        <x:v>0</x:v>
      </x:c>
      <x:c r="AS358" s="14" t="str">
        <x:v>OK</x:v>
      </x:c>
    </x:row>
    <x:row r="359">
      <x:c r="A359" s="80" t="n">
        <x:v>359</x:v>
      </x:c>
      <x:c r="B359" s="80" t="str">
        <x:v>ORD-2025-10358</x:v>
      </x:c>
      <x:c r="C359" s="81" t="n">
        <x:v>45678</x:v>
      </x:c>
      <x:c r="D359" s="81" t="n">
        <x:v>45686</x:v>
      </x:c>
      <x:c r="E359" s="80" t="str">
        <x:v>CUST-1363</x:v>
      </x:c>
      <x:c r="F359" s="80" t="str">
        <x:v>Mira Das</x:v>
      </x:c>
      <x:c r="G359" s="80" t="str">
        <x:v>Home Office</x:v>
      </x:c>
      <x:c r="H359" s="80" t="str">
        <x:v>South</x:v>
      </x:c>
      <x:c r="I359" s="80" t="str">
        <x:v>Andhra Pradesh</x:v>
      </x:c>
      <x:c r="J359" s="80" t="str">
        <x:v>Vijayawada</x:v>
      </x:c>
      <x:c r="K359" s="80" t="str">
        <x:v>Technology</x:v>
      </x:c>
      <x:c r="L359" s="80" t="str">
        <x:v>Machines</x:v>
      </x:c>
      <x:c r="M359" s="80" t="str">
        <x:v>Max Machines 770</x:v>
      </x:c>
      <x:c r="N359" s="80" t="str">
        <x:v>Second Class</x:v>
      </x:c>
      <x:c r="O359" s="82" t="n">
        <x:v>8</x:v>
      </x:c>
      <x:c r="P359" s="83" t="n">
        <x:v>546.13</x:v>
      </x:c>
      <x:c r="Q359" s="84" t="n">
        <x:v>0</x:v>
      </x:c>
      <x:c r="R359" s="83" t="n">
        <x:v>4369.04</x:v>
      </x:c>
      <x:c r="S359" s="83" t="n">
        <x:v>3716.88</x:v>
      </x:c>
      <x:c r="T359" s="83" t="n">
        <x:v>652.16</x:v>
      </x:c>
      <x:c r="U359" s="83" t="str">
        <x:v>Paid</x:v>
      </x:c>
      <x:c r="V359" s="83" t="str">
        <x:v>Cancelled</x:v>
      </x:c>
      <x:c r="W359" s="151" t="n">
        <x:f>IF(OR(NOT(ISNUMBER($AP359)),COUNT($O359,$P359)&lt;2,$O359&lt;=0,$P359&lt;0),"",ROUND($O359*$P359*(1-$AP359),2))</x:f>
        <x:v>4369.04</x:v>
      </x:c>
      <x:c r="X359" s="151" t="n">
        <x:f>IF(OR(NOT(ISNUMBER($W359)),NOT(ISNUMBER($S359))),"",ROUND($W359-$S359,2))</x:f>
        <x:v>652.16</x:v>
      </x:c>
      <x:c r="Y359" s="85" t="n">
        <x:f>IF(OR(NOT(ISNUMBER($W359)),NOT(ISNUMBER($X359)),$W359=0),"",ROUND($X359/$W359,4))</x:f>
        <x:v>0.1493</x:v>
      </x:c>
      <x:c r="Z359" s="82" t="n">
        <x:f>IF(OR($AH359&lt;&gt;"Valid",$AI359&lt;&gt;"Valid"),"",INT($D359-$C359))</x:f>
        <x:v>8</x:v>
      </x:c>
      <x:c r="AA359" s="86" t="str">
        <x:f>IF($AH359&lt;&gt;"Valid","",TEXT($C359,"mmmm"))</x:f>
        <x:v>January</x:v>
      </x:c>
      <x:c r="AB359" s="82" t="n">
        <x:f>IF($AH359&lt;&gt;"Valid","",YEAR($C359))</x:f>
        <x:v>2025</x:v>
      </x:c>
      <x:c r="AC359" s="80" t="str">
        <x:v>Cancelled (excluded from completed-sales summary)</x:v>
      </x:c>
      <x:c r="AD359" s="80" t="str">
        <x:v>Excluded</x:v>
      </x:c>
      <x:c r="AE359" s="80" t="str">
        <x:f>IF(OR($AH359&lt;&gt;"Valid",$AI359&lt;&gt;"Valid",$AJ359&lt;&gt;"Valid",LEFT($AM359,7)="Invalid",IFERROR(ABS($AQ359)&gt;0.01,FALSE),IFERROR(ABS($AR359)&gt;0.01,FALSE),COUNTIF($AS359,"*Conflicting duplicate*")&gt;0,COUNTIF($AS359,"*Completed order not paid*")&gt;0),"Invalid",IF(OR($H359="Unknown",$N359="Unknown",$AM359="Missing discount imputed as 0"),"Warning","Clean"))</x:f>
        <x:v>Clean</x:v>
      </x:c>
      <x:c r="AF359" s="80" t="str">
        <x:v>Pass</x:v>
      </x:c>
      <x:c r="AG359" s="80" t="str">
        <x:v>No text cleanup required</x:v>
      </x:c>
      <x:c r="AH359" s="12" t="str">
        <x:f>IF(C359="","Missing date",IF(ISNUMBER(C359),"Valid","Unrecognized/invalid date"))</x:f>
        <x:v>Valid</x:v>
      </x:c>
      <x:c r="AI359" s="12" t="str">
        <x:f>IF(D359="","Missing date",IF(ISNUMBER(D359),"Valid","Unrecognized/invalid date"))</x:f>
        <x:v>Valid</x:v>
      </x:c>
      <x:c r="AJ359" s="12" t="str">
        <x:v>Valid</x:v>
      </x:c>
      <x:c r="AK359" s="12" t="str">
        <x:v>Pass</x:v>
      </x:c>
      <x:c r="AL359" s="12" t="str">
        <x:v>Cancelled order – excluded from completed sales</x:v>
      </x:c>
      <x:c r="AM359" s="12" t="str">
        <x:v>Valid</x:v>
      </x:c>
      <x:c r="AN359" s="12" t="str">
        <x:v>Exclude from completed sales</x:v>
      </x:c>
      <x:c r="AO359" s="12" t="str">
        <x:v>Not a refunded record</x:v>
      </x:c>
      <x:c r="AP359" s="37" t="n">
        <x:f>IF(LEFT($AM359,7)="Invalid","",IF($AM359="Missing discount imputed as 0",IF(AND(COUNT($O359,$P359,$R359,$S359)=4,$O359&gt;0,$P359&gt;=0,$R359&gt;=0,$S359&gt;=0),0,""),IF(AND(ISNUMBER($Q359),$Q359&gt;=0,$Q359&lt;=0.5),$Q359,"")))</x:f>
        <x:v>0</x:v>
      </x:c>
      <x:c r="AQ359" s="152" t="n">
        <x:f>IF(OR($W359="",NOT(ISNUMBER($R359))),"",ROUND($R359-$W359,2))</x:f>
        <x:v>0</x:v>
      </x:c>
      <x:c r="AR359" s="152" t="n">
        <x:f>IF(OR($X359="",NOT(ISNUMBER($T359))),"",ROUND($T359-$X359,2))</x:f>
        <x:v>0</x:v>
      </x:c>
      <x:c r="AS359" s="14" t="str">
        <x:v>OK</x:v>
      </x:c>
    </x:row>
    <x:row r="360">
      <x:c r="A360" s="80" t="n">
        <x:v>360</x:v>
      </x:c>
      <x:c r="B360" s="80" t="str">
        <x:v>ORD-2025-10359</x:v>
      </x:c>
      <x:c r="C360" s="81" t="n">
        <x:v>45878</x:v>
      </x:c>
      <x:c r="D360" s="81" t="n">
        <x:v>45876</x:v>
      </x:c>
      <x:c r="E360" s="80" t="str">
        <x:v>CUST-2477</x:v>
      </x:c>
      <x:c r="F360" s="80" t="str">
        <x:v>Vikram Iyer</x:v>
      </x:c>
      <x:c r="G360" s="80" t="str">
        <x:v>Home Office</x:v>
      </x:c>
      <x:c r="H360" s="80" t="str">
        <x:v>West</x:v>
      </x:c>
      <x:c r="I360" s="80" t="str">
        <x:v>Gujarat</x:v>
      </x:c>
      <x:c r="J360" s="80" t="str">
        <x:v>Ahmedabad</x:v>
      </x:c>
      <x:c r="K360" s="80" t="str">
        <x:v>Furniture</x:v>
      </x:c>
      <x:c r="L360" s="80" t="str">
        <x:v>Bookcases</x:v>
      </x:c>
      <x:c r="M360" s="80" t="str">
        <x:v>Smart Bookcases 134</x:v>
      </x:c>
      <x:c r="N360" s="80" t="str">
        <x:v>Second Class</x:v>
      </x:c>
      <x:c r="O360" s="82" t="n">
        <x:v>5</x:v>
      </x:c>
      <x:c r="P360" s="83" t="n">
        <x:v>1253.92</x:v>
      </x:c>
      <x:c r="Q360" s="84" t="n">
        <x:v>0.05</x:v>
      </x:c>
      <x:c r="R360" s="83" t="n">
        <x:v>5956.12</x:v>
      </x:c>
      <x:c r="S360" s="83" t="n">
        <x:v>4379.18</x:v>
      </x:c>
      <x:c r="T360" s="83" t="n">
        <x:v>1576.94</x:v>
      </x:c>
      <x:c r="U360" s="83" t="str">
        <x:v>Pending</x:v>
      </x:c>
      <x:c r="V360" s="83" t="str">
        <x:v>Returned</x:v>
      </x:c>
      <x:c r="W360" s="151" t="n">
        <x:f>IF(OR(NOT(ISNUMBER($AP360)),COUNT($O360,$P360)&lt;2,$O360&lt;=0,$P360&lt;0),"",ROUND($O360*$P360*(1-$AP360),2))</x:f>
        <x:v>5956.12</x:v>
      </x:c>
      <x:c r="X360" s="151" t="n">
        <x:f>IF(OR(NOT(ISNUMBER($W360)),NOT(ISNUMBER($S360))),"",ROUND($W360-$S360,2))</x:f>
        <x:v>1576.94</x:v>
      </x:c>
      <x:c r="Y360" s="85" t="n">
        <x:f>IF(OR(NOT(ISNUMBER($W360)),NOT(ISNUMBER($X360)),$W360=0),"",ROUND($X360/$W360,4))</x:f>
        <x:v>0.2648</x:v>
      </x:c>
      <x:c r="Z360" s="82" t="n">
        <x:f>IF(OR($AH360&lt;&gt;"Valid",$AI360&lt;&gt;"Valid"),"",INT($D360-$C360))</x:f>
        <x:v>-2</x:v>
      </x:c>
      <x:c r="AA360" s="86" t="str">
        <x:f>IF($AH360&lt;&gt;"Valid","",TEXT($C360,"mmmm"))</x:f>
        <x:v>August</x:v>
      </x:c>
      <x:c r="AB360" s="82" t="n">
        <x:f>IF($AH360&lt;&gt;"Valid","",YEAR($C360))</x:f>
        <x:v>2025</x:v>
      </x:c>
      <x:c r="AC360" s="80" t="str">
        <x:v>Consistent</x:v>
      </x:c>
      <x:c r="AD360" s="80" t="str">
        <x:v>Excluded</x:v>
      </x:c>
      <x:c r="AE360" s="80" t="str">
        <x:f>IF(OR($AH360&lt;&gt;"Valid",$AI360&lt;&gt;"Valid",$AJ360&lt;&gt;"Valid",LEFT($AM360,7)="Invalid",IFERROR(ABS($AQ360)&gt;0.01,FALSE),IFERROR(ABS($AR360)&gt;0.01,FALSE),COUNTIF($AS360,"*Conflicting duplicate*")&gt;0,COUNTIF($AS360,"*Completed order not paid*")&gt;0),"Invalid",IF(OR($H360="Unknown",$N360="Unknown",$AM360="Missing discount imputed as 0"),"Warning","Clean"))</x:f>
        <x:v>Invalid</x:v>
      </x:c>
      <x:c r="AF360" s="80" t="str">
        <x:v>Review</x:v>
      </x:c>
      <x:c r="AG360" s="80" t="str">
        <x:v>No text cleanup required</x:v>
      </x:c>
      <x:c r="AH360" s="12" t="str">
        <x:f>IF(C360="","Missing date",IF(ISNUMBER(C360),"Valid","Unrecognized/invalid date"))</x:f>
        <x:v>Valid</x:v>
      </x:c>
      <x:c r="AI360" s="12" t="str">
        <x:f>IF(D360="","Missing date",IF(ISNUMBER(D360),"Valid","Unrecognized/invalid date"))</x:f>
        <x:v>Valid</x:v>
      </x:c>
      <x:c r="AJ360" s="12" t="str">
        <x:v>Invalid</x:v>
      </x:c>
      <x:c r="AK360" s="12" t="str">
        <x:v>Ship date is earlier than order date</x:v>
      </x:c>
      <x:c r="AL360" s="12" t="str">
        <x:v>None</x:v>
      </x:c>
      <x:c r="AM360" s="12" t="str">
        <x:v>Valid</x:v>
      </x:c>
      <x:c r="AN360" s="12" t="str">
        <x:v>Exclude from completed sales</x:v>
      </x:c>
      <x:c r="AO360" s="12" t="str">
        <x:v>Not a refunded record</x:v>
      </x:c>
      <x:c r="AP360" s="37" t="n">
        <x:f>IF(LEFT($AM360,7)="Invalid","",IF($AM360="Missing discount imputed as 0",IF(AND(COUNT($O360,$P360,$R360,$S360)=4,$O360&gt;0,$P360&gt;=0,$R360&gt;=0,$S360&gt;=0),0,""),IF(AND(ISNUMBER($Q360),$Q360&gt;=0,$Q360&lt;=0.5),$Q360,"")))</x:f>
        <x:v>0.05</x:v>
      </x:c>
      <x:c r="AQ360" s="152" t="n">
        <x:f>IF(OR($W360="",NOT(ISNUMBER($R360))),"",ROUND($R360-$W360,2))</x:f>
        <x:v>0</x:v>
      </x:c>
      <x:c r="AR360" s="152" t="n">
        <x:f>IF(OR($X360="",NOT(ISNUMBER($T360))),"",ROUND($T360-$X360,2))</x:f>
        <x:v>0</x:v>
      </x:c>
      <x:c r="AS360" s="14" t="str">
        <x:v>Ship date earlier than order date</x:v>
      </x:c>
    </x:row>
    <x:row r="361">
      <x:c r="A361" s="80" t="n">
        <x:v>361</x:v>
      </x:c>
      <x:c r="B361" s="80" t="str">
        <x:v>ORD-2024-10360</x:v>
      </x:c>
      <x:c r="C361" s="81" t="n">
        <x:v>45525</x:v>
      </x:c>
      <x:c r="D361" s="81" t="n">
        <x:v>45526</x:v>
      </x:c>
      <x:c r="E361" s="80" t="str">
        <x:v>CUST-9571</x:v>
      </x:c>
      <x:c r="F361" s="80" t="str">
        <x:v>Isha Nair</x:v>
      </x:c>
      <x:c r="G361" s="80" t="str">
        <x:v>Consumer</x:v>
      </x:c>
      <x:c r="H361" s="80" t="str">
        <x:v>South</x:v>
      </x:c>
      <x:c r="I361" s="80" t="str">
        <x:v>Tamil Nadu</x:v>
      </x:c>
      <x:c r="J361" s="80" t="str">
        <x:v>Chennai</x:v>
      </x:c>
      <x:c r="K361" s="80" t="str">
        <x:v>Technology</x:v>
      </x:c>
      <x:c r="L361" s="80" t="str">
        <x:v>Phones</x:v>
      </x:c>
      <x:c r="M361" s="80" t="str">
        <x:v>Classic Phones 586</x:v>
      </x:c>
      <x:c r="N361" s="80" t="str">
        <x:v>Same Day</x:v>
      </x:c>
      <x:c r="O361" s="82" t="n">
        <x:v>9</x:v>
      </x:c>
      <x:c r="P361" s="83" t="n">
        <x:v>616.96</x:v>
      </x:c>
      <x:c r="Q361" s="84" t="n">
        <x:v>0.1</x:v>
      </x:c>
      <x:c r="R361" s="83" t="n">
        <x:v>4997.38</x:v>
      </x:c>
      <x:c r="S361" s="83" t="n">
        <x:v>2971.39</x:v>
      </x:c>
      <x:c r="T361" s="83" t="n">
        <x:v>2025.99</x:v>
      </x:c>
      <x:c r="U361" s="83" t="str">
        <x:v>Paid</x:v>
      </x:c>
      <x:c r="V361" s="83" t="str">
        <x:v>Completed</x:v>
      </x:c>
      <x:c r="W361" s="151" t="n">
        <x:f>IF(OR(NOT(ISNUMBER($AP361)),COUNT($O361,$P361)&lt;2,$O361&lt;=0,$P361&lt;0),"",ROUND($O361*$P361*(1-$AP361),2))</x:f>
        <x:v>4997.38</x:v>
      </x:c>
      <x:c r="X361" s="151" t="n">
        <x:f>IF(OR(NOT(ISNUMBER($W361)),NOT(ISNUMBER($S361))),"",ROUND($W361-$S361,2))</x:f>
        <x:v>2025.99</x:v>
      </x:c>
      <x:c r="Y361" s="85" t="n">
        <x:f>IF(OR(NOT(ISNUMBER($W361)),NOT(ISNUMBER($X361)),$W361=0),"",ROUND($X361/$W361,4))</x:f>
        <x:v>0.4054</x:v>
      </x:c>
      <x:c r="Z361" s="82" t="n">
        <x:f>IF(OR($AH361&lt;&gt;"Valid",$AI361&lt;&gt;"Valid"),"",INT($D361-$C361))</x:f>
        <x:v>1</x:v>
      </x:c>
      <x:c r="AA361" s="86" t="str">
        <x:f>IF($AH361&lt;&gt;"Valid","",TEXT($C361,"mmmm"))</x:f>
        <x:v>August</x:v>
      </x:c>
      <x:c r="AB361" s="82" t="n">
        <x:f>IF($AH361&lt;&gt;"Valid","",YEAR($C361))</x:f>
        <x:v>2024</x:v>
      </x:c>
      <x:c r="AC361" s="80" t="str">
        <x:v>Consistent</x:v>
      </x:c>
      <x:c r="AD361" s="80" t="str">
        <x:v>Eligible</x:v>
      </x:c>
      <x:c r="AE361" s="80" t="str">
        <x:f>IF(OR($AH361&lt;&gt;"Valid",$AI361&lt;&gt;"Valid",$AJ361&lt;&gt;"Valid",LEFT($AM361,7)="Invalid",IFERROR(ABS($AQ361)&gt;0.01,FALSE),IFERROR(ABS($AR361)&gt;0.01,FALSE),COUNTIF($AS361,"*Conflicting duplicate*")&gt;0,COUNTIF($AS361,"*Completed order not paid*")&gt;0),"Invalid",IF(OR($H361="Unknown",$N361="Unknown",$AM361="Missing discount imputed as 0"),"Warning","Clean"))</x:f>
        <x:v>Clean</x:v>
      </x:c>
      <x:c r="AF361" s="80" t="str">
        <x:v>Pass</x:v>
      </x:c>
      <x:c r="AG361" s="80" t="str">
        <x:v>No text cleanup required</x:v>
      </x:c>
      <x:c r="AH361" s="12" t="str">
        <x:f>IF(C361="","Missing date",IF(ISNUMBER(C361),"Valid","Unrecognized/invalid date"))</x:f>
        <x:v>Valid</x:v>
      </x:c>
      <x:c r="AI361" s="12" t="str">
        <x:f>IF(D361="","Missing date",IF(ISNUMBER(D361),"Valid","Unrecognized/invalid date"))</x:f>
        <x:v>Valid</x:v>
      </x:c>
      <x:c r="AJ361" s="12" t="str">
        <x:v>Valid</x:v>
      </x:c>
      <x:c r="AK361" s="12" t="str">
        <x:v>Pass</x:v>
      </x:c>
      <x:c r="AL361" s="12" t="str">
        <x:v>None</x:v>
      </x:c>
      <x:c r="AM361" s="12" t="str">
        <x:v>Valid</x:v>
      </x:c>
      <x:c r="AN361" s="12" t="str">
        <x:v>Include in completed sales</x:v>
      </x:c>
      <x:c r="AO361" s="12" t="str">
        <x:v>Not a refunded record</x:v>
      </x:c>
      <x:c r="AP361" s="37" t="n">
        <x:f>IF(LEFT($AM361,7)="Invalid","",IF($AM361="Missing discount imputed as 0",IF(AND(COUNT($O361,$P361,$R361,$S361)=4,$O361&gt;0,$P361&gt;=0,$R361&gt;=0,$S361&gt;=0),0,""),IF(AND(ISNUMBER($Q361),$Q361&gt;=0,$Q361&lt;=0.5),$Q361,"")))</x:f>
        <x:v>0.1</x:v>
      </x:c>
      <x:c r="AQ361" s="152" t="n">
        <x:f>IF(OR($W361="",NOT(ISNUMBER($R361))),"",ROUND($R361-$W361,2))</x:f>
        <x:v>0</x:v>
      </x:c>
      <x:c r="AR361" s="152" t="n">
        <x:f>IF(OR($X361="",NOT(ISNUMBER($T361))),"",ROUND($T361-$X361,2))</x:f>
        <x:v>0</x:v>
      </x:c>
      <x:c r="AS361" s="14" t="str">
        <x:v>OK</x:v>
      </x:c>
    </x:row>
    <x:row r="362">
      <x:c r="A362" s="80" t="n">
        <x:v>362</x:v>
      </x:c>
      <x:c r="B362" s="80" t="str">
        <x:v>ORD-2024-10361</x:v>
      </x:c>
      <x:c r="C362" s="81" t="n">
        <x:v>45460</x:v>
      </x:c>
      <x:c r="D362" s="81" t="n">
        <x:v>45463</x:v>
      </x:c>
      <x:c r="E362" s="80" t="str">
        <x:v>CUST-3690</x:v>
      </x:c>
      <x:c r="F362" s="80" t="str">
        <x:v>Sneha Kapoor</x:v>
      </x:c>
      <x:c r="G362" s="80" t="str">
        <x:v>Small Business</x:v>
      </x:c>
      <x:c r="H362" s="80" t="str">
        <x:v>West</x:v>
      </x:c>
      <x:c r="I362" s="80" t="str">
        <x:v>Gujarat</x:v>
      </x:c>
      <x:c r="J362" s="80" t="str">
        <x:v>Ahmedabad</x:v>
      </x:c>
      <x:c r="K362" s="80" t="str">
        <x:v>Furniture</x:v>
      </x:c>
      <x:c r="L362" s="80" t="str">
        <x:v>Furnishings</x:v>
      </x:c>
      <x:c r="M362" s="80" t="str">
        <x:v>Elite Furnishings 634</x:v>
      </x:c>
      <x:c r="N362" s="80" t="str">
        <x:v>Standard Class</x:v>
      </x:c>
      <x:c r="O362" s="82" t="n">
        <x:v>7</x:v>
      </x:c>
      <x:c r="P362" s="83" t="n">
        <x:v>3155.25</x:v>
      </x:c>
      <x:c r="Q362" s="84" t="n">
        <x:v>0.2</x:v>
      </x:c>
      <x:c r="R362" s="83" t="n">
        <x:v>17669.4</x:v>
      </x:c>
      <x:c r="S362" s="83" t="n">
        <x:v>13718.77</x:v>
      </x:c>
      <x:c r="T362" s="83" t="n">
        <x:v>3950.63</x:v>
      </x:c>
      <x:c r="U362" s="83" t="str">
        <x:v>Refunded</x:v>
      </x:c>
      <x:c r="V362" s="83" t="str">
        <x:v>Cancelled</x:v>
      </x:c>
      <x:c r="W362" s="151" t="n">
        <x:f>IF(OR(NOT(ISNUMBER($AP362)),COUNT($O362,$P362)&lt;2,$O362&lt;=0,$P362&lt;0),"",ROUND($O362*$P362*(1-$AP362),2))</x:f>
        <x:v>17669.4</x:v>
      </x:c>
      <x:c r="X362" s="151" t="n">
        <x:f>IF(OR(NOT(ISNUMBER($W362)),NOT(ISNUMBER($S362))),"",ROUND($W362-$S362,2))</x:f>
        <x:v>3950.63</x:v>
      </x:c>
      <x:c r="Y362" s="85" t="n">
        <x:f>IF(OR(NOT(ISNUMBER($W362)),NOT(ISNUMBER($X362)),$W362=0),"",ROUND($X362/$W362,4))</x:f>
        <x:v>0.2236</x:v>
      </x:c>
      <x:c r="Z362" s="82" t="n">
        <x:f>IF(OR($AH362&lt;&gt;"Valid",$AI362&lt;&gt;"Valid"),"",INT($D362-$C362))</x:f>
        <x:v>3</x:v>
      </x:c>
      <x:c r="AA362" s="86" t="str">
        <x:f>IF($AH362&lt;&gt;"Valid","",TEXT($C362,"mmmm"))</x:f>
        <x:v>June</x:v>
      </x:c>
      <x:c r="AB362" s="82" t="n">
        <x:f>IF($AH362&lt;&gt;"Valid","",YEAR($C362))</x:f>
        <x:v>2024</x:v>
      </x:c>
      <x:c r="AC362" s="80" t="str">
        <x:v>Cancelled (excluded from completed-sales summary)</x:v>
      </x:c>
      <x:c r="AD362" s="80" t="str">
        <x:v>Excluded</x:v>
      </x:c>
      <x:c r="AE362" s="80" t="str">
        <x:f>IF(OR($AH362&lt;&gt;"Valid",$AI362&lt;&gt;"Valid",$AJ362&lt;&gt;"Valid",LEFT($AM362,7)="Invalid",IFERROR(ABS($AQ362)&gt;0.01,FALSE),IFERROR(ABS($AR362)&gt;0.01,FALSE),COUNTIF($AS362,"*Conflicting duplicate*")&gt;0,COUNTIF($AS362,"*Completed order not paid*")&gt;0),"Invalid",IF(OR($H362="Unknown",$N362="Unknown",$AM362="Missing discount imputed as 0"),"Warning","Clean"))</x:f>
        <x:v>Clean</x:v>
      </x:c>
      <x:c r="AF362" s="80" t="str">
        <x:v>Pass</x:v>
      </x:c>
      <x:c r="AG362" s="80" t="str">
        <x:v>No text cleanup required</x:v>
      </x:c>
      <x:c r="AH362" s="12" t="str">
        <x:f>IF(C362="","Missing date",IF(ISNUMBER(C362),"Valid","Unrecognized/invalid date"))</x:f>
        <x:v>Valid</x:v>
      </x:c>
      <x:c r="AI362" s="12" t="str">
        <x:f>IF(D362="","Missing date",IF(ISNUMBER(D362),"Valid","Unrecognized/invalid date"))</x:f>
        <x:v>Valid</x:v>
      </x:c>
      <x:c r="AJ362" s="12" t="str">
        <x:v>Valid</x:v>
      </x:c>
      <x:c r="AK362" s="12" t="str">
        <x:v>Pass</x:v>
      </x:c>
      <x:c r="AL362" s="12" t="str">
        <x:v>Cancelled order – excluded from completed sales; Refunded payment – separately summarized</x:v>
      </x:c>
      <x:c r="AM362" s="12" t="str">
        <x:v>Valid</x:v>
      </x:c>
      <x:c r="AN362" s="12" t="str">
        <x:v>Exclude from completed sales</x:v>
      </x:c>
      <x:c r="AO362" s="12" t="str">
        <x:v>Include in refunded summary</x:v>
      </x:c>
      <x:c r="AP362" s="37" t="n">
        <x:f>IF(LEFT($AM362,7)="Invalid","",IF($AM362="Missing discount imputed as 0",IF(AND(COUNT($O362,$P362,$R362,$S362)=4,$O362&gt;0,$P362&gt;=0,$R362&gt;=0,$S362&gt;=0),0,""),IF(AND(ISNUMBER($Q362),$Q362&gt;=0,$Q362&lt;=0.5),$Q362,"")))</x:f>
        <x:v>0.2</x:v>
      </x:c>
      <x:c r="AQ362" s="152" t="n">
        <x:f>IF(OR($W362="",NOT(ISNUMBER($R362))),"",ROUND($R362-$W362,2))</x:f>
        <x:v>0</x:v>
      </x:c>
      <x:c r="AR362" s="152" t="n">
        <x:f>IF(OR($X362="",NOT(ISNUMBER($T362))),"",ROUND($T362-$X362,2))</x:f>
        <x:v>0</x:v>
      </x:c>
      <x:c r="AS362" s="14" t="str">
        <x:v>OK</x:v>
      </x:c>
    </x:row>
    <x:row r="363">
      <x:c r="A363" s="80" t="n">
        <x:v>363</x:v>
      </x:c>
      <x:c r="B363" s="80" t="str">
        <x:v>ORD-2025-10362</x:v>
      </x:c>
      <x:c r="C363" s="81" t="n">
        <x:v>45748</x:v>
      </x:c>
      <x:c r="D363" s="81" t="n">
        <x:v>45749</x:v>
      </x:c>
      <x:c r="E363" s="80" t="str">
        <x:v>CUST-2909</x:v>
      </x:c>
      <x:c r="F363" s="80" t="str">
        <x:v>Rohan Mehta</x:v>
      </x:c>
      <x:c r="G363" s="80" t="str">
        <x:v>Corporate</x:v>
      </x:c>
      <x:c r="H363" s="80" t="str">
        <x:v>East</x:v>
      </x:c>
      <x:c r="I363" s="80" t="str">
        <x:v>Odisha</x:v>
      </x:c>
      <x:c r="J363" s="80" t="str">
        <x:v>Bhubaneswar</x:v>
      </x:c>
      <x:c r="K363" s="80" t="str">
        <x:v>Furniture</x:v>
      </x:c>
      <x:c r="L363" s="80" t="str">
        <x:v>Chairs</x:v>
      </x:c>
      <x:c r="M363" s="80" t="str">
        <x:v>Basic Chairs 113</x:v>
      </x:c>
      <x:c r="N363" s="80" t="str">
        <x:v>Second Class</x:v>
      </x:c>
      <x:c r="O363" s="82" t="n">
        <x:v>9</x:v>
      </x:c>
      <x:c r="P363" s="83" t="n">
        <x:v>4165.58</x:v>
      </x:c>
      <x:c r="Q363" s="84" t="n">
        <x:v>0.05</x:v>
      </x:c>
      <x:c r="R363" s="83" t="n">
        <x:v>35615.71</x:v>
      </x:c>
      <x:c r="S363" s="83" t="n">
        <x:v>20389.71</x:v>
      </x:c>
      <x:c r="T363" s="83" t="n">
        <x:v>15226</x:v>
      </x:c>
      <x:c r="U363" s="83" t="str">
        <x:v>Pending</x:v>
      </x:c>
      <x:c r="V363" s="83" t="str">
        <x:v>Returned</x:v>
      </x:c>
      <x:c r="W363" s="151" t="n">
        <x:f>IF(OR(NOT(ISNUMBER($AP363)),COUNT($O363,$P363)&lt;2,$O363&lt;=0,$P363&lt;0),"",ROUND($O363*$P363*(1-$AP363),2))</x:f>
        <x:v>35615.71</x:v>
      </x:c>
      <x:c r="X363" s="151" t="n">
        <x:f>IF(OR(NOT(ISNUMBER($W363)),NOT(ISNUMBER($S363))),"",ROUND($W363-$S363,2))</x:f>
        <x:v>15226</x:v>
      </x:c>
      <x:c r="Y363" s="85" t="n">
        <x:f>IF(OR(NOT(ISNUMBER($W363)),NOT(ISNUMBER($X363)),$W363=0),"",ROUND($X363/$W363,4))</x:f>
        <x:v>0.4275</x:v>
      </x:c>
      <x:c r="Z363" s="82" t="n">
        <x:f>IF(OR($AH363&lt;&gt;"Valid",$AI363&lt;&gt;"Valid"),"",INT($D363-$C363))</x:f>
        <x:v>1</x:v>
      </x:c>
      <x:c r="AA363" s="86" t="str">
        <x:f>IF($AH363&lt;&gt;"Valid","",TEXT($C363,"mmmm"))</x:f>
        <x:v>April</x:v>
      </x:c>
      <x:c r="AB363" s="82" t="n">
        <x:f>IF($AH363&lt;&gt;"Valid","",YEAR($C363))</x:f>
        <x:v>2025</x:v>
      </x:c>
      <x:c r="AC363" s="80" t="str">
        <x:v>Consistent</x:v>
      </x:c>
      <x:c r="AD363" s="80" t="str">
        <x:v>Excluded</x:v>
      </x:c>
      <x:c r="AE363" s="80" t="str">
        <x:f>IF(OR($AH363&lt;&gt;"Valid",$AI363&lt;&gt;"Valid",$AJ363&lt;&gt;"Valid",LEFT($AM363,7)="Invalid",IFERROR(ABS($AQ363)&gt;0.01,FALSE),IFERROR(ABS($AR363)&gt;0.01,FALSE),COUNTIF($AS363,"*Conflicting duplicate*")&gt;0,COUNTIF($AS363,"*Completed order not paid*")&gt;0),"Invalid",IF(OR($H363="Unknown",$N363="Unknown",$AM363="Missing discount imputed as 0"),"Warning","Clean"))</x:f>
        <x:v>Clean</x:v>
      </x:c>
      <x:c r="AF363" s="80" t="str">
        <x:v>Pass</x:v>
      </x:c>
      <x:c r="AG363" s="80" t="str">
        <x:v>No text cleanup required</x:v>
      </x:c>
      <x:c r="AH363" s="12" t="str">
        <x:f>IF(C363="","Missing date",IF(ISNUMBER(C363),"Valid","Unrecognized/invalid date"))</x:f>
        <x:v>Valid</x:v>
      </x:c>
      <x:c r="AI363" s="12" t="str">
        <x:f>IF(D363="","Missing date",IF(ISNUMBER(D363),"Valid","Unrecognized/invalid date"))</x:f>
        <x:v>Valid</x:v>
      </x:c>
      <x:c r="AJ363" s="12" t="str">
        <x:v>Valid</x:v>
      </x:c>
      <x:c r="AK363" s="12" t="str">
        <x:v>Pass</x:v>
      </x:c>
      <x:c r="AL363" s="12" t="str">
        <x:v>None</x:v>
      </x:c>
      <x:c r="AM363" s="12" t="str">
        <x:v>Valid</x:v>
      </x:c>
      <x:c r="AN363" s="12" t="str">
        <x:v>Exclude from completed sales</x:v>
      </x:c>
      <x:c r="AO363" s="12" t="str">
        <x:v>Not a refunded record</x:v>
      </x:c>
      <x:c r="AP363" s="37" t="n">
        <x:f>IF(LEFT($AM363,7)="Invalid","",IF($AM363="Missing discount imputed as 0",IF(AND(COUNT($O363,$P363,$R363,$S363)=4,$O363&gt;0,$P363&gt;=0,$R363&gt;=0,$S363&gt;=0),0,""),IF(AND(ISNUMBER($Q363),$Q363&gt;=0,$Q363&lt;=0.5),$Q363,"")))</x:f>
        <x:v>0.05</x:v>
      </x:c>
      <x:c r="AQ363" s="152" t="n">
        <x:f>IF(OR($W363="",NOT(ISNUMBER($R363))),"",ROUND($R363-$W363,2))</x:f>
        <x:v>0</x:v>
      </x:c>
      <x:c r="AR363" s="152" t="n">
        <x:f>IF(OR($X363="",NOT(ISNUMBER($T363))),"",ROUND($T363-$X363,2))</x:f>
        <x:v>0</x:v>
      </x:c>
      <x:c r="AS363" s="14" t="str">
        <x:v>OK</x:v>
      </x:c>
    </x:row>
    <x:row r="364">
      <x:c r="A364" s="80" t="n">
        <x:v>364</x:v>
      </x:c>
      <x:c r="B364" s="80" t="str">
        <x:v>ORD-2024-10363</x:v>
      </x:c>
      <x:c r="C364" s="81" t="n">
        <x:v>45527</x:v>
      </x:c>
      <x:c r="D364" s="81" t="n">
        <x:v>45529</x:v>
      </x:c>
      <x:c r="E364" s="80" t="str">
        <x:v>CUST-6755</x:v>
      </x:c>
      <x:c r="F364" s="80" t="str">
        <x:v>Vikram Iyer</x:v>
      </x:c>
      <x:c r="G364" s="80" t="str">
        <x:v>Consumer</x:v>
      </x:c>
      <x:c r="H364" s="80" t="str">
        <x:v>West</x:v>
      </x:c>
      <x:c r="I364" s="80" t="str">
        <x:v>Goa</x:v>
      </x:c>
      <x:c r="J364" s="80" t="str">
        <x:v>Panaji</x:v>
      </x:c>
      <x:c r="K364" s="80" t="str">
        <x:v>Technology</x:v>
      </x:c>
      <x:c r="L364" s="80" t="str">
        <x:v>Machines</x:v>
      </x:c>
      <x:c r="M364" s="80" t="str">
        <x:v>Elite Machines 216</x:v>
      </x:c>
      <x:c r="N364" s="80" t="str">
        <x:v>Same Day</x:v>
      </x:c>
      <x:c r="O364" s="82" t="n">
        <x:v>4</x:v>
      </x:c>
      <x:c r="P364" s="83" t="n">
        <x:v>491.16</x:v>
      </x:c>
      <x:c r="Q364" s="84" t="n">
        <x:v>0.05</x:v>
      </x:c>
      <x:c r="R364" s="83" t="n">
        <x:v>1866.41</x:v>
      </x:c>
      <x:c r="S364" s="83" t="n">
        <x:v>1576.49</x:v>
      </x:c>
      <x:c r="T364" s="83" t="n">
        <x:v>289.92</x:v>
      </x:c>
      <x:c r="U364" s="83" t="str">
        <x:v>Paid</x:v>
      </x:c>
      <x:c r="V364" s="83" t="str">
        <x:v>Completed</x:v>
      </x:c>
      <x:c r="W364" s="151" t="n">
        <x:f>IF(OR(NOT(ISNUMBER($AP364)),COUNT($O364,$P364)&lt;2,$O364&lt;=0,$P364&lt;0),"",ROUND($O364*$P364*(1-$AP364),2))</x:f>
        <x:v>1866.41</x:v>
      </x:c>
      <x:c r="X364" s="151" t="n">
        <x:f>IF(OR(NOT(ISNUMBER($W364)),NOT(ISNUMBER($S364))),"",ROUND($W364-$S364,2))</x:f>
        <x:v>289.92</x:v>
      </x:c>
      <x:c r="Y364" s="85" t="n">
        <x:f>IF(OR(NOT(ISNUMBER($W364)),NOT(ISNUMBER($X364)),$W364=0),"",ROUND($X364/$W364,4))</x:f>
        <x:v>0.1553</x:v>
      </x:c>
      <x:c r="Z364" s="82" t="n">
        <x:f>IF(OR($AH364&lt;&gt;"Valid",$AI364&lt;&gt;"Valid"),"",INT($D364-$C364))</x:f>
        <x:v>2</x:v>
      </x:c>
      <x:c r="AA364" s="86" t="str">
        <x:f>IF($AH364&lt;&gt;"Valid","",TEXT($C364,"mmmm"))</x:f>
        <x:v>August</x:v>
      </x:c>
      <x:c r="AB364" s="82" t="n">
        <x:f>IF($AH364&lt;&gt;"Valid","",YEAR($C364))</x:f>
        <x:v>2024</x:v>
      </x:c>
      <x:c r="AC364" s="80" t="str">
        <x:v>Consistent</x:v>
      </x:c>
      <x:c r="AD364" s="80" t="str">
        <x:v>Eligible</x:v>
      </x:c>
      <x:c r="AE364" s="80" t="str">
        <x:f>IF(OR($AH364&lt;&gt;"Valid",$AI364&lt;&gt;"Valid",$AJ364&lt;&gt;"Valid",LEFT($AM364,7)="Invalid",IFERROR(ABS($AQ364)&gt;0.01,FALSE),IFERROR(ABS($AR364)&gt;0.01,FALSE),COUNTIF($AS364,"*Conflicting duplicate*")&gt;0,COUNTIF($AS364,"*Completed order not paid*")&gt;0),"Invalid",IF(OR($H364="Unknown",$N364="Unknown",$AM364="Missing discount imputed as 0"),"Warning","Clean"))</x:f>
        <x:v>Clean</x:v>
      </x:c>
      <x:c r="AF364" s="80" t="str">
        <x:v>Pass</x:v>
      </x:c>
      <x:c r="AG364" s="80" t="str">
        <x:v>No text cleanup required</x:v>
      </x:c>
      <x:c r="AH364" s="12" t="str">
        <x:f>IF(C364="","Missing date",IF(ISNUMBER(C364),"Valid","Unrecognized/invalid date"))</x:f>
        <x:v>Valid</x:v>
      </x:c>
      <x:c r="AI364" s="12" t="str">
        <x:f>IF(D364="","Missing date",IF(ISNUMBER(D364),"Valid","Unrecognized/invalid date"))</x:f>
        <x:v>Valid</x:v>
      </x:c>
      <x:c r="AJ364" s="12" t="str">
        <x:v>Valid</x:v>
      </x:c>
      <x:c r="AK364" s="12" t="str">
        <x:v>Pass</x:v>
      </x:c>
      <x:c r="AL364" s="12" t="str">
        <x:v>None</x:v>
      </x:c>
      <x:c r="AM364" s="12" t="str">
        <x:v>Valid</x:v>
      </x:c>
      <x:c r="AN364" s="12" t="str">
        <x:v>Include in completed sales</x:v>
      </x:c>
      <x:c r="AO364" s="12" t="str">
        <x:v>Not a refunded record</x:v>
      </x:c>
      <x:c r="AP364" s="37" t="n">
        <x:f>IF(LEFT($AM364,7)="Invalid","",IF($AM364="Missing discount imputed as 0",IF(AND(COUNT($O364,$P364,$R364,$S364)=4,$O364&gt;0,$P364&gt;=0,$R364&gt;=0,$S364&gt;=0),0,""),IF(AND(ISNUMBER($Q364),$Q364&gt;=0,$Q364&lt;=0.5),$Q364,"")))</x:f>
        <x:v>0.05</x:v>
      </x:c>
      <x:c r="AQ364" s="152" t="n">
        <x:f>IF(OR($W364="",NOT(ISNUMBER($R364))),"",ROUND($R364-$W364,2))</x:f>
        <x:v>0</x:v>
      </x:c>
      <x:c r="AR364" s="152" t="n">
        <x:f>IF(OR($X364="",NOT(ISNUMBER($T364))),"",ROUND($T364-$X364,2))</x:f>
        <x:v>0</x:v>
      </x:c>
      <x:c r="AS364" s="14" t="str">
        <x:v>OK</x:v>
      </x:c>
    </x:row>
    <x:row r="365">
      <x:c r="A365" s="80" t="n">
        <x:v>365</x:v>
      </x:c>
      <x:c r="B365" s="80" t="str">
        <x:v>ORD-2025-10364</x:v>
      </x:c>
      <x:c r="C365" s="81" t="n">
        <x:v>45845</x:v>
      </x:c>
      <x:c r="D365" s="81" t="n">
        <x:v>45850</x:v>
      </x:c>
      <x:c r="E365" s="80" t="str">
        <x:v>CUST-1832</x:v>
      </x:c>
      <x:c r="F365" s="80" t="str">
        <x:v>Diya Patel</x:v>
      </x:c>
      <x:c r="G365" s="80" t="str">
        <x:v>Corporate</x:v>
      </x:c>
      <x:c r="H365" s="80" t="str">
        <x:v>East</x:v>
      </x:c>
      <x:c r="I365" s="80" t="str">
        <x:v>West Bengal</x:v>
      </x:c>
      <x:c r="J365" s="80" t="str">
        <x:v>Kolkata</x:v>
      </x:c>
      <x:c r="K365" s="80" t="str">
        <x:v>Furniture</x:v>
      </x:c>
      <x:c r="L365" s="80" t="str">
        <x:v>Tables</x:v>
      </x:c>
      <x:c r="M365" s="80" t="str">
        <x:v>Smart Tables 943</x:v>
      </x:c>
      <x:c r="N365" s="80" t="str">
        <x:v>Second Class</x:v>
      </x:c>
      <x:c r="O365" s="82" t="n">
        <x:v>5</x:v>
      </x:c>
      <x:c r="P365" s="83" t="n">
        <x:v>1831.37</x:v>
      </x:c>
      <x:c r="Q365" s="84" t="n">
        <x:v>0.25</x:v>
      </x:c>
      <x:c r="R365" s="83" t="n">
        <x:v>6867.64</x:v>
      </x:c>
      <x:c r="S365" s="83" t="n">
        <x:v>5205.36</x:v>
      </x:c>
      <x:c r="T365" s="83" t="n">
        <x:v>1662.28</x:v>
      </x:c>
      <x:c r="U365" s="83" t="str">
        <x:v>Paid</x:v>
      </x:c>
      <x:c r="V365" s="83" t="str">
        <x:v>Completed</x:v>
      </x:c>
      <x:c r="W365" s="151" t="n">
        <x:f>IF(OR(NOT(ISNUMBER($AP365)),COUNT($O365,$P365)&lt;2,$O365&lt;=0,$P365&lt;0),"",ROUND($O365*$P365*(1-$AP365),2))</x:f>
        <x:v>6867.64</x:v>
      </x:c>
      <x:c r="X365" s="151" t="n">
        <x:f>IF(OR(NOT(ISNUMBER($W365)),NOT(ISNUMBER($S365))),"",ROUND($W365-$S365,2))</x:f>
        <x:v>1662.28</x:v>
      </x:c>
      <x:c r="Y365" s="85" t="n">
        <x:f>IF(OR(NOT(ISNUMBER($W365)),NOT(ISNUMBER($X365)),$W365=0),"",ROUND($X365/$W365,4))</x:f>
        <x:v>0.242</x:v>
      </x:c>
      <x:c r="Z365" s="82" t="n">
        <x:f>IF(OR($AH365&lt;&gt;"Valid",$AI365&lt;&gt;"Valid"),"",INT($D365-$C365))</x:f>
        <x:v>5</x:v>
      </x:c>
      <x:c r="AA365" s="86" t="str">
        <x:f>IF($AH365&lt;&gt;"Valid","",TEXT($C365,"mmmm"))</x:f>
        <x:v>July</x:v>
      </x:c>
      <x:c r="AB365" s="82" t="n">
        <x:f>IF($AH365&lt;&gt;"Valid","",YEAR($C365))</x:f>
        <x:v>2025</x:v>
      </x:c>
      <x:c r="AC365" s="80" t="str">
        <x:v>Consistent</x:v>
      </x:c>
      <x:c r="AD365" s="80" t="str">
        <x:v>Eligible</x:v>
      </x:c>
      <x:c r="AE365" s="80" t="str">
        <x:f>IF(OR($AH365&lt;&gt;"Valid",$AI365&lt;&gt;"Valid",$AJ365&lt;&gt;"Valid",LEFT($AM365,7)="Invalid",IFERROR(ABS($AQ365)&gt;0.01,FALSE),IFERROR(ABS($AR365)&gt;0.01,FALSE),COUNTIF($AS365,"*Conflicting duplicate*")&gt;0,COUNTIF($AS365,"*Completed order not paid*")&gt;0),"Invalid",IF(OR($H365="Unknown",$N365="Unknown",$AM365="Missing discount imputed as 0"),"Warning","Clean"))</x:f>
        <x:v>Clean</x:v>
      </x:c>
      <x:c r="AF365" s="80" t="str">
        <x:v>Pass</x:v>
      </x:c>
      <x:c r="AG365" s="80" t="str">
        <x:v>No text cleanup required</x:v>
      </x:c>
      <x:c r="AH365" s="12" t="str">
        <x:f>IF(C365="","Missing date",IF(ISNUMBER(C365),"Valid","Unrecognized/invalid date"))</x:f>
        <x:v>Valid</x:v>
      </x:c>
      <x:c r="AI365" s="12" t="str">
        <x:f>IF(D365="","Missing date",IF(ISNUMBER(D365),"Valid","Unrecognized/invalid date"))</x:f>
        <x:v>Valid</x:v>
      </x:c>
      <x:c r="AJ365" s="12" t="str">
        <x:v>Valid</x:v>
      </x:c>
      <x:c r="AK365" s="12" t="str">
        <x:v>Pass</x:v>
      </x:c>
      <x:c r="AL365" s="12" t="str">
        <x:v>None</x:v>
      </x:c>
      <x:c r="AM365" s="12" t="str">
        <x:v>Valid</x:v>
      </x:c>
      <x:c r="AN365" s="12" t="str">
        <x:v>Include in completed sales</x:v>
      </x:c>
      <x:c r="AO365" s="12" t="str">
        <x:v>Not a refunded record</x:v>
      </x:c>
      <x:c r="AP365" s="37" t="n">
        <x:f>IF(LEFT($AM365,7)="Invalid","",IF($AM365="Missing discount imputed as 0",IF(AND(COUNT($O365,$P365,$R365,$S365)=4,$O365&gt;0,$P365&gt;=0,$R365&gt;=0,$S365&gt;=0),0,""),IF(AND(ISNUMBER($Q365),$Q365&gt;=0,$Q365&lt;=0.5),$Q365,"")))</x:f>
        <x:v>0.25</x:v>
      </x:c>
      <x:c r="AQ365" s="152" t="n">
        <x:f>IF(OR($W365="",NOT(ISNUMBER($R365))),"",ROUND($R365-$W365,2))</x:f>
        <x:v>0</x:v>
      </x:c>
      <x:c r="AR365" s="152" t="n">
        <x:f>IF(OR($X365="",NOT(ISNUMBER($T365))),"",ROUND($T365-$X365,2))</x:f>
        <x:v>0</x:v>
      </x:c>
      <x:c r="AS365" s="14" t="str">
        <x:v>OK</x:v>
      </x:c>
    </x:row>
    <x:row r="366">
      <x:c r="A366" s="80" t="n">
        <x:v>366</x:v>
      </x:c>
      <x:c r="B366" s="80" t="str">
        <x:v>ORD-2025-10365</x:v>
      </x:c>
      <x:c r="C366" s="81" t="n">
        <x:v>45737</x:v>
      </x:c>
      <x:c r="D366" s="81" t="n">
        <x:v>45740</x:v>
      </x:c>
      <x:c r="E366" s="80" t="str">
        <x:v>CUST-4452</x:v>
      </x:c>
      <x:c r="F366" s="80" t="str">
        <x:v>Aarav Sharma</x:v>
      </x:c>
      <x:c r="G366" s="80" t="str">
        <x:v>Small Business</x:v>
      </x:c>
      <x:c r="H366" s="80" t="str">
        <x:v>South</x:v>
      </x:c>
      <x:c r="I366" s="80" t="str">
        <x:v>Andhra Pradesh</x:v>
      </x:c>
      <x:c r="J366" s="80" t="str">
        <x:v>Vijayawada</x:v>
      </x:c>
      <x:c r="K366" s="80" t="str">
        <x:v>Furniture</x:v>
      </x:c>
      <x:c r="L366" s="80" t="str">
        <x:v>Chairs</x:v>
      </x:c>
      <x:c r="M366" s="80" t="str">
        <x:v>Prime Chairs 101</x:v>
      </x:c>
      <x:c r="N366" s="80" t="str">
        <x:v>Second Class</x:v>
      </x:c>
      <x:c r="O366" s="82" t="n">
        <x:v>5</x:v>
      </x:c>
      <x:c r="P366" s="83" t="n">
        <x:v>1239.15</x:v>
      </x:c>
      <x:c r="Q366" s="84" t="n">
        <x:v>0</x:v>
      </x:c>
      <x:c r="R366" s="83" t="n">
        <x:v>6195.75</x:v>
      </x:c>
      <x:c r="S366" s="83" t="n">
        <x:v>3967.02</x:v>
      </x:c>
      <x:c r="T366" s="83" t="n">
        <x:v>2228.73</x:v>
      </x:c>
      <x:c r="U366" s="83" t="str">
        <x:v>Paid</x:v>
      </x:c>
      <x:c r="V366" s="83" t="str">
        <x:v>Completed</x:v>
      </x:c>
      <x:c r="W366" s="151" t="n">
        <x:f>IF(OR(NOT(ISNUMBER($AP366)),COUNT($O366,$P366)&lt;2,$O366&lt;=0,$P366&lt;0),"",ROUND($O366*$P366*(1-$AP366),2))</x:f>
        <x:v>6195.75</x:v>
      </x:c>
      <x:c r="X366" s="151" t="n">
        <x:f>IF(OR(NOT(ISNUMBER($W366)),NOT(ISNUMBER($S366))),"",ROUND($W366-$S366,2))</x:f>
        <x:v>2228.73</x:v>
      </x:c>
      <x:c r="Y366" s="85" t="n">
        <x:f>IF(OR(NOT(ISNUMBER($W366)),NOT(ISNUMBER($X366)),$W366=0),"",ROUND($X366/$W366,4))</x:f>
        <x:v>0.3597</x:v>
      </x:c>
      <x:c r="Z366" s="82" t="n">
        <x:f>IF(OR($AH366&lt;&gt;"Valid",$AI366&lt;&gt;"Valid"),"",INT($D366-$C366))</x:f>
        <x:v>3</x:v>
      </x:c>
      <x:c r="AA366" s="86" t="str">
        <x:f>IF($AH366&lt;&gt;"Valid","",TEXT($C366,"mmmm"))</x:f>
        <x:v>March</x:v>
      </x:c>
      <x:c r="AB366" s="82" t="n">
        <x:f>IF($AH366&lt;&gt;"Valid","",YEAR($C366))</x:f>
        <x:v>2025</x:v>
      </x:c>
      <x:c r="AC366" s="80" t="str">
        <x:v>Consistent</x:v>
      </x:c>
      <x:c r="AD366" s="80" t="str">
        <x:v>Eligible</x:v>
      </x:c>
      <x:c r="AE366" s="80" t="str">
        <x:f>IF(OR($AH366&lt;&gt;"Valid",$AI366&lt;&gt;"Valid",$AJ366&lt;&gt;"Valid",LEFT($AM366,7)="Invalid",IFERROR(ABS($AQ366)&gt;0.01,FALSE),IFERROR(ABS($AR366)&gt;0.01,FALSE),COUNTIF($AS366,"*Conflicting duplicate*")&gt;0,COUNTIF($AS366,"*Completed order not paid*")&gt;0),"Invalid",IF(OR($H366="Unknown",$N366="Unknown",$AM366="Missing discount imputed as 0"),"Warning","Clean"))</x:f>
        <x:v>Clean</x:v>
      </x:c>
      <x:c r="AF366" s="80" t="str">
        <x:v>Pass</x:v>
      </x:c>
      <x:c r="AG366" s="80" t="str">
        <x:v>No text cleanup required</x:v>
      </x:c>
      <x:c r="AH366" s="12" t="str">
        <x:f>IF(C366="","Missing date",IF(ISNUMBER(C366),"Valid","Unrecognized/invalid date"))</x:f>
        <x:v>Valid</x:v>
      </x:c>
      <x:c r="AI366" s="12" t="str">
        <x:f>IF(D366="","Missing date",IF(ISNUMBER(D366),"Valid","Unrecognized/invalid date"))</x:f>
        <x:v>Valid</x:v>
      </x:c>
      <x:c r="AJ366" s="12" t="str">
        <x:v>Valid</x:v>
      </x:c>
      <x:c r="AK366" s="12" t="str">
        <x:v>Pass</x:v>
      </x:c>
      <x:c r="AL366" s="12" t="str">
        <x:v>None</x:v>
      </x:c>
      <x:c r="AM366" s="12" t="str">
        <x:v>Valid</x:v>
      </x:c>
      <x:c r="AN366" s="12" t="str">
        <x:v>Include in completed sales</x:v>
      </x:c>
      <x:c r="AO366" s="12" t="str">
        <x:v>Not a refunded record</x:v>
      </x:c>
      <x:c r="AP366" s="37" t="n">
        <x:f>IF(LEFT($AM366,7)="Invalid","",IF($AM366="Missing discount imputed as 0",IF(AND(COUNT($O366,$P366,$R366,$S366)=4,$O366&gt;0,$P366&gt;=0,$R366&gt;=0,$S366&gt;=0),0,""),IF(AND(ISNUMBER($Q366),$Q366&gt;=0,$Q366&lt;=0.5),$Q366,"")))</x:f>
        <x:v>0</x:v>
      </x:c>
      <x:c r="AQ366" s="152" t="n">
        <x:f>IF(OR($W366="",NOT(ISNUMBER($R366))),"",ROUND($R366-$W366,2))</x:f>
        <x:v>0</x:v>
      </x:c>
      <x:c r="AR366" s="152" t="n">
        <x:f>IF(OR($X366="",NOT(ISNUMBER($T366))),"",ROUND($T366-$X366,2))</x:f>
        <x:v>0</x:v>
      </x:c>
      <x:c r="AS366" s="14" t="str">
        <x:v>OK</x:v>
      </x:c>
    </x:row>
    <x:row r="367">
      <x:c r="A367" s="80" t="n">
        <x:v>367</x:v>
      </x:c>
      <x:c r="B367" s="80" t="str">
        <x:v>ORD-2024-10366</x:v>
      </x:c>
      <x:c r="C367" s="81" t="n">
        <x:v>45458</x:v>
      </x:c>
      <x:c r="D367" s="81" t="n">
        <x:v>45464</x:v>
      </x:c>
      <x:c r="E367" s="80" t="str">
        <x:v>CUST-2203</x:v>
      </x:c>
      <x:c r="F367" s="80" t="str">
        <x:v>Aditi Sen</x:v>
      </x:c>
      <x:c r="G367" s="80" t="str">
        <x:v>Corporate</x:v>
      </x:c>
      <x:c r="H367" s="80" t="str">
        <x:v>West</x:v>
      </x:c>
      <x:c r="I367" s="80" t="str">
        <x:v>Goa</x:v>
      </x:c>
      <x:c r="J367" s="80" t="str">
        <x:v>Panaji</x:v>
      </x:c>
      <x:c r="K367" s="80" t="str">
        <x:v>Technology</x:v>
      </x:c>
      <x:c r="L367" s="80" t="str">
        <x:v>Accessories</x:v>
      </x:c>
      <x:c r="M367" s="80" t="str">
        <x:v>Basic Accessories 774</x:v>
      </x:c>
      <x:c r="N367" s="80" t="str">
        <x:v>First Class</x:v>
      </x:c>
      <x:c r="O367" s="82" t="n">
        <x:v>8</x:v>
      </x:c>
      <x:c r="P367" s="83" t="n">
        <x:v>1706.4</x:v>
      </x:c>
      <x:c r="Q367" s="84" t="n">
        <x:v>0</x:v>
      </x:c>
      <x:c r="R367" s="83" t="n">
        <x:v>12968.64</x:v>
      </x:c>
      <x:c r="S367" s="83" t="n">
        <x:v>10119.61</x:v>
      </x:c>
      <x:c r="T367" s="83" t="n">
        <x:v>2849.03</x:v>
      </x:c>
      <x:c r="U367" s="83" t="str">
        <x:v>Paid</x:v>
      </x:c>
      <x:c r="V367" s="83" t="str">
        <x:v>Completed</x:v>
      </x:c>
      <x:c r="W367" s="151" t="n">
        <x:f>IF(OR(NOT(ISNUMBER($AP367)),COUNT($O367,$P367)&lt;2,$O367&lt;=0,$P367&lt;0),"",ROUND($O367*$P367*(1-$AP367),2))</x:f>
        <x:v>13651.2</x:v>
      </x:c>
      <x:c r="X367" s="151" t="n">
        <x:f>IF(OR(NOT(ISNUMBER($W367)),NOT(ISNUMBER($S367))),"",ROUND($W367-$S367,2))</x:f>
        <x:v>3531.59</x:v>
      </x:c>
      <x:c r="Y367" s="85" t="n">
        <x:f>IF(OR(NOT(ISNUMBER($W367)),NOT(ISNUMBER($X367)),$W367=0),"",ROUND($X367/$W367,4))</x:f>
        <x:v>0.2587</x:v>
      </x:c>
      <x:c r="Z367" s="82" t="n">
        <x:f>IF(OR($AH367&lt;&gt;"Valid",$AI367&lt;&gt;"Valid"),"",INT($D367-$C367))</x:f>
        <x:v>6</x:v>
      </x:c>
      <x:c r="AA367" s="86" t="str">
        <x:f>IF($AH367&lt;&gt;"Valid","",TEXT($C367,"mmmm"))</x:f>
        <x:v>June</x:v>
      </x:c>
      <x:c r="AB367" s="82" t="n">
        <x:f>IF($AH367&lt;&gt;"Valid","",YEAR($C367))</x:f>
        <x:v>2024</x:v>
      </x:c>
      <x:c r="AC367" s="80" t="str">
        <x:v>Consistent</x:v>
      </x:c>
      <x:c r="AD367" s="80" t="str">
        <x:v>Excluded</x:v>
      </x:c>
      <x:c r="AE367" s="80" t="str">
        <x:f>IF(OR($AH367&lt;&gt;"Valid",$AI367&lt;&gt;"Valid",$AJ367&lt;&gt;"Valid",LEFT($AM367,7)="Invalid",IFERROR(ABS($AQ367)&gt;0.01,FALSE),IFERROR(ABS($AR367)&gt;0.01,FALSE),COUNTIF($AS367,"*Conflicting duplicate*")&gt;0,COUNTIF($AS367,"*Completed order not paid*")&gt;0),"Invalid",IF(OR($H367="Unknown",$N367="Unknown",$AM367="Missing discount imputed as 0"),"Warning","Clean"))</x:f>
        <x:v>Invalid</x:v>
      </x:c>
      <x:c r="AF367" s="80" t="str">
        <x:v>Review</x:v>
      </x:c>
      <x:c r="AG367" s="80" t="str">
        <x:v>discount: Imputed 0; discount: Missing value set to 0 after sales-field validation</x:v>
      </x:c>
      <x:c r="AH367" s="12" t="str">
        <x:f>IF(C367="","Missing date",IF(ISNUMBER(C367),"Valid","Unrecognized/invalid date"))</x:f>
        <x:v>Valid</x:v>
      </x:c>
      <x:c r="AI367" s="12" t="str">
        <x:f>IF(D367="","Missing date",IF(ISNUMBER(D367),"Valid","Unrecognized/invalid date"))</x:f>
        <x:v>Valid</x:v>
      </x:c>
      <x:c r="AJ367" s="12" t="str">
        <x:v>Valid</x:v>
      </x:c>
      <x:c r="AK367" s="12" t="str">
        <x:v>Pass</x:v>
      </x:c>
      <x:c r="AL367" s="12" t="str">
        <x:v>Missing discount imputed as 0</x:v>
      </x:c>
      <x:c r="AM367" s="12" t="str">
        <x:v>Missing discount imputed as 0</x:v>
      </x:c>
      <x:c r="AN367" s="12" t="str">
        <x:v>Exclude from completed sales</x:v>
      </x:c>
      <x:c r="AO367" s="12" t="str">
        <x:v>Not a refunded record</x:v>
      </x:c>
      <x:c r="AP367" s="37" t="n">
        <x:f>IF(LEFT($AM367,7)="Invalid","",IF($AM367="Missing discount imputed as 0",IF(AND(COUNT($O367,$P367,$R367,$S367)=4,$O367&gt;0,$P367&gt;=0,$R367&gt;=0,$S367&gt;=0),0,""),IF(AND(ISNUMBER($Q367),$Q367&gt;=0,$Q367&lt;=0.5),$Q367,"")))</x:f>
        <x:v>0</x:v>
      </x:c>
      <x:c r="AQ367" s="152" t="n">
        <x:f>IF(OR($W367="",NOT(ISNUMBER($R367))),"",ROUND($R367-$W367,2))</x:f>
        <x:v>-682.56</x:v>
      </x:c>
      <x:c r="AR367" s="152" t="n">
        <x:f>IF(OR($X367="",NOT(ISNUMBER($T367))),"",ROUND($T367-$X367,2))</x:f>
        <x:v>-682.56</x:v>
      </x:c>
      <x:c r="AS367" s="14" t="str">
        <x:v>Sales calculation mismatch</x:v>
      </x:c>
    </x:row>
    <x:row r="368">
      <x:c r="A368" s="80" t="n">
        <x:v>368</x:v>
      </x:c>
      <x:c r="B368" s="80" t="str">
        <x:v>ORD-2025-10367</x:v>
      </x:c>
      <x:c r="C368" s="81" t="n">
        <x:v>45673</x:v>
      </x:c>
      <x:c r="D368" s="81" t="n">
        <x:v>45679</x:v>
      </x:c>
      <x:c r="E368" s="80" t="str">
        <x:v>CUST-5397</x:v>
      </x:c>
      <x:c r="F368" s="80" t="str">
        <x:v>Sneha Kapoor</x:v>
      </x:c>
      <x:c r="G368" s="80" t="str">
        <x:v>Corporate</x:v>
      </x:c>
      <x:c r="H368" s="80" t="str">
        <x:v>North</x:v>
      </x:c>
      <x:c r="I368" s="80" t="str">
        <x:v>Rajasthan</x:v>
      </x:c>
      <x:c r="J368" s="80" t="str">
        <x:v>Jaipur</x:v>
      </x:c>
      <x:c r="K368" s="80" t="str">
        <x:v>Furniture</x:v>
      </x:c>
      <x:c r="L368" s="80" t="str">
        <x:v>Tables</x:v>
      </x:c>
      <x:c r="M368" s="80" t="str">
        <x:v>Max Tables 478</x:v>
      </x:c>
      <x:c r="N368" s="80" t="str">
        <x:v>Same Day</x:v>
      </x:c>
      <x:c r="O368" s="82" t="n">
        <x:v>2</x:v>
      </x:c>
      <x:c r="P368" s="83" t="n">
        <x:v>4418.28</x:v>
      </x:c>
      <x:c r="Q368" s="84" t="n">
        <x:v>0</x:v>
      </x:c>
      <x:c r="R368" s="83" t="n">
        <x:v>8836.56</x:v>
      </x:c>
      <x:c r="S368" s="83" t="n">
        <x:v>5867.75</x:v>
      </x:c>
      <x:c r="T368" s="83" t="n">
        <x:v>2968.81</x:v>
      </x:c>
      <x:c r="U368" s="83" t="str">
        <x:v>Paid</x:v>
      </x:c>
      <x:c r="V368" s="83" t="str">
        <x:v>Completed</x:v>
      </x:c>
      <x:c r="W368" s="151" t="n">
        <x:f>IF(OR(NOT(ISNUMBER($AP368)),COUNT($O368,$P368)&lt;2,$O368&lt;=0,$P368&lt;0),"",ROUND($O368*$P368*(1-$AP368),2))</x:f>
        <x:v>8836.56</x:v>
      </x:c>
      <x:c r="X368" s="151" t="n">
        <x:f>IF(OR(NOT(ISNUMBER($W368)),NOT(ISNUMBER($S368))),"",ROUND($W368-$S368,2))</x:f>
        <x:v>2968.81</x:v>
      </x:c>
      <x:c r="Y368" s="85" t="n">
        <x:f>IF(OR(NOT(ISNUMBER($W368)),NOT(ISNUMBER($X368)),$W368=0),"",ROUND($X368/$W368,4))</x:f>
        <x:v>0.336</x:v>
      </x:c>
      <x:c r="Z368" s="82" t="n">
        <x:f>IF(OR($AH368&lt;&gt;"Valid",$AI368&lt;&gt;"Valid"),"",INT($D368-$C368))</x:f>
        <x:v>6</x:v>
      </x:c>
      <x:c r="AA368" s="86" t="str">
        <x:f>IF($AH368&lt;&gt;"Valid","",TEXT($C368,"mmmm"))</x:f>
        <x:v>January</x:v>
      </x:c>
      <x:c r="AB368" s="82" t="n">
        <x:f>IF($AH368&lt;&gt;"Valid","",YEAR($C368))</x:f>
        <x:v>2025</x:v>
      </x:c>
      <x:c r="AC368" s="80" t="str">
        <x:v>Consistent</x:v>
      </x:c>
      <x:c r="AD368" s="80" t="str">
        <x:v>Eligible</x:v>
      </x:c>
      <x:c r="AE368" s="80" t="str">
        <x:f>IF(OR($AH368&lt;&gt;"Valid",$AI368&lt;&gt;"Valid",$AJ368&lt;&gt;"Valid",LEFT($AM368,7)="Invalid",IFERROR(ABS($AQ368)&gt;0.01,FALSE),IFERROR(ABS($AR368)&gt;0.01,FALSE),COUNTIF($AS368,"*Conflicting duplicate*")&gt;0,COUNTIF($AS368,"*Completed order not paid*")&gt;0),"Invalid",IF(OR($H368="Unknown",$N368="Unknown",$AM368="Missing discount imputed as 0"),"Warning","Clean"))</x:f>
        <x:v>Clean</x:v>
      </x:c>
      <x:c r="AF368" s="80" t="str">
        <x:v>Pass</x:v>
      </x:c>
      <x:c r="AG368" s="80" t="str">
        <x:v>No text cleanup required</x:v>
      </x:c>
      <x:c r="AH368" s="12" t="str">
        <x:f>IF(C368="","Missing date",IF(ISNUMBER(C368),"Valid","Unrecognized/invalid date"))</x:f>
        <x:v>Valid</x:v>
      </x:c>
      <x:c r="AI368" s="12" t="str">
        <x:f>IF(D368="","Missing date",IF(ISNUMBER(D368),"Valid","Unrecognized/invalid date"))</x:f>
        <x:v>Valid</x:v>
      </x:c>
      <x:c r="AJ368" s="12" t="str">
        <x:v>Valid</x:v>
      </x:c>
      <x:c r="AK368" s="12" t="str">
        <x:v>Pass</x:v>
      </x:c>
      <x:c r="AL368" s="12" t="str">
        <x:v>None</x:v>
      </x:c>
      <x:c r="AM368" s="12" t="str">
        <x:v>Valid</x:v>
      </x:c>
      <x:c r="AN368" s="12" t="str">
        <x:v>Include in completed sales</x:v>
      </x:c>
      <x:c r="AO368" s="12" t="str">
        <x:v>Not a refunded record</x:v>
      </x:c>
      <x:c r="AP368" s="37" t="n">
        <x:f>IF(LEFT($AM368,7)="Invalid","",IF($AM368="Missing discount imputed as 0",IF(AND(COUNT($O368,$P368,$R368,$S368)=4,$O368&gt;0,$P368&gt;=0,$R368&gt;=0,$S368&gt;=0),0,""),IF(AND(ISNUMBER($Q368),$Q368&gt;=0,$Q368&lt;=0.5),$Q368,"")))</x:f>
        <x:v>0</x:v>
      </x:c>
      <x:c r="AQ368" s="152" t="n">
        <x:f>IF(OR($W368="",NOT(ISNUMBER($R368))),"",ROUND($R368-$W368,2))</x:f>
        <x:v>0</x:v>
      </x:c>
      <x:c r="AR368" s="152" t="n">
        <x:f>IF(OR($X368="",NOT(ISNUMBER($T368))),"",ROUND($T368-$X368,2))</x:f>
        <x:v>0</x:v>
      </x:c>
      <x:c r="AS368" s="14" t="str">
        <x:v>OK</x:v>
      </x:c>
    </x:row>
    <x:row r="369">
      <x:c r="A369" s="80" t="n">
        <x:v>369</x:v>
      </x:c>
      <x:c r="B369" s="80" t="str">
        <x:v>ORD-2024-10368</x:v>
      </x:c>
      <x:c r="C369" s="81" t="n">
        <x:v>45366</x:v>
      </x:c>
      <x:c r="D369" s="81" t="n">
        <x:v>45367</x:v>
      </x:c>
      <x:c r="E369" s="80" t="str">
        <x:v>CUST-4696</x:v>
      </x:c>
      <x:c r="F369" s="80" t="str">
        <x:v>Rohan Mehta</x:v>
      </x:c>
      <x:c r="G369" s="80" t="str">
        <x:v>Consumer</x:v>
      </x:c>
      <x:c r="H369" s="80" t="str">
        <x:v>North</x:v>
      </x:c>
      <x:c r="I369" s="80" t="str">
        <x:v>Delhi</x:v>
      </x:c>
      <x:c r="J369" s="80" t="str">
        <x:v>New Delhi</x:v>
      </x:c>
      <x:c r="K369" s="80" t="str">
        <x:v>Office Supplies</x:v>
      </x:c>
      <x:c r="L369" s="80" t="str">
        <x:v>Art</x:v>
      </x:c>
      <x:c r="M369" s="80" t="str">
        <x:v>Eco Art 646</x:v>
      </x:c>
      <x:c r="N369" s="80" t="str">
        <x:v>Standard Class</x:v>
      </x:c>
      <x:c r="O369" s="82" t="n">
        <x:v>6</x:v>
      </x:c>
      <x:c r="P369" s="83" t="n">
        <x:v>3815.09</x:v>
      </x:c>
      <x:c r="Q369" s="84" t="n">
        <x:v>0.15</x:v>
      </x:c>
      <x:c r="R369" s="83" t="n">
        <x:v>19456.96</x:v>
      </x:c>
      <x:c r="S369" s="83" t="n">
        <x:v>14520.06</x:v>
      </x:c>
      <x:c r="T369" s="83" t="n">
        <x:v>4936.9</x:v>
      </x:c>
      <x:c r="U369" s="83" t="str">
        <x:v>Failed</x:v>
      </x:c>
      <x:c r="V369" s="83" t="str">
        <x:v>Cancelled</x:v>
      </x:c>
      <x:c r="W369" s="151" t="n">
        <x:f>IF(OR(NOT(ISNUMBER($AP369)),COUNT($O369,$P369)&lt;2,$O369&lt;=0,$P369&lt;0),"",ROUND($O369*$P369*(1-$AP369),2))</x:f>
        <x:v>19456.96</x:v>
      </x:c>
      <x:c r="X369" s="151" t="n">
        <x:f>IF(OR(NOT(ISNUMBER($W369)),NOT(ISNUMBER($S369))),"",ROUND($W369-$S369,2))</x:f>
        <x:v>4936.9</x:v>
      </x:c>
      <x:c r="Y369" s="85" t="n">
        <x:f>IF(OR(NOT(ISNUMBER($W369)),NOT(ISNUMBER($X369)),$W369=0),"",ROUND($X369/$W369,4))</x:f>
        <x:v>0.2537</x:v>
      </x:c>
      <x:c r="Z369" s="82" t="n">
        <x:f>IF(OR($AH369&lt;&gt;"Valid",$AI369&lt;&gt;"Valid"),"",INT($D369-$C369))</x:f>
        <x:v>1</x:v>
      </x:c>
      <x:c r="AA369" s="86" t="str">
        <x:f>IF($AH369&lt;&gt;"Valid","",TEXT($C369,"mmmm"))</x:f>
        <x:v>March</x:v>
      </x:c>
      <x:c r="AB369" s="82" t="n">
        <x:f>IF($AH369&lt;&gt;"Valid","",YEAR($C369))</x:f>
        <x:v>2024</x:v>
      </x:c>
      <x:c r="AC369" s="80" t="str">
        <x:v>Cancelled (excluded from completed-sales summary)</x:v>
      </x:c>
      <x:c r="AD369" s="80" t="str">
        <x:v>Excluded</x:v>
      </x:c>
      <x:c r="AE369" s="80" t="str">
        <x:f>IF(OR($AH369&lt;&gt;"Valid",$AI369&lt;&gt;"Valid",$AJ369&lt;&gt;"Valid",LEFT($AM369,7)="Invalid",IFERROR(ABS($AQ369)&gt;0.01,FALSE),IFERROR(ABS($AR369)&gt;0.01,FALSE),COUNTIF($AS369,"*Conflicting duplicate*")&gt;0,COUNTIF($AS369,"*Completed order not paid*")&gt;0),"Invalid",IF(OR($H369="Unknown",$N369="Unknown",$AM369="Missing discount imputed as 0"),"Warning","Clean"))</x:f>
        <x:v>Clean</x:v>
      </x:c>
      <x:c r="AF369" s="80" t="str">
        <x:v>Pass</x:v>
      </x:c>
      <x:c r="AG369" s="80" t="str">
        <x:v>No text cleanup required</x:v>
      </x:c>
      <x:c r="AH369" s="12" t="str">
        <x:f>IF(C369="","Missing date",IF(ISNUMBER(C369),"Valid","Unrecognized/invalid date"))</x:f>
        <x:v>Valid</x:v>
      </x:c>
      <x:c r="AI369" s="12" t="str">
        <x:f>IF(D369="","Missing date",IF(ISNUMBER(D369),"Valid","Unrecognized/invalid date"))</x:f>
        <x:v>Valid</x:v>
      </x:c>
      <x:c r="AJ369" s="12" t="str">
        <x:v>Valid</x:v>
      </x:c>
      <x:c r="AK369" s="12" t="str">
        <x:v>Pass</x:v>
      </x:c>
      <x:c r="AL369" s="12" t="str">
        <x:v>Cancelled order – excluded from completed sales; Failed payment – excluded from completed sales</x:v>
      </x:c>
      <x:c r="AM369" s="12" t="str">
        <x:v>Valid</x:v>
      </x:c>
      <x:c r="AN369" s="12" t="str">
        <x:v>Exclude from completed sales</x:v>
      </x:c>
      <x:c r="AO369" s="12" t="str">
        <x:v>Not a refunded record</x:v>
      </x:c>
      <x:c r="AP369" s="37" t="n">
        <x:f>IF(LEFT($AM369,7)="Invalid","",IF($AM369="Missing discount imputed as 0",IF(AND(COUNT($O369,$P369,$R369,$S369)=4,$O369&gt;0,$P369&gt;=0,$R369&gt;=0,$S369&gt;=0),0,""),IF(AND(ISNUMBER($Q369),$Q369&gt;=0,$Q369&lt;=0.5),$Q369,"")))</x:f>
        <x:v>0.15</x:v>
      </x:c>
      <x:c r="AQ369" s="152" t="n">
        <x:f>IF(OR($W369="",NOT(ISNUMBER($R369))),"",ROUND($R369-$W369,2))</x:f>
        <x:v>0</x:v>
      </x:c>
      <x:c r="AR369" s="152" t="n">
        <x:f>IF(OR($X369="",NOT(ISNUMBER($T369))),"",ROUND($T369-$X369,2))</x:f>
        <x:v>0</x:v>
      </x:c>
      <x:c r="AS369" s="14" t="str">
        <x:v>OK</x:v>
      </x:c>
    </x:row>
    <x:row r="370">
      <x:c r="A370" s="80" t="n">
        <x:v>370</x:v>
      </x:c>
      <x:c r="B370" s="80" t="str">
        <x:v>ORD-2025-10369</x:v>
      </x:c>
      <x:c r="C370" s="81" t="n">
        <x:v>45844</x:v>
      </x:c>
      <x:c r="D370" s="81" t="n">
        <x:v>45844</x:v>
      </x:c>
      <x:c r="E370" s="80" t="str">
        <x:v>CUST-8246</x:v>
      </x:c>
      <x:c r="F370" s="80" t="str">
        <x:v>Aarav Sharma</x:v>
      </x:c>
      <x:c r="G370" s="80" t="str">
        <x:v>Home Office</x:v>
      </x:c>
      <x:c r="H370" s="80" t="str">
        <x:v>North</x:v>
      </x:c>
      <x:c r="I370" s="80" t="str">
        <x:v>Rajasthan</x:v>
      </x:c>
      <x:c r="J370" s="80" t="str">
        <x:v>Jaipur</x:v>
      </x:c>
      <x:c r="K370" s="80" t="str">
        <x:v>Technology</x:v>
      </x:c>
      <x:c r="L370" s="80" t="str">
        <x:v>Accessories</x:v>
      </x:c>
      <x:c r="M370" s="80" t="str">
        <x:v>Prime Accessories 962</x:v>
      </x:c>
      <x:c r="N370" s="80" t="str">
        <x:v>Same Day</x:v>
      </x:c>
      <x:c r="O370" s="82" t="n">
        <x:v>9</x:v>
      </x:c>
      <x:c r="P370" s="83" t="n">
        <x:v>243.19</x:v>
      </x:c>
      <x:c r="Q370" s="84" t="n">
        <x:v>0.05</x:v>
      </x:c>
      <x:c r="R370" s="83" t="n">
        <x:v>2079.27</x:v>
      </x:c>
      <x:c r="S370" s="83" t="n">
        <x:v>1512.17</x:v>
      </x:c>
      <x:c r="T370" s="83" t="n">
        <x:v>567.1</x:v>
      </x:c>
      <x:c r="U370" s="83" t="str">
        <x:v>Refunded</x:v>
      </x:c>
      <x:c r="V370" s="83" t="str">
        <x:v>Returned</x:v>
      </x:c>
      <x:c r="W370" s="151" t="n">
        <x:f>IF(OR(NOT(ISNUMBER($AP370)),COUNT($O370,$P370)&lt;2,$O370&lt;=0,$P370&lt;0),"",ROUND($O370*$P370*(1-$AP370),2))</x:f>
        <x:v>2079.27</x:v>
      </x:c>
      <x:c r="X370" s="151" t="n">
        <x:f>IF(OR(NOT(ISNUMBER($W370)),NOT(ISNUMBER($S370))),"",ROUND($W370-$S370,2))</x:f>
        <x:v>567.1</x:v>
      </x:c>
      <x:c r="Y370" s="85" t="n">
        <x:f>IF(OR(NOT(ISNUMBER($W370)),NOT(ISNUMBER($X370)),$W370=0),"",ROUND($X370/$W370,4))</x:f>
        <x:v>0.2727</x:v>
      </x:c>
      <x:c r="Z370" s="82" t="n">
        <x:f>IF(OR($AH370&lt;&gt;"Valid",$AI370&lt;&gt;"Valid"),"",INT($D370-$C370))</x:f>
        <x:v>0</x:v>
      </x:c>
      <x:c r="AA370" s="86" t="str">
        <x:f>IF($AH370&lt;&gt;"Valid","",TEXT($C370,"mmmm"))</x:f>
        <x:v>July</x:v>
      </x:c>
      <x:c r="AB370" s="82" t="n">
        <x:f>IF($AH370&lt;&gt;"Valid","",YEAR($C370))</x:f>
        <x:v>2025</x:v>
      </x:c>
      <x:c r="AC370" s="80" t="str">
        <x:v>Refunded (separately summarized)</x:v>
      </x:c>
      <x:c r="AD370" s="80" t="str">
        <x:v>Excluded</x:v>
      </x:c>
      <x:c r="AE370" s="80" t="str">
        <x:f>IF(OR($AH370&lt;&gt;"Valid",$AI370&lt;&gt;"Valid",$AJ370&lt;&gt;"Valid",LEFT($AM370,7)="Invalid",IFERROR(ABS($AQ370)&gt;0.01,FALSE),IFERROR(ABS($AR370)&gt;0.01,FALSE),COUNTIF($AS370,"*Conflicting duplicate*")&gt;0,COUNTIF($AS370,"*Completed order not paid*")&gt;0),"Invalid",IF(OR($H370="Unknown",$N370="Unknown",$AM370="Missing discount imputed as 0"),"Warning","Clean"))</x:f>
        <x:v>Clean</x:v>
      </x:c>
      <x:c r="AF370" s="80" t="str">
        <x:v>Pass</x:v>
      </x:c>
      <x:c r="AG370" s="80" t="str">
        <x:v>No text cleanup required</x:v>
      </x:c>
      <x:c r="AH370" s="12" t="str">
        <x:f>IF(C370="","Missing date",IF(ISNUMBER(C370),"Valid","Unrecognized/invalid date"))</x:f>
        <x:v>Valid</x:v>
      </x:c>
      <x:c r="AI370" s="12" t="str">
        <x:f>IF(D370="","Missing date",IF(ISNUMBER(D370),"Valid","Unrecognized/invalid date"))</x:f>
        <x:v>Valid</x:v>
      </x:c>
      <x:c r="AJ370" s="12" t="str">
        <x:v>Valid</x:v>
      </x:c>
      <x:c r="AK370" s="12" t="str">
        <x:v>Pass</x:v>
      </x:c>
      <x:c r="AL370" s="12" t="str">
        <x:v>Refunded payment – separately summarized</x:v>
      </x:c>
      <x:c r="AM370" s="12" t="str">
        <x:v>Valid</x:v>
      </x:c>
      <x:c r="AN370" s="12" t="str">
        <x:v>Exclude from completed sales</x:v>
      </x:c>
      <x:c r="AO370" s="12" t="str">
        <x:v>Include in refunded summary</x:v>
      </x:c>
      <x:c r="AP370" s="37" t="n">
        <x:f>IF(LEFT($AM370,7)="Invalid","",IF($AM370="Missing discount imputed as 0",IF(AND(COUNT($O370,$P370,$R370,$S370)=4,$O370&gt;0,$P370&gt;=0,$R370&gt;=0,$S370&gt;=0),0,""),IF(AND(ISNUMBER($Q370),$Q370&gt;=0,$Q370&lt;=0.5),$Q370,"")))</x:f>
        <x:v>0.05</x:v>
      </x:c>
      <x:c r="AQ370" s="152" t="n">
        <x:f>IF(OR($W370="",NOT(ISNUMBER($R370))),"",ROUND($R370-$W370,2))</x:f>
        <x:v>0</x:v>
      </x:c>
      <x:c r="AR370" s="152" t="n">
        <x:f>IF(OR($X370="",NOT(ISNUMBER($T370))),"",ROUND($T370-$X370,2))</x:f>
        <x:v>0</x:v>
      </x:c>
      <x:c r="AS370" s="14" t="str">
        <x:v>OK</x:v>
      </x:c>
    </x:row>
    <x:row r="371">
      <x:c r="A371" s="80" t="n">
        <x:v>371</x:v>
      </x:c>
      <x:c r="B371" s="80" t="str">
        <x:v>ORD-2025-10370</x:v>
      </x:c>
      <x:c r="C371" s="81" t="n">
        <x:v>45680</x:v>
      </x:c>
      <x:c r="D371" s="81" t="n">
        <x:v>45687</x:v>
      </x:c>
      <x:c r="E371" s="80" t="str">
        <x:v>CUST-5672</x:v>
      </x:c>
      <x:c r="F371" s="80" t="str">
        <x:v>Priya Menon</x:v>
      </x:c>
      <x:c r="G371" s="80" t="str">
        <x:v>Consumer</x:v>
      </x:c>
      <x:c r="H371" s="80" t="str">
        <x:v>North</x:v>
      </x:c>
      <x:c r="I371" s="80" t="str">
        <x:v>Delhi</x:v>
      </x:c>
      <x:c r="J371" s="80" t="str">
        <x:v>New Delhi</x:v>
      </x:c>
      <x:c r="K371" s="80" t="str">
        <x:v>Office Supplies</x:v>
      </x:c>
      <x:c r="L371" s="80" t="str">
        <x:v>Labels</x:v>
      </x:c>
      <x:c r="M371" s="80" t="str">
        <x:v>Eco Labels 646</x:v>
      </x:c>
      <x:c r="N371" s="80" t="str">
        <x:v>Standard Class</x:v>
      </x:c>
      <x:c r="O371" s="82" t="n">
        <x:v>9</x:v>
      </x:c>
      <x:c r="P371" s="83" t="n">
        <x:v>1169.37</x:v>
      </x:c>
      <x:c r="Q371" s="84" t="n">
        <x:v>0.15</x:v>
      </x:c>
      <x:c r="R371" s="83" t="n">
        <x:v>8945.68</x:v>
      </x:c>
      <x:c r="S371" s="83" t="n">
        <x:v>6740.35</x:v>
      </x:c>
      <x:c r="T371" s="83" t="n">
        <x:v>2205.33</x:v>
      </x:c>
      <x:c r="U371" s="83" t="str">
        <x:v>Paid</x:v>
      </x:c>
      <x:c r="V371" s="83" t="str">
        <x:v>Completed</x:v>
      </x:c>
      <x:c r="W371" s="151" t="n">
        <x:f>IF(OR(NOT(ISNUMBER($AP371)),COUNT($O371,$P371)&lt;2,$O371&lt;=0,$P371&lt;0),"",ROUND($O371*$P371*(1-$AP371),2))</x:f>
        <x:v>8945.68</x:v>
      </x:c>
      <x:c r="X371" s="151" t="n">
        <x:f>IF(OR(NOT(ISNUMBER($W371)),NOT(ISNUMBER($S371))),"",ROUND($W371-$S371,2))</x:f>
        <x:v>2205.33</x:v>
      </x:c>
      <x:c r="Y371" s="85" t="n">
        <x:f>IF(OR(NOT(ISNUMBER($W371)),NOT(ISNUMBER($X371)),$W371=0),"",ROUND($X371/$W371,4))</x:f>
        <x:v>0.2465</x:v>
      </x:c>
      <x:c r="Z371" s="82" t="n">
        <x:f>IF(OR($AH371&lt;&gt;"Valid",$AI371&lt;&gt;"Valid"),"",INT($D371-$C371))</x:f>
        <x:v>7</x:v>
      </x:c>
      <x:c r="AA371" s="86" t="str">
        <x:f>IF($AH371&lt;&gt;"Valid","",TEXT($C371,"mmmm"))</x:f>
        <x:v>January</x:v>
      </x:c>
      <x:c r="AB371" s="82" t="n">
        <x:f>IF($AH371&lt;&gt;"Valid","",YEAR($C371))</x:f>
        <x:v>2025</x:v>
      </x:c>
      <x:c r="AC371" s="80" t="str">
        <x:v>Consistent</x:v>
      </x:c>
      <x:c r="AD371" s="80" t="str">
        <x:v>Eligible</x:v>
      </x:c>
      <x:c r="AE371" s="80" t="str">
        <x:f>IF(OR($AH371&lt;&gt;"Valid",$AI371&lt;&gt;"Valid",$AJ371&lt;&gt;"Valid",LEFT($AM371,7)="Invalid",IFERROR(ABS($AQ371)&gt;0.01,FALSE),IFERROR(ABS($AR371)&gt;0.01,FALSE),COUNTIF($AS371,"*Conflicting duplicate*")&gt;0,COUNTIF($AS371,"*Completed order not paid*")&gt;0),"Invalid",IF(OR($H371="Unknown",$N371="Unknown",$AM371="Missing discount imputed as 0"),"Warning","Clean"))</x:f>
        <x:v>Clean</x:v>
      </x:c>
      <x:c r="AF371" s="80" t="str">
        <x:v>Pass</x:v>
      </x:c>
      <x:c r="AG371" s="80" t="str">
        <x:v>No text cleanup required</x:v>
      </x:c>
      <x:c r="AH371" s="12" t="str">
        <x:f>IF(C371="","Missing date",IF(ISNUMBER(C371),"Valid","Unrecognized/invalid date"))</x:f>
        <x:v>Valid</x:v>
      </x:c>
      <x:c r="AI371" s="12" t="str">
        <x:f>IF(D371="","Missing date",IF(ISNUMBER(D371),"Valid","Unrecognized/invalid date"))</x:f>
        <x:v>Valid</x:v>
      </x:c>
      <x:c r="AJ371" s="12" t="str">
        <x:v>Valid</x:v>
      </x:c>
      <x:c r="AK371" s="12" t="str">
        <x:v>Pass</x:v>
      </x:c>
      <x:c r="AL371" s="12" t="str">
        <x:v>None</x:v>
      </x:c>
      <x:c r="AM371" s="12" t="str">
        <x:v>Valid</x:v>
      </x:c>
      <x:c r="AN371" s="12" t="str">
        <x:v>Include in completed sales</x:v>
      </x:c>
      <x:c r="AO371" s="12" t="str">
        <x:v>Not a refunded record</x:v>
      </x:c>
      <x:c r="AP371" s="37" t="n">
        <x:f>IF(LEFT($AM371,7)="Invalid","",IF($AM371="Missing discount imputed as 0",IF(AND(COUNT($O371,$P371,$R371,$S371)=4,$O371&gt;0,$P371&gt;=0,$R371&gt;=0,$S371&gt;=0),0,""),IF(AND(ISNUMBER($Q371),$Q371&gt;=0,$Q371&lt;=0.5),$Q371,"")))</x:f>
        <x:v>0.15</x:v>
      </x:c>
      <x:c r="AQ371" s="152" t="n">
        <x:f>IF(OR($W371="",NOT(ISNUMBER($R371))),"",ROUND($R371-$W371,2))</x:f>
        <x:v>0</x:v>
      </x:c>
      <x:c r="AR371" s="152" t="n">
        <x:f>IF(OR($X371="",NOT(ISNUMBER($T371))),"",ROUND($T371-$X371,2))</x:f>
        <x:v>0</x:v>
      </x:c>
      <x:c r="AS371" s="14" t="str">
        <x:v>OK</x:v>
      </x:c>
    </x:row>
    <x:row r="372">
      <x:c r="A372" s="80" t="n">
        <x:v>372</x:v>
      </x:c>
      <x:c r="B372" s="80" t="str">
        <x:v>ORD-2024-10371</x:v>
      </x:c>
      <x:c r="C372" s="81" t="n">
        <x:v>45519</x:v>
      </x:c>
      <x:c r="D372" s="81" t="n">
        <x:v>45525</x:v>
      </x:c>
      <x:c r="E372" s="80" t="str">
        <x:v>CUST-8521</x:v>
      </x:c>
      <x:c r="F372" s="80" t="str">
        <x:v>Ananya Rao</x:v>
      </x:c>
      <x:c r="G372" s="80" t="str">
        <x:v>Small Business</x:v>
      </x:c>
      <x:c r="H372" s="80" t="str">
        <x:v>West</x:v>
      </x:c>
      <x:c r="I372" s="80" t="str">
        <x:v>Rajasthan</x:v>
      </x:c>
      <x:c r="J372" s="80" t="str">
        <x:v>Udaipur</x:v>
      </x:c>
      <x:c r="K372" s="80" t="str">
        <x:v>Technology</x:v>
      </x:c>
      <x:c r="L372" s="80" t="str">
        <x:v>Copiers</x:v>
      </x:c>
      <x:c r="M372" s="80" t="str">
        <x:v>Classic Copiers 505</x:v>
      </x:c>
      <x:c r="N372" s="80" t="str">
        <x:v>First Class</x:v>
      </x:c>
      <x:c r="O372" s="82" t="n">
        <x:v>7</x:v>
      </x:c>
      <x:c r="P372" s="83" t="n">
        <x:v>2333.81</x:v>
      </x:c>
      <x:c r="Q372" s="84" t="n">
        <x:v>0.2</x:v>
      </x:c>
      <x:c r="R372" s="83" t="n">
        <x:v>13069.34</x:v>
      </x:c>
      <x:c r="S372" s="83" t="n">
        <x:v>8768.59</x:v>
      </x:c>
      <x:c r="T372" s="83" t="n">
        <x:v>4300.75</x:v>
      </x:c>
      <x:c r="U372" s="83" t="str">
        <x:v>Paid</x:v>
      </x:c>
      <x:c r="V372" s="83" t="str">
        <x:v>Completed</x:v>
      </x:c>
      <x:c r="W372" s="151" t="n">
        <x:f>IF(OR(NOT(ISNUMBER($AP372)),COUNT($O372,$P372)&lt;2,$O372&lt;=0,$P372&lt;0),"",ROUND($O372*$P372*(1-$AP372),2))</x:f>
        <x:v>13069.34</x:v>
      </x:c>
      <x:c r="X372" s="151" t="n">
        <x:f>IF(OR(NOT(ISNUMBER($W372)),NOT(ISNUMBER($S372))),"",ROUND($W372-$S372,2))</x:f>
        <x:v>4300.75</x:v>
      </x:c>
      <x:c r="Y372" s="85" t="n">
        <x:f>IF(OR(NOT(ISNUMBER($W372)),NOT(ISNUMBER($X372)),$W372=0),"",ROUND($X372/$W372,4))</x:f>
        <x:v>0.3291</x:v>
      </x:c>
      <x:c r="Z372" s="82" t="n">
        <x:f>IF(OR($AH372&lt;&gt;"Valid",$AI372&lt;&gt;"Valid"),"",INT($D372-$C372))</x:f>
        <x:v>6</x:v>
      </x:c>
      <x:c r="AA372" s="86" t="str">
        <x:f>IF($AH372&lt;&gt;"Valid","",TEXT($C372,"mmmm"))</x:f>
        <x:v>August</x:v>
      </x:c>
      <x:c r="AB372" s="82" t="n">
        <x:f>IF($AH372&lt;&gt;"Valid","",YEAR($C372))</x:f>
        <x:v>2024</x:v>
      </x:c>
      <x:c r="AC372" s="80" t="str">
        <x:v>Consistent</x:v>
      </x:c>
      <x:c r="AD372" s="80" t="str">
        <x:v>Eligible</x:v>
      </x:c>
      <x:c r="AE372" s="80" t="str">
        <x:f>IF(OR($AH372&lt;&gt;"Valid",$AI372&lt;&gt;"Valid",$AJ372&lt;&gt;"Valid",LEFT($AM372,7)="Invalid",IFERROR(ABS($AQ372)&gt;0.01,FALSE),IFERROR(ABS($AR372)&gt;0.01,FALSE),COUNTIF($AS372,"*Conflicting duplicate*")&gt;0,COUNTIF($AS372,"*Completed order not paid*")&gt;0),"Invalid",IF(OR($H372="Unknown",$N372="Unknown",$AM372="Missing discount imputed as 0"),"Warning","Clean"))</x:f>
        <x:v>Clean</x:v>
      </x:c>
      <x:c r="AF372" s="80" t="str">
        <x:v>Pass</x:v>
      </x:c>
      <x:c r="AG372" s="80" t="str">
        <x:v>No text cleanup required</x:v>
      </x:c>
      <x:c r="AH372" s="12" t="str">
        <x:f>IF(C372="","Missing date",IF(ISNUMBER(C372),"Valid","Unrecognized/invalid date"))</x:f>
        <x:v>Valid</x:v>
      </x:c>
      <x:c r="AI372" s="12" t="str">
        <x:f>IF(D372="","Missing date",IF(ISNUMBER(D372),"Valid","Unrecognized/invalid date"))</x:f>
        <x:v>Valid</x:v>
      </x:c>
      <x:c r="AJ372" s="12" t="str">
        <x:v>Valid</x:v>
      </x:c>
      <x:c r="AK372" s="12" t="str">
        <x:v>Pass</x:v>
      </x:c>
      <x:c r="AL372" s="12" t="str">
        <x:v>None</x:v>
      </x:c>
      <x:c r="AM372" s="12" t="str">
        <x:v>Valid</x:v>
      </x:c>
      <x:c r="AN372" s="12" t="str">
        <x:v>Include in completed sales</x:v>
      </x:c>
      <x:c r="AO372" s="12" t="str">
        <x:v>Not a refunded record</x:v>
      </x:c>
      <x:c r="AP372" s="37" t="n">
        <x:f>IF(LEFT($AM372,7)="Invalid","",IF($AM372="Missing discount imputed as 0",IF(AND(COUNT($O372,$P372,$R372,$S372)=4,$O372&gt;0,$P372&gt;=0,$R372&gt;=0,$S372&gt;=0),0,""),IF(AND(ISNUMBER($Q372),$Q372&gt;=0,$Q372&lt;=0.5),$Q372,"")))</x:f>
        <x:v>0.2</x:v>
      </x:c>
      <x:c r="AQ372" s="152" t="n">
        <x:f>IF(OR($W372="",NOT(ISNUMBER($R372))),"",ROUND($R372-$W372,2))</x:f>
        <x:v>0</x:v>
      </x:c>
      <x:c r="AR372" s="152" t="n">
        <x:f>IF(OR($X372="",NOT(ISNUMBER($T372))),"",ROUND($T372-$X372,2))</x:f>
        <x:v>0</x:v>
      </x:c>
      <x:c r="AS372" s="14" t="str">
        <x:v>OK</x:v>
      </x:c>
    </x:row>
    <x:row r="373">
      <x:c r="A373" s="80" t="n">
        <x:v>373</x:v>
      </x:c>
      <x:c r="B373" s="80" t="str">
        <x:v>ORD-2024-10372</x:v>
      </x:c>
      <x:c r="C373" s="81" t="n">
        <x:v>45313</x:v>
      </x:c>
      <x:c r="D373" s="81" t="n">
        <x:v>45315</x:v>
      </x:c>
      <x:c r="E373" s="80" t="str">
        <x:v>CUST-2204</x:v>
      </x:c>
      <x:c r="F373" s="80" t="str">
        <x:v>Diya Patel</x:v>
      </x:c>
      <x:c r="G373" s="80" t="str">
        <x:v>Home Office</x:v>
      </x:c>
      <x:c r="H373" s="80" t="str">
        <x:v>West</x:v>
      </x:c>
      <x:c r="I373" s="80" t="str">
        <x:v>Maharashtra</x:v>
      </x:c>
      <x:c r="J373" s="80" t="str">
        <x:v>Mumbai</x:v>
      </x:c>
      <x:c r="K373" s="80" t="str">
        <x:v>Office Supplies</x:v>
      </x:c>
      <x:c r="L373" s="80" t="str">
        <x:v>Art</x:v>
      </x:c>
      <x:c r="M373" s="80" t="str">
        <x:v>Pro Art 906</x:v>
      </x:c>
      <x:c r="N373" s="80" t="str">
        <x:v>Standard Class</x:v>
      </x:c>
      <x:c r="O373" s="82" t="n">
        <x:v>6</x:v>
      </x:c>
      <x:c r="P373" s="83" t="n">
        <x:v>1026.06</x:v>
      </x:c>
      <x:c r="Q373" s="84" t="n">
        <x:v>0</x:v>
      </x:c>
      <x:c r="R373" s="83" t="n">
        <x:v>4617.27</x:v>
      </x:c>
      <x:c r="S373" s="83" t="n">
        <x:v>2981.94</x:v>
      </x:c>
      <x:c r="T373" s="83" t="n">
        <x:v>1635.33</x:v>
      </x:c>
      <x:c r="U373" s="83" t="str">
        <x:v>Refunded</x:v>
      </x:c>
      <x:c r="V373" s="83" t="str">
        <x:v>Cancelled</x:v>
      </x:c>
      <x:c r="W373" s="151" t="n">
        <x:f>IF(OR(NOT(ISNUMBER($AP373)),COUNT($O373,$P373)&lt;2,$O373&lt;=0,$P373&lt;0),"",ROUND($O373*$P373*(1-$AP373),2))</x:f>
        <x:v>6156.36</x:v>
      </x:c>
      <x:c r="X373" s="151" t="n">
        <x:f>IF(OR(NOT(ISNUMBER($W373)),NOT(ISNUMBER($S373))),"",ROUND($W373-$S373,2))</x:f>
        <x:v>3174.42</x:v>
      </x:c>
      <x:c r="Y373" s="85" t="n">
        <x:f>IF(OR(NOT(ISNUMBER($W373)),NOT(ISNUMBER($X373)),$W373=0),"",ROUND($X373/$W373,4))</x:f>
        <x:v>0.5156</x:v>
      </x:c>
      <x:c r="Z373" s="82" t="n">
        <x:f>IF(OR($AH373&lt;&gt;"Valid",$AI373&lt;&gt;"Valid"),"",INT($D373-$C373))</x:f>
        <x:v>2</x:v>
      </x:c>
      <x:c r="AA373" s="86" t="str">
        <x:f>IF($AH373&lt;&gt;"Valid","",TEXT($C373,"mmmm"))</x:f>
        <x:v>January</x:v>
      </x:c>
      <x:c r="AB373" s="82" t="n">
        <x:f>IF($AH373&lt;&gt;"Valid","",YEAR($C373))</x:f>
        <x:v>2024</x:v>
      </x:c>
      <x:c r="AC373" s="80" t="str">
        <x:v>Cancelled (excluded from completed-sales summary)</x:v>
      </x:c>
      <x:c r="AD373" s="80" t="str">
        <x:v>Excluded</x:v>
      </x:c>
      <x:c r="AE373" s="80" t="str">
        <x:f>IF(OR($AH373&lt;&gt;"Valid",$AI373&lt;&gt;"Valid",$AJ373&lt;&gt;"Valid",LEFT($AM373,7)="Invalid",IFERROR(ABS($AQ373)&gt;0.01,FALSE),IFERROR(ABS($AR373)&gt;0.01,FALSE),COUNTIF($AS373,"*Conflicting duplicate*")&gt;0,COUNTIF($AS373,"*Completed order not paid*")&gt;0),"Invalid",IF(OR($H373="Unknown",$N373="Unknown",$AM373="Missing discount imputed as 0"),"Warning","Clean"))</x:f>
        <x:v>Invalid</x:v>
      </x:c>
      <x:c r="AF373" s="80" t="str">
        <x:v>Review</x:v>
      </x:c>
      <x:c r="AG373" s="80" t="str">
        <x:v>discount: Imputed 0; discount: Missing value set to 0 after sales-field validation</x:v>
      </x:c>
      <x:c r="AH373" s="12" t="str">
        <x:f>IF(C373="","Missing date",IF(ISNUMBER(C373),"Valid","Unrecognized/invalid date"))</x:f>
        <x:v>Valid</x:v>
      </x:c>
      <x:c r="AI373" s="12" t="str">
        <x:f>IF(D373="","Missing date",IF(ISNUMBER(D373),"Valid","Unrecognized/invalid date"))</x:f>
        <x:v>Valid</x:v>
      </x:c>
      <x:c r="AJ373" s="12" t="str">
        <x:v>Valid</x:v>
      </x:c>
      <x:c r="AK373" s="12" t="str">
        <x:v>Pass</x:v>
      </x:c>
      <x:c r="AL373" s="12" t="str">
        <x:v>Missing discount imputed as 0; Cancelled order – excluded from completed sales; Refunded payment – separately summarized</x:v>
      </x:c>
      <x:c r="AM373" s="12" t="str">
        <x:v>Missing discount imputed as 0</x:v>
      </x:c>
      <x:c r="AN373" s="12" t="str">
        <x:v>Exclude from completed sales</x:v>
      </x:c>
      <x:c r="AO373" s="12" t="str">
        <x:v>Include in refunded summary</x:v>
      </x:c>
      <x:c r="AP373" s="37" t="n">
        <x:f>IF(LEFT($AM373,7)="Invalid","",IF($AM373="Missing discount imputed as 0",IF(AND(COUNT($O373,$P373,$R373,$S373)=4,$O373&gt;0,$P373&gt;=0,$R373&gt;=0,$S373&gt;=0),0,""),IF(AND(ISNUMBER($Q373),$Q373&gt;=0,$Q373&lt;=0.5),$Q373,"")))</x:f>
        <x:v>0</x:v>
      </x:c>
      <x:c r="AQ373" s="152" t="n">
        <x:f>IF(OR($W373="",NOT(ISNUMBER($R373))),"",ROUND($R373-$W373,2))</x:f>
        <x:v>-1539.09</x:v>
      </x:c>
      <x:c r="AR373" s="152" t="n">
        <x:f>IF(OR($X373="",NOT(ISNUMBER($T373))),"",ROUND($T373-$X373,2))</x:f>
        <x:v>-1539.09</x:v>
      </x:c>
      <x:c r="AS373" s="14" t="str">
        <x:v>Sales calculation mismatch</x:v>
      </x:c>
    </x:row>
    <x:row r="374">
      <x:c r="A374" s="80" t="n">
        <x:v>374</x:v>
      </x:c>
      <x:c r="B374" s="80" t="str">
        <x:v>ORD-2025-10373</x:v>
      </x:c>
      <x:c r="C374" s="81" t="n">
        <x:v>45885</x:v>
      </x:c>
      <x:c r="D374" s="81" t="n">
        <x:v>45887</x:v>
      </x:c>
      <x:c r="E374" s="80" t="str">
        <x:v>CUST-4399</x:v>
      </x:c>
      <x:c r="F374" s="80" t="str">
        <x:v>Kabir Singh</x:v>
      </x:c>
      <x:c r="G374" s="80" t="str">
        <x:v>Consumer</x:v>
      </x:c>
      <x:c r="H374" s="80" t="str">
        <x:v>East</x:v>
      </x:c>
      <x:c r="I374" s="80" t="str">
        <x:v>Jharkhand</x:v>
      </x:c>
      <x:c r="J374" s="80" t="str">
        <x:v>Ranchi</x:v>
      </x:c>
      <x:c r="K374" s="80" t="str">
        <x:v>Furniture</x:v>
      </x:c>
      <x:c r="L374" s="80" t="str">
        <x:v>Chairs</x:v>
      </x:c>
      <x:c r="M374" s="80" t="str">
        <x:v>Max Chairs 181</x:v>
      </x:c>
      <x:c r="N374" s="80" t="str">
        <x:v>Same Day</x:v>
      </x:c>
      <x:c r="O374" s="82" t="n">
        <x:v>5</x:v>
      </x:c>
      <x:c r="P374" s="83" t="n">
        <x:v>1530.36</x:v>
      </x:c>
      <x:c r="Q374" s="84" t="n">
        <x:v>0</x:v>
      </x:c>
      <x:c r="R374" s="83" t="n">
        <x:v>7651.8</x:v>
      </x:c>
      <x:c r="S374" s="83" t="n">
        <x:v>5171.78</x:v>
      </x:c>
      <x:c r="T374" s="83" t="n">
        <x:v>2480.02</x:v>
      </x:c>
      <x:c r="U374" s="83" t="str">
        <x:v>Paid</x:v>
      </x:c>
      <x:c r="V374" s="83" t="str">
        <x:v>Completed</x:v>
      </x:c>
      <x:c r="W374" s="151" t="n">
        <x:f>IF(OR(NOT(ISNUMBER($AP374)),COUNT($O374,$P374)&lt;2,$O374&lt;=0,$P374&lt;0),"",ROUND($O374*$P374*(1-$AP374),2))</x:f>
        <x:v>7651.8</x:v>
      </x:c>
      <x:c r="X374" s="151" t="n">
        <x:f>IF(OR(NOT(ISNUMBER($W374)),NOT(ISNUMBER($S374))),"",ROUND($W374-$S374,2))</x:f>
        <x:v>2480.02</x:v>
      </x:c>
      <x:c r="Y374" s="85" t="n">
        <x:f>IF(OR(NOT(ISNUMBER($W374)),NOT(ISNUMBER($X374)),$W374=0),"",ROUND($X374/$W374,4))</x:f>
        <x:v>0.3241</x:v>
      </x:c>
      <x:c r="Z374" s="82" t="n">
        <x:f>IF(OR($AH374&lt;&gt;"Valid",$AI374&lt;&gt;"Valid"),"",INT($D374-$C374))</x:f>
        <x:v>2</x:v>
      </x:c>
      <x:c r="AA374" s="86" t="str">
        <x:f>IF($AH374&lt;&gt;"Valid","",TEXT($C374,"mmmm"))</x:f>
        <x:v>August</x:v>
      </x:c>
      <x:c r="AB374" s="82" t="n">
        <x:f>IF($AH374&lt;&gt;"Valid","",YEAR($C374))</x:f>
        <x:v>2025</x:v>
      </x:c>
      <x:c r="AC374" s="80" t="str">
        <x:v>Consistent</x:v>
      </x:c>
      <x:c r="AD374" s="80" t="str">
        <x:v>Eligible</x:v>
      </x:c>
      <x:c r="AE374" s="80" t="str">
        <x:f>IF(OR($AH374&lt;&gt;"Valid",$AI374&lt;&gt;"Valid",$AJ374&lt;&gt;"Valid",LEFT($AM374,7)="Invalid",IFERROR(ABS($AQ374)&gt;0.01,FALSE),IFERROR(ABS($AR374)&gt;0.01,FALSE),COUNTIF($AS374,"*Conflicting duplicate*")&gt;0,COUNTIF($AS374,"*Completed order not paid*")&gt;0),"Invalid",IF(OR($H374="Unknown",$N374="Unknown",$AM374="Missing discount imputed as 0"),"Warning","Clean"))</x:f>
        <x:v>Clean</x:v>
      </x:c>
      <x:c r="AF374" s="80" t="str">
        <x:v>Pass</x:v>
      </x:c>
      <x:c r="AG374" s="80" t="str">
        <x:v>No text cleanup required</x:v>
      </x:c>
      <x:c r="AH374" s="12" t="str">
        <x:f>IF(C374="","Missing date",IF(ISNUMBER(C374),"Valid","Unrecognized/invalid date"))</x:f>
        <x:v>Valid</x:v>
      </x:c>
      <x:c r="AI374" s="12" t="str">
        <x:f>IF(D374="","Missing date",IF(ISNUMBER(D374),"Valid","Unrecognized/invalid date"))</x:f>
        <x:v>Valid</x:v>
      </x:c>
      <x:c r="AJ374" s="12" t="str">
        <x:v>Valid</x:v>
      </x:c>
      <x:c r="AK374" s="12" t="str">
        <x:v>Pass</x:v>
      </x:c>
      <x:c r="AL374" s="12" t="str">
        <x:v>None</x:v>
      </x:c>
      <x:c r="AM374" s="12" t="str">
        <x:v>Valid</x:v>
      </x:c>
      <x:c r="AN374" s="12" t="str">
        <x:v>Include in completed sales</x:v>
      </x:c>
      <x:c r="AO374" s="12" t="str">
        <x:v>Not a refunded record</x:v>
      </x:c>
      <x:c r="AP374" s="37" t="n">
        <x:f>IF(LEFT($AM374,7)="Invalid","",IF($AM374="Missing discount imputed as 0",IF(AND(COUNT($O374,$P374,$R374,$S374)=4,$O374&gt;0,$P374&gt;=0,$R374&gt;=0,$S374&gt;=0),0,""),IF(AND(ISNUMBER($Q374),$Q374&gt;=0,$Q374&lt;=0.5),$Q374,"")))</x:f>
        <x:v>0</x:v>
      </x:c>
      <x:c r="AQ374" s="152" t="n">
        <x:f>IF(OR($W374="",NOT(ISNUMBER($R374))),"",ROUND($R374-$W374,2))</x:f>
        <x:v>0</x:v>
      </x:c>
      <x:c r="AR374" s="152" t="n">
        <x:f>IF(OR($X374="",NOT(ISNUMBER($T374))),"",ROUND($T374-$X374,2))</x:f>
        <x:v>0</x:v>
      </x:c>
      <x:c r="AS374" s="14" t="str">
        <x:v>OK</x:v>
      </x:c>
    </x:row>
    <x:row r="375">
      <x:c r="A375" s="80" t="n">
        <x:v>375</x:v>
      </x:c>
      <x:c r="B375" s="80" t="str">
        <x:v>ORD-2025-10374</x:v>
      </x:c>
      <x:c r="C375" s="81" t="n">
        <x:v>45760</x:v>
      </x:c>
      <x:c r="D375" s="81" t="n">
        <x:v>45760</x:v>
      </x:c>
      <x:c r="E375" s="80" t="str">
        <x:v>CUST-8566</x:v>
      </x:c>
      <x:c r="F375" s="80" t="str">
        <x:v>Sneha Kapoor</x:v>
      </x:c>
      <x:c r="G375" s="80" t="str">
        <x:v>Small Business</x:v>
      </x:c>
      <x:c r="H375" s="80" t="str">
        <x:v>North</x:v>
      </x:c>
      <x:c r="I375" s="80" t="str">
        <x:v>Uttar Pradesh</x:v>
      </x:c>
      <x:c r="J375" s="80" t="str">
        <x:v>Noida</x:v>
      </x:c>
      <x:c r="K375" s="80" t="str">
        <x:v>Office Supplies</x:v>
      </x:c>
      <x:c r="L375" s="80" t="str">
        <x:v>Storage</x:v>
      </x:c>
      <x:c r="M375" s="80" t="str">
        <x:v>Prime Storage 951</x:v>
      </x:c>
      <x:c r="N375" s="80" t="str">
        <x:v>Second Class</x:v>
      </x:c>
      <x:c r="O375" s="82" t="n">
        <x:v>9</x:v>
      </x:c>
      <x:c r="P375" s="83" t="n">
        <x:v>1118.68</x:v>
      </x:c>
      <x:c r="Q375" s="84" t="n">
        <x:v>0</x:v>
      </x:c>
      <x:c r="R375" s="83" t="n">
        <x:v>10068.12</x:v>
      </x:c>
      <x:c r="S375" s="83" t="n">
        <x:v>8595.37</x:v>
      </x:c>
      <x:c r="T375" s="83" t="n">
        <x:v>1472.75</x:v>
      </x:c>
      <x:c r="U375" s="83" t="str">
        <x:v>Paid</x:v>
      </x:c>
      <x:c r="V375" s="83" t="str">
        <x:v>Completed</x:v>
      </x:c>
      <x:c r="W375" s="151" t="n">
        <x:f>IF(OR(NOT(ISNUMBER($AP375)),COUNT($O375,$P375)&lt;2,$O375&lt;=0,$P375&lt;0),"",ROUND($O375*$P375*(1-$AP375),2))</x:f>
        <x:v>10068.12</x:v>
      </x:c>
      <x:c r="X375" s="151" t="n">
        <x:f>IF(OR(NOT(ISNUMBER($W375)),NOT(ISNUMBER($S375))),"",ROUND($W375-$S375,2))</x:f>
        <x:v>1472.75</x:v>
      </x:c>
      <x:c r="Y375" s="85" t="n">
        <x:f>IF(OR(NOT(ISNUMBER($W375)),NOT(ISNUMBER($X375)),$W375=0),"",ROUND($X375/$W375,4))</x:f>
        <x:v>0.1463</x:v>
      </x:c>
      <x:c r="Z375" s="82" t="n">
        <x:f>IF(OR($AH375&lt;&gt;"Valid",$AI375&lt;&gt;"Valid"),"",INT($D375-$C375))</x:f>
        <x:v>0</x:v>
      </x:c>
      <x:c r="AA375" s="86" t="str">
        <x:f>IF($AH375&lt;&gt;"Valid","",TEXT($C375,"mmmm"))</x:f>
        <x:v>April</x:v>
      </x:c>
      <x:c r="AB375" s="82" t="n">
        <x:f>IF($AH375&lt;&gt;"Valid","",YEAR($C375))</x:f>
        <x:v>2025</x:v>
      </x:c>
      <x:c r="AC375" s="80" t="str">
        <x:v>Consistent</x:v>
      </x:c>
      <x:c r="AD375" s="80" t="str">
        <x:v>Excluded</x:v>
      </x:c>
      <x:c r="AE375" s="80" t="str">
        <x:f>IF(OR($AH375&lt;&gt;"Valid",$AI375&lt;&gt;"Valid",$AJ375&lt;&gt;"Valid",LEFT($AM375,7)="Invalid",IFERROR(ABS($AQ375)&gt;0.01,FALSE),IFERROR(ABS($AR375)&gt;0.01,FALSE),COUNTIF($AS375,"*Conflicting duplicate*")&gt;0,COUNTIF($AS375,"*Completed order not paid*")&gt;0),"Invalid",IF(OR($H375="Unknown",$N375="Unknown",$AM375="Missing discount imputed as 0"),"Warning","Clean"))</x:f>
        <x:v>Clean</x:v>
      </x:c>
      <x:c r="AF375" s="80" t="str">
        <x:v>Review</x:v>
      </x:c>
      <x:c r="AG375" s="80" t="str">
        <x:v>No text cleanup required</x:v>
      </x:c>
      <x:c r="AH375" s="12" t="str">
        <x:f>IF(C375="","Missing date",IF(ISNUMBER(C375),"Valid","Unrecognized/invalid date"))</x:f>
        <x:v>Valid</x:v>
      </x:c>
      <x:c r="AI375" s="12" t="str">
        <x:f>IF(D375="","Missing date",IF(ISNUMBER(D375),"Valid","Unrecognized/invalid date"))</x:f>
        <x:v>Valid</x:v>
      </x:c>
      <x:c r="AJ375" s="12" t="str">
        <x:v>Valid</x:v>
      </x:c>
      <x:c r="AK375" s="12" t="str">
        <x:v>Pass</x:v>
      </x:c>
      <x:c r="AL375" s="12" t="str">
        <x:v>None</x:v>
      </x:c>
      <x:c r="AM375" s="12" t="str">
        <x:v>Valid</x:v>
      </x:c>
      <x:c r="AN375" s="12" t="str">
        <x:v>Exclude from completed sales</x:v>
      </x:c>
      <x:c r="AO375" s="12" t="str">
        <x:v>Not a refunded record</x:v>
      </x:c>
      <x:c r="AP375" s="37" t="n">
        <x:f>IF(LEFT($AM375,7)="Invalid","",IF($AM375="Missing discount imputed as 0",IF(AND(COUNT($O375,$P375,$R375,$S375)=4,$O375&gt;0,$P375&gt;=0,$R375&gt;=0,$S375&gt;=0),0,""),IF(AND(ISNUMBER($Q375),$Q375&gt;=0,$Q375&lt;=0.5),$Q375,"")))</x:f>
        <x:v>0</x:v>
      </x:c>
      <x:c r="AQ375" s="152" t="n">
        <x:f>IF(OR($W375="",NOT(ISNUMBER($R375))),"",ROUND($R375-$W375,2))</x:f>
        <x:v>0</x:v>
      </x:c>
      <x:c r="AR375" s="152" t="n">
        <x:f>IF(OR($X375="",NOT(ISNUMBER($T375))),"",ROUND($T375-$X375,2))</x:f>
        <x:v>0</x:v>
      </x:c>
      <x:c r="AS375" s="14" t="str">
        <x:v>Conflicting duplicate order ID</x:v>
      </x:c>
    </x:row>
    <x:row r="376">
      <x:c r="A376" s="80" t="n">
        <x:v>376</x:v>
      </x:c>
      <x:c r="B376" s="80" t="str">
        <x:v>ORD-2025-10375</x:v>
      </x:c>
      <x:c r="C376" s="81" t="n">
        <x:v>45715</x:v>
      </x:c>
      <x:c r="D376" s="81" t="n">
        <x:v>45716</x:v>
      </x:c>
      <x:c r="E376" s="80" t="str">
        <x:v>CUST-2358</x:v>
      </x:c>
      <x:c r="F376" s="80" t="str">
        <x:v>Aditi Sen</x:v>
      </x:c>
      <x:c r="G376" s="80" t="str">
        <x:v>Small Business</x:v>
      </x:c>
      <x:c r="H376" s="80" t="str">
        <x:v>North</x:v>
      </x:c>
      <x:c r="I376" s="80" t="str">
        <x:v>Uttar Pradesh</x:v>
      </x:c>
      <x:c r="J376" s="80" t="str">
        <x:v>Noida</x:v>
      </x:c>
      <x:c r="K376" s="80" t="str">
        <x:v>Office Supplies</x:v>
      </x:c>
      <x:c r="L376" s="80" t="str">
        <x:v>Labels</x:v>
      </x:c>
      <x:c r="M376" s="80" t="str">
        <x:v>Smart Labels 668</x:v>
      </x:c>
      <x:c r="N376" s="80" t="str">
        <x:v>Standard Class</x:v>
      </x:c>
      <x:c r="O376" s="82" t="n">
        <x:v>6</x:v>
      </x:c>
      <x:c r="P376" s="83" t="n">
        <x:v>2393.25</x:v>
      </x:c>
      <x:c r="Q376" s="84" t="n">
        <x:v>0</x:v>
      </x:c>
      <x:c r="R376" s="83" t="n">
        <x:v>14359.5</x:v>
      </x:c>
      <x:c r="S376" s="83" t="n">
        <x:v>8117.71</x:v>
      </x:c>
      <x:c r="T376" s="83" t="n">
        <x:v>6241.79</x:v>
      </x:c>
      <x:c r="U376" s="83" t="str">
        <x:v>Paid</x:v>
      </x:c>
      <x:c r="V376" s="83" t="str">
        <x:v>Completed</x:v>
      </x:c>
      <x:c r="W376" s="151" t="n">
        <x:f>IF(OR(NOT(ISNUMBER($AP376)),COUNT($O376,$P376)&lt;2,$O376&lt;=0,$P376&lt;0),"",ROUND($O376*$P376*(1-$AP376),2))</x:f>
        <x:v>14359.5</x:v>
      </x:c>
      <x:c r="X376" s="151" t="n">
        <x:f>IF(OR(NOT(ISNUMBER($W376)),NOT(ISNUMBER($S376))),"",ROUND($W376-$S376,2))</x:f>
        <x:v>6241.79</x:v>
      </x:c>
      <x:c r="Y376" s="85" t="n">
        <x:f>IF(OR(NOT(ISNUMBER($W376)),NOT(ISNUMBER($X376)),$W376=0),"",ROUND($X376/$W376,4))</x:f>
        <x:v>0.4347</x:v>
      </x:c>
      <x:c r="Z376" s="82" t="n">
        <x:f>IF(OR($AH376&lt;&gt;"Valid",$AI376&lt;&gt;"Valid"),"",INT($D376-$C376))</x:f>
        <x:v>1</x:v>
      </x:c>
      <x:c r="AA376" s="86" t="str">
        <x:f>IF($AH376&lt;&gt;"Valid","",TEXT($C376,"mmmm"))</x:f>
        <x:v>February</x:v>
      </x:c>
      <x:c r="AB376" s="82" t="n">
        <x:f>IF($AH376&lt;&gt;"Valid","",YEAR($C376))</x:f>
        <x:v>2025</x:v>
      </x:c>
      <x:c r="AC376" s="80" t="str">
        <x:v>Consistent</x:v>
      </x:c>
      <x:c r="AD376" s="80" t="str">
        <x:v>Eligible</x:v>
      </x:c>
      <x:c r="AE376" s="80" t="str">
        <x:f>IF(OR($AH376&lt;&gt;"Valid",$AI376&lt;&gt;"Valid",$AJ376&lt;&gt;"Valid",LEFT($AM376,7)="Invalid",IFERROR(ABS($AQ376)&gt;0.01,FALSE),IFERROR(ABS($AR376)&gt;0.01,FALSE),COUNTIF($AS376,"*Conflicting duplicate*")&gt;0,COUNTIF($AS376,"*Completed order not paid*")&gt;0),"Invalid",IF(OR($H376="Unknown",$N376="Unknown",$AM376="Missing discount imputed as 0"),"Warning","Clean"))</x:f>
        <x:v>Clean</x:v>
      </x:c>
      <x:c r="AF376" s="80" t="str">
        <x:v>Pass</x:v>
      </x:c>
      <x:c r="AG376" s="80" t="str">
        <x:v>No text cleanup required</x:v>
      </x:c>
      <x:c r="AH376" s="12" t="str">
        <x:f>IF(C376="","Missing date",IF(ISNUMBER(C376),"Valid","Unrecognized/invalid date"))</x:f>
        <x:v>Valid</x:v>
      </x:c>
      <x:c r="AI376" s="12" t="str">
        <x:f>IF(D376="","Missing date",IF(ISNUMBER(D376),"Valid","Unrecognized/invalid date"))</x:f>
        <x:v>Valid</x:v>
      </x:c>
      <x:c r="AJ376" s="12" t="str">
        <x:v>Valid</x:v>
      </x:c>
      <x:c r="AK376" s="12" t="str">
        <x:v>Pass</x:v>
      </x:c>
      <x:c r="AL376" s="12" t="str">
        <x:v>None</x:v>
      </x:c>
      <x:c r="AM376" s="12" t="str">
        <x:v>Valid</x:v>
      </x:c>
      <x:c r="AN376" s="12" t="str">
        <x:v>Include in completed sales</x:v>
      </x:c>
      <x:c r="AO376" s="12" t="str">
        <x:v>Not a refunded record</x:v>
      </x:c>
      <x:c r="AP376" s="37" t="n">
        <x:f>IF(LEFT($AM376,7)="Invalid","",IF($AM376="Missing discount imputed as 0",IF(AND(COUNT($O376,$P376,$R376,$S376)=4,$O376&gt;0,$P376&gt;=0,$R376&gt;=0,$S376&gt;=0),0,""),IF(AND(ISNUMBER($Q376),$Q376&gt;=0,$Q376&lt;=0.5),$Q376,"")))</x:f>
        <x:v>0</x:v>
      </x:c>
      <x:c r="AQ376" s="152" t="n">
        <x:f>IF(OR($W376="",NOT(ISNUMBER($R376))),"",ROUND($R376-$W376,2))</x:f>
        <x:v>0</x:v>
      </x:c>
      <x:c r="AR376" s="152" t="n">
        <x:f>IF(OR($X376="",NOT(ISNUMBER($T376))),"",ROUND($T376-$X376,2))</x:f>
        <x:v>0</x:v>
      </x:c>
      <x:c r="AS376" s="14" t="str">
        <x:v>OK</x:v>
      </x:c>
    </x:row>
    <x:row r="377">
      <x:c r="A377" s="80" t="n">
        <x:v>377</x:v>
      </x:c>
      <x:c r="B377" s="80" t="str">
        <x:v>ORD-2024-10376</x:v>
      </x:c>
      <x:c r="C377" s="81" t="n">
        <x:v>45657</x:v>
      </x:c>
      <x:c r="D377" s="81" t="n">
        <x:v>45661</x:v>
      </x:c>
      <x:c r="E377" s="80" t="str">
        <x:v>CUST-2810</x:v>
      </x:c>
      <x:c r="F377" s="80" t="str">
        <x:v>Vikram Iyer</x:v>
      </x:c>
      <x:c r="G377" s="80" t="str">
        <x:v>Consumer</x:v>
      </x:c>
      <x:c r="H377" s="80" t="str">
        <x:v>North</x:v>
      </x:c>
      <x:c r="I377" s="80" t="str">
        <x:v>Delhi</x:v>
      </x:c>
      <x:c r="J377" s="80" t="str">
        <x:v>New Delhi</x:v>
      </x:c>
      <x:c r="K377" s="80" t="str">
        <x:v>Furniture</x:v>
      </x:c>
      <x:c r="L377" s="80" t="str">
        <x:v>Chairs</x:v>
      </x:c>
      <x:c r="M377" s="80" t="str">
        <x:v>Pro Chairs 364</x:v>
      </x:c>
      <x:c r="N377" s="80" t="str">
        <x:v>Same Day</x:v>
      </x:c>
      <x:c r="O377" s="82" t="n">
        <x:v>3</x:v>
      </x:c>
      <x:c r="P377" s="83" t="n">
        <x:v>1166.61</x:v>
      </x:c>
      <x:c r="Q377" s="84" t="n">
        <x:v>0.25</x:v>
      </x:c>
      <x:c r="R377" s="83" t="n">
        <x:v>2624.87</x:v>
      </x:c>
      <x:c r="S377" s="83" t="n">
        <x:v>2253.88</x:v>
      </x:c>
      <x:c r="T377" s="83" t="n">
        <x:v>370.99</x:v>
      </x:c>
      <x:c r="U377" s="83" t="str">
        <x:v>Paid</x:v>
      </x:c>
      <x:c r="V377" s="83" t="str">
        <x:v>Completed</x:v>
      </x:c>
      <x:c r="W377" s="151" t="n">
        <x:f>IF(OR(NOT(ISNUMBER($AP377)),COUNT($O377,$P377)&lt;2,$O377&lt;=0,$P377&lt;0),"",ROUND($O377*$P377*(1-$AP377),2))</x:f>
        <x:v>2624.87</x:v>
      </x:c>
      <x:c r="X377" s="151" t="n">
        <x:f>IF(OR(NOT(ISNUMBER($W377)),NOT(ISNUMBER($S377))),"",ROUND($W377-$S377,2))</x:f>
        <x:v>370.99</x:v>
      </x:c>
      <x:c r="Y377" s="85" t="n">
        <x:f>IF(OR(NOT(ISNUMBER($W377)),NOT(ISNUMBER($X377)),$W377=0),"",ROUND($X377/$W377,4))</x:f>
        <x:v>0.1413</x:v>
      </x:c>
      <x:c r="Z377" s="82" t="n">
        <x:f>IF(OR($AH377&lt;&gt;"Valid",$AI377&lt;&gt;"Valid"),"",INT($D377-$C377))</x:f>
        <x:v>4</x:v>
      </x:c>
      <x:c r="AA377" s="86" t="str">
        <x:f>IF($AH377&lt;&gt;"Valid","",TEXT($C377,"mmmm"))</x:f>
        <x:v>December</x:v>
      </x:c>
      <x:c r="AB377" s="82" t="n">
        <x:f>IF($AH377&lt;&gt;"Valid","",YEAR($C377))</x:f>
        <x:v>2024</x:v>
      </x:c>
      <x:c r="AC377" s="80" t="str">
        <x:v>Consistent</x:v>
      </x:c>
      <x:c r="AD377" s="80" t="str">
        <x:v>Eligible</x:v>
      </x:c>
      <x:c r="AE377" s="80" t="str">
        <x:f>IF(OR($AH377&lt;&gt;"Valid",$AI377&lt;&gt;"Valid",$AJ377&lt;&gt;"Valid",LEFT($AM377,7)="Invalid",IFERROR(ABS($AQ377)&gt;0.01,FALSE),IFERROR(ABS($AR377)&gt;0.01,FALSE),COUNTIF($AS377,"*Conflicting duplicate*")&gt;0,COUNTIF($AS377,"*Completed order not paid*")&gt;0),"Invalid",IF(OR($H377="Unknown",$N377="Unknown",$AM377="Missing discount imputed as 0"),"Warning","Clean"))</x:f>
        <x:v>Clean</x:v>
      </x:c>
      <x:c r="AF377" s="80" t="str">
        <x:v>Pass</x:v>
      </x:c>
      <x:c r="AG377" s="80" t="str">
        <x:v>No text cleanup required</x:v>
      </x:c>
      <x:c r="AH377" s="12" t="str">
        <x:f>IF(C377="","Missing date",IF(ISNUMBER(C377),"Valid","Unrecognized/invalid date"))</x:f>
        <x:v>Valid</x:v>
      </x:c>
      <x:c r="AI377" s="12" t="str">
        <x:f>IF(D377="","Missing date",IF(ISNUMBER(D377),"Valid","Unrecognized/invalid date"))</x:f>
        <x:v>Valid</x:v>
      </x:c>
      <x:c r="AJ377" s="12" t="str">
        <x:v>Valid</x:v>
      </x:c>
      <x:c r="AK377" s="12" t="str">
        <x:v>Pass</x:v>
      </x:c>
      <x:c r="AL377" s="12" t="str">
        <x:v>None</x:v>
      </x:c>
      <x:c r="AM377" s="12" t="str">
        <x:v>Valid</x:v>
      </x:c>
      <x:c r="AN377" s="12" t="str">
        <x:v>Include in completed sales</x:v>
      </x:c>
      <x:c r="AO377" s="12" t="str">
        <x:v>Not a refunded record</x:v>
      </x:c>
      <x:c r="AP377" s="37" t="n">
        <x:f>IF(LEFT($AM377,7)="Invalid","",IF($AM377="Missing discount imputed as 0",IF(AND(COUNT($O377,$P377,$R377,$S377)=4,$O377&gt;0,$P377&gt;=0,$R377&gt;=0,$S377&gt;=0),0,""),IF(AND(ISNUMBER($Q377),$Q377&gt;=0,$Q377&lt;=0.5),$Q377,"")))</x:f>
        <x:v>0.25</x:v>
      </x:c>
      <x:c r="AQ377" s="152" t="n">
        <x:f>IF(OR($W377="",NOT(ISNUMBER($R377))),"",ROUND($R377-$W377,2))</x:f>
        <x:v>0</x:v>
      </x:c>
      <x:c r="AR377" s="152" t="n">
        <x:f>IF(OR($X377="",NOT(ISNUMBER($T377))),"",ROUND($T377-$X377,2))</x:f>
        <x:v>0</x:v>
      </x:c>
      <x:c r="AS377" s="14" t="str">
        <x:v>OK</x:v>
      </x:c>
    </x:row>
    <x:row r="378">
      <x:c r="A378" s="80" t="n">
        <x:v>378</x:v>
      </x:c>
      <x:c r="B378" s="80" t="str">
        <x:v>ORD-2024-10377</x:v>
      </x:c>
      <x:c r="C378" s="81" t="n">
        <x:v>45655</x:v>
      </x:c>
      <x:c r="D378" s="81" t="n">
        <x:v>45657</x:v>
      </x:c>
      <x:c r="E378" s="80" t="str">
        <x:v>CUST-5166</x:v>
      </x:c>
      <x:c r="F378" s="80" t="str">
        <x:v>Isha Nair</x:v>
      </x:c>
      <x:c r="G378" s="80" t="str">
        <x:v>Small Business</x:v>
      </x:c>
      <x:c r="H378" s="80" t="str">
        <x:v>East</x:v>
      </x:c>
      <x:c r="I378" s="80" t="str">
        <x:v>Bihar</x:v>
      </x:c>
      <x:c r="J378" s="80" t="str">
        <x:v>Patna</x:v>
      </x:c>
      <x:c r="K378" s="80" t="str">
        <x:v>Furniture</x:v>
      </x:c>
      <x:c r="L378" s="80" t="str">
        <x:v>Chairs</x:v>
      </x:c>
      <x:c r="M378" s="80" t="str">
        <x:v>Basic Chairs 248</x:v>
      </x:c>
      <x:c r="N378" s="80" t="str">
        <x:v>First Class</x:v>
      </x:c>
      <x:c r="O378" s="82" t="n">
        <x:v>6</x:v>
      </x:c>
      <x:c r="P378" s="83" t="n">
        <x:v>1844.78</x:v>
      </x:c>
      <x:c r="Q378" s="84" t="n">
        <x:v>0.2</x:v>
      </x:c>
      <x:c r="R378" s="83" t="n">
        <x:v>8854.94</x:v>
      </x:c>
      <x:c r="S378" s="83" t="n">
        <x:v>7433.95</x:v>
      </x:c>
      <x:c r="T378" s="83" t="n">
        <x:v>1420.99</x:v>
      </x:c>
      <x:c r="U378" s="83" t="str">
        <x:v>Paid</x:v>
      </x:c>
      <x:c r="V378" s="83" t="str">
        <x:v>Completed</x:v>
      </x:c>
      <x:c r="W378" s="151" t="n">
        <x:f>IF(OR(NOT(ISNUMBER($AP378)),COUNT($O378,$P378)&lt;2,$O378&lt;=0,$P378&lt;0),"",ROUND($O378*$P378*(1-$AP378),2))</x:f>
        <x:v>8854.94</x:v>
      </x:c>
      <x:c r="X378" s="151" t="n">
        <x:f>IF(OR(NOT(ISNUMBER($W378)),NOT(ISNUMBER($S378))),"",ROUND($W378-$S378,2))</x:f>
        <x:v>1420.99</x:v>
      </x:c>
      <x:c r="Y378" s="85" t="n">
        <x:f>IF(OR(NOT(ISNUMBER($W378)),NOT(ISNUMBER($X378)),$W378=0),"",ROUND($X378/$W378,4))</x:f>
        <x:v>0.1605</x:v>
      </x:c>
      <x:c r="Z378" s="82" t="n">
        <x:f>IF(OR($AH378&lt;&gt;"Valid",$AI378&lt;&gt;"Valid"),"",INT($D378-$C378))</x:f>
        <x:v>2</x:v>
      </x:c>
      <x:c r="AA378" s="86" t="str">
        <x:f>IF($AH378&lt;&gt;"Valid","",TEXT($C378,"mmmm"))</x:f>
        <x:v>December</x:v>
      </x:c>
      <x:c r="AB378" s="82" t="n">
        <x:f>IF($AH378&lt;&gt;"Valid","",YEAR($C378))</x:f>
        <x:v>2024</x:v>
      </x:c>
      <x:c r="AC378" s="80" t="str">
        <x:v>Consistent</x:v>
      </x:c>
      <x:c r="AD378" s="80" t="str">
        <x:v>Eligible</x:v>
      </x:c>
      <x:c r="AE378" s="80" t="str">
        <x:f>IF(OR($AH378&lt;&gt;"Valid",$AI378&lt;&gt;"Valid",$AJ378&lt;&gt;"Valid",LEFT($AM378,7)="Invalid",IFERROR(ABS($AQ378)&gt;0.01,FALSE),IFERROR(ABS($AR378)&gt;0.01,FALSE),COUNTIF($AS378,"*Conflicting duplicate*")&gt;0,COUNTIF($AS378,"*Completed order not paid*")&gt;0),"Invalid",IF(OR($H378="Unknown",$N378="Unknown",$AM378="Missing discount imputed as 0"),"Warning","Clean"))</x:f>
        <x:v>Clean</x:v>
      </x:c>
      <x:c r="AF378" s="80" t="str">
        <x:v>Pass</x:v>
      </x:c>
      <x:c r="AG378" s="80" t="str">
        <x:v>No text cleanup required</x:v>
      </x:c>
      <x:c r="AH378" s="12" t="str">
        <x:f>IF(C378="","Missing date",IF(ISNUMBER(C378),"Valid","Unrecognized/invalid date"))</x:f>
        <x:v>Valid</x:v>
      </x:c>
      <x:c r="AI378" s="12" t="str">
        <x:f>IF(D378="","Missing date",IF(ISNUMBER(D378),"Valid","Unrecognized/invalid date"))</x:f>
        <x:v>Valid</x:v>
      </x:c>
      <x:c r="AJ378" s="12" t="str">
        <x:v>Valid</x:v>
      </x:c>
      <x:c r="AK378" s="12" t="str">
        <x:v>Pass</x:v>
      </x:c>
      <x:c r="AL378" s="12" t="str">
        <x:v>None</x:v>
      </x:c>
      <x:c r="AM378" s="12" t="str">
        <x:v>Valid</x:v>
      </x:c>
      <x:c r="AN378" s="12" t="str">
        <x:v>Include in completed sales</x:v>
      </x:c>
      <x:c r="AO378" s="12" t="str">
        <x:v>Not a refunded record</x:v>
      </x:c>
      <x:c r="AP378" s="37" t="n">
        <x:f>IF(LEFT($AM378,7)="Invalid","",IF($AM378="Missing discount imputed as 0",IF(AND(COUNT($O378,$P378,$R378,$S378)=4,$O378&gt;0,$P378&gt;=0,$R378&gt;=0,$S378&gt;=0),0,""),IF(AND(ISNUMBER($Q378),$Q378&gt;=0,$Q378&lt;=0.5),$Q378,"")))</x:f>
        <x:v>0.2</x:v>
      </x:c>
      <x:c r="AQ378" s="152" t="n">
        <x:f>IF(OR($W378="",NOT(ISNUMBER($R378))),"",ROUND($R378-$W378,2))</x:f>
        <x:v>0</x:v>
      </x:c>
      <x:c r="AR378" s="152" t="n">
        <x:f>IF(OR($X378="",NOT(ISNUMBER($T378))),"",ROUND($T378-$X378,2))</x:f>
        <x:v>0</x:v>
      </x:c>
      <x:c r="AS378" s="14" t="str">
        <x:v>OK</x:v>
      </x:c>
    </x:row>
    <x:row r="379">
      <x:c r="A379" s="80" t="n">
        <x:v>379</x:v>
      </x:c>
      <x:c r="B379" s="80" t="str">
        <x:v>ORD-2025-10378</x:v>
      </x:c>
      <x:c r="C379" s="81" t="n">
        <x:v>45801</x:v>
      </x:c>
      <x:c r="D379" s="81" t="n">
        <x:v>45807</x:v>
      </x:c>
      <x:c r="E379" s="80" t="str">
        <x:v>CUST-4875</x:v>
      </x:c>
      <x:c r="F379" s="80" t="str">
        <x:v>Kabir Singh</x:v>
      </x:c>
      <x:c r="G379" s="80" t="str">
        <x:v>Small Business</x:v>
      </x:c>
      <x:c r="H379" s="80" t="str">
        <x:v>East</x:v>
      </x:c>
      <x:c r="I379" s="80" t="str">
        <x:v>Odisha</x:v>
      </x:c>
      <x:c r="J379" s="80" t="str">
        <x:v>Bhubaneswar</x:v>
      </x:c>
      <x:c r="K379" s="80" t="str">
        <x:v>Office Supplies</x:v>
      </x:c>
      <x:c r="L379" s="80" t="str">
        <x:v>Storage</x:v>
      </x:c>
      <x:c r="M379" s="80" t="str">
        <x:v>Basic Storage 360</x:v>
      </x:c>
      <x:c r="N379" s="80" t="str">
        <x:v>Same Day</x:v>
      </x:c>
      <x:c r="O379" s="82" t="n">
        <x:v>1</x:v>
      </x:c>
      <x:c r="P379" s="83" t="n">
        <x:v>2564.74</x:v>
      </x:c>
      <x:c r="Q379" s="84" t="n">
        <x:v>0</x:v>
      </x:c>
      <x:c r="R379" s="83" t="n">
        <x:v>2564.74</x:v>
      </x:c>
      <x:c r="S379" s="83" t="n">
        <x:v>1754.58</x:v>
      </x:c>
      <x:c r="T379" s="83" t="n">
        <x:v>810.16</x:v>
      </x:c>
      <x:c r="U379" s="83" t="str">
        <x:v>Paid</x:v>
      </x:c>
      <x:c r="V379" s="83" t="str">
        <x:v>Completed</x:v>
      </x:c>
      <x:c r="W379" s="151" t="n">
        <x:f>IF(OR(NOT(ISNUMBER($AP379)),COUNT($O379,$P379)&lt;2,$O379&lt;=0,$P379&lt;0),"",ROUND($O379*$P379*(1-$AP379),2))</x:f>
        <x:v>2564.74</x:v>
      </x:c>
      <x:c r="X379" s="151" t="n">
        <x:f>IF(OR(NOT(ISNUMBER($W379)),NOT(ISNUMBER($S379))),"",ROUND($W379-$S379,2))</x:f>
        <x:v>810.16</x:v>
      </x:c>
      <x:c r="Y379" s="85" t="n">
        <x:f>IF(OR(NOT(ISNUMBER($W379)),NOT(ISNUMBER($X379)),$W379=0),"",ROUND($X379/$W379,4))</x:f>
        <x:v>0.3159</x:v>
      </x:c>
      <x:c r="Z379" s="82" t="n">
        <x:f>IF(OR($AH379&lt;&gt;"Valid",$AI379&lt;&gt;"Valid"),"",INT($D379-$C379))</x:f>
        <x:v>6</x:v>
      </x:c>
      <x:c r="AA379" s="86" t="str">
        <x:f>IF($AH379&lt;&gt;"Valid","",TEXT($C379,"mmmm"))</x:f>
        <x:v>May</x:v>
      </x:c>
      <x:c r="AB379" s="82" t="n">
        <x:f>IF($AH379&lt;&gt;"Valid","",YEAR($C379))</x:f>
        <x:v>2025</x:v>
      </x:c>
      <x:c r="AC379" s="80" t="str">
        <x:v>Consistent</x:v>
      </x:c>
      <x:c r="AD379" s="80" t="str">
        <x:v>Eligible</x:v>
      </x:c>
      <x:c r="AE379" s="80" t="str">
        <x:f>IF(OR($AH379&lt;&gt;"Valid",$AI379&lt;&gt;"Valid",$AJ379&lt;&gt;"Valid",LEFT($AM379,7)="Invalid",IFERROR(ABS($AQ379)&gt;0.01,FALSE),IFERROR(ABS($AR379)&gt;0.01,FALSE),COUNTIF($AS379,"*Conflicting duplicate*")&gt;0,COUNTIF($AS379,"*Completed order not paid*")&gt;0),"Invalid",IF(OR($H379="Unknown",$N379="Unknown",$AM379="Missing discount imputed as 0"),"Warning","Clean"))</x:f>
        <x:v>Clean</x:v>
      </x:c>
      <x:c r="AF379" s="80" t="str">
        <x:v>Cleaned</x:v>
      </x:c>
      <x:c r="AG379" s="80" t="str">
        <x:v>sub_category: Case standardization</x:v>
      </x:c>
      <x:c r="AH379" s="12" t="str">
        <x:f>IF(C379="","Missing date",IF(ISNUMBER(C379),"Valid","Unrecognized/invalid date"))</x:f>
        <x:v>Valid</x:v>
      </x:c>
      <x:c r="AI379" s="12" t="str">
        <x:f>IF(D379="","Missing date",IF(ISNUMBER(D379),"Valid","Unrecognized/invalid date"))</x:f>
        <x:v>Valid</x:v>
      </x:c>
      <x:c r="AJ379" s="12" t="str">
        <x:v>Valid</x:v>
      </x:c>
      <x:c r="AK379" s="12" t="str">
        <x:v>Pass</x:v>
      </x:c>
      <x:c r="AL379" s="12" t="str">
        <x:v>None</x:v>
      </x:c>
      <x:c r="AM379" s="12" t="str">
        <x:v>Valid</x:v>
      </x:c>
      <x:c r="AN379" s="12" t="str">
        <x:v>Include in completed sales</x:v>
      </x:c>
      <x:c r="AO379" s="12" t="str">
        <x:v>Not a refunded record</x:v>
      </x:c>
      <x:c r="AP379" s="37" t="n">
        <x:f>IF(LEFT($AM379,7)="Invalid","",IF($AM379="Missing discount imputed as 0",IF(AND(COUNT($O379,$P379,$R379,$S379)=4,$O379&gt;0,$P379&gt;=0,$R379&gt;=0,$S379&gt;=0),0,""),IF(AND(ISNUMBER($Q379),$Q379&gt;=0,$Q379&lt;=0.5),$Q379,"")))</x:f>
        <x:v>0</x:v>
      </x:c>
      <x:c r="AQ379" s="152" t="n">
        <x:f>IF(OR($W379="",NOT(ISNUMBER($R379))),"",ROUND($R379-$W379,2))</x:f>
        <x:v>0</x:v>
      </x:c>
      <x:c r="AR379" s="152" t="n">
        <x:f>IF(OR($X379="",NOT(ISNUMBER($T379))),"",ROUND($T379-$X379,2))</x:f>
        <x:v>0</x:v>
      </x:c>
      <x:c r="AS379" s="14" t="str">
        <x:v>OK</x:v>
      </x:c>
    </x:row>
    <x:row r="380">
      <x:c r="A380" s="80" t="n">
        <x:v>380</x:v>
      </x:c>
      <x:c r="B380" s="80" t="str">
        <x:v>ORD-2025-10379</x:v>
      </x:c>
      <x:c r="C380" s="81" t="n">
        <x:v>45799</x:v>
      </x:c>
      <x:c r="D380" s="81" t="n">
        <x:v>45799</x:v>
      </x:c>
      <x:c r="E380" s="80" t="str">
        <x:v>CUST-3154</x:v>
      </x:c>
      <x:c r="F380" s="80" t="str">
        <x:v>Mira Das</x:v>
      </x:c>
      <x:c r="G380" s="80" t="str">
        <x:v>Consumer</x:v>
      </x:c>
      <x:c r="H380" s="80" t="str">
        <x:v>West</x:v>
      </x:c>
      <x:c r="I380" s="80" t="str">
        <x:v>Goa</x:v>
      </x:c>
      <x:c r="J380" s="80" t="str">
        <x:v>Panaji</x:v>
      </x:c>
      <x:c r="K380" s="80" t="str">
        <x:v>Technology</x:v>
      </x:c>
      <x:c r="L380" s="80" t="str">
        <x:v>Accessories</x:v>
      </x:c>
      <x:c r="M380" s="80" t="str">
        <x:v>Basic Accessories 988</x:v>
      </x:c>
      <x:c r="N380" s="80" t="str">
        <x:v>Standard Class</x:v>
      </x:c>
      <x:c r="O380" s="82" t="n">
        <x:v>2</x:v>
      </x:c>
      <x:c r="P380" s="83" t="n">
        <x:v>3910.61</x:v>
      </x:c>
      <x:c r="Q380" s="84" t="n">
        <x:v>0</x:v>
      </x:c>
      <x:c r="R380" s="83" t="n">
        <x:v>7821.22</x:v>
      </x:c>
      <x:c r="S380" s="83" t="n">
        <x:v>4994.46</x:v>
      </x:c>
      <x:c r="T380" s="83" t="n">
        <x:v>2826.76</x:v>
      </x:c>
      <x:c r="U380" s="83" t="str">
        <x:v>Paid</x:v>
      </x:c>
      <x:c r="V380" s="83" t="str">
        <x:v>Completed</x:v>
      </x:c>
      <x:c r="W380" s="151" t="n">
        <x:f>IF(OR(NOT(ISNUMBER($AP380)),COUNT($O380,$P380)&lt;2,$O380&lt;=0,$P380&lt;0),"",ROUND($O380*$P380*(1-$AP380),2))</x:f>
        <x:v>7821.22</x:v>
      </x:c>
      <x:c r="X380" s="151" t="n">
        <x:f>IF(OR(NOT(ISNUMBER($W380)),NOT(ISNUMBER($S380))),"",ROUND($W380-$S380,2))</x:f>
        <x:v>2826.76</x:v>
      </x:c>
      <x:c r="Y380" s="85" t="n">
        <x:f>IF(OR(NOT(ISNUMBER($W380)),NOT(ISNUMBER($X380)),$W380=0),"",ROUND($X380/$W380,4))</x:f>
        <x:v>0.3614</x:v>
      </x:c>
      <x:c r="Z380" s="82" t="n">
        <x:f>IF(OR($AH380&lt;&gt;"Valid",$AI380&lt;&gt;"Valid"),"",INT($D380-$C380))</x:f>
        <x:v>0</x:v>
      </x:c>
      <x:c r="AA380" s="86" t="str">
        <x:f>IF($AH380&lt;&gt;"Valid","",TEXT($C380,"mmmm"))</x:f>
        <x:v>May</x:v>
      </x:c>
      <x:c r="AB380" s="82" t="n">
        <x:f>IF($AH380&lt;&gt;"Valid","",YEAR($C380))</x:f>
        <x:v>2025</x:v>
      </x:c>
      <x:c r="AC380" s="80" t="str">
        <x:v>Consistent</x:v>
      </x:c>
      <x:c r="AD380" s="80" t="str">
        <x:v>Eligible</x:v>
      </x:c>
      <x:c r="AE380" s="80" t="str">
        <x:f>IF(OR($AH380&lt;&gt;"Valid",$AI380&lt;&gt;"Valid",$AJ380&lt;&gt;"Valid",LEFT($AM380,7)="Invalid",IFERROR(ABS($AQ380)&gt;0.01,FALSE),IFERROR(ABS($AR380)&gt;0.01,FALSE),COUNTIF($AS380,"*Conflicting duplicate*")&gt;0,COUNTIF($AS380,"*Completed order not paid*")&gt;0),"Invalid",IF(OR($H380="Unknown",$N380="Unknown",$AM380="Missing discount imputed as 0"),"Warning","Clean"))</x:f>
        <x:v>Clean</x:v>
      </x:c>
      <x:c r="AF380" s="80" t="str">
        <x:v>Pass</x:v>
      </x:c>
      <x:c r="AG380" s="80" t="str">
        <x:v>No text cleanup required</x:v>
      </x:c>
      <x:c r="AH380" s="12" t="str">
        <x:f>IF(C380="","Missing date",IF(ISNUMBER(C380),"Valid","Unrecognized/invalid date"))</x:f>
        <x:v>Valid</x:v>
      </x:c>
      <x:c r="AI380" s="12" t="str">
        <x:f>IF(D380="","Missing date",IF(ISNUMBER(D380),"Valid","Unrecognized/invalid date"))</x:f>
        <x:v>Valid</x:v>
      </x:c>
      <x:c r="AJ380" s="12" t="str">
        <x:v>Valid</x:v>
      </x:c>
      <x:c r="AK380" s="12" t="str">
        <x:v>Pass</x:v>
      </x:c>
      <x:c r="AL380" s="12" t="str">
        <x:v>None</x:v>
      </x:c>
      <x:c r="AM380" s="12" t="str">
        <x:v>Valid</x:v>
      </x:c>
      <x:c r="AN380" s="12" t="str">
        <x:v>Include in completed sales</x:v>
      </x:c>
      <x:c r="AO380" s="12" t="str">
        <x:v>Not a refunded record</x:v>
      </x:c>
      <x:c r="AP380" s="37" t="n">
        <x:f>IF(LEFT($AM380,7)="Invalid","",IF($AM380="Missing discount imputed as 0",IF(AND(COUNT($O380,$P380,$R380,$S380)=4,$O380&gt;0,$P380&gt;=0,$R380&gt;=0,$S380&gt;=0),0,""),IF(AND(ISNUMBER($Q380),$Q380&gt;=0,$Q380&lt;=0.5),$Q380,"")))</x:f>
        <x:v>0</x:v>
      </x:c>
      <x:c r="AQ380" s="152" t="n">
        <x:f>IF(OR($W380="",NOT(ISNUMBER($R380))),"",ROUND($R380-$W380,2))</x:f>
        <x:v>0</x:v>
      </x:c>
      <x:c r="AR380" s="152" t="n">
        <x:f>IF(OR($X380="",NOT(ISNUMBER($T380))),"",ROUND($T380-$X380,2))</x:f>
        <x:v>0</x:v>
      </x:c>
      <x:c r="AS380" s="14" t="str">
        <x:v>OK</x:v>
      </x:c>
    </x:row>
    <x:row r="381">
      <x:c r="A381" s="80" t="n">
        <x:v>381</x:v>
      </x:c>
      <x:c r="B381" s="80" t="str">
        <x:v>ORD-2024-10380</x:v>
      </x:c>
      <x:c r="C381" s="81" t="n">
        <x:v>45554</x:v>
      </x:c>
      <x:c r="D381" s="81" t="n">
        <x:v>45558</x:v>
      </x:c>
      <x:c r="E381" s="80" t="str">
        <x:v>CUST-6405</x:v>
      </x:c>
      <x:c r="F381" s="80" t="str">
        <x:v>Mira Das</x:v>
      </x:c>
      <x:c r="G381" s="80" t="str">
        <x:v>Small Business</x:v>
      </x:c>
      <x:c r="H381" s="80" t="str">
        <x:v>South</x:v>
      </x:c>
      <x:c r="I381" s="80" t="str">
        <x:v>Kerala</x:v>
      </x:c>
      <x:c r="J381" s="80" t="str">
        <x:v>Kochi</x:v>
      </x:c>
      <x:c r="K381" s="80" t="str">
        <x:v>Office Supplies</x:v>
      </x:c>
      <x:c r="L381" s="80" t="str">
        <x:v>Paper</x:v>
      </x:c>
      <x:c r="M381" s="80" t="str">
        <x:v>Max Paper 334</x:v>
      </x:c>
      <x:c r="N381" s="80" t="str">
        <x:v>Standard Class</x:v>
      </x:c>
      <x:c r="O381" s="82" t="n">
        <x:v>7</x:v>
      </x:c>
      <x:c r="P381" s="83" t="n">
        <x:v>1136.68</x:v>
      </x:c>
      <x:c r="Q381" s="84" t="n">
        <x:v>0</x:v>
      </x:c>
      <x:c r="R381" s="83" t="n">
        <x:v>7956.76</x:v>
      </x:c>
      <x:c r="S381" s="83" t="n">
        <x:v>4799.54</x:v>
      </x:c>
      <x:c r="T381" s="83" t="n">
        <x:v>3157.22</x:v>
      </x:c>
      <x:c r="U381" s="83" t="str">
        <x:v>Paid</x:v>
      </x:c>
      <x:c r="V381" s="83" t="str">
        <x:v>Completed</x:v>
      </x:c>
      <x:c r="W381" s="151" t="n">
        <x:f>IF(OR(NOT(ISNUMBER($AP381)),COUNT($O381,$P381)&lt;2,$O381&lt;=0,$P381&lt;0),"",ROUND($O381*$P381*(1-$AP381),2))</x:f>
        <x:v>7956.76</x:v>
      </x:c>
      <x:c r="X381" s="151" t="n">
        <x:f>IF(OR(NOT(ISNUMBER($W381)),NOT(ISNUMBER($S381))),"",ROUND($W381-$S381,2))</x:f>
        <x:v>3157.22</x:v>
      </x:c>
      <x:c r="Y381" s="85" t="n">
        <x:f>IF(OR(NOT(ISNUMBER($W381)),NOT(ISNUMBER($X381)),$W381=0),"",ROUND($X381/$W381,4))</x:f>
        <x:v>0.3968</x:v>
      </x:c>
      <x:c r="Z381" s="82" t="n">
        <x:f>IF(OR($AH381&lt;&gt;"Valid",$AI381&lt;&gt;"Valid"),"",INT($D381-$C381))</x:f>
        <x:v>4</x:v>
      </x:c>
      <x:c r="AA381" s="86" t="str">
        <x:f>IF($AH381&lt;&gt;"Valid","",TEXT($C381,"mmmm"))</x:f>
        <x:v>September</x:v>
      </x:c>
      <x:c r="AB381" s="82" t="n">
        <x:f>IF($AH381&lt;&gt;"Valid","",YEAR($C381))</x:f>
        <x:v>2024</x:v>
      </x:c>
      <x:c r="AC381" s="80" t="str">
        <x:v>Consistent</x:v>
      </x:c>
      <x:c r="AD381" s="80" t="str">
        <x:v>Eligible</x:v>
      </x:c>
      <x:c r="AE381" s="80" t="str">
        <x:f>IF(OR($AH381&lt;&gt;"Valid",$AI381&lt;&gt;"Valid",$AJ381&lt;&gt;"Valid",LEFT($AM381,7)="Invalid",IFERROR(ABS($AQ381)&gt;0.01,FALSE),IFERROR(ABS($AR381)&gt;0.01,FALSE),COUNTIF($AS381,"*Conflicting duplicate*")&gt;0,COUNTIF($AS381,"*Completed order not paid*")&gt;0),"Invalid",IF(OR($H381="Unknown",$N381="Unknown",$AM381="Missing discount imputed as 0"),"Warning","Clean"))</x:f>
        <x:v>Warning</x:v>
      </x:c>
      <x:c r="AF381" s="80" t="str">
        <x:v>Cleaned</x:v>
      </x:c>
      <x:c r="AG381" s="80" t="str">
        <x:v>discount: Imputed 0; discount: Missing value set to 0 after sales-field validation</x:v>
      </x:c>
      <x:c r="AH381" s="12" t="str">
        <x:f>IF(C381="","Missing date",IF(ISNUMBER(C381),"Valid","Unrecognized/invalid date"))</x:f>
        <x:v>Valid</x:v>
      </x:c>
      <x:c r="AI381" s="12" t="str">
        <x:f>IF(D381="","Missing date",IF(ISNUMBER(D381),"Valid","Unrecognized/invalid date"))</x:f>
        <x:v>Valid</x:v>
      </x:c>
      <x:c r="AJ381" s="12" t="str">
        <x:v>Valid</x:v>
      </x:c>
      <x:c r="AK381" s="12" t="str">
        <x:v>Pass</x:v>
      </x:c>
      <x:c r="AL381" s="12" t="str">
        <x:v>Missing discount imputed as 0</x:v>
      </x:c>
      <x:c r="AM381" s="12" t="str">
        <x:v>Missing discount imputed as 0</x:v>
      </x:c>
      <x:c r="AN381" s="12" t="str">
        <x:v>Include in completed sales</x:v>
      </x:c>
      <x:c r="AO381" s="12" t="str">
        <x:v>Not a refunded record</x:v>
      </x:c>
      <x:c r="AP381" s="37" t="n">
        <x:f>IF(LEFT($AM381,7)="Invalid","",IF($AM381="Missing discount imputed as 0",IF(AND(COUNT($O381,$P381,$R381,$S381)=4,$O381&gt;0,$P381&gt;=0,$R381&gt;=0,$S381&gt;=0),0,""),IF(AND(ISNUMBER($Q381),$Q381&gt;=0,$Q381&lt;=0.5),$Q381,"")))</x:f>
        <x:v>0</x:v>
      </x:c>
      <x:c r="AQ381" s="152" t="n">
        <x:f>IF(OR($W381="",NOT(ISNUMBER($R381))),"",ROUND($R381-$W381,2))</x:f>
        <x:v>0</x:v>
      </x:c>
      <x:c r="AR381" s="152" t="n">
        <x:f>IF(OR($X381="",NOT(ISNUMBER($T381))),"",ROUND($T381-$X381,2))</x:f>
        <x:v>0</x:v>
      </x:c>
      <x:c r="AS381" s="14" t="str">
        <x:v>OK</x:v>
      </x:c>
    </x:row>
    <x:row r="382">
      <x:c r="A382" s="80" t="n">
        <x:v>382</x:v>
      </x:c>
      <x:c r="B382" s="80" t="str">
        <x:v>ORD-2024-10381</x:v>
      </x:c>
      <x:c r="C382" s="81" t="n">
        <x:v>45389</x:v>
      </x:c>
      <x:c r="D382" s="81" t="n">
        <x:v>45396</x:v>
      </x:c>
      <x:c r="E382" s="80" t="str">
        <x:v>CUST-5779</x:v>
      </x:c>
      <x:c r="F382" s="80" t="str">
        <x:v>Vikram Iyer</x:v>
      </x:c>
      <x:c r="G382" s="80" t="str">
        <x:v>Consumer</x:v>
      </x:c>
      <x:c r="H382" s="80" t="str">
        <x:v>West</x:v>
      </x:c>
      <x:c r="I382" s="80" t="str">
        <x:v>Maharashtra</x:v>
      </x:c>
      <x:c r="J382" s="80" t="str">
        <x:v>Mumbai</x:v>
      </x:c>
      <x:c r="K382" s="80" t="str">
        <x:v>Furniture</x:v>
      </x:c>
      <x:c r="L382" s="80" t="str">
        <x:v>Bookcases</x:v>
      </x:c>
      <x:c r="M382" s="80" t="str">
        <x:v>Prime Bookcases 952</x:v>
      </x:c>
      <x:c r="N382" s="80" t="str">
        <x:v>Same Day</x:v>
      </x:c>
      <x:c r="O382" s="82" t="n">
        <x:v>5</x:v>
      </x:c>
      <x:c r="P382" s="83" t="n">
        <x:v>2235.85</x:v>
      </x:c>
      <x:c r="Q382" s="84" t="n">
        <x:v>0.25</x:v>
      </x:c>
      <x:c r="R382" s="83" t="n">
        <x:v>8384.44</x:v>
      </x:c>
      <x:c r="S382" s="83" t="n">
        <x:v>4765.96</x:v>
      </x:c>
      <x:c r="T382" s="83" t="n">
        <x:v>3618.48</x:v>
      </x:c>
      <x:c r="U382" s="83" t="str">
        <x:v>Paid</x:v>
      </x:c>
      <x:c r="V382" s="83" t="str">
        <x:v>Returned</x:v>
      </x:c>
      <x:c r="W382" s="151" t="n">
        <x:f>IF(OR(NOT(ISNUMBER($AP382)),COUNT($O382,$P382)&lt;2,$O382&lt;=0,$P382&lt;0),"",ROUND($O382*$P382*(1-$AP382),2))</x:f>
        <x:v>8384.44</x:v>
      </x:c>
      <x:c r="X382" s="151" t="n">
        <x:f>IF(OR(NOT(ISNUMBER($W382)),NOT(ISNUMBER($S382))),"",ROUND($W382-$S382,2))</x:f>
        <x:v>3618.48</x:v>
      </x:c>
      <x:c r="Y382" s="85" t="n">
        <x:f>IF(OR(NOT(ISNUMBER($W382)),NOT(ISNUMBER($X382)),$W382=0),"",ROUND($X382/$W382,4))</x:f>
        <x:v>0.4316</x:v>
      </x:c>
      <x:c r="Z382" s="82" t="n">
        <x:f>IF(OR($AH382&lt;&gt;"Valid",$AI382&lt;&gt;"Valid"),"",INT($D382-$C382))</x:f>
        <x:v>7</x:v>
      </x:c>
      <x:c r="AA382" s="86" t="str">
        <x:f>IF($AH382&lt;&gt;"Valid","",TEXT($C382,"mmmm"))</x:f>
        <x:v>April</x:v>
      </x:c>
      <x:c r="AB382" s="82" t="n">
        <x:f>IF($AH382&lt;&gt;"Valid","",YEAR($C382))</x:f>
        <x:v>2024</x:v>
      </x:c>
      <x:c r="AC382" s="80" t="str">
        <x:v>Consistent</x:v>
      </x:c>
      <x:c r="AD382" s="80" t="str">
        <x:v>Excluded</x:v>
      </x:c>
      <x:c r="AE382" s="80" t="str">
        <x:f>IF(OR($AH382&lt;&gt;"Valid",$AI382&lt;&gt;"Valid",$AJ382&lt;&gt;"Valid",LEFT($AM382,7)="Invalid",IFERROR(ABS($AQ382)&gt;0.01,FALSE),IFERROR(ABS($AR382)&gt;0.01,FALSE),COUNTIF($AS382,"*Conflicting duplicate*")&gt;0,COUNTIF($AS382,"*Completed order not paid*")&gt;0),"Invalid",IF(OR($H382="Unknown",$N382="Unknown",$AM382="Missing discount imputed as 0"),"Warning","Clean"))</x:f>
        <x:v>Clean</x:v>
      </x:c>
      <x:c r="AF382" s="80" t="str">
        <x:v>Pass</x:v>
      </x:c>
      <x:c r="AG382" s="80" t="str">
        <x:v>No text cleanup required</x:v>
      </x:c>
      <x:c r="AH382" s="12" t="str">
        <x:f>IF(C382="","Missing date",IF(ISNUMBER(C382),"Valid","Unrecognized/invalid date"))</x:f>
        <x:v>Valid</x:v>
      </x:c>
      <x:c r="AI382" s="12" t="str">
        <x:f>IF(D382="","Missing date",IF(ISNUMBER(D382),"Valid","Unrecognized/invalid date"))</x:f>
        <x:v>Valid</x:v>
      </x:c>
      <x:c r="AJ382" s="12" t="str">
        <x:v>Valid</x:v>
      </x:c>
      <x:c r="AK382" s="12" t="str">
        <x:v>Pass</x:v>
      </x:c>
      <x:c r="AL382" s="12" t="str">
        <x:v>None</x:v>
      </x:c>
      <x:c r="AM382" s="12" t="str">
        <x:v>Valid</x:v>
      </x:c>
      <x:c r="AN382" s="12" t="str">
        <x:v>Exclude from completed sales</x:v>
      </x:c>
      <x:c r="AO382" s="12" t="str">
        <x:v>Not a refunded record</x:v>
      </x:c>
      <x:c r="AP382" s="37" t="n">
        <x:f>IF(LEFT($AM382,7)="Invalid","",IF($AM382="Missing discount imputed as 0",IF(AND(COUNT($O382,$P382,$R382,$S382)=4,$O382&gt;0,$P382&gt;=0,$R382&gt;=0,$S382&gt;=0),0,""),IF(AND(ISNUMBER($Q382),$Q382&gt;=0,$Q382&lt;=0.5),$Q382,"")))</x:f>
        <x:v>0.25</x:v>
      </x:c>
      <x:c r="AQ382" s="152" t="n">
        <x:f>IF(OR($W382="",NOT(ISNUMBER($R382))),"",ROUND($R382-$W382,2))</x:f>
        <x:v>0</x:v>
      </x:c>
      <x:c r="AR382" s="152" t="n">
        <x:f>IF(OR($X382="",NOT(ISNUMBER($T382))),"",ROUND($T382-$X382,2))</x:f>
        <x:v>0</x:v>
      </x:c>
      <x:c r="AS382" s="14" t="str">
        <x:v>OK</x:v>
      </x:c>
    </x:row>
    <x:row r="383">
      <x:c r="A383" s="80" t="n">
        <x:v>383</x:v>
      </x:c>
      <x:c r="B383" s="80" t="str">
        <x:v>ORD-2025-10382</x:v>
      </x:c>
      <x:c r="C383" s="81" t="n">
        <x:v>45919</x:v>
      </x:c>
      <x:c r="D383" s="81" t="n">
        <x:v>45923</x:v>
      </x:c>
      <x:c r="E383" s="80" t="str">
        <x:v>CUST-9943</x:v>
      </x:c>
      <x:c r="F383" s="80" t="str">
        <x:v>Arjun Bose</x:v>
      </x:c>
      <x:c r="G383" s="80" t="str">
        <x:v>Home Office</x:v>
      </x:c>
      <x:c r="H383" s="80" t="str">
        <x:v>North</x:v>
      </x:c>
      <x:c r="I383" s="80" t="str">
        <x:v>Delhi</x:v>
      </x:c>
      <x:c r="J383" s="80" t="str">
        <x:v>New Delhi</x:v>
      </x:c>
      <x:c r="K383" s="80" t="str">
        <x:v>Office Supplies</x:v>
      </x:c>
      <x:c r="L383" s="80" t="str">
        <x:v>Binders</x:v>
      </x:c>
      <x:c r="M383" s="80" t="str">
        <x:v>Prime Binders 523</x:v>
      </x:c>
      <x:c r="N383" s="80" t="str">
        <x:v>Standard Class</x:v>
      </x:c>
      <x:c r="O383" s="82" t="n">
        <x:v>4</x:v>
      </x:c>
      <x:c r="P383" s="83" t="n">
        <x:v>4387.15</x:v>
      </x:c>
      <x:c r="Q383" s="84" t="n">
        <x:v>0.05</x:v>
      </x:c>
      <x:c r="R383" s="83" t="n">
        <x:v>16671.17</x:v>
      </x:c>
      <x:c r="S383" s="83" t="n">
        <x:v>10833.19</x:v>
      </x:c>
      <x:c r="T383" s="83" t="n">
        <x:v>5837.98</x:v>
      </x:c>
      <x:c r="U383" s="83" t="str">
        <x:v>Failed</x:v>
      </x:c>
      <x:c r="V383" s="83" t="str">
        <x:v>Cancelled</x:v>
      </x:c>
      <x:c r="W383" s="151" t="n">
        <x:f>IF(OR(NOT(ISNUMBER($AP383)),COUNT($O383,$P383)&lt;2,$O383&lt;=0,$P383&lt;0),"",ROUND($O383*$P383*(1-$AP383),2))</x:f>
        <x:v>16671.17</x:v>
      </x:c>
      <x:c r="X383" s="151" t="n">
        <x:f>IF(OR(NOT(ISNUMBER($W383)),NOT(ISNUMBER($S383))),"",ROUND($W383-$S383,2))</x:f>
        <x:v>5837.98</x:v>
      </x:c>
      <x:c r="Y383" s="85" t="n">
        <x:f>IF(OR(NOT(ISNUMBER($W383)),NOT(ISNUMBER($X383)),$W383=0),"",ROUND($X383/$W383,4))</x:f>
        <x:v>0.3502</x:v>
      </x:c>
      <x:c r="Z383" s="82" t="n">
        <x:f>IF(OR($AH383&lt;&gt;"Valid",$AI383&lt;&gt;"Valid"),"",INT($D383-$C383))</x:f>
        <x:v>4</x:v>
      </x:c>
      <x:c r="AA383" s="86" t="str">
        <x:f>IF($AH383&lt;&gt;"Valid","",TEXT($C383,"mmmm"))</x:f>
        <x:v>September</x:v>
      </x:c>
      <x:c r="AB383" s="82" t="n">
        <x:f>IF($AH383&lt;&gt;"Valid","",YEAR($C383))</x:f>
        <x:v>2025</x:v>
      </x:c>
      <x:c r="AC383" s="80" t="str">
        <x:v>Cancelled (excluded from completed-sales summary)</x:v>
      </x:c>
      <x:c r="AD383" s="80" t="str">
        <x:v>Excluded</x:v>
      </x:c>
      <x:c r="AE383" s="80" t="str">
        <x:f>IF(OR($AH383&lt;&gt;"Valid",$AI383&lt;&gt;"Valid",$AJ383&lt;&gt;"Valid",LEFT($AM383,7)="Invalid",IFERROR(ABS($AQ383)&gt;0.01,FALSE),IFERROR(ABS($AR383)&gt;0.01,FALSE),COUNTIF($AS383,"*Conflicting duplicate*")&gt;0,COUNTIF($AS383,"*Completed order not paid*")&gt;0),"Invalid",IF(OR($H383="Unknown",$N383="Unknown",$AM383="Missing discount imputed as 0"),"Warning","Clean"))</x:f>
        <x:v>Clean</x:v>
      </x:c>
      <x:c r="AF383" s="80" t="str">
        <x:v>Cleaned</x:v>
      </x:c>
      <x:c r="AG383" s="80" t="str">
        <x:v>segment: Case standardization</x:v>
      </x:c>
      <x:c r="AH383" s="12" t="str">
        <x:f>IF(C383="","Missing date",IF(ISNUMBER(C383),"Valid","Unrecognized/invalid date"))</x:f>
        <x:v>Valid</x:v>
      </x:c>
      <x:c r="AI383" s="12" t="str">
        <x:f>IF(D383="","Missing date",IF(ISNUMBER(D383),"Valid","Unrecognized/invalid date"))</x:f>
        <x:v>Valid</x:v>
      </x:c>
      <x:c r="AJ383" s="12" t="str">
        <x:v>Valid</x:v>
      </x:c>
      <x:c r="AK383" s="12" t="str">
        <x:v>Pass</x:v>
      </x:c>
      <x:c r="AL383" s="12" t="str">
        <x:v>Cancelled order – excluded from completed sales; Failed payment – excluded from completed sales</x:v>
      </x:c>
      <x:c r="AM383" s="12" t="str">
        <x:v>Valid</x:v>
      </x:c>
      <x:c r="AN383" s="12" t="str">
        <x:v>Exclude from completed sales</x:v>
      </x:c>
      <x:c r="AO383" s="12" t="str">
        <x:v>Not a refunded record</x:v>
      </x:c>
      <x:c r="AP383" s="37" t="n">
        <x:f>IF(LEFT($AM383,7)="Invalid","",IF($AM383="Missing discount imputed as 0",IF(AND(COUNT($O383,$P383,$R383,$S383)=4,$O383&gt;0,$P383&gt;=0,$R383&gt;=0,$S383&gt;=0),0,""),IF(AND(ISNUMBER($Q383),$Q383&gt;=0,$Q383&lt;=0.5),$Q383,"")))</x:f>
        <x:v>0.05</x:v>
      </x:c>
      <x:c r="AQ383" s="152" t="n">
        <x:f>IF(OR($W383="",NOT(ISNUMBER($R383))),"",ROUND($R383-$W383,2))</x:f>
        <x:v>0</x:v>
      </x:c>
      <x:c r="AR383" s="152" t="n">
        <x:f>IF(OR($X383="",NOT(ISNUMBER($T383))),"",ROUND($T383-$X383,2))</x:f>
        <x:v>0</x:v>
      </x:c>
      <x:c r="AS383" s="14" t="str">
        <x:v>OK</x:v>
      </x:c>
    </x:row>
    <x:row r="384">
      <x:c r="A384" s="80" t="n">
        <x:v>384</x:v>
      </x:c>
      <x:c r="B384" s="80" t="str">
        <x:v>ORD-2025-10383</x:v>
      </x:c>
      <x:c r="C384" s="81" t="n">
        <x:v>45720</x:v>
      </x:c>
      <x:c r="D384" s="81" t="n">
        <x:v>45724</x:v>
      </x:c>
      <x:c r="E384" s="80" t="str">
        <x:v>CUST-7098</x:v>
      </x:c>
      <x:c r="F384" s="80" t="str">
        <x:v>Arjun Bose</x:v>
      </x:c>
      <x:c r="G384" s="80" t="str">
        <x:v>Small Business</x:v>
      </x:c>
      <x:c r="H384" s="80" t="str">
        <x:v>East</x:v>
      </x:c>
      <x:c r="I384" s="80" t="str">
        <x:v>Bihar</x:v>
      </x:c>
      <x:c r="J384" s="80" t="str">
        <x:v>Patna</x:v>
      </x:c>
      <x:c r="K384" s="80" t="str">
        <x:v>Technology</x:v>
      </x:c>
      <x:c r="L384" s="80" t="str">
        <x:v>Phones</x:v>
      </x:c>
      <x:c r="M384" s="80" t="str">
        <x:v>Pro Phones 538</x:v>
      </x:c>
      <x:c r="N384" s="80" t="str">
        <x:v>First Class</x:v>
      </x:c>
      <x:c r="O384" s="82" t="n">
        <x:v>3</x:v>
      </x:c>
      <x:c r="P384" s="83" t="n">
        <x:v>4361.85</x:v>
      </x:c>
      <x:c r="Q384" s="84" t="n">
        <x:v>0.2</x:v>
      </x:c>
      <x:c r="R384" s="83" t="n">
        <x:v>10468.44</x:v>
      </x:c>
      <x:c r="S384" s="83" t="n">
        <x:v>8399.87</x:v>
      </x:c>
      <x:c r="T384" s="83" t="n">
        <x:v>2068.57</x:v>
      </x:c>
      <x:c r="U384" s="83" t="str">
        <x:v>Paid</x:v>
      </x:c>
      <x:c r="V384" s="83" t="str">
        <x:v>Completed</x:v>
      </x:c>
      <x:c r="W384" s="151" t="n">
        <x:f>IF(OR(NOT(ISNUMBER($AP384)),COUNT($O384,$P384)&lt;2,$O384&lt;=0,$P384&lt;0),"",ROUND($O384*$P384*(1-$AP384),2))</x:f>
        <x:v>10468.44</x:v>
      </x:c>
      <x:c r="X384" s="151" t="n">
        <x:f>IF(OR(NOT(ISNUMBER($W384)),NOT(ISNUMBER($S384))),"",ROUND($W384-$S384,2))</x:f>
        <x:v>2068.57</x:v>
      </x:c>
      <x:c r="Y384" s="85" t="n">
        <x:f>IF(OR(NOT(ISNUMBER($W384)),NOT(ISNUMBER($X384)),$W384=0),"",ROUND($X384/$W384,4))</x:f>
        <x:v>0.1976</x:v>
      </x:c>
      <x:c r="Z384" s="82" t="n">
        <x:f>IF(OR($AH384&lt;&gt;"Valid",$AI384&lt;&gt;"Valid"),"",INT($D384-$C384))</x:f>
        <x:v>4</x:v>
      </x:c>
      <x:c r="AA384" s="86" t="str">
        <x:f>IF($AH384&lt;&gt;"Valid","",TEXT($C384,"mmmm"))</x:f>
        <x:v>March</x:v>
      </x:c>
      <x:c r="AB384" s="82" t="n">
        <x:f>IF($AH384&lt;&gt;"Valid","",YEAR($C384))</x:f>
        <x:v>2025</x:v>
      </x:c>
      <x:c r="AC384" s="80" t="str">
        <x:v>Consistent</x:v>
      </x:c>
      <x:c r="AD384" s="80" t="str">
        <x:v>Eligible</x:v>
      </x:c>
      <x:c r="AE384" s="80" t="str">
        <x:f>IF(OR($AH384&lt;&gt;"Valid",$AI384&lt;&gt;"Valid",$AJ384&lt;&gt;"Valid",LEFT($AM384,7)="Invalid",IFERROR(ABS($AQ384)&gt;0.01,FALSE),IFERROR(ABS($AR384)&gt;0.01,FALSE),COUNTIF($AS384,"*Conflicting duplicate*")&gt;0,COUNTIF($AS384,"*Completed order not paid*")&gt;0),"Invalid",IF(OR($H384="Unknown",$N384="Unknown",$AM384="Missing discount imputed as 0"),"Warning","Clean"))</x:f>
        <x:v>Clean</x:v>
      </x:c>
      <x:c r="AF384" s="80" t="str">
        <x:v>Cleaned</x:v>
      </x:c>
      <x:c r="AG384" s="80" t="str">
        <x:v>category: Case standardization</x:v>
      </x:c>
      <x:c r="AH384" s="12" t="str">
        <x:f>IF(C384="","Missing date",IF(ISNUMBER(C384),"Valid","Unrecognized/invalid date"))</x:f>
        <x:v>Valid</x:v>
      </x:c>
      <x:c r="AI384" s="12" t="str">
        <x:f>IF(D384="","Missing date",IF(ISNUMBER(D384),"Valid","Unrecognized/invalid date"))</x:f>
        <x:v>Valid</x:v>
      </x:c>
      <x:c r="AJ384" s="12" t="str">
        <x:v>Valid</x:v>
      </x:c>
      <x:c r="AK384" s="12" t="str">
        <x:v>Pass</x:v>
      </x:c>
      <x:c r="AL384" s="12" t="str">
        <x:v>None</x:v>
      </x:c>
      <x:c r="AM384" s="12" t="str">
        <x:v>Valid</x:v>
      </x:c>
      <x:c r="AN384" s="12" t="str">
        <x:v>Include in completed sales</x:v>
      </x:c>
      <x:c r="AO384" s="12" t="str">
        <x:v>Not a refunded record</x:v>
      </x:c>
      <x:c r="AP384" s="37" t="n">
        <x:f>IF(LEFT($AM384,7)="Invalid","",IF($AM384="Missing discount imputed as 0",IF(AND(COUNT($O384,$P384,$R384,$S384)=4,$O384&gt;0,$P384&gt;=0,$R384&gt;=0,$S384&gt;=0),0,""),IF(AND(ISNUMBER($Q384),$Q384&gt;=0,$Q384&lt;=0.5),$Q384,"")))</x:f>
        <x:v>0.2</x:v>
      </x:c>
      <x:c r="AQ384" s="152" t="n">
        <x:f>IF(OR($W384="",NOT(ISNUMBER($R384))),"",ROUND($R384-$W384,2))</x:f>
        <x:v>0</x:v>
      </x:c>
      <x:c r="AR384" s="152" t="n">
        <x:f>IF(OR($X384="",NOT(ISNUMBER($T384))),"",ROUND($T384-$X384,2))</x:f>
        <x:v>0</x:v>
      </x:c>
      <x:c r="AS384" s="14" t="str">
        <x:v>OK</x:v>
      </x:c>
    </x:row>
    <x:row r="385">
      <x:c r="A385" s="80" t="n">
        <x:v>385</x:v>
      </x:c>
      <x:c r="B385" s="80" t="str">
        <x:v>ORD-2025-10384</x:v>
      </x:c>
      <x:c r="C385" s="81" t="n">
        <x:v>45836</x:v>
      </x:c>
      <x:c r="D385" s="81" t="n">
        <x:v>45843</x:v>
      </x:c>
      <x:c r="E385" s="80" t="str">
        <x:v>CUST-7438</x:v>
      </x:c>
      <x:c r="F385" s="80" t="str">
        <x:v>Vikram Iyer</x:v>
      </x:c>
      <x:c r="G385" s="80" t="str">
        <x:v>Corporate</x:v>
      </x:c>
      <x:c r="H385" s="80" t="str">
        <x:v>East</x:v>
      </x:c>
      <x:c r="I385" s="80" t="str">
        <x:v>West Bengal</x:v>
      </x:c>
      <x:c r="J385" s="80" t="str">
        <x:v>Kolkata</x:v>
      </x:c>
      <x:c r="K385" s="80" t="str">
        <x:v>Office Supplies</x:v>
      </x:c>
      <x:c r="L385" s="80" t="str">
        <x:v>Art</x:v>
      </x:c>
      <x:c r="M385" s="80" t="str">
        <x:v>Basic Art 608</x:v>
      </x:c>
      <x:c r="N385" s="80" t="str">
        <x:v>First Class</x:v>
      </x:c>
      <x:c r="O385" s="82" t="n">
        <x:v>2</x:v>
      </x:c>
      <x:c r="P385" s="83" t="n">
        <x:v>2242.75</x:v>
      </x:c>
      <x:c r="Q385" s="84" t="n">
        <x:v>0</x:v>
      </x:c>
      <x:c r="R385" s="83" t="n">
        <x:v>4485.5</x:v>
      </x:c>
      <x:c r="S385" s="83" t="n">
        <x:v>3131.86</x:v>
      </x:c>
      <x:c r="T385" s="83" t="n">
        <x:v>1353.64</x:v>
      </x:c>
      <x:c r="U385" s="83" t="str">
        <x:v>Paid</x:v>
      </x:c>
      <x:c r="V385" s="83" t="str">
        <x:v>Cancelled</x:v>
      </x:c>
      <x:c r="W385" s="151" t="n">
        <x:f>IF(OR(NOT(ISNUMBER($AP385)),COUNT($O385,$P385)&lt;2,$O385&lt;=0,$P385&lt;0),"",ROUND($O385*$P385*(1-$AP385),2))</x:f>
        <x:v>4485.5</x:v>
      </x:c>
      <x:c r="X385" s="151" t="n">
        <x:f>IF(OR(NOT(ISNUMBER($W385)),NOT(ISNUMBER($S385))),"",ROUND($W385-$S385,2))</x:f>
        <x:v>1353.64</x:v>
      </x:c>
      <x:c r="Y385" s="85" t="n">
        <x:f>IF(OR(NOT(ISNUMBER($W385)),NOT(ISNUMBER($X385)),$W385=0),"",ROUND($X385/$W385,4))</x:f>
        <x:v>0.3018</x:v>
      </x:c>
      <x:c r="Z385" s="82" t="n">
        <x:f>IF(OR($AH385&lt;&gt;"Valid",$AI385&lt;&gt;"Valid"),"",INT($D385-$C385))</x:f>
        <x:v>7</x:v>
      </x:c>
      <x:c r="AA385" s="86" t="str">
        <x:f>IF($AH385&lt;&gt;"Valid","",TEXT($C385,"mmmm"))</x:f>
        <x:v>June</x:v>
      </x:c>
      <x:c r="AB385" s="82" t="n">
        <x:f>IF($AH385&lt;&gt;"Valid","",YEAR($C385))</x:f>
        <x:v>2025</x:v>
      </x:c>
      <x:c r="AC385" s="80" t="str">
        <x:v>Cancelled (excluded from completed-sales summary)</x:v>
      </x:c>
      <x:c r="AD385" s="80" t="str">
        <x:v>Excluded</x:v>
      </x:c>
      <x:c r="AE385" s="80" t="str">
        <x:f>IF(OR($AH385&lt;&gt;"Valid",$AI385&lt;&gt;"Valid",$AJ385&lt;&gt;"Valid",LEFT($AM385,7)="Invalid",IFERROR(ABS($AQ385)&gt;0.01,FALSE),IFERROR(ABS($AR385)&gt;0.01,FALSE),COUNTIF($AS385,"*Conflicting duplicate*")&gt;0,COUNTIF($AS385,"*Completed order not paid*")&gt;0),"Invalid",IF(OR($H385="Unknown",$N385="Unknown",$AM385="Missing discount imputed as 0"),"Warning","Clean"))</x:f>
        <x:v>Clean</x:v>
      </x:c>
      <x:c r="AF385" s="80" t="str">
        <x:v>Pass</x:v>
      </x:c>
      <x:c r="AG385" s="80" t="str">
        <x:v>No text cleanup required</x:v>
      </x:c>
      <x:c r="AH385" s="12" t="str">
        <x:f>IF(C385="","Missing date",IF(ISNUMBER(C385),"Valid","Unrecognized/invalid date"))</x:f>
        <x:v>Valid</x:v>
      </x:c>
      <x:c r="AI385" s="12" t="str">
        <x:f>IF(D385="","Missing date",IF(ISNUMBER(D385),"Valid","Unrecognized/invalid date"))</x:f>
        <x:v>Valid</x:v>
      </x:c>
      <x:c r="AJ385" s="12" t="str">
        <x:v>Valid</x:v>
      </x:c>
      <x:c r="AK385" s="12" t="str">
        <x:v>Pass</x:v>
      </x:c>
      <x:c r="AL385" s="12" t="str">
        <x:v>Cancelled order – excluded from completed sales</x:v>
      </x:c>
      <x:c r="AM385" s="12" t="str">
        <x:v>Valid</x:v>
      </x:c>
      <x:c r="AN385" s="12" t="str">
        <x:v>Exclude from completed sales</x:v>
      </x:c>
      <x:c r="AO385" s="12" t="str">
        <x:v>Not a refunded record</x:v>
      </x:c>
      <x:c r="AP385" s="37" t="n">
        <x:f>IF(LEFT($AM385,7)="Invalid","",IF($AM385="Missing discount imputed as 0",IF(AND(COUNT($O385,$P385,$R385,$S385)=4,$O385&gt;0,$P385&gt;=0,$R385&gt;=0,$S385&gt;=0),0,""),IF(AND(ISNUMBER($Q385),$Q385&gt;=0,$Q385&lt;=0.5),$Q385,"")))</x:f>
        <x:v>0</x:v>
      </x:c>
      <x:c r="AQ385" s="152" t="n">
        <x:f>IF(OR($W385="",NOT(ISNUMBER($R385))),"",ROUND($R385-$W385,2))</x:f>
        <x:v>0</x:v>
      </x:c>
      <x:c r="AR385" s="152" t="n">
        <x:f>IF(OR($X385="",NOT(ISNUMBER($T385))),"",ROUND($T385-$X385,2))</x:f>
        <x:v>0</x:v>
      </x:c>
      <x:c r="AS385" s="14" t="str">
        <x:v>OK</x:v>
      </x:c>
    </x:row>
    <x:row r="386">
      <x:c r="A386" s="80" t="n">
        <x:v>386</x:v>
      </x:c>
      <x:c r="B386" s="80" t="str">
        <x:v>ORD-2024-10385</x:v>
      </x:c>
      <x:c r="C386" s="81" t="n">
        <x:v>45366</x:v>
      </x:c>
      <x:c r="D386" s="81" t="n">
        <x:v>45371</x:v>
      </x:c>
      <x:c r="E386" s="80" t="str">
        <x:v>CUST-8432</x:v>
      </x:c>
      <x:c r="F386" s="80" t="str">
        <x:v>Rohan Mehta</x:v>
      </x:c>
      <x:c r="G386" s="80" t="str">
        <x:v>Consumer</x:v>
      </x:c>
      <x:c r="H386" s="80" t="str">
        <x:v>East</x:v>
      </x:c>
      <x:c r="I386" s="80" t="str">
        <x:v>Jharkhand</x:v>
      </x:c>
      <x:c r="J386" s="80" t="str">
        <x:v>Ranchi</x:v>
      </x:c>
      <x:c r="K386" s="80" t="str">
        <x:v>Technology</x:v>
      </x:c>
      <x:c r="L386" s="80" t="str">
        <x:v>Copiers</x:v>
      </x:c>
      <x:c r="M386" s="80" t="str">
        <x:v>Prime Copiers 820</x:v>
      </x:c>
      <x:c r="N386" s="80" t="str">
        <x:v>Standard Class</x:v>
      </x:c>
      <x:c r="O386" s="82" t="n">
        <x:v>2</x:v>
      </x:c>
      <x:c r="P386" s="83" t="n">
        <x:v>1881.4</x:v>
      </x:c>
      <x:c r="Q386" s="84" t="n">
        <x:v>0.25</x:v>
      </x:c>
      <x:c r="R386" s="83" t="n">
        <x:v>2822.1</x:v>
      </x:c>
      <x:c r="S386" s="83" t="n">
        <x:v>1624.57</x:v>
      </x:c>
      <x:c r="T386" s="83" t="n">
        <x:v>1197.53</x:v>
      </x:c>
      <x:c r="U386" s="83" t="str">
        <x:v>Paid</x:v>
      </x:c>
      <x:c r="V386" s="83" t="str">
        <x:v>Returned</x:v>
      </x:c>
      <x:c r="W386" s="151" t="n">
        <x:f>IF(OR(NOT(ISNUMBER($AP386)),COUNT($O386,$P386)&lt;2,$O386&lt;=0,$P386&lt;0),"",ROUND($O386*$P386*(1-$AP386),2))</x:f>
        <x:v>2822.1</x:v>
      </x:c>
      <x:c r="X386" s="151" t="n">
        <x:f>IF(OR(NOT(ISNUMBER($W386)),NOT(ISNUMBER($S386))),"",ROUND($W386-$S386,2))</x:f>
        <x:v>1197.53</x:v>
      </x:c>
      <x:c r="Y386" s="85" t="n">
        <x:f>IF(OR(NOT(ISNUMBER($W386)),NOT(ISNUMBER($X386)),$W386=0),"",ROUND($X386/$W386,4))</x:f>
        <x:v>0.4243</x:v>
      </x:c>
      <x:c r="Z386" s="82" t="n">
        <x:f>IF(OR($AH386&lt;&gt;"Valid",$AI386&lt;&gt;"Valid"),"",INT($D386-$C386))</x:f>
        <x:v>5</x:v>
      </x:c>
      <x:c r="AA386" s="86" t="str">
        <x:f>IF($AH386&lt;&gt;"Valid","",TEXT($C386,"mmmm"))</x:f>
        <x:v>March</x:v>
      </x:c>
      <x:c r="AB386" s="82" t="n">
        <x:f>IF($AH386&lt;&gt;"Valid","",YEAR($C386))</x:f>
        <x:v>2024</x:v>
      </x:c>
      <x:c r="AC386" s="80" t="str">
        <x:v>Consistent</x:v>
      </x:c>
      <x:c r="AD386" s="80" t="str">
        <x:v>Excluded</x:v>
      </x:c>
      <x:c r="AE386" s="80" t="str">
        <x:f>IF(OR($AH386&lt;&gt;"Valid",$AI386&lt;&gt;"Valid",$AJ386&lt;&gt;"Valid",LEFT($AM386,7)="Invalid",IFERROR(ABS($AQ386)&gt;0.01,FALSE),IFERROR(ABS($AR386)&gt;0.01,FALSE),COUNTIF($AS386,"*Conflicting duplicate*")&gt;0,COUNTIF($AS386,"*Completed order not paid*")&gt;0),"Invalid",IF(OR($H386="Unknown",$N386="Unknown",$AM386="Missing discount imputed as 0"),"Warning","Clean"))</x:f>
        <x:v>Clean</x:v>
      </x:c>
      <x:c r="AF386" s="80" t="str">
        <x:v>Pass</x:v>
      </x:c>
      <x:c r="AG386" s="80" t="str">
        <x:v>No text cleanup required</x:v>
      </x:c>
      <x:c r="AH386" s="12" t="str">
        <x:f>IF(C386="","Missing date",IF(ISNUMBER(C386),"Valid","Unrecognized/invalid date"))</x:f>
        <x:v>Valid</x:v>
      </x:c>
      <x:c r="AI386" s="12" t="str">
        <x:f>IF(D386="","Missing date",IF(ISNUMBER(D386),"Valid","Unrecognized/invalid date"))</x:f>
        <x:v>Valid</x:v>
      </x:c>
      <x:c r="AJ386" s="12" t="str">
        <x:v>Valid</x:v>
      </x:c>
      <x:c r="AK386" s="12" t="str">
        <x:v>Pass</x:v>
      </x:c>
      <x:c r="AL386" s="12" t="str">
        <x:v>None</x:v>
      </x:c>
      <x:c r="AM386" s="12" t="str">
        <x:v>Valid</x:v>
      </x:c>
      <x:c r="AN386" s="12" t="str">
        <x:v>Exclude from completed sales</x:v>
      </x:c>
      <x:c r="AO386" s="12" t="str">
        <x:v>Not a refunded record</x:v>
      </x:c>
      <x:c r="AP386" s="37" t="n">
        <x:f>IF(LEFT($AM386,7)="Invalid","",IF($AM386="Missing discount imputed as 0",IF(AND(COUNT($O386,$P386,$R386,$S386)=4,$O386&gt;0,$P386&gt;=0,$R386&gt;=0,$S386&gt;=0),0,""),IF(AND(ISNUMBER($Q386),$Q386&gt;=0,$Q386&lt;=0.5),$Q386,"")))</x:f>
        <x:v>0.25</x:v>
      </x:c>
      <x:c r="AQ386" s="152" t="n">
        <x:f>IF(OR($W386="",NOT(ISNUMBER($R386))),"",ROUND($R386-$W386,2))</x:f>
        <x:v>0</x:v>
      </x:c>
      <x:c r="AR386" s="152" t="n">
        <x:f>IF(OR($X386="",NOT(ISNUMBER($T386))),"",ROUND($T386-$X386,2))</x:f>
        <x:v>0</x:v>
      </x:c>
      <x:c r="AS386" s="14" t="str">
        <x:v>OK</x:v>
      </x:c>
    </x:row>
    <x:row r="387">
      <x:c r="A387" s="80" t="n">
        <x:v>387</x:v>
      </x:c>
      <x:c r="B387" s="80" t="str">
        <x:v>ORD-2025-10386</x:v>
      </x:c>
      <x:c r="C387" s="81" t="n">
        <x:v>45832</x:v>
      </x:c>
      <x:c r="D387" s="81" t="n">
        <x:v>45838</x:v>
      </x:c>
      <x:c r="E387" s="80" t="str">
        <x:v>CUST-2834</x:v>
      </x:c>
      <x:c r="F387" s="80" t="str">
        <x:v>Arjun Bose</x:v>
      </x:c>
      <x:c r="G387" s="80" t="str">
        <x:v>Consumer</x:v>
      </x:c>
      <x:c r="H387" s="80" t="str">
        <x:v>North</x:v>
      </x:c>
      <x:c r="I387" s="80" t="str">
        <x:v>Haryana</x:v>
      </x:c>
      <x:c r="J387" s="80" t="str">
        <x:v>Gurugram</x:v>
      </x:c>
      <x:c r="K387" s="80" t="str">
        <x:v>Office Supplies</x:v>
      </x:c>
      <x:c r="L387" s="80" t="str">
        <x:v>Labels</x:v>
      </x:c>
      <x:c r="M387" s="80" t="str">
        <x:v>Classic Labels 670</x:v>
      </x:c>
      <x:c r="N387" s="80" t="str">
        <x:v>Standard Class</x:v>
      </x:c>
      <x:c r="O387" s="82" t="n">
        <x:v>6</x:v>
      </x:c>
      <x:c r="P387" s="83" t="n">
        <x:v>365.76</x:v>
      </x:c>
      <x:c r="Q387" s="84" t="n">
        <x:v>0.1</x:v>
      </x:c>
      <x:c r="R387" s="83" t="n">
        <x:v>1975.1</x:v>
      </x:c>
      <x:c r="S387" s="83" t="n">
        <x:v>1115.35</x:v>
      </x:c>
      <x:c r="T387" s="83" t="n">
        <x:v>859.75</x:v>
      </x:c>
      <x:c r="U387" s="83" t="str">
        <x:v>Paid</x:v>
      </x:c>
      <x:c r="V387" s="83" t="str">
        <x:v>Completed</x:v>
      </x:c>
      <x:c r="W387" s="151" t="n">
        <x:f>IF(OR(NOT(ISNUMBER($AP387)),COUNT($O387,$P387)&lt;2,$O387&lt;=0,$P387&lt;0),"",ROUND($O387*$P387*(1-$AP387),2))</x:f>
        <x:v>1975.1</x:v>
      </x:c>
      <x:c r="X387" s="151" t="n">
        <x:f>IF(OR(NOT(ISNUMBER($W387)),NOT(ISNUMBER($S387))),"",ROUND($W387-$S387,2))</x:f>
        <x:v>859.75</x:v>
      </x:c>
      <x:c r="Y387" s="85" t="n">
        <x:f>IF(OR(NOT(ISNUMBER($W387)),NOT(ISNUMBER($X387)),$W387=0),"",ROUND($X387/$W387,4))</x:f>
        <x:v>0.4353</x:v>
      </x:c>
      <x:c r="Z387" s="82" t="n">
        <x:f>IF(OR($AH387&lt;&gt;"Valid",$AI387&lt;&gt;"Valid"),"",INT($D387-$C387))</x:f>
        <x:v>6</x:v>
      </x:c>
      <x:c r="AA387" s="86" t="str">
        <x:f>IF($AH387&lt;&gt;"Valid","",TEXT($C387,"mmmm"))</x:f>
        <x:v>June</x:v>
      </x:c>
      <x:c r="AB387" s="82" t="n">
        <x:f>IF($AH387&lt;&gt;"Valid","",YEAR($C387))</x:f>
        <x:v>2025</x:v>
      </x:c>
      <x:c r="AC387" s="80" t="str">
        <x:v>Consistent</x:v>
      </x:c>
      <x:c r="AD387" s="80" t="str">
        <x:v>Eligible</x:v>
      </x:c>
      <x:c r="AE387" s="80" t="str">
        <x:f>IF(OR($AH387&lt;&gt;"Valid",$AI387&lt;&gt;"Valid",$AJ387&lt;&gt;"Valid",LEFT($AM387,7)="Invalid",IFERROR(ABS($AQ387)&gt;0.01,FALSE),IFERROR(ABS($AR387)&gt;0.01,FALSE),COUNTIF($AS387,"*Conflicting duplicate*")&gt;0,COUNTIF($AS387,"*Completed order not paid*")&gt;0),"Invalid",IF(OR($H387="Unknown",$N387="Unknown",$AM387="Missing discount imputed as 0"),"Warning","Clean"))</x:f>
        <x:v>Clean</x:v>
      </x:c>
      <x:c r="AF387" s="80" t="str">
        <x:v>Pass</x:v>
      </x:c>
      <x:c r="AG387" s="80" t="str">
        <x:v>No text cleanup required</x:v>
      </x:c>
      <x:c r="AH387" s="12" t="str">
        <x:f>IF(C387="","Missing date",IF(ISNUMBER(C387),"Valid","Unrecognized/invalid date"))</x:f>
        <x:v>Valid</x:v>
      </x:c>
      <x:c r="AI387" s="12" t="str">
        <x:f>IF(D387="","Missing date",IF(ISNUMBER(D387),"Valid","Unrecognized/invalid date"))</x:f>
        <x:v>Valid</x:v>
      </x:c>
      <x:c r="AJ387" s="12" t="str">
        <x:v>Valid</x:v>
      </x:c>
      <x:c r="AK387" s="12" t="str">
        <x:v>Pass</x:v>
      </x:c>
      <x:c r="AL387" s="12" t="str">
        <x:v>None</x:v>
      </x:c>
      <x:c r="AM387" s="12" t="str">
        <x:v>Valid</x:v>
      </x:c>
      <x:c r="AN387" s="12" t="str">
        <x:v>Include in completed sales</x:v>
      </x:c>
      <x:c r="AO387" s="12" t="str">
        <x:v>Not a refunded record</x:v>
      </x:c>
      <x:c r="AP387" s="37" t="n">
        <x:f>IF(LEFT($AM387,7)="Invalid","",IF($AM387="Missing discount imputed as 0",IF(AND(COUNT($O387,$P387,$R387,$S387)=4,$O387&gt;0,$P387&gt;=0,$R387&gt;=0,$S387&gt;=0),0,""),IF(AND(ISNUMBER($Q387),$Q387&gt;=0,$Q387&lt;=0.5),$Q387,"")))</x:f>
        <x:v>0.1</x:v>
      </x:c>
      <x:c r="AQ387" s="152" t="n">
        <x:f>IF(OR($W387="",NOT(ISNUMBER($R387))),"",ROUND($R387-$W387,2))</x:f>
        <x:v>0</x:v>
      </x:c>
      <x:c r="AR387" s="152" t="n">
        <x:f>IF(OR($X387="",NOT(ISNUMBER($T387))),"",ROUND($T387-$X387,2))</x:f>
        <x:v>0</x:v>
      </x:c>
      <x:c r="AS387" s="14" t="str">
        <x:v>OK</x:v>
      </x:c>
    </x:row>
    <x:row r="388">
      <x:c r="A388" s="80" t="n">
        <x:v>388</x:v>
      </x:c>
      <x:c r="B388" s="80" t="str">
        <x:v>ORD-2025-10387</x:v>
      </x:c>
      <x:c r="C388" s="81" t="n">
        <x:v>45700</x:v>
      </x:c>
      <x:c r="D388" s="81" t="n">
        <x:v>45702</x:v>
      </x:c>
      <x:c r="E388" s="80" t="str">
        <x:v>CUST-4222</x:v>
      </x:c>
      <x:c r="F388" s="80" t="str">
        <x:v>Sneha Kapoor</x:v>
      </x:c>
      <x:c r="G388" s="80" t="str">
        <x:v>Consumer</x:v>
      </x:c>
      <x:c r="H388" s="80" t="str">
        <x:v>West</x:v>
      </x:c>
      <x:c r="I388" s="80" t="str">
        <x:v>Maharashtra</x:v>
      </x:c>
      <x:c r="J388" s="80" t="str">
        <x:v>Mumbai</x:v>
      </x:c>
      <x:c r="K388" s="80" t="str">
        <x:v>Furniture</x:v>
      </x:c>
      <x:c r="L388" s="80" t="str">
        <x:v>Furnishings</x:v>
      </x:c>
      <x:c r="M388" s="80" t="str">
        <x:v>Prime Furnishings 597</x:v>
      </x:c>
      <x:c r="N388" s="80" t="str">
        <x:v>Second Class</x:v>
      </x:c>
      <x:c r="O388" s="82" t="n">
        <x:v>8</x:v>
      </x:c>
      <x:c r="P388" s="83" t="n">
        <x:v>2786.66</x:v>
      </x:c>
      <x:c r="Q388" s="84" t="n">
        <x:v>0.1</x:v>
      </x:c>
      <x:c r="R388" s="83" t="n">
        <x:v>20063.95</x:v>
      </x:c>
      <x:c r="S388" s="83" t="n">
        <x:v>14363.38</x:v>
      </x:c>
      <x:c r="T388" s="83" t="n">
        <x:v>5700.57</x:v>
      </x:c>
      <x:c r="U388" s="83" t="str">
        <x:v>Paid</x:v>
      </x:c>
      <x:c r="V388" s="83" t="str">
        <x:v>Completed</x:v>
      </x:c>
      <x:c r="W388" s="151" t="n">
        <x:f>IF(OR(NOT(ISNUMBER($AP388)),COUNT($O388,$P388)&lt;2,$O388&lt;=0,$P388&lt;0),"",ROUND($O388*$P388*(1-$AP388),2))</x:f>
        <x:v>20063.95</x:v>
      </x:c>
      <x:c r="X388" s="151" t="n">
        <x:f>IF(OR(NOT(ISNUMBER($W388)),NOT(ISNUMBER($S388))),"",ROUND($W388-$S388,2))</x:f>
        <x:v>5700.57</x:v>
      </x:c>
      <x:c r="Y388" s="85" t="n">
        <x:f>IF(OR(NOT(ISNUMBER($W388)),NOT(ISNUMBER($X388)),$W388=0),"",ROUND($X388/$W388,4))</x:f>
        <x:v>0.2841</x:v>
      </x:c>
      <x:c r="Z388" s="82" t="n">
        <x:f>IF(OR($AH388&lt;&gt;"Valid",$AI388&lt;&gt;"Valid"),"",INT($D388-$C388))</x:f>
        <x:v>2</x:v>
      </x:c>
      <x:c r="AA388" s="86" t="str">
        <x:f>IF($AH388&lt;&gt;"Valid","",TEXT($C388,"mmmm"))</x:f>
        <x:v>February</x:v>
      </x:c>
      <x:c r="AB388" s="82" t="n">
        <x:f>IF($AH388&lt;&gt;"Valid","",YEAR($C388))</x:f>
        <x:v>2025</x:v>
      </x:c>
      <x:c r="AC388" s="80" t="str">
        <x:v>Consistent</x:v>
      </x:c>
      <x:c r="AD388" s="80" t="str">
        <x:v>Eligible</x:v>
      </x:c>
      <x:c r="AE388" s="80" t="str">
        <x:f>IF(OR($AH388&lt;&gt;"Valid",$AI388&lt;&gt;"Valid",$AJ388&lt;&gt;"Valid",LEFT($AM388,7)="Invalid",IFERROR(ABS($AQ388)&gt;0.01,FALSE),IFERROR(ABS($AR388)&gt;0.01,FALSE),COUNTIF($AS388,"*Conflicting duplicate*")&gt;0,COUNTIF($AS388,"*Completed order not paid*")&gt;0),"Invalid",IF(OR($H388="Unknown",$N388="Unknown",$AM388="Missing discount imputed as 0"),"Warning","Clean"))</x:f>
        <x:v>Clean</x:v>
      </x:c>
      <x:c r="AF388" s="80" t="str">
        <x:v>Pass</x:v>
      </x:c>
      <x:c r="AG388" s="80" t="str">
        <x:v>No text cleanup required</x:v>
      </x:c>
      <x:c r="AH388" s="12" t="str">
        <x:f>IF(C388="","Missing date",IF(ISNUMBER(C388),"Valid","Unrecognized/invalid date"))</x:f>
        <x:v>Valid</x:v>
      </x:c>
      <x:c r="AI388" s="12" t="str">
        <x:f>IF(D388="","Missing date",IF(ISNUMBER(D388),"Valid","Unrecognized/invalid date"))</x:f>
        <x:v>Valid</x:v>
      </x:c>
      <x:c r="AJ388" s="12" t="str">
        <x:v>Valid</x:v>
      </x:c>
      <x:c r="AK388" s="12" t="str">
        <x:v>Pass</x:v>
      </x:c>
      <x:c r="AL388" s="12" t="str">
        <x:v>None</x:v>
      </x:c>
      <x:c r="AM388" s="12" t="str">
        <x:v>Valid</x:v>
      </x:c>
      <x:c r="AN388" s="12" t="str">
        <x:v>Include in completed sales</x:v>
      </x:c>
      <x:c r="AO388" s="12" t="str">
        <x:v>Not a refunded record</x:v>
      </x:c>
      <x:c r="AP388" s="37" t="n">
        <x:f>IF(LEFT($AM388,7)="Invalid","",IF($AM388="Missing discount imputed as 0",IF(AND(COUNT($O388,$P388,$R388,$S388)=4,$O388&gt;0,$P388&gt;=0,$R388&gt;=0,$S388&gt;=0),0,""),IF(AND(ISNUMBER($Q388),$Q388&gt;=0,$Q388&lt;=0.5),$Q388,"")))</x:f>
        <x:v>0.1</x:v>
      </x:c>
      <x:c r="AQ388" s="152" t="n">
        <x:f>IF(OR($W388="",NOT(ISNUMBER($R388))),"",ROUND($R388-$W388,2))</x:f>
        <x:v>0</x:v>
      </x:c>
      <x:c r="AR388" s="152" t="n">
        <x:f>IF(OR($X388="",NOT(ISNUMBER($T388))),"",ROUND($T388-$X388,2))</x:f>
        <x:v>0</x:v>
      </x:c>
      <x:c r="AS388" s="14" t="str">
        <x:v>OK</x:v>
      </x:c>
    </x:row>
    <x:row r="389">
      <x:c r="A389" s="80" t="n">
        <x:v>389</x:v>
      </x:c>
      <x:c r="B389" s="80" t="str">
        <x:v>ORD-2025-10388</x:v>
      </x:c>
      <x:c r="C389" s="81" t="n">
        <x:v>45879</x:v>
      </x:c>
      <x:c r="D389" s="81" t="n">
        <x:v>45882</x:v>
      </x:c>
      <x:c r="E389" s="80" t="str">
        <x:v>CUST-1053</x:v>
      </x:c>
      <x:c r="F389" s="80" t="str">
        <x:v>Priya Menon</x:v>
      </x:c>
      <x:c r="G389" s="80" t="str">
        <x:v>Small Business</x:v>
      </x:c>
      <x:c r="H389" s="80" t="str">
        <x:v>West</x:v>
      </x:c>
      <x:c r="I389" s="80" t="str">
        <x:v>Madhya Pradesh</x:v>
      </x:c>
      <x:c r="J389" s="80" t="str">
        <x:v>Indore</x:v>
      </x:c>
      <x:c r="K389" s="80" t="str">
        <x:v>Furniture</x:v>
      </x:c>
      <x:c r="L389" s="80" t="str">
        <x:v>Chairs</x:v>
      </x:c>
      <x:c r="M389" s="80" t="str">
        <x:v>Prime Chairs 196</x:v>
      </x:c>
      <x:c r="N389" s="80" t="str">
        <x:v>Standard Class</x:v>
      </x:c>
      <x:c r="O389" s="82" t="n">
        <x:v>5</x:v>
      </x:c>
      <x:c r="P389" s="83" t="n">
        <x:v>352.86</x:v>
      </x:c>
      <x:c r="Q389" s="84" t="n">
        <x:v>0</x:v>
      </x:c>
      <x:c r="R389" s="83" t="n">
        <x:v>1764.3</x:v>
      </x:c>
      <x:c r="S389" s="83" t="n">
        <x:v>1332.49</x:v>
      </x:c>
      <x:c r="T389" s="83" t="n">
        <x:v>431.81</x:v>
      </x:c>
      <x:c r="U389" s="83" t="str">
        <x:v>Pending</x:v>
      </x:c>
      <x:c r="V389" s="83" t="str">
        <x:v>Cancelled</x:v>
      </x:c>
      <x:c r="W389" s="151" t="n">
        <x:f>IF(OR(NOT(ISNUMBER($AP389)),COUNT($O389,$P389)&lt;2,$O389&lt;=0,$P389&lt;0),"",ROUND($O389*$P389*(1-$AP389),2))</x:f>
        <x:v>1764.3</x:v>
      </x:c>
      <x:c r="X389" s="151" t="n">
        <x:f>IF(OR(NOT(ISNUMBER($W389)),NOT(ISNUMBER($S389))),"",ROUND($W389-$S389,2))</x:f>
        <x:v>431.81</x:v>
      </x:c>
      <x:c r="Y389" s="85" t="n">
        <x:f>IF(OR(NOT(ISNUMBER($W389)),NOT(ISNUMBER($X389)),$W389=0),"",ROUND($X389/$W389,4))</x:f>
        <x:v>0.2447</x:v>
      </x:c>
      <x:c r="Z389" s="82" t="n">
        <x:f>IF(OR($AH389&lt;&gt;"Valid",$AI389&lt;&gt;"Valid"),"",INT($D389-$C389))</x:f>
        <x:v>3</x:v>
      </x:c>
      <x:c r="AA389" s="86" t="str">
        <x:f>IF($AH389&lt;&gt;"Valid","",TEXT($C389,"mmmm"))</x:f>
        <x:v>August</x:v>
      </x:c>
      <x:c r="AB389" s="82" t="n">
        <x:f>IF($AH389&lt;&gt;"Valid","",YEAR($C389))</x:f>
        <x:v>2025</x:v>
      </x:c>
      <x:c r="AC389" s="80" t="str">
        <x:v>Cancelled (excluded from completed-sales summary)</x:v>
      </x:c>
      <x:c r="AD389" s="80" t="str">
        <x:v>Excluded</x:v>
      </x:c>
      <x:c r="AE389" s="80" t="str">
        <x:f>IF(OR($AH389&lt;&gt;"Valid",$AI389&lt;&gt;"Valid",$AJ389&lt;&gt;"Valid",LEFT($AM389,7)="Invalid",IFERROR(ABS($AQ389)&gt;0.01,FALSE),IFERROR(ABS($AR389)&gt;0.01,FALSE),COUNTIF($AS389,"*Conflicting duplicate*")&gt;0,COUNTIF($AS389,"*Completed order not paid*")&gt;0),"Invalid",IF(OR($H389="Unknown",$N389="Unknown",$AM389="Missing discount imputed as 0"),"Warning","Clean"))</x:f>
        <x:v>Clean</x:v>
      </x:c>
      <x:c r="AF389" s="80" t="str">
        <x:v>Pass</x:v>
      </x:c>
      <x:c r="AG389" s="80" t="str">
        <x:v>No text cleanup required</x:v>
      </x:c>
      <x:c r="AH389" s="12" t="str">
        <x:f>IF(C389="","Missing date",IF(ISNUMBER(C389),"Valid","Unrecognized/invalid date"))</x:f>
        <x:v>Valid</x:v>
      </x:c>
      <x:c r="AI389" s="12" t="str">
        <x:f>IF(D389="","Missing date",IF(ISNUMBER(D389),"Valid","Unrecognized/invalid date"))</x:f>
        <x:v>Valid</x:v>
      </x:c>
      <x:c r="AJ389" s="12" t="str">
        <x:v>Valid</x:v>
      </x:c>
      <x:c r="AK389" s="12" t="str">
        <x:v>Pass</x:v>
      </x:c>
      <x:c r="AL389" s="12" t="str">
        <x:v>Cancelled order – excluded from completed sales</x:v>
      </x:c>
      <x:c r="AM389" s="12" t="str">
        <x:v>Valid</x:v>
      </x:c>
      <x:c r="AN389" s="12" t="str">
        <x:v>Exclude from completed sales</x:v>
      </x:c>
      <x:c r="AO389" s="12" t="str">
        <x:v>Not a refunded record</x:v>
      </x:c>
      <x:c r="AP389" s="37" t="n">
        <x:f>IF(LEFT($AM389,7)="Invalid","",IF($AM389="Missing discount imputed as 0",IF(AND(COUNT($O389,$P389,$R389,$S389)=4,$O389&gt;0,$P389&gt;=0,$R389&gt;=0,$S389&gt;=0),0,""),IF(AND(ISNUMBER($Q389),$Q389&gt;=0,$Q389&lt;=0.5),$Q389,"")))</x:f>
        <x:v>0</x:v>
      </x:c>
      <x:c r="AQ389" s="152" t="n">
        <x:f>IF(OR($W389="",NOT(ISNUMBER($R389))),"",ROUND($R389-$W389,2))</x:f>
        <x:v>0</x:v>
      </x:c>
      <x:c r="AR389" s="152" t="n">
        <x:f>IF(OR($X389="",NOT(ISNUMBER($T389))),"",ROUND($T389-$X389,2))</x:f>
        <x:v>0</x:v>
      </x:c>
      <x:c r="AS389" s="14" t="str">
        <x:v>OK</x:v>
      </x:c>
    </x:row>
    <x:row r="390">
      <x:c r="A390" s="80" t="n">
        <x:v>390</x:v>
      </x:c>
      <x:c r="B390" s="80" t="str">
        <x:v>ORD-2024-10389</x:v>
      </x:c>
      <x:c r="C390" s="81" t="n">
        <x:v>45425</x:v>
      </x:c>
      <x:c r="D390" s="81" t="n">
        <x:v>45430</x:v>
      </x:c>
      <x:c r="E390" s="80" t="str">
        <x:v>CUST-1457</x:v>
      </x:c>
      <x:c r="F390" s="80" t="str">
        <x:v>Isha Nair</x:v>
      </x:c>
      <x:c r="G390" s="80" t="str">
        <x:v>Small Business</x:v>
      </x:c>
      <x:c r="H390" s="80" t="str">
        <x:v>West</x:v>
      </x:c>
      <x:c r="I390" s="80" t="str">
        <x:v>Gujarat</x:v>
      </x:c>
      <x:c r="J390" s="80" t="str">
        <x:v>Ahmedabad</x:v>
      </x:c>
      <x:c r="K390" s="80" t="str">
        <x:v>Furniture</x:v>
      </x:c>
      <x:c r="L390" s="80" t="str">
        <x:v>Chairs</x:v>
      </x:c>
      <x:c r="M390" s="80" t="str">
        <x:v>Elite Chairs 639</x:v>
      </x:c>
      <x:c r="N390" s="80" t="str">
        <x:v>Standard Class</x:v>
      </x:c>
      <x:c r="O390" s="82" t="n">
        <x:v>3</x:v>
      </x:c>
      <x:c r="P390" s="83" t="n">
        <x:v>3128.59</x:v>
      </x:c>
      <x:c r="Q390" s="84" t="n">
        <x:v>0</x:v>
      </x:c>
      <x:c r="R390" s="83" t="n">
        <x:v>9385.77</x:v>
      </x:c>
      <x:c r="S390" s="83" t="n">
        <x:v>6872.44</x:v>
      </x:c>
      <x:c r="T390" s="83" t="n">
        <x:v>2783.66</x:v>
      </x:c>
      <x:c r="U390" s="83" t="str">
        <x:v>Paid</x:v>
      </x:c>
      <x:c r="V390" s="83" t="str">
        <x:v>Completed</x:v>
      </x:c>
      <x:c r="W390" s="151" t="n">
        <x:f>IF(OR(NOT(ISNUMBER($AP390)),COUNT($O390,$P390)&lt;2,$O390&lt;=0,$P390&lt;0),"",ROUND($O390*$P390*(1-$AP390),2))</x:f>
        <x:v>9385.77</x:v>
      </x:c>
      <x:c r="X390" s="151" t="n">
        <x:f>IF(OR(NOT(ISNUMBER($W390)),NOT(ISNUMBER($S390))),"",ROUND($W390-$S390,2))</x:f>
        <x:v>2513.33</x:v>
      </x:c>
      <x:c r="Y390" s="85" t="n">
        <x:f>IF(OR(NOT(ISNUMBER($W390)),NOT(ISNUMBER($X390)),$W390=0),"",ROUND($X390/$W390,4))</x:f>
        <x:v>0.2678</x:v>
      </x:c>
      <x:c r="Z390" s="82" t="n">
        <x:f>IF(OR($AH390&lt;&gt;"Valid",$AI390&lt;&gt;"Valid"),"",INT($D390-$C390))</x:f>
        <x:v>5</x:v>
      </x:c>
      <x:c r="AA390" s="86" t="str">
        <x:f>IF($AH390&lt;&gt;"Valid","",TEXT($C390,"mmmm"))</x:f>
        <x:v>May</x:v>
      </x:c>
      <x:c r="AB390" s="82" t="n">
        <x:f>IF($AH390&lt;&gt;"Valid","",YEAR($C390))</x:f>
        <x:v>2024</x:v>
      </x:c>
      <x:c r="AC390" s="80" t="str">
        <x:v>Consistent</x:v>
      </x:c>
      <x:c r="AD390" s="80" t="str">
        <x:v>Excluded</x:v>
      </x:c>
      <x:c r="AE390" s="80" t="str">
        <x:f>IF(OR($AH390&lt;&gt;"Valid",$AI390&lt;&gt;"Valid",$AJ390&lt;&gt;"Valid",LEFT($AM390,7)="Invalid",IFERROR(ABS($AQ390)&gt;0.01,FALSE),IFERROR(ABS($AR390)&gt;0.01,FALSE),COUNTIF($AS390,"*Conflicting duplicate*")&gt;0,COUNTIF($AS390,"*Completed order not paid*")&gt;0),"Invalid",IF(OR($H390="Unknown",$N390="Unknown",$AM390="Missing discount imputed as 0"),"Warning","Clean"))</x:f>
        <x:v>Invalid</x:v>
      </x:c>
      <x:c r="AF390" s="80" t="str">
        <x:v>Review</x:v>
      </x:c>
      <x:c r="AG390" s="80" t="str">
        <x:v>No text cleanup required</x:v>
      </x:c>
      <x:c r="AH390" s="12" t="str">
        <x:f>IF(C390="","Missing date",IF(ISNUMBER(C390),"Valid","Unrecognized/invalid date"))</x:f>
        <x:v>Valid</x:v>
      </x:c>
      <x:c r="AI390" s="12" t="str">
        <x:f>IF(D390="","Missing date",IF(ISNUMBER(D390),"Valid","Unrecognized/invalid date"))</x:f>
        <x:v>Valid</x:v>
      </x:c>
      <x:c r="AJ390" s="12" t="str">
        <x:v>Valid</x:v>
      </x:c>
      <x:c r="AK390" s="12" t="str">
        <x:v>Pass</x:v>
      </x:c>
      <x:c r="AL390" s="12" t="str">
        <x:v>None</x:v>
      </x:c>
      <x:c r="AM390" s="12" t="str">
        <x:v>Valid</x:v>
      </x:c>
      <x:c r="AN390" s="12" t="str">
        <x:v>Exclude from completed sales</x:v>
      </x:c>
      <x:c r="AO390" s="12" t="str">
        <x:v>Not a refunded record</x:v>
      </x:c>
      <x:c r="AP390" s="37" t="n">
        <x:f>IF(LEFT($AM390,7)="Invalid","",IF($AM390="Missing discount imputed as 0",IF(AND(COUNT($O390,$P390,$R390,$S390)=4,$O390&gt;0,$P390&gt;=0,$R390&gt;=0,$S390&gt;=0),0,""),IF(AND(ISNUMBER($Q390),$Q390&gt;=0,$Q390&lt;=0.5),$Q390,"")))</x:f>
        <x:v>0</x:v>
      </x:c>
      <x:c r="AQ390" s="152" t="n">
        <x:f>IF(OR($W390="",NOT(ISNUMBER($R390))),"",ROUND($R390-$W390,2))</x:f>
        <x:v>0</x:v>
      </x:c>
      <x:c r="AR390" s="152" t="n">
        <x:f>IF(OR($X390="",NOT(ISNUMBER($T390))),"",ROUND($T390-$X390,2))</x:f>
        <x:v>270.33</x:v>
      </x:c>
      <x:c r="AS390" s="14" t="str">
        <x:v>Profit calculation mismatch</x:v>
      </x:c>
    </x:row>
    <x:row r="391">
      <x:c r="A391" s="80" t="n">
        <x:v>391</x:v>
      </x:c>
      <x:c r="B391" s="80" t="str">
        <x:v>ORD-2024-10390</x:v>
      </x:c>
      <x:c r="C391" s="81" t="n">
        <x:v>45387</x:v>
      </x:c>
      <x:c r="D391" s="81" t="n">
        <x:v>45395</x:v>
      </x:c>
      <x:c r="E391" s="80" t="str">
        <x:v>CUST-3930</x:v>
      </x:c>
      <x:c r="F391" s="80" t="str">
        <x:v>Diya Patel</x:v>
      </x:c>
      <x:c r="G391" s="80" t="str">
        <x:v>Corporate</x:v>
      </x:c>
      <x:c r="H391" s="80" t="str">
        <x:v>West</x:v>
      </x:c>
      <x:c r="I391" s="80" t="str">
        <x:v>Gujarat</x:v>
      </x:c>
      <x:c r="J391" s="80" t="str">
        <x:v>Ahmedabad</x:v>
      </x:c>
      <x:c r="K391" s="80" t="str">
        <x:v>Technology</x:v>
      </x:c>
      <x:c r="L391" s="80" t="str">
        <x:v>Machines</x:v>
      </x:c>
      <x:c r="M391" s="80" t="str">
        <x:v>Elite Machines 563</x:v>
      </x:c>
      <x:c r="N391" s="80" t="str">
        <x:v>Second Class</x:v>
      </x:c>
      <x:c r="O391" s="82" t="n">
        <x:v>5</x:v>
      </x:c>
      <x:c r="P391" s="83" t="n">
        <x:v>1937.54</x:v>
      </x:c>
      <x:c r="Q391" s="84" t="n">
        <x:v>0.2</x:v>
      </x:c>
      <x:c r="R391" s="83" t="n">
        <x:v>7750.16</x:v>
      </x:c>
      <x:c r="S391" s="83" t="n">
        <x:v>5434.3</x:v>
      </x:c>
      <x:c r="T391" s="83" t="n">
        <x:v>2315.86</x:v>
      </x:c>
      <x:c r="U391" s="83" t="str">
        <x:v>Pending</x:v>
      </x:c>
      <x:c r="V391" s="83" t="str">
        <x:v>Cancelled</x:v>
      </x:c>
      <x:c r="W391" s="151" t="n">
        <x:f>IF(OR(NOT(ISNUMBER($AP391)),COUNT($O391,$P391)&lt;2,$O391&lt;=0,$P391&lt;0),"",ROUND($O391*$P391*(1-$AP391),2))</x:f>
        <x:v>7750.16</x:v>
      </x:c>
      <x:c r="X391" s="151" t="n">
        <x:f>IF(OR(NOT(ISNUMBER($W391)),NOT(ISNUMBER($S391))),"",ROUND($W391-$S391,2))</x:f>
        <x:v>2315.86</x:v>
      </x:c>
      <x:c r="Y391" s="85" t="n">
        <x:f>IF(OR(NOT(ISNUMBER($W391)),NOT(ISNUMBER($X391)),$W391=0),"",ROUND($X391/$W391,4))</x:f>
        <x:v>0.2988</x:v>
      </x:c>
      <x:c r="Z391" s="82" t="n">
        <x:f>IF(OR($AH391&lt;&gt;"Valid",$AI391&lt;&gt;"Valid"),"",INT($D391-$C391))</x:f>
        <x:v>8</x:v>
      </x:c>
      <x:c r="AA391" s="86" t="str">
        <x:f>IF($AH391&lt;&gt;"Valid","",TEXT($C391,"mmmm"))</x:f>
        <x:v>April</x:v>
      </x:c>
      <x:c r="AB391" s="82" t="n">
        <x:f>IF($AH391&lt;&gt;"Valid","",YEAR($C391))</x:f>
        <x:v>2024</x:v>
      </x:c>
      <x:c r="AC391" s="80" t="str">
        <x:v>Cancelled (excluded from completed-sales summary)</x:v>
      </x:c>
      <x:c r="AD391" s="80" t="str">
        <x:v>Excluded</x:v>
      </x:c>
      <x:c r="AE391" s="80" t="str">
        <x:f>IF(OR($AH391&lt;&gt;"Valid",$AI391&lt;&gt;"Valid",$AJ391&lt;&gt;"Valid",LEFT($AM391,7)="Invalid",IFERROR(ABS($AQ391)&gt;0.01,FALSE),IFERROR(ABS($AR391)&gt;0.01,FALSE),COUNTIF($AS391,"*Conflicting duplicate*")&gt;0,COUNTIF($AS391,"*Completed order not paid*")&gt;0),"Invalid",IF(OR($H391="Unknown",$N391="Unknown",$AM391="Missing discount imputed as 0"),"Warning","Clean"))</x:f>
        <x:v>Clean</x:v>
      </x:c>
      <x:c r="AF391" s="80" t="str">
        <x:v>Pass</x:v>
      </x:c>
      <x:c r="AG391" s="80" t="str">
        <x:v>No text cleanup required</x:v>
      </x:c>
      <x:c r="AH391" s="12" t="str">
        <x:f>IF(C391="","Missing date",IF(ISNUMBER(C391),"Valid","Unrecognized/invalid date"))</x:f>
        <x:v>Valid</x:v>
      </x:c>
      <x:c r="AI391" s="12" t="str">
        <x:f>IF(D391="","Missing date",IF(ISNUMBER(D391),"Valid","Unrecognized/invalid date"))</x:f>
        <x:v>Valid</x:v>
      </x:c>
      <x:c r="AJ391" s="12" t="str">
        <x:v>Valid</x:v>
      </x:c>
      <x:c r="AK391" s="12" t="str">
        <x:v>Pass</x:v>
      </x:c>
      <x:c r="AL391" s="12" t="str">
        <x:v>Cancelled order – excluded from completed sales</x:v>
      </x:c>
      <x:c r="AM391" s="12" t="str">
        <x:v>Valid</x:v>
      </x:c>
      <x:c r="AN391" s="12" t="str">
        <x:v>Exclude from completed sales</x:v>
      </x:c>
      <x:c r="AO391" s="12" t="str">
        <x:v>Not a refunded record</x:v>
      </x:c>
      <x:c r="AP391" s="37" t="n">
        <x:f>IF(LEFT($AM391,7)="Invalid","",IF($AM391="Missing discount imputed as 0",IF(AND(COUNT($O391,$P391,$R391,$S391)=4,$O391&gt;0,$P391&gt;=0,$R391&gt;=0,$S391&gt;=0),0,""),IF(AND(ISNUMBER($Q391),$Q391&gt;=0,$Q391&lt;=0.5),$Q391,"")))</x:f>
        <x:v>0.2</x:v>
      </x:c>
      <x:c r="AQ391" s="152" t="n">
        <x:f>IF(OR($W391="",NOT(ISNUMBER($R391))),"",ROUND($R391-$W391,2))</x:f>
        <x:v>0</x:v>
      </x:c>
      <x:c r="AR391" s="152" t="n">
        <x:f>IF(OR($X391="",NOT(ISNUMBER($T391))),"",ROUND($T391-$X391,2))</x:f>
        <x:v>0</x:v>
      </x:c>
      <x:c r="AS391" s="14" t="str">
        <x:v>OK</x:v>
      </x:c>
    </x:row>
    <x:row r="392">
      <x:c r="A392" s="80" t="n">
        <x:v>392</x:v>
      </x:c>
      <x:c r="B392" s="80" t="str">
        <x:v>ORD-2024-10391</x:v>
      </x:c>
      <x:c r="C392" s="81" t="n">
        <x:v>45602</x:v>
      </x:c>
      <x:c r="D392" s="81" t="n">
        <x:v>45607</x:v>
      </x:c>
      <x:c r="E392" s="80" t="str">
        <x:v>CUST-7853</x:v>
      </x:c>
      <x:c r="F392" s="80" t="str">
        <x:v>Isha Nair</x:v>
      </x:c>
      <x:c r="G392" s="80" t="str">
        <x:v>Consumer</x:v>
      </x:c>
      <x:c r="H392" s="80" t="str">
        <x:v>West</x:v>
      </x:c>
      <x:c r="I392" s="80" t="str">
        <x:v>Gujarat</x:v>
      </x:c>
      <x:c r="J392" s="80" t="str">
        <x:v>Ahmedabad</x:v>
      </x:c>
      <x:c r="K392" s="80" t="str">
        <x:v>Furniture</x:v>
      </x:c>
      <x:c r="L392" s="80" t="str">
        <x:v>Furnishings</x:v>
      </x:c>
      <x:c r="M392" s="80" t="str">
        <x:v>Pro Furnishings 281</x:v>
      </x:c>
      <x:c r="N392" s="80" t="str">
        <x:v>Standard Class</x:v>
      </x:c>
      <x:c r="O392" s="82" t="n">
        <x:v>4</x:v>
      </x:c>
      <x:c r="P392" s="83" t="n">
        <x:v>1917.26</x:v>
      </x:c>
      <x:c r="Q392" s="84" t="n">
        <x:v>0.2</x:v>
      </x:c>
      <x:c r="R392" s="83" t="n">
        <x:v>6135.23</x:v>
      </x:c>
      <x:c r="S392" s="83" t="n">
        <x:v>3439.79</x:v>
      </x:c>
      <x:c r="T392" s="83" t="n">
        <x:v>2695.44</x:v>
      </x:c>
      <x:c r="U392" s="83" t="str">
        <x:v>Paid</x:v>
      </x:c>
      <x:c r="V392" s="83" t="str">
        <x:v>Completed</x:v>
      </x:c>
      <x:c r="W392" s="151" t="n">
        <x:f>IF(OR(NOT(ISNUMBER($AP392)),COUNT($O392,$P392)&lt;2,$O392&lt;=0,$P392&lt;0),"",ROUND($O392*$P392*(1-$AP392),2))</x:f>
        <x:v>6135.23</x:v>
      </x:c>
      <x:c r="X392" s="151" t="n">
        <x:f>IF(OR(NOT(ISNUMBER($W392)),NOT(ISNUMBER($S392))),"",ROUND($W392-$S392,2))</x:f>
        <x:v>2695.44</x:v>
      </x:c>
      <x:c r="Y392" s="85" t="n">
        <x:f>IF(OR(NOT(ISNUMBER($W392)),NOT(ISNUMBER($X392)),$W392=0),"",ROUND($X392/$W392,4))</x:f>
        <x:v>0.4393</x:v>
      </x:c>
      <x:c r="Z392" s="82" t="n">
        <x:f>IF(OR($AH392&lt;&gt;"Valid",$AI392&lt;&gt;"Valid"),"",INT($D392-$C392))</x:f>
        <x:v>5</x:v>
      </x:c>
      <x:c r="AA392" s="86" t="str">
        <x:f>IF($AH392&lt;&gt;"Valid","",TEXT($C392,"mmmm"))</x:f>
        <x:v>November</x:v>
      </x:c>
      <x:c r="AB392" s="82" t="n">
        <x:f>IF($AH392&lt;&gt;"Valid","",YEAR($C392))</x:f>
        <x:v>2024</x:v>
      </x:c>
      <x:c r="AC392" s="80" t="str">
        <x:v>Consistent</x:v>
      </x:c>
      <x:c r="AD392" s="80" t="str">
        <x:v>Eligible</x:v>
      </x:c>
      <x:c r="AE392" s="80" t="str">
        <x:f>IF(OR($AH392&lt;&gt;"Valid",$AI392&lt;&gt;"Valid",$AJ392&lt;&gt;"Valid",LEFT($AM392,7)="Invalid",IFERROR(ABS($AQ392)&gt;0.01,FALSE),IFERROR(ABS($AR392)&gt;0.01,FALSE),COUNTIF($AS392,"*Conflicting duplicate*")&gt;0,COUNTIF($AS392,"*Completed order not paid*")&gt;0),"Invalid",IF(OR($H392="Unknown",$N392="Unknown",$AM392="Missing discount imputed as 0"),"Warning","Clean"))</x:f>
        <x:v>Clean</x:v>
      </x:c>
      <x:c r="AF392" s="80" t="str">
        <x:v>Pass</x:v>
      </x:c>
      <x:c r="AG392" s="80" t="str">
        <x:v>No text cleanup required</x:v>
      </x:c>
      <x:c r="AH392" s="12" t="str">
        <x:f>IF(C392="","Missing date",IF(ISNUMBER(C392),"Valid","Unrecognized/invalid date"))</x:f>
        <x:v>Valid</x:v>
      </x:c>
      <x:c r="AI392" s="12" t="str">
        <x:f>IF(D392="","Missing date",IF(ISNUMBER(D392),"Valid","Unrecognized/invalid date"))</x:f>
        <x:v>Valid</x:v>
      </x:c>
      <x:c r="AJ392" s="12" t="str">
        <x:v>Valid</x:v>
      </x:c>
      <x:c r="AK392" s="12" t="str">
        <x:v>Pass</x:v>
      </x:c>
      <x:c r="AL392" s="12" t="str">
        <x:v>None</x:v>
      </x:c>
      <x:c r="AM392" s="12" t="str">
        <x:v>Valid</x:v>
      </x:c>
      <x:c r="AN392" s="12" t="str">
        <x:v>Include in completed sales</x:v>
      </x:c>
      <x:c r="AO392" s="12" t="str">
        <x:v>Not a refunded record</x:v>
      </x:c>
      <x:c r="AP392" s="37" t="n">
        <x:f>IF(LEFT($AM392,7)="Invalid","",IF($AM392="Missing discount imputed as 0",IF(AND(COUNT($O392,$P392,$R392,$S392)=4,$O392&gt;0,$P392&gt;=0,$R392&gt;=0,$S392&gt;=0),0,""),IF(AND(ISNUMBER($Q392),$Q392&gt;=0,$Q392&lt;=0.5),$Q392,"")))</x:f>
        <x:v>0.2</x:v>
      </x:c>
      <x:c r="AQ392" s="152" t="n">
        <x:f>IF(OR($W392="",NOT(ISNUMBER($R392))),"",ROUND($R392-$W392,2))</x:f>
        <x:v>0</x:v>
      </x:c>
      <x:c r="AR392" s="152" t="n">
        <x:f>IF(OR($X392="",NOT(ISNUMBER($T392))),"",ROUND($T392-$X392,2))</x:f>
        <x:v>0</x:v>
      </x:c>
      <x:c r="AS392" s="14" t="str">
        <x:v>OK</x:v>
      </x:c>
    </x:row>
    <x:row r="393">
      <x:c r="A393" s="80" t="n">
        <x:v>393</x:v>
      </x:c>
      <x:c r="B393" s="80" t="str">
        <x:v>ORD-2025-10392</x:v>
      </x:c>
      <x:c r="C393" s="81" t="n">
        <x:v>45702</x:v>
      </x:c>
      <x:c r="D393" s="81" t="n">
        <x:v>45702</x:v>
      </x:c>
      <x:c r="E393" s="80" t="str">
        <x:v>CUST-2267</x:v>
      </x:c>
      <x:c r="F393" s="80" t="str">
        <x:v>Diya Patel</x:v>
      </x:c>
      <x:c r="G393" s="80" t="str">
        <x:v>Consumer</x:v>
      </x:c>
      <x:c r="H393" s="80" t="str">
        <x:v>South</x:v>
      </x:c>
      <x:c r="I393" s="80" t="str">
        <x:v>Karnataka</x:v>
      </x:c>
      <x:c r="J393" s="80" t="str">
        <x:v>Bengaluru</x:v>
      </x:c>
      <x:c r="K393" s="80" t="str">
        <x:v>Office Supplies</x:v>
      </x:c>
      <x:c r="L393" s="80" t="str">
        <x:v>Storage</x:v>
      </x:c>
      <x:c r="M393" s="80" t="str">
        <x:v>Eco Storage 285</x:v>
      </x:c>
      <x:c r="N393" s="80" t="str">
        <x:v>First Class</x:v>
      </x:c>
      <x:c r="O393" s="82" t="n">
        <x:v>1</x:v>
      </x:c>
      <x:c r="P393" s="83" t="n">
        <x:v>714.43</x:v>
      </x:c>
      <x:c r="Q393" s="84" t="n">
        <x:v>0</x:v>
      </x:c>
      <x:c r="R393" s="83" t="n">
        <x:v>714.43</x:v>
      </x:c>
      <x:c r="S393" s="83" t="n">
        <x:v>565.44</x:v>
      </x:c>
      <x:c r="T393" s="83" t="n">
        <x:v>148.99</x:v>
      </x:c>
      <x:c r="U393" s="83" t="str">
        <x:v>Paid</x:v>
      </x:c>
      <x:c r="V393" s="83" t="str">
        <x:v>Completed</x:v>
      </x:c>
      <x:c r="W393" s="151" t="n">
        <x:f>IF(OR(NOT(ISNUMBER($AP393)),COUNT($O393,$P393)&lt;2,$O393&lt;=0,$P393&lt;0),"",ROUND($O393*$P393*(1-$AP393),2))</x:f>
        <x:v>714.43</x:v>
      </x:c>
      <x:c r="X393" s="151" t="n">
        <x:f>IF(OR(NOT(ISNUMBER($W393)),NOT(ISNUMBER($S393))),"",ROUND($W393-$S393,2))</x:f>
        <x:v>148.99</x:v>
      </x:c>
      <x:c r="Y393" s="85" t="n">
        <x:f>IF(OR(NOT(ISNUMBER($W393)),NOT(ISNUMBER($X393)),$W393=0),"",ROUND($X393/$W393,4))</x:f>
        <x:v>0.2085</x:v>
      </x:c>
      <x:c r="Z393" s="82" t="n">
        <x:f>IF(OR($AH393&lt;&gt;"Valid",$AI393&lt;&gt;"Valid"),"",INT($D393-$C393))</x:f>
        <x:v>0</x:v>
      </x:c>
      <x:c r="AA393" s="86" t="str">
        <x:f>IF($AH393&lt;&gt;"Valid","",TEXT($C393,"mmmm"))</x:f>
        <x:v>February</x:v>
      </x:c>
      <x:c r="AB393" s="82" t="n">
        <x:f>IF($AH393&lt;&gt;"Valid","",YEAR($C393))</x:f>
        <x:v>2025</x:v>
      </x:c>
      <x:c r="AC393" s="80" t="str">
        <x:v>Consistent</x:v>
      </x:c>
      <x:c r="AD393" s="80" t="str">
        <x:v>Eligible</x:v>
      </x:c>
      <x:c r="AE393" s="80" t="str">
        <x:f>IF(OR($AH393&lt;&gt;"Valid",$AI393&lt;&gt;"Valid",$AJ393&lt;&gt;"Valid",LEFT($AM393,7)="Invalid",IFERROR(ABS($AQ393)&gt;0.01,FALSE),IFERROR(ABS($AR393)&gt;0.01,FALSE),COUNTIF($AS393,"*Conflicting duplicate*")&gt;0,COUNTIF($AS393,"*Completed order not paid*")&gt;0),"Invalid",IF(OR($H393="Unknown",$N393="Unknown",$AM393="Missing discount imputed as 0"),"Warning","Clean"))</x:f>
        <x:v>Clean</x:v>
      </x:c>
      <x:c r="AF393" s="80" t="str">
        <x:v>Pass</x:v>
      </x:c>
      <x:c r="AG393" s="80" t="str">
        <x:v>No text cleanup required</x:v>
      </x:c>
      <x:c r="AH393" s="12" t="str">
        <x:f>IF(C393="","Missing date",IF(ISNUMBER(C393),"Valid","Unrecognized/invalid date"))</x:f>
        <x:v>Valid</x:v>
      </x:c>
      <x:c r="AI393" s="12" t="str">
        <x:f>IF(D393="","Missing date",IF(ISNUMBER(D393),"Valid","Unrecognized/invalid date"))</x:f>
        <x:v>Valid</x:v>
      </x:c>
      <x:c r="AJ393" s="12" t="str">
        <x:v>Valid</x:v>
      </x:c>
      <x:c r="AK393" s="12" t="str">
        <x:v>Pass</x:v>
      </x:c>
      <x:c r="AL393" s="12" t="str">
        <x:v>None</x:v>
      </x:c>
      <x:c r="AM393" s="12" t="str">
        <x:v>Valid</x:v>
      </x:c>
      <x:c r="AN393" s="12" t="str">
        <x:v>Include in completed sales</x:v>
      </x:c>
      <x:c r="AO393" s="12" t="str">
        <x:v>Not a refunded record</x:v>
      </x:c>
      <x:c r="AP393" s="37" t="n">
        <x:f>IF(LEFT($AM393,7)="Invalid","",IF($AM393="Missing discount imputed as 0",IF(AND(COUNT($O393,$P393,$R393,$S393)=4,$O393&gt;0,$P393&gt;=0,$R393&gt;=0,$S393&gt;=0),0,""),IF(AND(ISNUMBER($Q393),$Q393&gt;=0,$Q393&lt;=0.5),$Q393,"")))</x:f>
        <x:v>0</x:v>
      </x:c>
      <x:c r="AQ393" s="152" t="n">
        <x:f>IF(OR($W393="",NOT(ISNUMBER($R393))),"",ROUND($R393-$W393,2))</x:f>
        <x:v>0</x:v>
      </x:c>
      <x:c r="AR393" s="152" t="n">
        <x:f>IF(OR($X393="",NOT(ISNUMBER($T393))),"",ROUND($T393-$X393,2))</x:f>
        <x:v>0</x:v>
      </x:c>
      <x:c r="AS393" s="14" t="str">
        <x:v>OK</x:v>
      </x:c>
    </x:row>
    <x:row r="394">
      <x:c r="A394" s="80" t="n">
        <x:v>394</x:v>
      </x:c>
      <x:c r="B394" s="80" t="str">
        <x:v>ORD-2024-10393</x:v>
      </x:c>
      <x:c r="C394" s="81" t="n">
        <x:v>45341</x:v>
      </x:c>
      <x:c r="D394" s="81" t="n">
        <x:v>45344</x:v>
      </x:c>
      <x:c r="E394" s="80" t="str">
        <x:v>CUST-6866</x:v>
      </x:c>
      <x:c r="F394" s="80" t="str">
        <x:v>Aditi Sen</x:v>
      </x:c>
      <x:c r="G394" s="80" t="str">
        <x:v>Small Business</x:v>
      </x:c>
      <x:c r="H394" s="80" t="str">
        <x:v>South</x:v>
      </x:c>
      <x:c r="I394" s="80" t="str">
        <x:v>Kerala</x:v>
      </x:c>
      <x:c r="J394" s="80" t="str">
        <x:v>Kochi</x:v>
      </x:c>
      <x:c r="K394" s="80" t="str">
        <x:v>Furniture</x:v>
      </x:c>
      <x:c r="L394" s="80" t="str">
        <x:v>Furnishings</x:v>
      </x:c>
      <x:c r="M394" s="80" t="str">
        <x:v>Classic Furnishings 746</x:v>
      </x:c>
      <x:c r="N394" s="80" t="str">
        <x:v>Same Day</x:v>
      </x:c>
      <x:c r="O394" s="82" t="n">
        <x:v>9</x:v>
      </x:c>
      <x:c r="P394" s="83" t="n">
        <x:v>4053.01</x:v>
      </x:c>
      <x:c r="Q394" s="84" t="n">
        <x:v>0</x:v>
      </x:c>
      <x:c r="R394" s="83" t="n">
        <x:v>36477.09</x:v>
      </x:c>
      <x:c r="S394" s="83" t="n">
        <x:v>24525.48</x:v>
      </x:c>
      <x:c r="T394" s="83" t="n">
        <x:v>11951.61</x:v>
      </x:c>
      <x:c r="U394" s="83" t="str">
        <x:v>Paid</x:v>
      </x:c>
      <x:c r="V394" s="83" t="str">
        <x:v>Completed</x:v>
      </x:c>
      <x:c r="W394" s="151" t="n">
        <x:f>IF(OR(NOT(ISNUMBER($AP394)),COUNT($O394,$P394)&lt;2,$O394&lt;=0,$P394&lt;0),"",ROUND($O394*$P394*(1-$AP394),2))</x:f>
        <x:v>36477.09</x:v>
      </x:c>
      <x:c r="X394" s="151" t="n">
        <x:f>IF(OR(NOT(ISNUMBER($W394)),NOT(ISNUMBER($S394))),"",ROUND($W394-$S394,2))</x:f>
        <x:v>11951.61</x:v>
      </x:c>
      <x:c r="Y394" s="85" t="n">
        <x:f>IF(OR(NOT(ISNUMBER($W394)),NOT(ISNUMBER($X394)),$W394=0),"",ROUND($X394/$W394,4))</x:f>
        <x:v>0.3276</x:v>
      </x:c>
      <x:c r="Z394" s="82" t="n">
        <x:f>IF(OR($AH394&lt;&gt;"Valid",$AI394&lt;&gt;"Valid"),"",INT($D394-$C394))</x:f>
        <x:v>3</x:v>
      </x:c>
      <x:c r="AA394" s="86" t="str">
        <x:f>IF($AH394&lt;&gt;"Valid","",TEXT($C394,"mmmm"))</x:f>
        <x:v>February</x:v>
      </x:c>
      <x:c r="AB394" s="82" t="n">
        <x:f>IF($AH394&lt;&gt;"Valid","",YEAR($C394))</x:f>
        <x:v>2024</x:v>
      </x:c>
      <x:c r="AC394" s="80" t="str">
        <x:v>Consistent</x:v>
      </x:c>
      <x:c r="AD394" s="80" t="str">
        <x:v>Eligible</x:v>
      </x:c>
      <x:c r="AE394" s="80" t="str">
        <x:f>IF(OR($AH394&lt;&gt;"Valid",$AI394&lt;&gt;"Valid",$AJ394&lt;&gt;"Valid",LEFT($AM394,7)="Invalid",IFERROR(ABS($AQ394)&gt;0.01,FALSE),IFERROR(ABS($AR394)&gt;0.01,FALSE),COUNTIF($AS394,"*Conflicting duplicate*")&gt;0,COUNTIF($AS394,"*Completed order not paid*")&gt;0),"Invalid",IF(OR($H394="Unknown",$N394="Unknown",$AM394="Missing discount imputed as 0"),"Warning","Clean"))</x:f>
        <x:v>Clean</x:v>
      </x:c>
      <x:c r="AF394" s="80" t="str">
        <x:v>Pass</x:v>
      </x:c>
      <x:c r="AG394" s="80" t="str">
        <x:v>No text cleanup required</x:v>
      </x:c>
      <x:c r="AH394" s="12" t="str">
        <x:f>IF(C394="","Missing date",IF(ISNUMBER(C394),"Valid","Unrecognized/invalid date"))</x:f>
        <x:v>Valid</x:v>
      </x:c>
      <x:c r="AI394" s="12" t="str">
        <x:f>IF(D394="","Missing date",IF(ISNUMBER(D394),"Valid","Unrecognized/invalid date"))</x:f>
        <x:v>Valid</x:v>
      </x:c>
      <x:c r="AJ394" s="12" t="str">
        <x:v>Valid</x:v>
      </x:c>
      <x:c r="AK394" s="12" t="str">
        <x:v>Pass</x:v>
      </x:c>
      <x:c r="AL394" s="12" t="str">
        <x:v>None</x:v>
      </x:c>
      <x:c r="AM394" s="12" t="str">
        <x:v>Valid</x:v>
      </x:c>
      <x:c r="AN394" s="12" t="str">
        <x:v>Include in completed sales</x:v>
      </x:c>
      <x:c r="AO394" s="12" t="str">
        <x:v>Not a refunded record</x:v>
      </x:c>
      <x:c r="AP394" s="37" t="n">
        <x:f>IF(LEFT($AM394,7)="Invalid","",IF($AM394="Missing discount imputed as 0",IF(AND(COUNT($O394,$P394,$R394,$S394)=4,$O394&gt;0,$P394&gt;=0,$R394&gt;=0,$S394&gt;=0),0,""),IF(AND(ISNUMBER($Q394),$Q394&gt;=0,$Q394&lt;=0.5),$Q394,"")))</x:f>
        <x:v>0</x:v>
      </x:c>
      <x:c r="AQ394" s="152" t="n">
        <x:f>IF(OR($W394="",NOT(ISNUMBER($R394))),"",ROUND($R394-$W394,2))</x:f>
        <x:v>0</x:v>
      </x:c>
      <x:c r="AR394" s="152" t="n">
        <x:f>IF(OR($X394="",NOT(ISNUMBER($T394))),"",ROUND($T394-$X394,2))</x:f>
        <x:v>0</x:v>
      </x:c>
      <x:c r="AS394" s="14" t="str">
        <x:v>OK</x:v>
      </x:c>
    </x:row>
    <x:row r="395">
      <x:c r="A395" s="80" t="n">
        <x:v>395</x:v>
      </x:c>
      <x:c r="B395" s="80" t="str">
        <x:v>ORD-2024-10394</x:v>
      </x:c>
      <x:c r="C395" s="81" t="n">
        <x:v>45527</x:v>
      </x:c>
      <x:c r="D395" s="81" t="n">
        <x:v>45533</x:v>
      </x:c>
      <x:c r="E395" s="80" t="str">
        <x:v>CUST-3160</x:v>
      </x:c>
      <x:c r="F395" s="80" t="str">
        <x:v>Mira Das</x:v>
      </x:c>
      <x:c r="G395" s="80" t="str">
        <x:v>Corporate</x:v>
      </x:c>
      <x:c r="H395" s="80" t="str">
        <x:v>North</x:v>
      </x:c>
      <x:c r="I395" s="80" t="str">
        <x:v>Uttar Pradesh</x:v>
      </x:c>
      <x:c r="J395" s="80" t="str">
        <x:v>Noida</x:v>
      </x:c>
      <x:c r="K395" s="80" t="str">
        <x:v>Office Supplies</x:v>
      </x:c>
      <x:c r="L395" s="80" t="str">
        <x:v>Labels</x:v>
      </x:c>
      <x:c r="M395" s="80" t="str">
        <x:v>Eco Labels 815</x:v>
      </x:c>
      <x:c r="N395" s="80" t="str">
        <x:v>Same Day</x:v>
      </x:c>
      <x:c r="O395" s="82" t="n">
        <x:v>2</x:v>
      </x:c>
      <x:c r="P395" s="83" t="n">
        <x:v>1936.91</x:v>
      </x:c>
      <x:c r="Q395" s="84" t="n">
        <x:v>0.05</x:v>
      </x:c>
      <x:c r="R395" s="83" t="n">
        <x:v>3680.13</x:v>
      </x:c>
      <x:c r="S395" s="83" t="n">
        <x:v>2967.46</x:v>
      </x:c>
      <x:c r="T395" s="83" t="n">
        <x:v>712.67</x:v>
      </x:c>
      <x:c r="U395" s="83" t="str">
        <x:v>Paid</x:v>
      </x:c>
      <x:c r="V395" s="83" t="str">
        <x:v>Completed</x:v>
      </x:c>
      <x:c r="W395" s="151" t="n">
        <x:f>IF(OR(NOT(ISNUMBER($AP395)),COUNT($O395,$P395)&lt;2,$O395&lt;=0,$P395&lt;0),"",ROUND($O395*$P395*(1-$AP395),2))</x:f>
        <x:v>3680.13</x:v>
      </x:c>
      <x:c r="X395" s="151" t="n">
        <x:f>IF(OR(NOT(ISNUMBER($W395)),NOT(ISNUMBER($S395))),"",ROUND($W395-$S395,2))</x:f>
        <x:v>712.67</x:v>
      </x:c>
      <x:c r="Y395" s="85" t="n">
        <x:f>IF(OR(NOT(ISNUMBER($W395)),NOT(ISNUMBER($X395)),$W395=0),"",ROUND($X395/$W395,4))</x:f>
        <x:v>0.1937</x:v>
      </x:c>
      <x:c r="Z395" s="82" t="n">
        <x:f>IF(OR($AH395&lt;&gt;"Valid",$AI395&lt;&gt;"Valid"),"",INT($D395-$C395))</x:f>
        <x:v>6</x:v>
      </x:c>
      <x:c r="AA395" s="86" t="str">
        <x:f>IF($AH395&lt;&gt;"Valid","",TEXT($C395,"mmmm"))</x:f>
        <x:v>August</x:v>
      </x:c>
      <x:c r="AB395" s="82" t="n">
        <x:f>IF($AH395&lt;&gt;"Valid","",YEAR($C395))</x:f>
        <x:v>2024</x:v>
      </x:c>
      <x:c r="AC395" s="80" t="str">
        <x:v>Consistent</x:v>
      </x:c>
      <x:c r="AD395" s="80" t="str">
        <x:v>Eligible</x:v>
      </x:c>
      <x:c r="AE395" s="80" t="str">
        <x:f>IF(OR($AH395&lt;&gt;"Valid",$AI395&lt;&gt;"Valid",$AJ395&lt;&gt;"Valid",LEFT($AM395,7)="Invalid",IFERROR(ABS($AQ395)&gt;0.01,FALSE),IFERROR(ABS($AR395)&gt;0.01,FALSE),COUNTIF($AS395,"*Conflicting duplicate*")&gt;0,COUNTIF($AS395,"*Completed order not paid*")&gt;0),"Invalid",IF(OR($H395="Unknown",$N395="Unknown",$AM395="Missing discount imputed as 0"),"Warning","Clean"))</x:f>
        <x:v>Clean</x:v>
      </x:c>
      <x:c r="AF395" s="80" t="str">
        <x:v>Pass</x:v>
      </x:c>
      <x:c r="AG395" s="80" t="str">
        <x:v>No text cleanup required</x:v>
      </x:c>
      <x:c r="AH395" s="12" t="str">
        <x:f>IF(C395="","Missing date",IF(ISNUMBER(C395),"Valid","Unrecognized/invalid date"))</x:f>
        <x:v>Valid</x:v>
      </x:c>
      <x:c r="AI395" s="12" t="str">
        <x:f>IF(D395="","Missing date",IF(ISNUMBER(D395),"Valid","Unrecognized/invalid date"))</x:f>
        <x:v>Valid</x:v>
      </x:c>
      <x:c r="AJ395" s="12" t="str">
        <x:v>Valid</x:v>
      </x:c>
      <x:c r="AK395" s="12" t="str">
        <x:v>Pass</x:v>
      </x:c>
      <x:c r="AL395" s="12" t="str">
        <x:v>None</x:v>
      </x:c>
      <x:c r="AM395" s="12" t="str">
        <x:v>Valid</x:v>
      </x:c>
      <x:c r="AN395" s="12" t="str">
        <x:v>Include in completed sales</x:v>
      </x:c>
      <x:c r="AO395" s="12" t="str">
        <x:v>Not a refunded record</x:v>
      </x:c>
      <x:c r="AP395" s="37" t="n">
        <x:f>IF(LEFT($AM395,7)="Invalid","",IF($AM395="Missing discount imputed as 0",IF(AND(COUNT($O395,$P395,$R395,$S395)=4,$O395&gt;0,$P395&gt;=0,$R395&gt;=0,$S395&gt;=0),0,""),IF(AND(ISNUMBER($Q395),$Q395&gt;=0,$Q395&lt;=0.5),$Q395,"")))</x:f>
        <x:v>0.05</x:v>
      </x:c>
      <x:c r="AQ395" s="152" t="n">
        <x:f>IF(OR($W395="",NOT(ISNUMBER($R395))),"",ROUND($R395-$W395,2))</x:f>
        <x:v>0</x:v>
      </x:c>
      <x:c r="AR395" s="152" t="n">
        <x:f>IF(OR($X395="",NOT(ISNUMBER($T395))),"",ROUND($T395-$X395,2))</x:f>
        <x:v>0</x:v>
      </x:c>
      <x:c r="AS395" s="14" t="str">
        <x:v>OK</x:v>
      </x:c>
    </x:row>
    <x:row r="396">
      <x:c r="A396" s="80" t="n">
        <x:v>396</x:v>
      </x:c>
      <x:c r="B396" s="80" t="str">
        <x:v>ORD-2024-10395</x:v>
      </x:c>
      <x:c r="C396" s="81" t="n">
        <x:v>45385</x:v>
      </x:c>
      <x:c r="D396" s="81" t="n">
        <x:v>45386</x:v>
      </x:c>
      <x:c r="E396" s="80" t="str">
        <x:v>CUST-8444</x:v>
      </x:c>
      <x:c r="F396" s="80" t="str">
        <x:v>Kabir Singh</x:v>
      </x:c>
      <x:c r="G396" s="80" t="str">
        <x:v>Consumer</x:v>
      </x:c>
      <x:c r="H396" s="80" t="str">
        <x:v>West</x:v>
      </x:c>
      <x:c r="I396" s="80" t="str">
        <x:v>Maharashtra</x:v>
      </x:c>
      <x:c r="J396" s="80" t="str">
        <x:v>Mumbai</x:v>
      </x:c>
      <x:c r="K396" s="80" t="str">
        <x:v>Furniture</x:v>
      </x:c>
      <x:c r="L396" s="80" t="str">
        <x:v>Furnishings</x:v>
      </x:c>
      <x:c r="M396" s="80" t="str">
        <x:v>Prime Furnishings 879</x:v>
      </x:c>
      <x:c r="N396" s="80" t="str">
        <x:v>First Class</x:v>
      </x:c>
      <x:c r="O396" s="82" t="n">
        <x:v>7</x:v>
      </x:c>
      <x:c r="P396" s="83" t="n">
        <x:v>3945.21</x:v>
      </x:c>
      <x:c r="Q396" s="84" t="n">
        <x:v>0</x:v>
      </x:c>
      <x:c r="R396" s="83" t="n">
        <x:v>27616.47</x:v>
      </x:c>
      <x:c r="S396" s="83" t="n">
        <x:v>21225.26</x:v>
      </x:c>
      <x:c r="T396" s="83" t="n">
        <x:v>6391.21</x:v>
      </x:c>
      <x:c r="U396" s="83" t="str">
        <x:v>Paid</x:v>
      </x:c>
      <x:c r="V396" s="83" t="str">
        <x:v>Completed</x:v>
      </x:c>
      <x:c r="W396" s="151" t="n">
        <x:f>IF(OR(NOT(ISNUMBER($AP396)),COUNT($O396,$P396)&lt;2,$O396&lt;=0,$P396&lt;0),"",ROUND($O396*$P396*(1-$AP396),2))</x:f>
        <x:v>27616.47</x:v>
      </x:c>
      <x:c r="X396" s="151" t="n">
        <x:f>IF(OR(NOT(ISNUMBER($W396)),NOT(ISNUMBER($S396))),"",ROUND($W396-$S396,2))</x:f>
        <x:v>6391.21</x:v>
      </x:c>
      <x:c r="Y396" s="85" t="n">
        <x:f>IF(OR(NOT(ISNUMBER($W396)),NOT(ISNUMBER($X396)),$W396=0),"",ROUND($X396/$W396,4))</x:f>
        <x:v>0.2314</x:v>
      </x:c>
      <x:c r="Z396" s="82" t="n">
        <x:f>IF(OR($AH396&lt;&gt;"Valid",$AI396&lt;&gt;"Valid"),"",INT($D396-$C396))</x:f>
        <x:v>1</x:v>
      </x:c>
      <x:c r="AA396" s="86" t="str">
        <x:f>IF($AH396&lt;&gt;"Valid","",TEXT($C396,"mmmm"))</x:f>
        <x:v>April</x:v>
      </x:c>
      <x:c r="AB396" s="82" t="n">
        <x:f>IF($AH396&lt;&gt;"Valid","",YEAR($C396))</x:f>
        <x:v>2024</x:v>
      </x:c>
      <x:c r="AC396" s="80" t="str">
        <x:v>Consistent</x:v>
      </x:c>
      <x:c r="AD396" s="80" t="str">
        <x:v>Eligible</x:v>
      </x:c>
      <x:c r="AE396" s="80" t="str">
        <x:f>IF(OR($AH396&lt;&gt;"Valid",$AI396&lt;&gt;"Valid",$AJ396&lt;&gt;"Valid",LEFT($AM396,7)="Invalid",IFERROR(ABS($AQ396)&gt;0.01,FALSE),IFERROR(ABS($AR396)&gt;0.01,FALSE),COUNTIF($AS396,"*Conflicting duplicate*")&gt;0,COUNTIF($AS396,"*Completed order not paid*")&gt;0),"Invalid",IF(OR($H396="Unknown",$N396="Unknown",$AM396="Missing discount imputed as 0"),"Warning","Clean"))</x:f>
        <x:v>Clean</x:v>
      </x:c>
      <x:c r="AF396" s="80" t="str">
        <x:v>Pass</x:v>
      </x:c>
      <x:c r="AG396" s="80" t="str">
        <x:v>No text cleanup required</x:v>
      </x:c>
      <x:c r="AH396" s="12" t="str">
        <x:f>IF(C396="","Missing date",IF(ISNUMBER(C396),"Valid","Unrecognized/invalid date"))</x:f>
        <x:v>Valid</x:v>
      </x:c>
      <x:c r="AI396" s="12" t="str">
        <x:f>IF(D396="","Missing date",IF(ISNUMBER(D396),"Valid","Unrecognized/invalid date"))</x:f>
        <x:v>Valid</x:v>
      </x:c>
      <x:c r="AJ396" s="12" t="str">
        <x:v>Valid</x:v>
      </x:c>
      <x:c r="AK396" s="12" t="str">
        <x:v>Pass</x:v>
      </x:c>
      <x:c r="AL396" s="12" t="str">
        <x:v>None</x:v>
      </x:c>
      <x:c r="AM396" s="12" t="str">
        <x:v>Valid</x:v>
      </x:c>
      <x:c r="AN396" s="12" t="str">
        <x:v>Include in completed sales</x:v>
      </x:c>
      <x:c r="AO396" s="12" t="str">
        <x:v>Not a refunded record</x:v>
      </x:c>
      <x:c r="AP396" s="37" t="n">
        <x:f>IF(LEFT($AM396,7)="Invalid","",IF($AM396="Missing discount imputed as 0",IF(AND(COUNT($O396,$P396,$R396,$S396)=4,$O396&gt;0,$P396&gt;=0,$R396&gt;=0,$S396&gt;=0),0,""),IF(AND(ISNUMBER($Q396),$Q396&gt;=0,$Q396&lt;=0.5),$Q396,"")))</x:f>
        <x:v>0</x:v>
      </x:c>
      <x:c r="AQ396" s="152" t="n">
        <x:f>IF(OR($W396="",NOT(ISNUMBER($R396))),"",ROUND($R396-$W396,2))</x:f>
        <x:v>0</x:v>
      </x:c>
      <x:c r="AR396" s="152" t="n">
        <x:f>IF(OR($X396="",NOT(ISNUMBER($T396))),"",ROUND($T396-$X396,2))</x:f>
        <x:v>0</x:v>
      </x:c>
      <x:c r="AS396" s="14" t="str">
        <x:v>OK</x:v>
      </x:c>
    </x:row>
    <x:row r="397">
      <x:c r="A397" s="80" t="n">
        <x:v>397</x:v>
      </x:c>
      <x:c r="B397" s="80" t="str">
        <x:v>ORD-2024-10396</x:v>
      </x:c>
      <x:c r="C397" s="81" t="n">
        <x:v>45449</x:v>
      </x:c>
      <x:c r="D397" s="81" t="n">
        <x:v>45450</x:v>
      </x:c>
      <x:c r="E397" s="80" t="str">
        <x:v>CUST-4765</x:v>
      </x:c>
      <x:c r="F397" s="80" t="str">
        <x:v>Rahul Verma</x:v>
      </x:c>
      <x:c r="G397" s="80" t="str">
        <x:v>Home Office</x:v>
      </x:c>
      <x:c r="H397" s="80" t="str">
        <x:v>South</x:v>
      </x:c>
      <x:c r="I397" s="80" t="str">
        <x:v>Tamil Nadu</x:v>
      </x:c>
      <x:c r="J397" s="80" t="str">
        <x:v>Chennai</x:v>
      </x:c>
      <x:c r="K397" s="80" t="str">
        <x:v>Furniture</x:v>
      </x:c>
      <x:c r="L397" s="80" t="str">
        <x:v>Tables</x:v>
      </x:c>
      <x:c r="M397" s="80" t="str">
        <x:v>Pro Tables 142</x:v>
      </x:c>
      <x:c r="N397" s="80" t="str">
        <x:v>Same Day</x:v>
      </x:c>
      <x:c r="O397" s="82" t="n">
        <x:v>7</x:v>
      </x:c>
      <x:c r="P397" s="83" t="n">
        <x:v>861.91</x:v>
      </x:c>
      <x:c r="Q397" s="84" t="n">
        <x:v>0.05</x:v>
      </x:c>
      <x:c r="R397" s="83" t="n">
        <x:v>5731.7</x:v>
      </x:c>
      <x:c r="S397" s="83" t="n">
        <x:v>4115.56</x:v>
      </x:c>
      <x:c r="T397" s="83" t="n">
        <x:v>1616.14</x:v>
      </x:c>
      <x:c r="U397" s="83" t="str">
        <x:v>Paid</x:v>
      </x:c>
      <x:c r="V397" s="83" t="str">
        <x:v>Completed</x:v>
      </x:c>
      <x:c r="W397" s="151" t="n">
        <x:f>IF(OR(NOT(ISNUMBER($AP397)),COUNT($O397,$P397)&lt;2,$O397&lt;=0,$P397&lt;0),"",ROUND($O397*$P397*(1-$AP397),2))</x:f>
        <x:v>5731.7</x:v>
      </x:c>
      <x:c r="X397" s="151" t="n">
        <x:f>IF(OR(NOT(ISNUMBER($W397)),NOT(ISNUMBER($S397))),"",ROUND($W397-$S397,2))</x:f>
        <x:v>1616.14</x:v>
      </x:c>
      <x:c r="Y397" s="85" t="n">
        <x:f>IF(OR(NOT(ISNUMBER($W397)),NOT(ISNUMBER($X397)),$W397=0),"",ROUND($X397/$W397,4))</x:f>
        <x:v>0.282</x:v>
      </x:c>
      <x:c r="Z397" s="82" t="n">
        <x:f>IF(OR($AH397&lt;&gt;"Valid",$AI397&lt;&gt;"Valid"),"",INT($D397-$C397))</x:f>
        <x:v>1</x:v>
      </x:c>
      <x:c r="AA397" s="86" t="str">
        <x:f>IF($AH397&lt;&gt;"Valid","",TEXT($C397,"mmmm"))</x:f>
        <x:v>June</x:v>
      </x:c>
      <x:c r="AB397" s="82" t="n">
        <x:f>IF($AH397&lt;&gt;"Valid","",YEAR($C397))</x:f>
        <x:v>2024</x:v>
      </x:c>
      <x:c r="AC397" s="80" t="str">
        <x:v>Consistent</x:v>
      </x:c>
      <x:c r="AD397" s="80" t="str">
        <x:v>Eligible</x:v>
      </x:c>
      <x:c r="AE397" s="80" t="str">
        <x:f>IF(OR($AH397&lt;&gt;"Valid",$AI397&lt;&gt;"Valid",$AJ397&lt;&gt;"Valid",LEFT($AM397,7)="Invalid",IFERROR(ABS($AQ397)&gt;0.01,FALSE),IFERROR(ABS($AR397)&gt;0.01,FALSE),COUNTIF($AS397,"*Conflicting duplicate*")&gt;0,COUNTIF($AS397,"*Completed order not paid*")&gt;0),"Invalid",IF(OR($H397="Unknown",$N397="Unknown",$AM397="Missing discount imputed as 0"),"Warning","Clean"))</x:f>
        <x:v>Clean</x:v>
      </x:c>
      <x:c r="AF397" s="80" t="str">
        <x:v>Pass</x:v>
      </x:c>
      <x:c r="AG397" s="80" t="str">
        <x:v>No text cleanup required</x:v>
      </x:c>
      <x:c r="AH397" s="12" t="str">
        <x:f>IF(C397="","Missing date",IF(ISNUMBER(C397),"Valid","Unrecognized/invalid date"))</x:f>
        <x:v>Valid</x:v>
      </x:c>
      <x:c r="AI397" s="12" t="str">
        <x:f>IF(D397="","Missing date",IF(ISNUMBER(D397),"Valid","Unrecognized/invalid date"))</x:f>
        <x:v>Valid</x:v>
      </x:c>
      <x:c r="AJ397" s="12" t="str">
        <x:v>Valid</x:v>
      </x:c>
      <x:c r="AK397" s="12" t="str">
        <x:v>Pass</x:v>
      </x:c>
      <x:c r="AL397" s="12" t="str">
        <x:v>None</x:v>
      </x:c>
      <x:c r="AM397" s="12" t="str">
        <x:v>Valid</x:v>
      </x:c>
      <x:c r="AN397" s="12" t="str">
        <x:v>Include in completed sales</x:v>
      </x:c>
      <x:c r="AO397" s="12" t="str">
        <x:v>Not a refunded record</x:v>
      </x:c>
      <x:c r="AP397" s="37" t="n">
        <x:f>IF(LEFT($AM397,7)="Invalid","",IF($AM397="Missing discount imputed as 0",IF(AND(COUNT($O397,$P397,$R397,$S397)=4,$O397&gt;0,$P397&gt;=0,$R397&gt;=0,$S397&gt;=0),0,""),IF(AND(ISNUMBER($Q397),$Q397&gt;=0,$Q397&lt;=0.5),$Q397,"")))</x:f>
        <x:v>0.05</x:v>
      </x:c>
      <x:c r="AQ397" s="152" t="n">
        <x:f>IF(OR($W397="",NOT(ISNUMBER($R397))),"",ROUND($R397-$W397,2))</x:f>
        <x:v>0</x:v>
      </x:c>
      <x:c r="AR397" s="152" t="n">
        <x:f>IF(OR($X397="",NOT(ISNUMBER($T397))),"",ROUND($T397-$X397,2))</x:f>
        <x:v>0</x:v>
      </x:c>
      <x:c r="AS397" s="14" t="str">
        <x:v>OK</x:v>
      </x:c>
    </x:row>
    <x:row r="398">
      <x:c r="A398" s="80" t="n">
        <x:v>398</x:v>
      </x:c>
      <x:c r="B398" s="80" t="str">
        <x:v>ORD-2025-10397</x:v>
      </x:c>
      <x:c r="C398" s="81" t="n">
        <x:v>45761</x:v>
      </x:c>
      <x:c r="D398" s="81" t="n">
        <x:v>45769</x:v>
      </x:c>
      <x:c r="E398" s="80" t="str">
        <x:v>CUST-2280</x:v>
      </x:c>
      <x:c r="F398" s="80" t="str">
        <x:v>Aditi Sen</x:v>
      </x:c>
      <x:c r="G398" s="80" t="str">
        <x:v>Small Business</x:v>
      </x:c>
      <x:c r="H398" s="80" t="str">
        <x:v>South</x:v>
      </x:c>
      <x:c r="I398" s="80" t="str">
        <x:v>Karnataka</x:v>
      </x:c>
      <x:c r="J398" s="80" t="str">
        <x:v>Bengaluru</x:v>
      </x:c>
      <x:c r="K398" s="80" t="str">
        <x:v>Technology</x:v>
      </x:c>
      <x:c r="L398" s="80" t="str">
        <x:v>Machines</x:v>
      </x:c>
      <x:c r="M398" s="80" t="str">
        <x:v>Prime Machines 267</x:v>
      </x:c>
      <x:c r="N398" s="80" t="str">
        <x:v>Standard Class</x:v>
      </x:c>
      <x:c r="O398" s="82" t="n">
        <x:v>2</x:v>
      </x:c>
      <x:c r="P398" s="83" t="n">
        <x:v>638.73</x:v>
      </x:c>
      <x:c r="Q398" s="84" t="n">
        <x:v>0.05</x:v>
      </x:c>
      <x:c r="R398" s="83" t="n">
        <x:v>1213.59</x:v>
      </x:c>
      <x:c r="S398" s="83" t="n">
        <x:v>956.22</x:v>
      </x:c>
      <x:c r="T398" s="83" t="n">
        <x:v>257.37</x:v>
      </x:c>
      <x:c r="U398" s="83" t="str">
        <x:v>Paid</x:v>
      </x:c>
      <x:c r="V398" s="83" t="str">
        <x:v>Completed</x:v>
      </x:c>
      <x:c r="W398" s="151" t="n">
        <x:f>IF(OR(NOT(ISNUMBER($AP398)),COUNT($O398,$P398)&lt;2,$O398&lt;=0,$P398&lt;0),"",ROUND($O398*$P398*(1-$AP398),2))</x:f>
        <x:v>1213.59</x:v>
      </x:c>
      <x:c r="X398" s="151" t="n">
        <x:f>IF(OR(NOT(ISNUMBER($W398)),NOT(ISNUMBER($S398))),"",ROUND($W398-$S398,2))</x:f>
        <x:v>257.37</x:v>
      </x:c>
      <x:c r="Y398" s="85" t="n">
        <x:f>IF(OR(NOT(ISNUMBER($W398)),NOT(ISNUMBER($X398)),$W398=0),"",ROUND($X398/$W398,4))</x:f>
        <x:v>0.2121</x:v>
      </x:c>
      <x:c r="Z398" s="82" t="n">
        <x:f>IF(OR($AH398&lt;&gt;"Valid",$AI398&lt;&gt;"Valid"),"",INT($D398-$C398))</x:f>
        <x:v>8</x:v>
      </x:c>
      <x:c r="AA398" s="86" t="str">
        <x:f>IF($AH398&lt;&gt;"Valid","",TEXT($C398,"mmmm"))</x:f>
        <x:v>April</x:v>
      </x:c>
      <x:c r="AB398" s="82" t="n">
        <x:f>IF($AH398&lt;&gt;"Valid","",YEAR($C398))</x:f>
        <x:v>2025</x:v>
      </x:c>
      <x:c r="AC398" s="80" t="str">
        <x:v>Consistent</x:v>
      </x:c>
      <x:c r="AD398" s="80" t="str">
        <x:v>Eligible</x:v>
      </x:c>
      <x:c r="AE398" s="80" t="str">
        <x:f>IF(OR($AH398&lt;&gt;"Valid",$AI398&lt;&gt;"Valid",$AJ398&lt;&gt;"Valid",LEFT($AM398,7)="Invalid",IFERROR(ABS($AQ398)&gt;0.01,FALSE),IFERROR(ABS($AR398)&gt;0.01,FALSE),COUNTIF($AS398,"*Conflicting duplicate*")&gt;0,COUNTIF($AS398,"*Completed order not paid*")&gt;0),"Invalid",IF(OR($H398="Unknown",$N398="Unknown",$AM398="Missing discount imputed as 0"),"Warning","Clean"))</x:f>
        <x:v>Clean</x:v>
      </x:c>
      <x:c r="AF398" s="80" t="str">
        <x:v>Pass</x:v>
      </x:c>
      <x:c r="AG398" s="80" t="str">
        <x:v>No text cleanup required</x:v>
      </x:c>
      <x:c r="AH398" s="12" t="str">
        <x:f>IF(C398="","Missing date",IF(ISNUMBER(C398),"Valid","Unrecognized/invalid date"))</x:f>
        <x:v>Valid</x:v>
      </x:c>
      <x:c r="AI398" s="12" t="str">
        <x:f>IF(D398="","Missing date",IF(ISNUMBER(D398),"Valid","Unrecognized/invalid date"))</x:f>
        <x:v>Valid</x:v>
      </x:c>
      <x:c r="AJ398" s="12" t="str">
        <x:v>Valid</x:v>
      </x:c>
      <x:c r="AK398" s="12" t="str">
        <x:v>Pass</x:v>
      </x:c>
      <x:c r="AL398" s="12" t="str">
        <x:v>None</x:v>
      </x:c>
      <x:c r="AM398" s="12" t="str">
        <x:v>Valid</x:v>
      </x:c>
      <x:c r="AN398" s="12" t="str">
        <x:v>Include in completed sales</x:v>
      </x:c>
      <x:c r="AO398" s="12" t="str">
        <x:v>Not a refunded record</x:v>
      </x:c>
      <x:c r="AP398" s="37" t="n">
        <x:f>IF(LEFT($AM398,7)="Invalid","",IF($AM398="Missing discount imputed as 0",IF(AND(COUNT($O398,$P398,$R398,$S398)=4,$O398&gt;0,$P398&gt;=0,$R398&gt;=0,$S398&gt;=0),0,""),IF(AND(ISNUMBER($Q398),$Q398&gt;=0,$Q398&lt;=0.5),$Q398,"")))</x:f>
        <x:v>0.05</x:v>
      </x:c>
      <x:c r="AQ398" s="152" t="n">
        <x:f>IF(OR($W398="",NOT(ISNUMBER($R398))),"",ROUND($R398-$W398,2))</x:f>
        <x:v>0</x:v>
      </x:c>
      <x:c r="AR398" s="152" t="n">
        <x:f>IF(OR($X398="",NOT(ISNUMBER($T398))),"",ROUND($T398-$X398,2))</x:f>
        <x:v>0</x:v>
      </x:c>
      <x:c r="AS398" s="14" t="str">
        <x:v>OK</x:v>
      </x:c>
    </x:row>
    <x:row r="399">
      <x:c r="A399" s="80" t="n">
        <x:v>399</x:v>
      </x:c>
      <x:c r="B399" s="80" t="str">
        <x:v>ORD-2025-10398</x:v>
      </x:c>
      <x:c r="C399" s="81" t="n">
        <x:v>45817</x:v>
      </x:c>
      <x:c r="D399" s="81" t="n">
        <x:v>45818</x:v>
      </x:c>
      <x:c r="E399" s="80" t="str">
        <x:v>CUST-3177</x:v>
      </x:c>
      <x:c r="F399" s="80" t="str">
        <x:v>Sneha Kapoor</x:v>
      </x:c>
      <x:c r="G399" s="80" t="str">
        <x:v>Small Business</x:v>
      </x:c>
      <x:c r="H399" s="80" t="str">
        <x:v>North</x:v>
      </x:c>
      <x:c r="I399" s="80" t="str">
        <x:v>Uttar Pradesh</x:v>
      </x:c>
      <x:c r="J399" s="80" t="str">
        <x:v>Noida</x:v>
      </x:c>
      <x:c r="K399" s="80" t="str">
        <x:v>Furniture</x:v>
      </x:c>
      <x:c r="L399" s="80" t="str">
        <x:v>Tables</x:v>
      </x:c>
      <x:c r="M399" s="80" t="str">
        <x:v>Eco Tables 378</x:v>
      </x:c>
      <x:c r="N399" s="80" t="str">
        <x:v>Second Class</x:v>
      </x:c>
      <x:c r="O399" s="82" t="n">
        <x:v>2</x:v>
      </x:c>
      <x:c r="P399" s="83" t="n">
        <x:v>1731.88</x:v>
      </x:c>
      <x:c r="Q399" s="84" t="n">
        <x:v>0</x:v>
      </x:c>
      <x:c r="R399" s="83" t="n">
        <x:v>3463.76</x:v>
      </x:c>
      <x:c r="S399" s="83" t="n">
        <x:v>2143.74</x:v>
      </x:c>
      <x:c r="T399" s="83" t="n">
        <x:v>1320.02</x:v>
      </x:c>
      <x:c r="U399" s="83" t="str">
        <x:v>Paid</x:v>
      </x:c>
      <x:c r="V399" s="83" t="str">
        <x:v>Completed</x:v>
      </x:c>
      <x:c r="W399" s="151" t="n">
        <x:f>IF(OR(NOT(ISNUMBER($AP399)),COUNT($O399,$P399)&lt;2,$O399&lt;=0,$P399&lt;0),"",ROUND($O399*$P399*(1-$AP399),2))</x:f>
        <x:v>3463.76</x:v>
      </x:c>
      <x:c r="X399" s="151" t="n">
        <x:f>IF(OR(NOT(ISNUMBER($W399)),NOT(ISNUMBER($S399))),"",ROUND($W399-$S399,2))</x:f>
        <x:v>1320.02</x:v>
      </x:c>
      <x:c r="Y399" s="85" t="n">
        <x:f>IF(OR(NOT(ISNUMBER($W399)),NOT(ISNUMBER($X399)),$W399=0),"",ROUND($X399/$W399,4))</x:f>
        <x:v>0.3811</x:v>
      </x:c>
      <x:c r="Z399" s="82" t="n">
        <x:f>IF(OR($AH399&lt;&gt;"Valid",$AI399&lt;&gt;"Valid"),"",INT($D399-$C399))</x:f>
        <x:v>1</x:v>
      </x:c>
      <x:c r="AA399" s="86" t="str">
        <x:f>IF($AH399&lt;&gt;"Valid","",TEXT($C399,"mmmm"))</x:f>
        <x:v>June</x:v>
      </x:c>
      <x:c r="AB399" s="82" t="n">
        <x:f>IF($AH399&lt;&gt;"Valid","",YEAR($C399))</x:f>
        <x:v>2025</x:v>
      </x:c>
      <x:c r="AC399" s="80" t="str">
        <x:v>Consistent</x:v>
      </x:c>
      <x:c r="AD399" s="80" t="str">
        <x:v>Eligible</x:v>
      </x:c>
      <x:c r="AE399" s="80" t="str">
        <x:f>IF(OR($AH399&lt;&gt;"Valid",$AI399&lt;&gt;"Valid",$AJ399&lt;&gt;"Valid",LEFT($AM399,7)="Invalid",IFERROR(ABS($AQ399)&gt;0.01,FALSE),IFERROR(ABS($AR399)&gt;0.01,FALSE),COUNTIF($AS399,"*Conflicting duplicate*")&gt;0,COUNTIF($AS399,"*Completed order not paid*")&gt;0),"Invalid",IF(OR($H399="Unknown",$N399="Unknown",$AM399="Missing discount imputed as 0"),"Warning","Clean"))</x:f>
        <x:v>Clean</x:v>
      </x:c>
      <x:c r="AF399" s="80" t="str">
        <x:v>Pass</x:v>
      </x:c>
      <x:c r="AG399" s="80" t="str">
        <x:v>No text cleanup required</x:v>
      </x:c>
      <x:c r="AH399" s="12" t="str">
        <x:f>IF(C399="","Missing date",IF(ISNUMBER(C399),"Valid","Unrecognized/invalid date"))</x:f>
        <x:v>Valid</x:v>
      </x:c>
      <x:c r="AI399" s="12" t="str">
        <x:f>IF(D399="","Missing date",IF(ISNUMBER(D399),"Valid","Unrecognized/invalid date"))</x:f>
        <x:v>Valid</x:v>
      </x:c>
      <x:c r="AJ399" s="12" t="str">
        <x:v>Valid</x:v>
      </x:c>
      <x:c r="AK399" s="12" t="str">
        <x:v>Pass</x:v>
      </x:c>
      <x:c r="AL399" s="12" t="str">
        <x:v>None</x:v>
      </x:c>
      <x:c r="AM399" s="12" t="str">
        <x:v>Valid</x:v>
      </x:c>
      <x:c r="AN399" s="12" t="str">
        <x:v>Include in completed sales</x:v>
      </x:c>
      <x:c r="AO399" s="12" t="str">
        <x:v>Not a refunded record</x:v>
      </x:c>
      <x:c r="AP399" s="37" t="n">
        <x:f>IF(LEFT($AM399,7)="Invalid","",IF($AM399="Missing discount imputed as 0",IF(AND(COUNT($O399,$P399,$R399,$S399)=4,$O399&gt;0,$P399&gt;=0,$R399&gt;=0,$S399&gt;=0),0,""),IF(AND(ISNUMBER($Q399),$Q399&gt;=0,$Q399&lt;=0.5),$Q399,"")))</x:f>
        <x:v>0</x:v>
      </x:c>
      <x:c r="AQ399" s="152" t="n">
        <x:f>IF(OR($W399="",NOT(ISNUMBER($R399))),"",ROUND($R399-$W399,2))</x:f>
        <x:v>0</x:v>
      </x:c>
      <x:c r="AR399" s="152" t="n">
        <x:f>IF(OR($X399="",NOT(ISNUMBER($T399))),"",ROUND($T399-$X399,2))</x:f>
        <x:v>0</x:v>
      </x:c>
      <x:c r="AS399" s="14" t="str">
        <x:v>OK</x:v>
      </x:c>
    </x:row>
    <x:row r="400">
      <x:c r="A400" s="80" t="n">
        <x:v>400</x:v>
      </x:c>
      <x:c r="B400" s="80" t="str">
        <x:v>ORD-2024-10399</x:v>
      </x:c>
      <x:c r="C400" s="81" t="n">
        <x:v>45492</x:v>
      </x:c>
      <x:c r="D400" s="81" t="n">
        <x:v>45499</x:v>
      </x:c>
      <x:c r="E400" s="80" t="str">
        <x:v>CUST-4718</x:v>
      </x:c>
      <x:c r="F400" s="80" t="str">
        <x:v>Vikram Iyer</x:v>
      </x:c>
      <x:c r="G400" s="80" t="str">
        <x:v>Corporate</x:v>
      </x:c>
      <x:c r="H400" s="80" t="str">
        <x:v>North</x:v>
      </x:c>
      <x:c r="I400" s="80" t="str">
        <x:v>Punjab</x:v>
      </x:c>
      <x:c r="J400" s="80" t="str">
        <x:v>Ludhiana</x:v>
      </x:c>
      <x:c r="K400" s="80" t="str">
        <x:v>Technology</x:v>
      </x:c>
      <x:c r="L400" s="80" t="str">
        <x:v>Machines</x:v>
      </x:c>
      <x:c r="M400" s="80" t="str">
        <x:v>Elite Machines 523</x:v>
      </x:c>
      <x:c r="N400" s="80" t="str">
        <x:v>Same Day</x:v>
      </x:c>
      <x:c r="O400" s="82" t="n">
        <x:v>2</x:v>
      </x:c>
      <x:c r="P400" s="83" t="n">
        <x:v>1263.65</x:v>
      </x:c>
      <x:c r="Q400" s="84" t="n">
        <x:v>0.2</x:v>
      </x:c>
      <x:c r="R400" s="83" t="n">
        <x:v>2021.84</x:v>
      </x:c>
      <x:c r="S400" s="83" t="n">
        <x:v>1355.22</x:v>
      </x:c>
      <x:c r="T400" s="83" t="n">
        <x:v>666.62</x:v>
      </x:c>
      <x:c r="U400" s="83" t="str">
        <x:v>Paid</x:v>
      </x:c>
      <x:c r="V400" s="83" t="str">
        <x:v>Completed</x:v>
      </x:c>
      <x:c r="W400" s="151" t="n">
        <x:f>IF(OR(NOT(ISNUMBER($AP400)),COUNT($O400,$P400)&lt;2,$O400&lt;=0,$P400&lt;0),"",ROUND($O400*$P400*(1-$AP400),2))</x:f>
        <x:v>2021.84</x:v>
      </x:c>
      <x:c r="X400" s="151" t="n">
        <x:f>IF(OR(NOT(ISNUMBER($W400)),NOT(ISNUMBER($S400))),"",ROUND($W400-$S400,2))</x:f>
        <x:v>666.62</x:v>
      </x:c>
      <x:c r="Y400" s="85" t="n">
        <x:f>IF(OR(NOT(ISNUMBER($W400)),NOT(ISNUMBER($X400)),$W400=0),"",ROUND($X400/$W400,4))</x:f>
        <x:v>0.3297</x:v>
      </x:c>
      <x:c r="Z400" s="82" t="n">
        <x:f>IF(OR($AH400&lt;&gt;"Valid",$AI400&lt;&gt;"Valid"),"",INT($D400-$C400))</x:f>
        <x:v>7</x:v>
      </x:c>
      <x:c r="AA400" s="86" t="str">
        <x:f>IF($AH400&lt;&gt;"Valid","",TEXT($C400,"mmmm"))</x:f>
        <x:v>July</x:v>
      </x:c>
      <x:c r="AB400" s="82" t="n">
        <x:f>IF($AH400&lt;&gt;"Valid","",YEAR($C400))</x:f>
        <x:v>2024</x:v>
      </x:c>
      <x:c r="AC400" s="80" t="str">
        <x:v>Consistent</x:v>
      </x:c>
      <x:c r="AD400" s="80" t="str">
        <x:v>Eligible</x:v>
      </x:c>
      <x:c r="AE400" s="80" t="str">
        <x:f>IF(OR($AH400&lt;&gt;"Valid",$AI400&lt;&gt;"Valid",$AJ400&lt;&gt;"Valid",LEFT($AM400,7)="Invalid",IFERROR(ABS($AQ400)&gt;0.01,FALSE),IFERROR(ABS($AR400)&gt;0.01,FALSE),COUNTIF($AS400,"*Conflicting duplicate*")&gt;0,COUNTIF($AS400,"*Completed order not paid*")&gt;0),"Invalid",IF(OR($H400="Unknown",$N400="Unknown",$AM400="Missing discount imputed as 0"),"Warning","Clean"))</x:f>
        <x:v>Clean</x:v>
      </x:c>
      <x:c r="AF400" s="80" t="str">
        <x:v>Cleaned</x:v>
      </x:c>
      <x:c r="AG400" s="80" t="str">
        <x:v>segment: TRIM/SUBSTITUTE whitespace cleanup</x:v>
      </x:c>
      <x:c r="AH400" s="12" t="str">
        <x:f>IF(C400="","Missing date",IF(ISNUMBER(C400),"Valid","Unrecognized/invalid date"))</x:f>
        <x:v>Valid</x:v>
      </x:c>
      <x:c r="AI400" s="12" t="str">
        <x:f>IF(D400="","Missing date",IF(ISNUMBER(D400),"Valid","Unrecognized/invalid date"))</x:f>
        <x:v>Valid</x:v>
      </x:c>
      <x:c r="AJ400" s="12" t="str">
        <x:v>Valid</x:v>
      </x:c>
      <x:c r="AK400" s="12" t="str">
        <x:v>Pass</x:v>
      </x:c>
      <x:c r="AL400" s="12" t="str">
        <x:v>None</x:v>
      </x:c>
      <x:c r="AM400" s="12" t="str">
        <x:v>Valid</x:v>
      </x:c>
      <x:c r="AN400" s="12" t="str">
        <x:v>Include in completed sales</x:v>
      </x:c>
      <x:c r="AO400" s="12" t="str">
        <x:v>Not a refunded record</x:v>
      </x:c>
      <x:c r="AP400" s="37" t="n">
        <x:f>IF(LEFT($AM400,7)="Invalid","",IF($AM400="Missing discount imputed as 0",IF(AND(COUNT($O400,$P400,$R400,$S400)=4,$O400&gt;0,$P400&gt;=0,$R400&gt;=0,$S400&gt;=0),0,""),IF(AND(ISNUMBER($Q400),$Q400&gt;=0,$Q400&lt;=0.5),$Q400,"")))</x:f>
        <x:v>0.2</x:v>
      </x:c>
      <x:c r="AQ400" s="152" t="n">
        <x:f>IF(OR($W400="",NOT(ISNUMBER($R400))),"",ROUND($R400-$W400,2))</x:f>
        <x:v>0</x:v>
      </x:c>
      <x:c r="AR400" s="152" t="n">
        <x:f>IF(OR($X400="",NOT(ISNUMBER($T400))),"",ROUND($T400-$X400,2))</x:f>
        <x:v>0</x:v>
      </x:c>
      <x:c r="AS400" s="14" t="str">
        <x:v>OK</x:v>
      </x:c>
    </x:row>
    <x:row r="401">
      <x:c r="A401" s="80" t="n">
        <x:v>401</x:v>
      </x:c>
      <x:c r="B401" s="80" t="str">
        <x:v>ORD-2025-10400</x:v>
      </x:c>
      <x:c r="C401" s="81" t="n">
        <x:v>45771</x:v>
      </x:c>
      <x:c r="D401" s="81" t="n">
        <x:v>45776</x:v>
      </x:c>
      <x:c r="E401" s="80" t="str">
        <x:v>CUST-5647</x:v>
      </x:c>
      <x:c r="F401" s="80" t="str">
        <x:v>Diya Patel</x:v>
      </x:c>
      <x:c r="G401" s="80" t="str">
        <x:v>Small Business</x:v>
      </x:c>
      <x:c r="H401" s="80" t="str">
        <x:v>South</x:v>
      </x:c>
      <x:c r="I401" s="80" t="str">
        <x:v>Andhra Pradesh</x:v>
      </x:c>
      <x:c r="J401" s="80" t="str">
        <x:v>Vijayawada</x:v>
      </x:c>
      <x:c r="K401" s="80" t="str">
        <x:v>Office Supplies</x:v>
      </x:c>
      <x:c r="L401" s="80" t="str">
        <x:v>Paper</x:v>
      </x:c>
      <x:c r="M401" s="80" t="str">
        <x:v>Elite Paper 308</x:v>
      </x:c>
      <x:c r="N401" s="80" t="str">
        <x:v>Same Day</x:v>
      </x:c>
      <x:c r="O401" s="82" t="n">
        <x:v>1</x:v>
      </x:c>
      <x:c r="P401" s="83" t="n">
        <x:v>4358.5</x:v>
      </x:c>
      <x:c r="Q401" s="84" t="n">
        <x:v>0.25</x:v>
      </x:c>
      <x:c r="R401" s="83" t="n">
        <x:v>3268.88</x:v>
      </x:c>
      <x:c r="S401" s="83" t="n">
        <x:v>1993.74</x:v>
      </x:c>
      <x:c r="T401" s="83" t="n">
        <x:v>1275.14</x:v>
      </x:c>
      <x:c r="U401" s="83" t="str">
        <x:v>Paid</x:v>
      </x:c>
      <x:c r="V401" s="83" t="str">
        <x:v>Completed</x:v>
      </x:c>
      <x:c r="W401" s="151" t="n">
        <x:f>IF(OR(NOT(ISNUMBER($AP401)),COUNT($O401,$P401)&lt;2,$O401&lt;=0,$P401&lt;0),"",ROUND($O401*$P401*(1-$AP401),2))</x:f>
        <x:v>3268.88</x:v>
      </x:c>
      <x:c r="X401" s="151" t="n">
        <x:f>IF(OR(NOT(ISNUMBER($W401)),NOT(ISNUMBER($S401))),"",ROUND($W401-$S401,2))</x:f>
        <x:v>1275.14</x:v>
      </x:c>
      <x:c r="Y401" s="85" t="n">
        <x:f>IF(OR(NOT(ISNUMBER($W401)),NOT(ISNUMBER($X401)),$W401=0),"",ROUND($X401/$W401,4))</x:f>
        <x:v>0.3901</x:v>
      </x:c>
      <x:c r="Z401" s="82" t="n">
        <x:f>IF(OR($AH401&lt;&gt;"Valid",$AI401&lt;&gt;"Valid"),"",INT($D401-$C401))</x:f>
        <x:v>5</x:v>
      </x:c>
      <x:c r="AA401" s="86" t="str">
        <x:f>IF($AH401&lt;&gt;"Valid","",TEXT($C401,"mmmm"))</x:f>
        <x:v>April</x:v>
      </x:c>
      <x:c r="AB401" s="82" t="n">
        <x:f>IF($AH401&lt;&gt;"Valid","",YEAR($C401))</x:f>
        <x:v>2025</x:v>
      </x:c>
      <x:c r="AC401" s="80" t="str">
        <x:v>Consistent</x:v>
      </x:c>
      <x:c r="AD401" s="80" t="str">
        <x:v>Eligible</x:v>
      </x:c>
      <x:c r="AE401" s="80" t="str">
        <x:f>IF(OR($AH401&lt;&gt;"Valid",$AI401&lt;&gt;"Valid",$AJ401&lt;&gt;"Valid",LEFT($AM401,7)="Invalid",IFERROR(ABS($AQ401)&gt;0.01,FALSE),IFERROR(ABS($AR401)&gt;0.01,FALSE),COUNTIF($AS401,"*Conflicting duplicate*")&gt;0,COUNTIF($AS401,"*Completed order not paid*")&gt;0),"Invalid",IF(OR($H401="Unknown",$N401="Unknown",$AM401="Missing discount imputed as 0"),"Warning","Clean"))</x:f>
        <x:v>Clean</x:v>
      </x:c>
      <x:c r="AF401" s="80" t="str">
        <x:v>Pass</x:v>
      </x:c>
      <x:c r="AG401" s="80" t="str">
        <x:v>No text cleanup required</x:v>
      </x:c>
      <x:c r="AH401" s="12" t="str">
        <x:f>IF(C401="","Missing date",IF(ISNUMBER(C401),"Valid","Unrecognized/invalid date"))</x:f>
        <x:v>Valid</x:v>
      </x:c>
      <x:c r="AI401" s="12" t="str">
        <x:f>IF(D401="","Missing date",IF(ISNUMBER(D401),"Valid","Unrecognized/invalid date"))</x:f>
        <x:v>Valid</x:v>
      </x:c>
      <x:c r="AJ401" s="12" t="str">
        <x:v>Valid</x:v>
      </x:c>
      <x:c r="AK401" s="12" t="str">
        <x:v>Pass</x:v>
      </x:c>
      <x:c r="AL401" s="12" t="str">
        <x:v>None</x:v>
      </x:c>
      <x:c r="AM401" s="12" t="str">
        <x:v>Valid</x:v>
      </x:c>
      <x:c r="AN401" s="12" t="str">
        <x:v>Include in completed sales</x:v>
      </x:c>
      <x:c r="AO401" s="12" t="str">
        <x:v>Not a refunded record</x:v>
      </x:c>
      <x:c r="AP401" s="37" t="n">
        <x:f>IF(LEFT($AM401,7)="Invalid","",IF($AM401="Missing discount imputed as 0",IF(AND(COUNT($O401,$P401,$R401,$S401)=4,$O401&gt;0,$P401&gt;=0,$R401&gt;=0,$S401&gt;=0),0,""),IF(AND(ISNUMBER($Q401),$Q401&gt;=0,$Q401&lt;=0.5),$Q401,"")))</x:f>
        <x:v>0.25</x:v>
      </x:c>
      <x:c r="AQ401" s="152" t="n">
        <x:f>IF(OR($W401="",NOT(ISNUMBER($R401))),"",ROUND($R401-$W401,2))</x:f>
        <x:v>0</x:v>
      </x:c>
      <x:c r="AR401" s="152" t="n">
        <x:f>IF(OR($X401="",NOT(ISNUMBER($T401))),"",ROUND($T401-$X401,2))</x:f>
        <x:v>0</x:v>
      </x:c>
      <x:c r="AS401" s="14" t="str">
        <x:v>OK</x:v>
      </x:c>
    </x:row>
    <x:row r="402">
      <x:c r="A402" s="80" t="n">
        <x:v>402</x:v>
      </x:c>
      <x:c r="B402" s="80" t="str">
        <x:v>ORD-2025-10401</x:v>
      </x:c>
      <x:c r="C402" s="81" t="n">
        <x:v>45814</x:v>
      </x:c>
      <x:c r="D402" s="81" t="n">
        <x:v>45819</x:v>
      </x:c>
      <x:c r="E402" s="80" t="str">
        <x:v>CUST-7150</x:v>
      </x:c>
      <x:c r="F402" s="80" t="str">
        <x:v>Sneha Kapoor</x:v>
      </x:c>
      <x:c r="G402" s="80" t="str">
        <x:v>Small Business</x:v>
      </x:c>
      <x:c r="H402" s="80" t="str">
        <x:v>North</x:v>
      </x:c>
      <x:c r="I402" s="80" t="str">
        <x:v>Uttar Pradesh</x:v>
      </x:c>
      <x:c r="J402" s="80" t="str">
        <x:v>Noida</x:v>
      </x:c>
      <x:c r="K402" s="80" t="str">
        <x:v>Office Supplies</x:v>
      </x:c>
      <x:c r="L402" s="80" t="str">
        <x:v>Paper</x:v>
      </x:c>
      <x:c r="M402" s="80" t="str">
        <x:v>Prime Paper 851</x:v>
      </x:c>
      <x:c r="N402" s="80" t="str">
        <x:v>Same Day</x:v>
      </x:c>
      <x:c r="O402" s="82" t="n">
        <x:v>7</x:v>
      </x:c>
      <x:c r="P402" s="83" t="n">
        <x:v>878.09</x:v>
      </x:c>
      <x:c r="Q402" s="84" t="n">
        <x:v>-0.1</x:v>
      </x:c>
      <x:c r="R402" s="83" t="n">
        <x:v>5839.3</x:v>
      </x:c>
      <x:c r="S402" s="83" t="n">
        <x:v>4877.38</x:v>
      </x:c>
      <x:c r="T402" s="83" t="n">
        <x:v>961.92</x:v>
      </x:c>
      <x:c r="U402" s="83" t="str">
        <x:v>Paid</x:v>
      </x:c>
      <x:c r="V402" s="83" t="str">
        <x:v>Completed</x:v>
      </x:c>
      <x:c r="W402" s="151" t="str">
        <x:f>IF(OR(NOT(ISNUMBER($AP402)),COUNT($O402,$P402)&lt;2,$O402&lt;=0,$P402&lt;0),"",ROUND($O402*$P402*(1-$AP402),2))</x:f>
      </x:c>
      <x:c r="X402" s="151" t="str">
        <x:f>IF(OR(NOT(ISNUMBER($W402)),NOT(ISNUMBER($S402))),"",ROUND($W402-$S402,2))</x:f>
      </x:c>
      <x:c r="Y402" s="85" t="str">
        <x:f>IF(OR(NOT(ISNUMBER($W402)),NOT(ISNUMBER($X402)),$W402=0),"",ROUND($X402/$W402,4))</x:f>
      </x:c>
      <x:c r="Z402" s="82" t="n">
        <x:f>IF(OR($AH402&lt;&gt;"Valid",$AI402&lt;&gt;"Valid"),"",INT($D402-$C402))</x:f>
        <x:v>5</x:v>
      </x:c>
      <x:c r="AA402" s="86" t="str">
        <x:f>IF($AH402&lt;&gt;"Valid","",TEXT($C402,"mmmm"))</x:f>
        <x:v>June</x:v>
      </x:c>
      <x:c r="AB402" s="82" t="n">
        <x:f>IF($AH402&lt;&gt;"Valid","",YEAR($C402))</x:f>
        <x:v>2025</x:v>
      </x:c>
      <x:c r="AC402" s="80" t="str">
        <x:v>Consistent</x:v>
      </x:c>
      <x:c r="AD402" s="80" t="str">
        <x:v>Excluded</x:v>
      </x:c>
      <x:c r="AE402" s="80" t="str">
        <x:f>IF(OR($AH402&lt;&gt;"Valid",$AI402&lt;&gt;"Valid",$AJ402&lt;&gt;"Valid",LEFT($AM402,7)="Invalid",IFERROR(ABS($AQ402)&gt;0.01,FALSE),IFERROR(ABS($AR402)&gt;0.01,FALSE),COUNTIF($AS402,"*Conflicting duplicate*")&gt;0,COUNTIF($AS402,"*Completed order not paid*")&gt;0),"Invalid",IF(OR($H402="Unknown",$N402="Unknown",$AM402="Missing discount imputed as 0"),"Warning","Clean"))</x:f>
        <x:v>Invalid</x:v>
      </x:c>
      <x:c r="AF402" s="80" t="str">
        <x:v>Review</x:v>
      </x:c>
      <x:c r="AG402" s="80" t="str">
        <x:v>No text cleanup required</x:v>
      </x:c>
      <x:c r="AH402" s="12" t="str">
        <x:f>IF(C402="","Missing date",IF(ISNUMBER(C402),"Valid","Unrecognized/invalid date"))</x:f>
        <x:v>Valid</x:v>
      </x:c>
      <x:c r="AI402" s="12" t="str">
        <x:f>IF(D402="","Missing date",IF(ISNUMBER(D402),"Valid","Unrecognized/invalid date"))</x:f>
        <x:v>Valid</x:v>
      </x:c>
      <x:c r="AJ402" s="12" t="str">
        <x:v>Valid</x:v>
      </x:c>
      <x:c r="AK402" s="12" t="str">
        <x:v>Pass</x:v>
      </x:c>
      <x:c r="AL402" s="12" t="str">
        <x:v>None</x:v>
      </x:c>
      <x:c r="AM402" s="12" t="str">
        <x:v>Invalid discount – negative</x:v>
      </x:c>
      <x:c r="AN402" s="12" t="str">
        <x:v>Exclude from completed sales</x:v>
      </x:c>
      <x:c r="AO402" s="12" t="str">
        <x:v>Not a refunded record</x:v>
      </x:c>
      <x:c r="AP402" s="37" t="str">
        <x:f>IF(LEFT($AM402,7)="Invalid","",IF($AM402="Missing discount imputed as 0",IF(AND(COUNT($O402,$P402,$R402,$S402)=4,$O402&gt;0,$P402&gt;=0,$R402&gt;=0,$S402&gt;=0),0,""),IF(AND(ISNUMBER($Q402),$Q402&gt;=0,$Q402&lt;=0.5),$Q402,"")))</x:f>
      </x:c>
      <x:c r="AQ402" s="152" t="str">
        <x:f>IF(OR($W402="",NOT(ISNUMBER($R402))),"",ROUND($R402-$W402,2))</x:f>
      </x:c>
      <x:c r="AR402" s="152" t="str">
        <x:f>IF(OR($X402="",NOT(ISNUMBER($T402))),"",ROUND($T402-$X402,2))</x:f>
      </x:c>
      <x:c r="AS402" s="14" t="str">
        <x:v>Negative discount</x:v>
      </x:c>
    </x:row>
    <x:row r="403">
      <x:c r="A403" s="80" t="n">
        <x:v>403</x:v>
      </x:c>
      <x:c r="B403" s="80" t="str">
        <x:v>ORD-2025-10402</x:v>
      </x:c>
      <x:c r="C403" s="81" t="n">
        <x:v>45725</x:v>
      </x:c>
      <x:c r="D403" s="81" t="n">
        <x:v>45732</x:v>
      </x:c>
      <x:c r="E403" s="80" t="str">
        <x:v>CUST-6694</x:v>
      </x:c>
      <x:c r="F403" s="80" t="str">
        <x:v>Arjun Bose</x:v>
      </x:c>
      <x:c r="G403" s="80" t="str">
        <x:v>Small Business</x:v>
      </x:c>
      <x:c r="H403" s="80" t="str">
        <x:v>East</x:v>
      </x:c>
      <x:c r="I403" s="80" t="str">
        <x:v>Jharkhand</x:v>
      </x:c>
      <x:c r="J403" s="80" t="str">
        <x:v>Ranchi</x:v>
      </x:c>
      <x:c r="K403" s="80" t="str">
        <x:v>Furniture</x:v>
      </x:c>
      <x:c r="L403" s="80" t="str">
        <x:v>Tables</x:v>
      </x:c>
      <x:c r="M403" s="80" t="str">
        <x:v>Classic Tables 151</x:v>
      </x:c>
      <x:c r="N403" s="80" t="str">
        <x:v>Same Day</x:v>
      </x:c>
      <x:c r="O403" s="82" t="n">
        <x:v>3</x:v>
      </x:c>
      <x:c r="P403" s="83" t="n">
        <x:v>2625.85</x:v>
      </x:c>
      <x:c r="Q403" s="84" t="n">
        <x:v>0</x:v>
      </x:c>
      <x:c r="R403" s="83" t="n">
        <x:v>7877.55</x:v>
      </x:c>
      <x:c r="S403" s="83" t="n">
        <x:v>5562.77</x:v>
      </x:c>
      <x:c r="T403" s="83" t="n">
        <x:v>2314.78</x:v>
      </x:c>
      <x:c r="U403" s="83" t="str">
        <x:v>Paid</x:v>
      </x:c>
      <x:c r="V403" s="83" t="str">
        <x:v>Completed</x:v>
      </x:c>
      <x:c r="W403" s="151" t="n">
        <x:f>IF(OR(NOT(ISNUMBER($AP403)),COUNT($O403,$P403)&lt;2,$O403&lt;=0,$P403&lt;0),"",ROUND($O403*$P403*(1-$AP403),2))</x:f>
        <x:v>7877.55</x:v>
      </x:c>
      <x:c r="X403" s="151" t="n">
        <x:f>IF(OR(NOT(ISNUMBER($W403)),NOT(ISNUMBER($S403))),"",ROUND($W403-$S403,2))</x:f>
        <x:v>2314.78</x:v>
      </x:c>
      <x:c r="Y403" s="85" t="n">
        <x:f>IF(OR(NOT(ISNUMBER($W403)),NOT(ISNUMBER($X403)),$W403=0),"",ROUND($X403/$W403,4))</x:f>
        <x:v>0.2938</x:v>
      </x:c>
      <x:c r="Z403" s="82" t="n">
        <x:f>IF(OR($AH403&lt;&gt;"Valid",$AI403&lt;&gt;"Valid"),"",INT($D403-$C403))</x:f>
        <x:v>7</x:v>
      </x:c>
      <x:c r="AA403" s="86" t="str">
        <x:f>IF($AH403&lt;&gt;"Valid","",TEXT($C403,"mmmm"))</x:f>
        <x:v>March</x:v>
      </x:c>
      <x:c r="AB403" s="82" t="n">
        <x:f>IF($AH403&lt;&gt;"Valid","",YEAR($C403))</x:f>
        <x:v>2025</x:v>
      </x:c>
      <x:c r="AC403" s="80" t="str">
        <x:v>Consistent</x:v>
      </x:c>
      <x:c r="AD403" s="80" t="str">
        <x:v>Eligible</x:v>
      </x:c>
      <x:c r="AE403" s="80" t="str">
        <x:f>IF(OR($AH403&lt;&gt;"Valid",$AI403&lt;&gt;"Valid",$AJ403&lt;&gt;"Valid",LEFT($AM403,7)="Invalid",IFERROR(ABS($AQ403)&gt;0.01,FALSE),IFERROR(ABS($AR403)&gt;0.01,FALSE),COUNTIF($AS403,"*Conflicting duplicate*")&gt;0,COUNTIF($AS403,"*Completed order not paid*")&gt;0),"Invalid",IF(OR($H403="Unknown",$N403="Unknown",$AM403="Missing discount imputed as 0"),"Warning","Clean"))</x:f>
        <x:v>Clean</x:v>
      </x:c>
      <x:c r="AF403" s="80" t="str">
        <x:v>Pass</x:v>
      </x:c>
      <x:c r="AG403" s="80" t="str">
        <x:v>No text cleanup required</x:v>
      </x:c>
      <x:c r="AH403" s="12" t="str">
        <x:f>IF(C403="","Missing date",IF(ISNUMBER(C403),"Valid","Unrecognized/invalid date"))</x:f>
        <x:v>Valid</x:v>
      </x:c>
      <x:c r="AI403" s="12" t="str">
        <x:f>IF(D403="","Missing date",IF(ISNUMBER(D403),"Valid","Unrecognized/invalid date"))</x:f>
        <x:v>Valid</x:v>
      </x:c>
      <x:c r="AJ403" s="12" t="str">
        <x:v>Valid</x:v>
      </x:c>
      <x:c r="AK403" s="12" t="str">
        <x:v>Pass</x:v>
      </x:c>
      <x:c r="AL403" s="12" t="str">
        <x:v>None</x:v>
      </x:c>
      <x:c r="AM403" s="12" t="str">
        <x:v>Valid</x:v>
      </x:c>
      <x:c r="AN403" s="12" t="str">
        <x:v>Include in completed sales</x:v>
      </x:c>
      <x:c r="AO403" s="12" t="str">
        <x:v>Not a refunded record</x:v>
      </x:c>
      <x:c r="AP403" s="37" t="n">
        <x:f>IF(LEFT($AM403,7)="Invalid","",IF($AM403="Missing discount imputed as 0",IF(AND(COUNT($O403,$P403,$R403,$S403)=4,$O403&gt;0,$P403&gt;=0,$R403&gt;=0,$S403&gt;=0),0,""),IF(AND(ISNUMBER($Q403),$Q403&gt;=0,$Q403&lt;=0.5),$Q403,"")))</x:f>
        <x:v>0</x:v>
      </x:c>
      <x:c r="AQ403" s="152" t="n">
        <x:f>IF(OR($W403="",NOT(ISNUMBER($R403))),"",ROUND($R403-$W403,2))</x:f>
        <x:v>0</x:v>
      </x:c>
      <x:c r="AR403" s="152" t="n">
        <x:f>IF(OR($X403="",NOT(ISNUMBER($T403))),"",ROUND($T403-$X403,2))</x:f>
        <x:v>0</x:v>
      </x:c>
      <x:c r="AS403" s="14" t="str">
        <x:v>OK</x:v>
      </x:c>
    </x:row>
    <x:row r="404">
      <x:c r="A404" s="80" t="n">
        <x:v>404</x:v>
      </x:c>
      <x:c r="B404" s="80" t="str">
        <x:v>ORD-2024-10403</x:v>
      </x:c>
      <x:c r="C404" s="81" t="n">
        <x:v>45373</x:v>
      </x:c>
      <x:c r="D404" s="81" t="n">
        <x:v>45373</x:v>
      </x:c>
      <x:c r="E404" s="80" t="str">
        <x:v>CUST-7680</x:v>
      </x:c>
      <x:c r="F404" s="80" t="str">
        <x:v>Priya Menon</x:v>
      </x:c>
      <x:c r="G404" s="80" t="str">
        <x:v>Small Business</x:v>
      </x:c>
      <x:c r="H404" s="80" t="str">
        <x:v>South</x:v>
      </x:c>
      <x:c r="I404" s="80" t="str">
        <x:v>Karnataka</x:v>
      </x:c>
      <x:c r="J404" s="80" t="str">
        <x:v>Bengaluru</x:v>
      </x:c>
      <x:c r="K404" s="80" t="str">
        <x:v>Furniture</x:v>
      </x:c>
      <x:c r="L404" s="80" t="str">
        <x:v>Tables</x:v>
      </x:c>
      <x:c r="M404" s="80" t="str">
        <x:v>Smart Tables 829</x:v>
      </x:c>
      <x:c r="N404" s="80" t="str">
        <x:v>Unknown</x:v>
      </x:c>
      <x:c r="O404" s="82" t="n">
        <x:v>3</x:v>
      </x:c>
      <x:c r="P404" s="83" t="n">
        <x:v>1365.26</x:v>
      </x:c>
      <x:c r="Q404" s="84" t="n">
        <x:v>0</x:v>
      </x:c>
      <x:c r="R404" s="83" t="n">
        <x:v>4095.78</x:v>
      </x:c>
      <x:c r="S404" s="83" t="n">
        <x:v>2807.77</x:v>
      </x:c>
      <x:c r="T404" s="83" t="n">
        <x:v>1288.01</x:v>
      </x:c>
      <x:c r="U404" s="83" t="str">
        <x:v>Paid</x:v>
      </x:c>
      <x:c r="V404" s="83" t="str">
        <x:v>Completed</x:v>
      </x:c>
      <x:c r="W404" s="151" t="n">
        <x:f>IF(OR(NOT(ISNUMBER($AP404)),COUNT($O404,$P404)&lt;2,$O404&lt;=0,$P404&lt;0),"",ROUND($O404*$P404*(1-$AP404),2))</x:f>
        <x:v>4095.78</x:v>
      </x:c>
      <x:c r="X404" s="151" t="n">
        <x:f>IF(OR(NOT(ISNUMBER($W404)),NOT(ISNUMBER($S404))),"",ROUND($W404-$S404,2))</x:f>
        <x:v>1288.01</x:v>
      </x:c>
      <x:c r="Y404" s="85" t="n">
        <x:f>IF(OR(NOT(ISNUMBER($W404)),NOT(ISNUMBER($X404)),$W404=0),"",ROUND($X404/$W404,4))</x:f>
        <x:v>0.3145</x:v>
      </x:c>
      <x:c r="Z404" s="82" t="n">
        <x:f>IF(OR($AH404&lt;&gt;"Valid",$AI404&lt;&gt;"Valid"),"",INT($D404-$C404))</x:f>
        <x:v>0</x:v>
      </x:c>
      <x:c r="AA404" s="86" t="str">
        <x:f>IF($AH404&lt;&gt;"Valid","",TEXT($C404,"mmmm"))</x:f>
        <x:v>March</x:v>
      </x:c>
      <x:c r="AB404" s="82" t="n">
        <x:f>IF($AH404&lt;&gt;"Valid","",YEAR($C404))</x:f>
        <x:v>2024</x:v>
      </x:c>
      <x:c r="AC404" s="80" t="str">
        <x:v>Consistent</x:v>
      </x:c>
      <x:c r="AD404" s="80" t="str">
        <x:v>Eligible</x:v>
      </x:c>
      <x:c r="AE404" s="80" t="str">
        <x:f>IF(OR($AH404&lt;&gt;"Valid",$AI404&lt;&gt;"Valid",$AJ404&lt;&gt;"Valid",LEFT($AM404,7)="Invalid",IFERROR(ABS($AQ404)&gt;0.01,FALSE),IFERROR(ABS($AR404)&gt;0.01,FALSE),COUNTIF($AS404,"*Conflicting duplicate*")&gt;0,COUNTIF($AS404,"*Completed order not paid*")&gt;0),"Invalid",IF(OR($H404="Unknown",$N404="Unknown",$AM404="Missing discount imputed as 0"),"Warning","Clean"))</x:f>
        <x:v>Warning</x:v>
      </x:c>
      <x:c r="AF404" s="80" t="str">
        <x:v>Cleaned</x:v>
      </x:c>
      <x:c r="AG404" s="80" t="str">
        <x:v>ship_mode: Missing value filled as Unknown</x:v>
      </x:c>
      <x:c r="AH404" s="12" t="str">
        <x:f>IF(C404="","Missing date",IF(ISNUMBER(C404),"Valid","Unrecognized/invalid date"))</x:f>
        <x:v>Valid</x:v>
      </x:c>
      <x:c r="AI404" s="12" t="str">
        <x:f>IF(D404="","Missing date",IF(ISNUMBER(D404),"Valid","Unrecognized/invalid date"))</x:f>
        <x:v>Valid</x:v>
      </x:c>
      <x:c r="AJ404" s="12" t="str">
        <x:v>Valid</x:v>
      </x:c>
      <x:c r="AK404" s="12" t="str">
        <x:v>Pass</x:v>
      </x:c>
      <x:c r="AL404" s="12" t="str">
        <x:v>Missing ship_mode filled as Unknown</x:v>
      </x:c>
      <x:c r="AM404" s="12" t="str">
        <x:v>Valid</x:v>
      </x:c>
      <x:c r="AN404" s="12" t="str">
        <x:v>Include in completed sales</x:v>
      </x:c>
      <x:c r="AO404" s="12" t="str">
        <x:v>Not a refunded record</x:v>
      </x:c>
      <x:c r="AP404" s="37" t="n">
        <x:f>IF(LEFT($AM404,7)="Invalid","",IF($AM404="Missing discount imputed as 0",IF(AND(COUNT($O404,$P404,$R404,$S404)=4,$O404&gt;0,$P404&gt;=0,$R404&gt;=0,$S404&gt;=0),0,""),IF(AND(ISNUMBER($Q404),$Q404&gt;=0,$Q404&lt;=0.5),$Q404,"")))</x:f>
        <x:v>0</x:v>
      </x:c>
      <x:c r="AQ404" s="152" t="n">
        <x:f>IF(OR($W404="",NOT(ISNUMBER($R404))),"",ROUND($R404-$W404,2))</x:f>
        <x:v>0</x:v>
      </x:c>
      <x:c r="AR404" s="152" t="n">
        <x:f>IF(OR($X404="",NOT(ISNUMBER($T404))),"",ROUND($T404-$X404,2))</x:f>
        <x:v>0</x:v>
      </x:c>
      <x:c r="AS404" s="14" t="str">
        <x:v>OK</x:v>
      </x:c>
    </x:row>
    <x:row r="405">
      <x:c r="A405" s="80" t="n">
        <x:v>405</x:v>
      </x:c>
      <x:c r="B405" s="80" t="str">
        <x:v>ORD-2024-10404</x:v>
      </x:c>
      <x:c r="C405" s="81" t="n">
        <x:v>45565</x:v>
      </x:c>
      <x:c r="D405" s="81" t="n">
        <x:v>45569</x:v>
      </x:c>
      <x:c r="E405" s="80" t="str">
        <x:v>CUST-2700</x:v>
      </x:c>
      <x:c r="F405" s="80" t="str">
        <x:v>Arjun Bose</x:v>
      </x:c>
      <x:c r="G405" s="80" t="str">
        <x:v>Small Business</x:v>
      </x:c>
      <x:c r="H405" s="80" t="str">
        <x:v>South</x:v>
      </x:c>
      <x:c r="I405" s="80" t="str">
        <x:v>Kerala</x:v>
      </x:c>
      <x:c r="J405" s="80" t="str">
        <x:v>Kochi</x:v>
      </x:c>
      <x:c r="K405" s="80" t="str">
        <x:v>Office Supplies</x:v>
      </x:c>
      <x:c r="L405" s="80" t="str">
        <x:v>Paper</x:v>
      </x:c>
      <x:c r="M405" s="80" t="str">
        <x:v>Classic Paper 237</x:v>
      </x:c>
      <x:c r="N405" s="80" t="str">
        <x:v>Same Day</x:v>
      </x:c>
      <x:c r="O405" s="82" t="n">
        <x:v>5</x:v>
      </x:c>
      <x:c r="P405" s="83" t="n">
        <x:v>3512.25</x:v>
      </x:c>
      <x:c r="Q405" s="84" t="n">
        <x:v>0.05</x:v>
      </x:c>
      <x:c r="R405" s="83" t="n">
        <x:v>16683.19</x:v>
      </x:c>
      <x:c r="S405" s="83" t="n">
        <x:v>10301.16</x:v>
      </x:c>
      <x:c r="T405" s="83" t="n">
        <x:v>6382.03</x:v>
      </x:c>
      <x:c r="U405" s="83" t="str">
        <x:v>Paid</x:v>
      </x:c>
      <x:c r="V405" s="83" t="str">
        <x:v>Returned</x:v>
      </x:c>
      <x:c r="W405" s="151" t="n">
        <x:f>IF(OR(NOT(ISNUMBER($AP405)),COUNT($O405,$P405)&lt;2,$O405&lt;=0,$P405&lt;0),"",ROUND($O405*$P405*(1-$AP405),2))</x:f>
        <x:v>16683.19</x:v>
      </x:c>
      <x:c r="X405" s="151" t="n">
        <x:f>IF(OR(NOT(ISNUMBER($W405)),NOT(ISNUMBER($S405))),"",ROUND($W405-$S405,2))</x:f>
        <x:v>6382.03</x:v>
      </x:c>
      <x:c r="Y405" s="85" t="n">
        <x:f>IF(OR(NOT(ISNUMBER($W405)),NOT(ISNUMBER($X405)),$W405=0),"",ROUND($X405/$W405,4))</x:f>
        <x:v>0.3825</x:v>
      </x:c>
      <x:c r="Z405" s="82" t="n">
        <x:f>IF(OR($AH405&lt;&gt;"Valid",$AI405&lt;&gt;"Valid"),"",INT($D405-$C405))</x:f>
        <x:v>4</x:v>
      </x:c>
      <x:c r="AA405" s="86" t="str">
        <x:f>IF($AH405&lt;&gt;"Valid","",TEXT($C405,"mmmm"))</x:f>
        <x:v>September</x:v>
      </x:c>
      <x:c r="AB405" s="82" t="n">
        <x:f>IF($AH405&lt;&gt;"Valid","",YEAR($C405))</x:f>
        <x:v>2024</x:v>
      </x:c>
      <x:c r="AC405" s="80" t="str">
        <x:v>Consistent</x:v>
      </x:c>
      <x:c r="AD405" s="80" t="str">
        <x:v>Excluded</x:v>
      </x:c>
      <x:c r="AE405" s="80" t="str">
        <x:f>IF(OR($AH405&lt;&gt;"Valid",$AI405&lt;&gt;"Valid",$AJ405&lt;&gt;"Valid",LEFT($AM405,7)="Invalid",IFERROR(ABS($AQ405)&gt;0.01,FALSE),IFERROR(ABS($AR405)&gt;0.01,FALSE),COUNTIF($AS405,"*Conflicting duplicate*")&gt;0,COUNTIF($AS405,"*Completed order not paid*")&gt;0),"Invalid",IF(OR($H405="Unknown",$N405="Unknown",$AM405="Missing discount imputed as 0"),"Warning","Clean"))</x:f>
        <x:v>Clean</x:v>
      </x:c>
      <x:c r="AF405" s="80" t="str">
        <x:v>Cleaned</x:v>
      </x:c>
      <x:c r="AG405" s="80" t="str">
        <x:v>sub_category: Case standardization</x:v>
      </x:c>
      <x:c r="AH405" s="12" t="str">
        <x:f>IF(C405="","Missing date",IF(ISNUMBER(C405),"Valid","Unrecognized/invalid date"))</x:f>
        <x:v>Valid</x:v>
      </x:c>
      <x:c r="AI405" s="12" t="str">
        <x:f>IF(D405="","Missing date",IF(ISNUMBER(D405),"Valid","Unrecognized/invalid date"))</x:f>
        <x:v>Valid</x:v>
      </x:c>
      <x:c r="AJ405" s="12" t="str">
        <x:v>Valid</x:v>
      </x:c>
      <x:c r="AK405" s="12" t="str">
        <x:v>Pass</x:v>
      </x:c>
      <x:c r="AL405" s="12" t="str">
        <x:v>None</x:v>
      </x:c>
      <x:c r="AM405" s="12" t="str">
        <x:v>Valid</x:v>
      </x:c>
      <x:c r="AN405" s="12" t="str">
        <x:v>Exclude from completed sales</x:v>
      </x:c>
      <x:c r="AO405" s="12" t="str">
        <x:v>Not a refunded record</x:v>
      </x:c>
      <x:c r="AP405" s="37" t="n">
        <x:f>IF(LEFT($AM405,7)="Invalid","",IF($AM405="Missing discount imputed as 0",IF(AND(COUNT($O405,$P405,$R405,$S405)=4,$O405&gt;0,$P405&gt;=0,$R405&gt;=0,$S405&gt;=0),0,""),IF(AND(ISNUMBER($Q405),$Q405&gt;=0,$Q405&lt;=0.5),$Q405,"")))</x:f>
        <x:v>0.05</x:v>
      </x:c>
      <x:c r="AQ405" s="152" t="n">
        <x:f>IF(OR($W405="",NOT(ISNUMBER($R405))),"",ROUND($R405-$W405,2))</x:f>
        <x:v>0</x:v>
      </x:c>
      <x:c r="AR405" s="152" t="n">
        <x:f>IF(OR($X405="",NOT(ISNUMBER($T405))),"",ROUND($T405-$X405,2))</x:f>
        <x:v>0</x:v>
      </x:c>
      <x:c r="AS405" s="14" t="str">
        <x:v>OK</x:v>
      </x:c>
    </x:row>
    <x:row r="406">
      <x:c r="A406" s="80" t="n">
        <x:v>406</x:v>
      </x:c>
      <x:c r="B406" s="80" t="str">
        <x:v>ORD-2024-10405</x:v>
      </x:c>
      <x:c r="C406" s="81" t="n">
        <x:v>45318</x:v>
      </x:c>
      <x:c r="D406" s="81" t="n">
        <x:v>45325</x:v>
      </x:c>
      <x:c r="E406" s="80" t="str">
        <x:v>CUST-2904</x:v>
      </x:c>
      <x:c r="F406" s="80" t="str">
        <x:v>Aditi Sen</x:v>
      </x:c>
      <x:c r="G406" s="80" t="str">
        <x:v>Corporate</x:v>
      </x:c>
      <x:c r="H406" s="80" t="str">
        <x:v>West</x:v>
      </x:c>
      <x:c r="I406" s="80" t="str">
        <x:v>Rajasthan</x:v>
      </x:c>
      <x:c r="J406" s="80" t="str">
        <x:v>Udaipur</x:v>
      </x:c>
      <x:c r="K406" s="80" t="str">
        <x:v>Furniture</x:v>
      </x:c>
      <x:c r="L406" s="80" t="str">
        <x:v>Chairs</x:v>
      </x:c>
      <x:c r="M406" s="80" t="str">
        <x:v>Prime Chairs 891</x:v>
      </x:c>
      <x:c r="N406" s="80" t="str">
        <x:v>Same Day</x:v>
      </x:c>
      <x:c r="O406" s="82" t="n">
        <x:v>3</x:v>
      </x:c>
      <x:c r="P406" s="83" t="n">
        <x:v>359.61</x:v>
      </x:c>
      <x:c r="Q406" s="84" t="n">
        <x:v>0</x:v>
      </x:c>
      <x:c r="R406" s="83" t="n">
        <x:v>1078.83</x:v>
      </x:c>
      <x:c r="S406" s="83" t="n">
        <x:v>926.35</x:v>
      </x:c>
      <x:c r="T406" s="83" t="n">
        <x:v>152.48</x:v>
      </x:c>
      <x:c r="U406" s="83" t="str">
        <x:v>Paid</x:v>
      </x:c>
      <x:c r="V406" s="83" t="str">
        <x:v>Completed</x:v>
      </x:c>
      <x:c r="W406" s="151" t="n">
        <x:f>IF(OR(NOT(ISNUMBER($AP406)),COUNT($O406,$P406)&lt;2,$O406&lt;=0,$P406&lt;0),"",ROUND($O406*$P406*(1-$AP406),2))</x:f>
        <x:v>1078.83</x:v>
      </x:c>
      <x:c r="X406" s="151" t="n">
        <x:f>IF(OR(NOT(ISNUMBER($W406)),NOT(ISNUMBER($S406))),"",ROUND($W406-$S406,2))</x:f>
        <x:v>152.48</x:v>
      </x:c>
      <x:c r="Y406" s="85" t="n">
        <x:f>IF(OR(NOT(ISNUMBER($W406)),NOT(ISNUMBER($X406)),$W406=0),"",ROUND($X406/$W406,4))</x:f>
        <x:v>0.1413</x:v>
      </x:c>
      <x:c r="Z406" s="82" t="n">
        <x:f>IF(OR($AH406&lt;&gt;"Valid",$AI406&lt;&gt;"Valid"),"",INT($D406-$C406))</x:f>
        <x:v>7</x:v>
      </x:c>
      <x:c r="AA406" s="86" t="str">
        <x:f>IF($AH406&lt;&gt;"Valid","",TEXT($C406,"mmmm"))</x:f>
        <x:v>January</x:v>
      </x:c>
      <x:c r="AB406" s="82" t="n">
        <x:f>IF($AH406&lt;&gt;"Valid","",YEAR($C406))</x:f>
        <x:v>2024</x:v>
      </x:c>
      <x:c r="AC406" s="80" t="str">
        <x:v>Consistent</x:v>
      </x:c>
      <x:c r="AD406" s="80" t="str">
        <x:v>Eligible</x:v>
      </x:c>
      <x:c r="AE406" s="80" t="str">
        <x:f>IF(OR($AH406&lt;&gt;"Valid",$AI406&lt;&gt;"Valid",$AJ406&lt;&gt;"Valid",LEFT($AM406,7)="Invalid",IFERROR(ABS($AQ406)&gt;0.01,FALSE),IFERROR(ABS($AR406)&gt;0.01,FALSE),COUNTIF($AS406,"*Conflicting duplicate*")&gt;0,COUNTIF($AS406,"*Completed order not paid*")&gt;0),"Invalid",IF(OR($H406="Unknown",$N406="Unknown",$AM406="Missing discount imputed as 0"),"Warning","Clean"))</x:f>
        <x:v>Clean</x:v>
      </x:c>
      <x:c r="AF406" s="80" t="str">
        <x:v>Cleaned</x:v>
      </x:c>
      <x:c r="AG406" s="80" t="str">
        <x:v>order_status: TRIM/SUBSTITUTE whitespace cleanup</x:v>
      </x:c>
      <x:c r="AH406" s="12" t="str">
        <x:f>IF(C406="","Missing date",IF(ISNUMBER(C406),"Valid","Unrecognized/invalid date"))</x:f>
        <x:v>Valid</x:v>
      </x:c>
      <x:c r="AI406" s="12" t="str">
        <x:f>IF(D406="","Missing date",IF(ISNUMBER(D406),"Valid","Unrecognized/invalid date"))</x:f>
        <x:v>Valid</x:v>
      </x:c>
      <x:c r="AJ406" s="12" t="str">
        <x:v>Valid</x:v>
      </x:c>
      <x:c r="AK406" s="12" t="str">
        <x:v>Pass</x:v>
      </x:c>
      <x:c r="AL406" s="12" t="str">
        <x:v>None</x:v>
      </x:c>
      <x:c r="AM406" s="12" t="str">
        <x:v>Valid</x:v>
      </x:c>
      <x:c r="AN406" s="12" t="str">
        <x:v>Include in completed sales</x:v>
      </x:c>
      <x:c r="AO406" s="12" t="str">
        <x:v>Not a refunded record</x:v>
      </x:c>
      <x:c r="AP406" s="37" t="n">
        <x:f>IF(LEFT($AM406,7)="Invalid","",IF($AM406="Missing discount imputed as 0",IF(AND(COUNT($O406,$P406,$R406,$S406)=4,$O406&gt;0,$P406&gt;=0,$R406&gt;=0,$S406&gt;=0),0,""),IF(AND(ISNUMBER($Q406),$Q406&gt;=0,$Q406&lt;=0.5),$Q406,"")))</x:f>
        <x:v>0</x:v>
      </x:c>
      <x:c r="AQ406" s="152" t="n">
        <x:f>IF(OR($W406="",NOT(ISNUMBER($R406))),"",ROUND($R406-$W406,2))</x:f>
        <x:v>0</x:v>
      </x:c>
      <x:c r="AR406" s="152" t="n">
        <x:f>IF(OR($X406="",NOT(ISNUMBER($T406))),"",ROUND($T406-$X406,2))</x:f>
        <x:v>0</x:v>
      </x:c>
      <x:c r="AS406" s="14" t="str">
        <x:v>OK</x:v>
      </x:c>
    </x:row>
    <x:row r="407">
      <x:c r="A407" s="80" t="n">
        <x:v>407</x:v>
      </x:c>
      <x:c r="B407" s="80" t="str">
        <x:v>ORD-2024-10406</x:v>
      </x:c>
      <x:c r="C407" s="81" t="n">
        <x:v>45558</x:v>
      </x:c>
      <x:c r="D407" s="81" t="n">
        <x:v>45559</x:v>
      </x:c>
      <x:c r="E407" s="80" t="str">
        <x:v>CUST-9961</x:v>
      </x:c>
      <x:c r="F407" s="80" t="str">
        <x:v>Aditi Sen</x:v>
      </x:c>
      <x:c r="G407" s="80" t="str">
        <x:v>Home Office</x:v>
      </x:c>
      <x:c r="H407" s="80" t="str">
        <x:v>West</x:v>
      </x:c>
      <x:c r="I407" s="80" t="str">
        <x:v>Gujarat</x:v>
      </x:c>
      <x:c r="J407" s="80" t="str">
        <x:v>Ahmedabad</x:v>
      </x:c>
      <x:c r="K407" s="80" t="str">
        <x:v>Furniture</x:v>
      </x:c>
      <x:c r="L407" s="80" t="str">
        <x:v>Bookcases</x:v>
      </x:c>
      <x:c r="M407" s="80" t="str">
        <x:v>Max Bookcases 812</x:v>
      </x:c>
      <x:c r="N407" s="80" t="str">
        <x:v>Unknown</x:v>
      </x:c>
      <x:c r="O407" s="82" t="n">
        <x:v>7</x:v>
      </x:c>
      <x:c r="P407" s="83" t="n">
        <x:v>3878.01</x:v>
      </x:c>
      <x:c r="Q407" s="84" t="n">
        <x:v>0.1</x:v>
      </x:c>
      <x:c r="R407" s="83" t="n">
        <x:v>24431.46</x:v>
      </x:c>
      <x:c r="S407" s="83" t="n">
        <x:v>18202.36</x:v>
      </x:c>
      <x:c r="T407" s="83" t="n">
        <x:v>6229.1</x:v>
      </x:c>
      <x:c r="U407" s="83" t="str">
        <x:v>Paid</x:v>
      </x:c>
      <x:c r="V407" s="83" t="str">
        <x:v>Completed</x:v>
      </x:c>
      <x:c r="W407" s="151" t="n">
        <x:f>IF(OR(NOT(ISNUMBER($AP407)),COUNT($O407,$P407)&lt;2,$O407&lt;=0,$P407&lt;0),"",ROUND($O407*$P407*(1-$AP407),2))</x:f>
        <x:v>24431.46</x:v>
      </x:c>
      <x:c r="X407" s="151" t="n">
        <x:f>IF(OR(NOT(ISNUMBER($W407)),NOT(ISNUMBER($S407))),"",ROUND($W407-$S407,2))</x:f>
        <x:v>6229.1</x:v>
      </x:c>
      <x:c r="Y407" s="85" t="n">
        <x:f>IF(OR(NOT(ISNUMBER($W407)),NOT(ISNUMBER($X407)),$W407=0),"",ROUND($X407/$W407,4))</x:f>
        <x:v>0.255</x:v>
      </x:c>
      <x:c r="Z407" s="82" t="n">
        <x:f>IF(OR($AH407&lt;&gt;"Valid",$AI407&lt;&gt;"Valid"),"",INT($D407-$C407))</x:f>
        <x:v>1</x:v>
      </x:c>
      <x:c r="AA407" s="86" t="str">
        <x:f>IF($AH407&lt;&gt;"Valid","",TEXT($C407,"mmmm"))</x:f>
        <x:v>September</x:v>
      </x:c>
      <x:c r="AB407" s="82" t="n">
        <x:f>IF($AH407&lt;&gt;"Valid","",YEAR($C407))</x:f>
        <x:v>2024</x:v>
      </x:c>
      <x:c r="AC407" s="80" t="str">
        <x:v>Consistent</x:v>
      </x:c>
      <x:c r="AD407" s="80" t="str">
        <x:v>Eligible</x:v>
      </x:c>
      <x:c r="AE407" s="80" t="str">
        <x:f>IF(OR($AH407&lt;&gt;"Valid",$AI407&lt;&gt;"Valid",$AJ407&lt;&gt;"Valid",LEFT($AM407,7)="Invalid",IFERROR(ABS($AQ407)&gt;0.01,FALSE),IFERROR(ABS($AR407)&gt;0.01,FALSE),COUNTIF($AS407,"*Conflicting duplicate*")&gt;0,COUNTIF($AS407,"*Completed order not paid*")&gt;0),"Invalid",IF(OR($H407="Unknown",$N407="Unknown",$AM407="Missing discount imputed as 0"),"Warning","Clean"))</x:f>
        <x:v>Warning</x:v>
      </x:c>
      <x:c r="AF407" s="80" t="str">
        <x:v>Cleaned</x:v>
      </x:c>
      <x:c r="AG407" s="80" t="str">
        <x:v>ship_mode: Missing value filled as Unknown</x:v>
      </x:c>
      <x:c r="AH407" s="12" t="str">
        <x:f>IF(C407="","Missing date",IF(ISNUMBER(C407),"Valid","Unrecognized/invalid date"))</x:f>
        <x:v>Valid</x:v>
      </x:c>
      <x:c r="AI407" s="12" t="str">
        <x:f>IF(D407="","Missing date",IF(ISNUMBER(D407),"Valid","Unrecognized/invalid date"))</x:f>
        <x:v>Valid</x:v>
      </x:c>
      <x:c r="AJ407" s="12" t="str">
        <x:v>Valid</x:v>
      </x:c>
      <x:c r="AK407" s="12" t="str">
        <x:v>Pass</x:v>
      </x:c>
      <x:c r="AL407" s="12" t="str">
        <x:v>Missing ship_mode filled as Unknown</x:v>
      </x:c>
      <x:c r="AM407" s="12" t="str">
        <x:v>Valid</x:v>
      </x:c>
      <x:c r="AN407" s="12" t="str">
        <x:v>Include in completed sales</x:v>
      </x:c>
      <x:c r="AO407" s="12" t="str">
        <x:v>Not a refunded record</x:v>
      </x:c>
      <x:c r="AP407" s="37" t="n">
        <x:f>IF(LEFT($AM407,7)="Invalid","",IF($AM407="Missing discount imputed as 0",IF(AND(COUNT($O407,$P407,$R407,$S407)=4,$O407&gt;0,$P407&gt;=0,$R407&gt;=0,$S407&gt;=0),0,""),IF(AND(ISNUMBER($Q407),$Q407&gt;=0,$Q407&lt;=0.5),$Q407,"")))</x:f>
        <x:v>0.1</x:v>
      </x:c>
      <x:c r="AQ407" s="152" t="n">
        <x:f>IF(OR($W407="",NOT(ISNUMBER($R407))),"",ROUND($R407-$W407,2))</x:f>
        <x:v>0</x:v>
      </x:c>
      <x:c r="AR407" s="152" t="n">
        <x:f>IF(OR($X407="",NOT(ISNUMBER($T407))),"",ROUND($T407-$X407,2))</x:f>
        <x:v>0</x:v>
      </x:c>
      <x:c r="AS407" s="14" t="str">
        <x:v>OK</x:v>
      </x:c>
    </x:row>
    <x:row r="408">
      <x:c r="A408" s="80" t="n">
        <x:v>408</x:v>
      </x:c>
      <x:c r="B408" s="80" t="str">
        <x:v>ORD-2025-10407</x:v>
      </x:c>
      <x:c r="C408" s="81" t="n">
        <x:v>45713</x:v>
      </x:c>
      <x:c r="D408" s="81" t="n">
        <x:v>45713</x:v>
      </x:c>
      <x:c r="E408" s="80" t="str">
        <x:v>CUST-9909</x:v>
      </x:c>
      <x:c r="F408" s="80" t="str">
        <x:v>Kabir Singh</x:v>
      </x:c>
      <x:c r="G408" s="80" t="str">
        <x:v>Small Business</x:v>
      </x:c>
      <x:c r="H408" s="80" t="str">
        <x:v>West</x:v>
      </x:c>
      <x:c r="I408" s="80" t="str">
        <x:v>Goa</x:v>
      </x:c>
      <x:c r="J408" s="80" t="str">
        <x:v>Panaji</x:v>
      </x:c>
      <x:c r="K408" s="80" t="str">
        <x:v>Furniture</x:v>
      </x:c>
      <x:c r="L408" s="80" t="str">
        <x:v>Furnishings</x:v>
      </x:c>
      <x:c r="M408" s="80" t="str">
        <x:v>Basic Furnishings 164</x:v>
      </x:c>
      <x:c r="N408" s="80" t="str">
        <x:v>Standard Class</x:v>
      </x:c>
      <x:c r="O408" s="82" t="n">
        <x:v>2</x:v>
      </x:c>
      <x:c r="P408" s="83" t="n">
        <x:v>3924.2</x:v>
      </x:c>
      <x:c r="Q408" s="84" t="n">
        <x:v>0.25</x:v>
      </x:c>
      <x:c r="R408" s="83" t="n">
        <x:v>5886.3</x:v>
      </x:c>
      <x:c r="S408" s="83" t="n">
        <x:v>3621.76</x:v>
      </x:c>
      <x:c r="T408" s="83" t="n">
        <x:v>2264.54</x:v>
      </x:c>
      <x:c r="U408" s="83" t="str">
        <x:v>Pending</x:v>
      </x:c>
      <x:c r="V408" s="83" t="str">
        <x:v>Returned</x:v>
      </x:c>
      <x:c r="W408" s="151" t="n">
        <x:f>IF(OR(NOT(ISNUMBER($AP408)),COUNT($O408,$P408)&lt;2,$O408&lt;=0,$P408&lt;0),"",ROUND($O408*$P408*(1-$AP408),2))</x:f>
        <x:v>5886.3</x:v>
      </x:c>
      <x:c r="X408" s="151" t="n">
        <x:f>IF(OR(NOT(ISNUMBER($W408)),NOT(ISNUMBER($S408))),"",ROUND($W408-$S408,2))</x:f>
        <x:v>2264.54</x:v>
      </x:c>
      <x:c r="Y408" s="85" t="n">
        <x:f>IF(OR(NOT(ISNUMBER($W408)),NOT(ISNUMBER($X408)),$W408=0),"",ROUND($X408/$W408,4))</x:f>
        <x:v>0.3847</x:v>
      </x:c>
      <x:c r="Z408" s="82" t="n">
        <x:f>IF(OR($AH408&lt;&gt;"Valid",$AI408&lt;&gt;"Valid"),"",INT($D408-$C408))</x:f>
        <x:v>0</x:v>
      </x:c>
      <x:c r="AA408" s="86" t="str">
        <x:f>IF($AH408&lt;&gt;"Valid","",TEXT($C408,"mmmm"))</x:f>
        <x:v>February</x:v>
      </x:c>
      <x:c r="AB408" s="82" t="n">
        <x:f>IF($AH408&lt;&gt;"Valid","",YEAR($C408))</x:f>
        <x:v>2025</x:v>
      </x:c>
      <x:c r="AC408" s="80" t="str">
        <x:v>Consistent</x:v>
      </x:c>
      <x:c r="AD408" s="80" t="str">
        <x:v>Excluded</x:v>
      </x:c>
      <x:c r="AE408" s="80" t="str">
        <x:f>IF(OR($AH408&lt;&gt;"Valid",$AI408&lt;&gt;"Valid",$AJ408&lt;&gt;"Valid",LEFT($AM408,7)="Invalid",IFERROR(ABS($AQ408)&gt;0.01,FALSE),IFERROR(ABS($AR408)&gt;0.01,FALSE),COUNTIF($AS408,"*Conflicting duplicate*")&gt;0,COUNTIF($AS408,"*Completed order not paid*")&gt;0),"Invalid",IF(OR($H408="Unknown",$N408="Unknown",$AM408="Missing discount imputed as 0"),"Warning","Clean"))</x:f>
        <x:v>Clean</x:v>
      </x:c>
      <x:c r="AF408" s="80" t="str">
        <x:v>Pass</x:v>
      </x:c>
      <x:c r="AG408" s="80" t="str">
        <x:v>No text cleanup required</x:v>
      </x:c>
      <x:c r="AH408" s="12" t="str">
        <x:f>IF(C408="","Missing date",IF(ISNUMBER(C408),"Valid","Unrecognized/invalid date"))</x:f>
        <x:v>Valid</x:v>
      </x:c>
      <x:c r="AI408" s="12" t="str">
        <x:f>IF(D408="","Missing date",IF(ISNUMBER(D408),"Valid","Unrecognized/invalid date"))</x:f>
        <x:v>Valid</x:v>
      </x:c>
      <x:c r="AJ408" s="12" t="str">
        <x:v>Valid</x:v>
      </x:c>
      <x:c r="AK408" s="12" t="str">
        <x:v>Pass</x:v>
      </x:c>
      <x:c r="AL408" s="12" t="str">
        <x:v>None</x:v>
      </x:c>
      <x:c r="AM408" s="12" t="str">
        <x:v>Valid</x:v>
      </x:c>
      <x:c r="AN408" s="12" t="str">
        <x:v>Exclude from completed sales</x:v>
      </x:c>
      <x:c r="AO408" s="12" t="str">
        <x:v>Not a refunded record</x:v>
      </x:c>
      <x:c r="AP408" s="37" t="n">
        <x:f>IF(LEFT($AM408,7)="Invalid","",IF($AM408="Missing discount imputed as 0",IF(AND(COUNT($O408,$P408,$R408,$S408)=4,$O408&gt;0,$P408&gt;=0,$R408&gt;=0,$S408&gt;=0),0,""),IF(AND(ISNUMBER($Q408),$Q408&gt;=0,$Q408&lt;=0.5),$Q408,"")))</x:f>
        <x:v>0.25</x:v>
      </x:c>
      <x:c r="AQ408" s="152" t="n">
        <x:f>IF(OR($W408="",NOT(ISNUMBER($R408))),"",ROUND($R408-$W408,2))</x:f>
        <x:v>0</x:v>
      </x:c>
      <x:c r="AR408" s="152" t="n">
        <x:f>IF(OR($X408="",NOT(ISNUMBER($T408))),"",ROUND($T408-$X408,2))</x:f>
        <x:v>0</x:v>
      </x:c>
      <x:c r="AS408" s="14" t="str">
        <x:v>OK</x:v>
      </x:c>
    </x:row>
    <x:row r="409">
      <x:c r="A409" s="80" t="n">
        <x:v>409</x:v>
      </x:c>
      <x:c r="B409" s="80" t="str">
        <x:v>ORD-2024-10408</x:v>
      </x:c>
      <x:c r="C409" s="81" t="n">
        <x:v>45424</x:v>
      </x:c>
      <x:c r="D409" s="81" t="n">
        <x:v>45425</x:v>
      </x:c>
      <x:c r="E409" s="80" t="str">
        <x:v>CUST-8520</x:v>
      </x:c>
      <x:c r="F409" s="80" t="str">
        <x:v>Rahul Verma</x:v>
      </x:c>
      <x:c r="G409" s="80" t="str">
        <x:v>Corporate</x:v>
      </x:c>
      <x:c r="H409" s="80" t="str">
        <x:v>West</x:v>
      </x:c>
      <x:c r="I409" s="80" t="str">
        <x:v>Goa</x:v>
      </x:c>
      <x:c r="J409" s="80" t="str">
        <x:v>Panaji</x:v>
      </x:c>
      <x:c r="K409" s="80" t="str">
        <x:v>Office Supplies</x:v>
      </x:c>
      <x:c r="L409" s="80" t="str">
        <x:v>Labels</x:v>
      </x:c>
      <x:c r="M409" s="80" t="str">
        <x:v>Smart Labels 261</x:v>
      </x:c>
      <x:c r="N409" s="80" t="str">
        <x:v>Second Class</x:v>
      </x:c>
      <x:c r="O409" s="82" t="n">
        <x:v>3</x:v>
      </x:c>
      <x:c r="P409" s="83" t="n">
        <x:v>2644.55</x:v>
      </x:c>
      <x:c r="Q409" s="84" t="n">
        <x:v>0</x:v>
      </x:c>
      <x:c r="R409" s="83" t="n">
        <x:v>7933.65</x:v>
      </x:c>
      <x:c r="S409" s="83" t="n">
        <x:v>5698.42</x:v>
      </x:c>
      <x:c r="T409" s="83" t="n">
        <x:v>2235.23</x:v>
      </x:c>
      <x:c r="U409" s="83" t="str">
        <x:v>Paid</x:v>
      </x:c>
      <x:c r="V409" s="83" t="str">
        <x:v>Completed</x:v>
      </x:c>
      <x:c r="W409" s="151" t="n">
        <x:f>IF(OR(NOT(ISNUMBER($AP409)),COUNT($O409,$P409)&lt;2,$O409&lt;=0,$P409&lt;0),"",ROUND($O409*$P409*(1-$AP409),2))</x:f>
        <x:v>7933.65</x:v>
      </x:c>
      <x:c r="X409" s="151" t="n">
        <x:f>IF(OR(NOT(ISNUMBER($W409)),NOT(ISNUMBER($S409))),"",ROUND($W409-$S409,2))</x:f>
        <x:v>2235.23</x:v>
      </x:c>
      <x:c r="Y409" s="85" t="n">
        <x:f>IF(OR(NOT(ISNUMBER($W409)),NOT(ISNUMBER($X409)),$W409=0),"",ROUND($X409/$W409,4))</x:f>
        <x:v>0.2817</x:v>
      </x:c>
      <x:c r="Z409" s="82" t="n">
        <x:f>IF(OR($AH409&lt;&gt;"Valid",$AI409&lt;&gt;"Valid"),"",INT($D409-$C409))</x:f>
        <x:v>1</x:v>
      </x:c>
      <x:c r="AA409" s="86" t="str">
        <x:f>IF($AH409&lt;&gt;"Valid","",TEXT($C409,"mmmm"))</x:f>
        <x:v>May</x:v>
      </x:c>
      <x:c r="AB409" s="82" t="n">
        <x:f>IF($AH409&lt;&gt;"Valid","",YEAR($C409))</x:f>
        <x:v>2024</x:v>
      </x:c>
      <x:c r="AC409" s="80" t="str">
        <x:v>Consistent</x:v>
      </x:c>
      <x:c r="AD409" s="80" t="str">
        <x:v>Eligible</x:v>
      </x:c>
      <x:c r="AE409" s="80" t="str">
        <x:f>IF(OR($AH409&lt;&gt;"Valid",$AI409&lt;&gt;"Valid",$AJ409&lt;&gt;"Valid",LEFT($AM409,7)="Invalid",IFERROR(ABS($AQ409)&gt;0.01,FALSE),IFERROR(ABS($AR409)&gt;0.01,FALSE),COUNTIF($AS409,"*Conflicting duplicate*")&gt;0,COUNTIF($AS409,"*Completed order not paid*")&gt;0),"Invalid",IF(OR($H409="Unknown",$N409="Unknown",$AM409="Missing discount imputed as 0"),"Warning","Clean"))</x:f>
        <x:v>Clean</x:v>
      </x:c>
      <x:c r="AF409" s="80" t="str">
        <x:v>Pass</x:v>
      </x:c>
      <x:c r="AG409" s="80" t="str">
        <x:v>No text cleanup required</x:v>
      </x:c>
      <x:c r="AH409" s="12" t="str">
        <x:f>IF(C409="","Missing date",IF(ISNUMBER(C409),"Valid","Unrecognized/invalid date"))</x:f>
        <x:v>Valid</x:v>
      </x:c>
      <x:c r="AI409" s="12" t="str">
        <x:f>IF(D409="","Missing date",IF(ISNUMBER(D409),"Valid","Unrecognized/invalid date"))</x:f>
        <x:v>Valid</x:v>
      </x:c>
      <x:c r="AJ409" s="12" t="str">
        <x:v>Valid</x:v>
      </x:c>
      <x:c r="AK409" s="12" t="str">
        <x:v>Pass</x:v>
      </x:c>
      <x:c r="AL409" s="12" t="str">
        <x:v>None</x:v>
      </x:c>
      <x:c r="AM409" s="12" t="str">
        <x:v>Valid</x:v>
      </x:c>
      <x:c r="AN409" s="12" t="str">
        <x:v>Include in completed sales</x:v>
      </x:c>
      <x:c r="AO409" s="12" t="str">
        <x:v>Not a refunded record</x:v>
      </x:c>
      <x:c r="AP409" s="37" t="n">
        <x:f>IF(LEFT($AM409,7)="Invalid","",IF($AM409="Missing discount imputed as 0",IF(AND(COUNT($O409,$P409,$R409,$S409)=4,$O409&gt;0,$P409&gt;=0,$R409&gt;=0,$S409&gt;=0),0,""),IF(AND(ISNUMBER($Q409),$Q409&gt;=0,$Q409&lt;=0.5),$Q409,"")))</x:f>
        <x:v>0</x:v>
      </x:c>
      <x:c r="AQ409" s="152" t="n">
        <x:f>IF(OR($W409="",NOT(ISNUMBER($R409))),"",ROUND($R409-$W409,2))</x:f>
        <x:v>0</x:v>
      </x:c>
      <x:c r="AR409" s="152" t="n">
        <x:f>IF(OR($X409="",NOT(ISNUMBER($T409))),"",ROUND($T409-$X409,2))</x:f>
        <x:v>0</x:v>
      </x:c>
      <x:c r="AS409" s="14" t="str">
        <x:v>OK</x:v>
      </x:c>
    </x:row>
    <x:row r="410">
      <x:c r="A410" s="80" t="n">
        <x:v>410</x:v>
      </x:c>
      <x:c r="B410" s="80" t="str">
        <x:v>ORD-2025-10409</x:v>
      </x:c>
      <x:c r="C410" s="81" t="n">
        <x:v>45870</x:v>
      </x:c>
      <x:c r="D410" s="81" t="n">
        <x:v>45872</x:v>
      </x:c>
      <x:c r="E410" s="80" t="str">
        <x:v>CUST-5036</x:v>
      </x:c>
      <x:c r="F410" s="80" t="str">
        <x:v>Sneha Kapoor</x:v>
      </x:c>
      <x:c r="G410" s="80" t="str">
        <x:v>Consumer</x:v>
      </x:c>
      <x:c r="H410" s="80" t="str">
        <x:v>West</x:v>
      </x:c>
      <x:c r="I410" s="80" t="str">
        <x:v>Maharashtra</x:v>
      </x:c>
      <x:c r="J410" s="80" t="str">
        <x:v>Mumbai</x:v>
      </x:c>
      <x:c r="K410" s="80" t="str">
        <x:v>Furniture</x:v>
      </x:c>
      <x:c r="L410" s="80" t="str">
        <x:v>Chairs</x:v>
      </x:c>
      <x:c r="M410" s="80" t="str">
        <x:v>Max Chairs 765</x:v>
      </x:c>
      <x:c r="N410" s="80" t="str">
        <x:v>First Class</x:v>
      </x:c>
      <x:c r="O410" s="82" t="n">
        <x:v>4</x:v>
      </x:c>
      <x:c r="P410" s="83" t="n">
        <x:v>1773.46</x:v>
      </x:c>
      <x:c r="Q410" s="84" t="n">
        <x:v>0</x:v>
      </x:c>
      <x:c r="R410" s="83" t="n">
        <x:v>7093.84</x:v>
      </x:c>
      <x:c r="S410" s="83" t="n">
        <x:v>4587.49</x:v>
      </x:c>
      <x:c r="T410" s="83" t="n">
        <x:v>2506.35</x:v>
      </x:c>
      <x:c r="U410" s="83" t="str">
        <x:v>Failed</x:v>
      </x:c>
      <x:c r="V410" s="83" t="str">
        <x:v>Returned</x:v>
      </x:c>
      <x:c r="W410" s="151" t="n">
        <x:f>IF(OR(NOT(ISNUMBER($AP410)),COUNT($O410,$P410)&lt;2,$O410&lt;=0,$P410&lt;0),"",ROUND($O410*$P410*(1-$AP410),2))</x:f>
        <x:v>7093.84</x:v>
      </x:c>
      <x:c r="X410" s="151" t="n">
        <x:f>IF(OR(NOT(ISNUMBER($W410)),NOT(ISNUMBER($S410))),"",ROUND($W410-$S410,2))</x:f>
        <x:v>2506.35</x:v>
      </x:c>
      <x:c r="Y410" s="85" t="n">
        <x:f>IF(OR(NOT(ISNUMBER($W410)),NOT(ISNUMBER($X410)),$W410=0),"",ROUND($X410/$W410,4))</x:f>
        <x:v>0.3533</x:v>
      </x:c>
      <x:c r="Z410" s="82" t="n">
        <x:f>IF(OR($AH410&lt;&gt;"Valid",$AI410&lt;&gt;"Valid"),"",INT($D410-$C410))</x:f>
        <x:v>2</x:v>
      </x:c>
      <x:c r="AA410" s="86" t="str">
        <x:f>IF($AH410&lt;&gt;"Valid","",TEXT($C410,"mmmm"))</x:f>
        <x:v>August</x:v>
      </x:c>
      <x:c r="AB410" s="82" t="n">
        <x:f>IF($AH410&lt;&gt;"Valid","",YEAR($C410))</x:f>
        <x:v>2025</x:v>
      </x:c>
      <x:c r="AC410" s="80" t="str">
        <x:v>Failed payment (excluded from completed-sales summary)</x:v>
      </x:c>
      <x:c r="AD410" s="80" t="str">
        <x:v>Excluded</x:v>
      </x:c>
      <x:c r="AE410" s="80" t="str">
        <x:f>IF(OR($AH410&lt;&gt;"Valid",$AI410&lt;&gt;"Valid",$AJ410&lt;&gt;"Valid",LEFT($AM410,7)="Invalid",IFERROR(ABS($AQ410)&gt;0.01,FALSE),IFERROR(ABS($AR410)&gt;0.01,FALSE),COUNTIF($AS410,"*Conflicting duplicate*")&gt;0,COUNTIF($AS410,"*Completed order not paid*")&gt;0),"Invalid",IF(OR($H410="Unknown",$N410="Unknown",$AM410="Missing discount imputed as 0"),"Warning","Clean"))</x:f>
        <x:v>Clean</x:v>
      </x:c>
      <x:c r="AF410" s="80" t="str">
        <x:v>Pass</x:v>
      </x:c>
      <x:c r="AG410" s="80" t="str">
        <x:v>No text cleanup required</x:v>
      </x:c>
      <x:c r="AH410" s="12" t="str">
        <x:f>IF(C410="","Missing date",IF(ISNUMBER(C410),"Valid","Unrecognized/invalid date"))</x:f>
        <x:v>Valid</x:v>
      </x:c>
      <x:c r="AI410" s="12" t="str">
        <x:f>IF(D410="","Missing date",IF(ISNUMBER(D410),"Valid","Unrecognized/invalid date"))</x:f>
        <x:v>Valid</x:v>
      </x:c>
      <x:c r="AJ410" s="12" t="str">
        <x:v>Valid</x:v>
      </x:c>
      <x:c r="AK410" s="12" t="str">
        <x:v>Pass</x:v>
      </x:c>
      <x:c r="AL410" s="12" t="str">
        <x:v>Failed payment – excluded from completed sales</x:v>
      </x:c>
      <x:c r="AM410" s="12" t="str">
        <x:v>Valid</x:v>
      </x:c>
      <x:c r="AN410" s="12" t="str">
        <x:v>Exclude from completed sales</x:v>
      </x:c>
      <x:c r="AO410" s="12" t="str">
        <x:v>Not a refunded record</x:v>
      </x:c>
      <x:c r="AP410" s="37" t="n">
        <x:f>IF(LEFT($AM410,7)="Invalid","",IF($AM410="Missing discount imputed as 0",IF(AND(COUNT($O410,$P410,$R410,$S410)=4,$O410&gt;0,$P410&gt;=0,$R410&gt;=0,$S410&gt;=0),0,""),IF(AND(ISNUMBER($Q410),$Q410&gt;=0,$Q410&lt;=0.5),$Q410,"")))</x:f>
        <x:v>0</x:v>
      </x:c>
      <x:c r="AQ410" s="152" t="n">
        <x:f>IF(OR($W410="",NOT(ISNUMBER($R410))),"",ROUND($R410-$W410,2))</x:f>
        <x:v>0</x:v>
      </x:c>
      <x:c r="AR410" s="152" t="n">
        <x:f>IF(OR($X410="",NOT(ISNUMBER($T410))),"",ROUND($T410-$X410,2))</x:f>
        <x:v>0</x:v>
      </x:c>
      <x:c r="AS410" s="14" t="str">
        <x:v>OK</x:v>
      </x:c>
    </x:row>
    <x:row r="411">
      <x:c r="A411" s="80" t="n">
        <x:v>411</x:v>
      </x:c>
      <x:c r="B411" s="80" t="str">
        <x:v>ORD-2025-10410</x:v>
      </x:c>
      <x:c r="C411" s="81" t="n">
        <x:v>45701</x:v>
      </x:c>
      <x:c r="D411" s="81" t="n">
        <x:v>45703</x:v>
      </x:c>
      <x:c r="E411" s="80" t="str">
        <x:v>CUST-7721</x:v>
      </x:c>
      <x:c r="F411" s="80" t="str">
        <x:v>Karan Malhotra</x:v>
      </x:c>
      <x:c r="G411" s="80" t="str">
        <x:v>Consumer</x:v>
      </x:c>
      <x:c r="H411" s="80" t="str">
        <x:v>East</x:v>
      </x:c>
      <x:c r="I411" s="80" t="str">
        <x:v>Assam</x:v>
      </x:c>
      <x:c r="J411" s="80" t="str">
        <x:v>Guwahati</x:v>
      </x:c>
      <x:c r="K411" s="80" t="str">
        <x:v>Technology</x:v>
      </x:c>
      <x:c r="L411" s="80" t="str">
        <x:v>Accessories</x:v>
      </x:c>
      <x:c r="M411" s="80" t="str">
        <x:v>Pro Accessories 686</x:v>
      </x:c>
      <x:c r="N411" s="80" t="str">
        <x:v>Same Day</x:v>
      </x:c>
      <x:c r="O411" s="82" t="n">
        <x:v>1</x:v>
      </x:c>
      <x:c r="P411" s="83" t="n">
        <x:v>3025.46</x:v>
      </x:c>
      <x:c r="Q411" s="84" t="n">
        <x:v>0.25</x:v>
      </x:c>
      <x:c r="R411" s="83" t="n">
        <x:v>2269.1</x:v>
      </x:c>
      <x:c r="S411" s="83" t="n">
        <x:v>1593.59</x:v>
      </x:c>
      <x:c r="T411" s="83" t="n">
        <x:v>675.51</x:v>
      </x:c>
      <x:c r="U411" s="83" t="str">
        <x:v>Refunded</x:v>
      </x:c>
      <x:c r="V411" s="83" t="str">
        <x:v>Returned</x:v>
      </x:c>
      <x:c r="W411" s="151" t="n">
        <x:f>IF(OR(NOT(ISNUMBER($AP411)),COUNT($O411,$P411)&lt;2,$O411&lt;=0,$P411&lt;0),"",ROUND($O411*$P411*(1-$AP411),2))</x:f>
        <x:v>2269.1</x:v>
      </x:c>
      <x:c r="X411" s="151" t="n">
        <x:f>IF(OR(NOT(ISNUMBER($W411)),NOT(ISNUMBER($S411))),"",ROUND($W411-$S411,2))</x:f>
        <x:v>675.51</x:v>
      </x:c>
      <x:c r="Y411" s="85" t="n">
        <x:f>IF(OR(NOT(ISNUMBER($W411)),NOT(ISNUMBER($X411)),$W411=0),"",ROUND($X411/$W411,4))</x:f>
        <x:v>0.2977</x:v>
      </x:c>
      <x:c r="Z411" s="82" t="n">
        <x:f>IF(OR($AH411&lt;&gt;"Valid",$AI411&lt;&gt;"Valid"),"",INT($D411-$C411))</x:f>
        <x:v>2</x:v>
      </x:c>
      <x:c r="AA411" s="86" t="str">
        <x:f>IF($AH411&lt;&gt;"Valid","",TEXT($C411,"mmmm"))</x:f>
        <x:v>February</x:v>
      </x:c>
      <x:c r="AB411" s="82" t="n">
        <x:f>IF($AH411&lt;&gt;"Valid","",YEAR($C411))</x:f>
        <x:v>2025</x:v>
      </x:c>
      <x:c r="AC411" s="80" t="str">
        <x:v>Refunded (separately summarized)</x:v>
      </x:c>
      <x:c r="AD411" s="80" t="str">
        <x:v>Excluded</x:v>
      </x:c>
      <x:c r="AE411" s="80" t="str">
        <x:f>IF(OR($AH411&lt;&gt;"Valid",$AI411&lt;&gt;"Valid",$AJ411&lt;&gt;"Valid",LEFT($AM411,7)="Invalid",IFERROR(ABS($AQ411)&gt;0.01,FALSE),IFERROR(ABS($AR411)&gt;0.01,FALSE),COUNTIF($AS411,"*Conflicting duplicate*")&gt;0,COUNTIF($AS411,"*Completed order not paid*")&gt;0),"Invalid",IF(OR($H411="Unknown",$N411="Unknown",$AM411="Missing discount imputed as 0"),"Warning","Clean"))</x:f>
        <x:v>Clean</x:v>
      </x:c>
      <x:c r="AF411" s="80" t="str">
        <x:v>Pass</x:v>
      </x:c>
      <x:c r="AG411" s="80" t="str">
        <x:v>No text cleanup required</x:v>
      </x:c>
      <x:c r="AH411" s="12" t="str">
        <x:f>IF(C411="","Missing date",IF(ISNUMBER(C411),"Valid","Unrecognized/invalid date"))</x:f>
        <x:v>Valid</x:v>
      </x:c>
      <x:c r="AI411" s="12" t="str">
        <x:f>IF(D411="","Missing date",IF(ISNUMBER(D411),"Valid","Unrecognized/invalid date"))</x:f>
        <x:v>Valid</x:v>
      </x:c>
      <x:c r="AJ411" s="12" t="str">
        <x:v>Valid</x:v>
      </x:c>
      <x:c r="AK411" s="12" t="str">
        <x:v>Pass</x:v>
      </x:c>
      <x:c r="AL411" s="12" t="str">
        <x:v>Refunded payment – separately summarized</x:v>
      </x:c>
      <x:c r="AM411" s="12" t="str">
        <x:v>Valid</x:v>
      </x:c>
      <x:c r="AN411" s="12" t="str">
        <x:v>Exclude from completed sales</x:v>
      </x:c>
      <x:c r="AO411" s="12" t="str">
        <x:v>Include in refunded summary</x:v>
      </x:c>
      <x:c r="AP411" s="37" t="n">
        <x:f>IF(LEFT($AM411,7)="Invalid","",IF($AM411="Missing discount imputed as 0",IF(AND(COUNT($O411,$P411,$R411,$S411)=4,$O411&gt;0,$P411&gt;=0,$R411&gt;=0,$S411&gt;=0),0,""),IF(AND(ISNUMBER($Q411),$Q411&gt;=0,$Q411&lt;=0.5),$Q411,"")))</x:f>
        <x:v>0.25</x:v>
      </x:c>
      <x:c r="AQ411" s="152" t="n">
        <x:f>IF(OR($W411="",NOT(ISNUMBER($R411))),"",ROUND($R411-$W411,2))</x:f>
        <x:v>0</x:v>
      </x:c>
      <x:c r="AR411" s="152" t="n">
        <x:f>IF(OR($X411="",NOT(ISNUMBER($T411))),"",ROUND($T411-$X411,2))</x:f>
        <x:v>0</x:v>
      </x:c>
      <x:c r="AS411" s="14" t="str">
        <x:v>OK</x:v>
      </x:c>
    </x:row>
    <x:row r="412">
      <x:c r="A412" s="80" t="n">
        <x:v>412</x:v>
      </x:c>
      <x:c r="B412" s="80" t="str">
        <x:v>ORD-2024-10411</x:v>
      </x:c>
      <x:c r="C412" s="81" t="n">
        <x:v>45394</x:v>
      </x:c>
      <x:c r="D412" s="81" t="n">
        <x:v>45402</x:v>
      </x:c>
      <x:c r="E412" s="80" t="str">
        <x:v>CUST-9495</x:v>
      </x:c>
      <x:c r="F412" s="80" t="str">
        <x:v>Diya Patel</x:v>
      </x:c>
      <x:c r="G412" s="80" t="str">
        <x:v>Consumer</x:v>
      </x:c>
      <x:c r="H412" s="80" t="str">
        <x:v>West</x:v>
      </x:c>
      <x:c r="I412" s="80" t="str">
        <x:v>Goa</x:v>
      </x:c>
      <x:c r="J412" s="80" t="str">
        <x:v>Panaji</x:v>
      </x:c>
      <x:c r="K412" s="80" t="str">
        <x:v>Furniture</x:v>
      </x:c>
      <x:c r="L412" s="80" t="str">
        <x:v>Tables</x:v>
      </x:c>
      <x:c r="M412" s="80" t="str">
        <x:v>Smart Tables 100</x:v>
      </x:c>
      <x:c r="N412" s="80" t="str">
        <x:v>First Class</x:v>
      </x:c>
      <x:c r="O412" s="82" t="n">
        <x:v>9</x:v>
      </x:c>
      <x:c r="P412" s="83" t="n">
        <x:v>1302.61</x:v>
      </x:c>
      <x:c r="Q412" s="84" t="n">
        <x:v>0.2</x:v>
      </x:c>
      <x:c r="R412" s="83" t="n">
        <x:v>9378.79</x:v>
      </x:c>
      <x:c r="S412" s="83" t="n">
        <x:v>6774.48</x:v>
      </x:c>
      <x:c r="T412" s="83" t="n">
        <x:v>2604.31</x:v>
      </x:c>
      <x:c r="U412" s="83" t="str">
        <x:v>Paid</x:v>
      </x:c>
      <x:c r="V412" s="83" t="str">
        <x:v>Completed</x:v>
      </x:c>
      <x:c r="W412" s="151" t="n">
        <x:f>IF(OR(NOT(ISNUMBER($AP412)),COUNT($O412,$P412)&lt;2,$O412&lt;=0,$P412&lt;0),"",ROUND($O412*$P412*(1-$AP412),2))</x:f>
        <x:v>9378.79</x:v>
      </x:c>
      <x:c r="X412" s="151" t="n">
        <x:f>IF(OR(NOT(ISNUMBER($W412)),NOT(ISNUMBER($S412))),"",ROUND($W412-$S412,2))</x:f>
        <x:v>2604.31</x:v>
      </x:c>
      <x:c r="Y412" s="85" t="n">
        <x:f>IF(OR(NOT(ISNUMBER($W412)),NOT(ISNUMBER($X412)),$W412=0),"",ROUND($X412/$W412,4))</x:f>
        <x:v>0.2777</x:v>
      </x:c>
      <x:c r="Z412" s="82" t="n">
        <x:f>IF(OR($AH412&lt;&gt;"Valid",$AI412&lt;&gt;"Valid"),"",INT($D412-$C412))</x:f>
        <x:v>8</x:v>
      </x:c>
      <x:c r="AA412" s="86" t="str">
        <x:f>IF($AH412&lt;&gt;"Valid","",TEXT($C412,"mmmm"))</x:f>
        <x:v>April</x:v>
      </x:c>
      <x:c r="AB412" s="82" t="n">
        <x:f>IF($AH412&lt;&gt;"Valid","",YEAR($C412))</x:f>
        <x:v>2024</x:v>
      </x:c>
      <x:c r="AC412" s="80" t="str">
        <x:v>Consistent</x:v>
      </x:c>
      <x:c r="AD412" s="80" t="str">
        <x:v>Eligible</x:v>
      </x:c>
      <x:c r="AE412" s="80" t="str">
        <x:f>IF(OR($AH412&lt;&gt;"Valid",$AI412&lt;&gt;"Valid",$AJ412&lt;&gt;"Valid",LEFT($AM412,7)="Invalid",IFERROR(ABS($AQ412)&gt;0.01,FALSE),IFERROR(ABS($AR412)&gt;0.01,FALSE),COUNTIF($AS412,"*Conflicting duplicate*")&gt;0,COUNTIF($AS412,"*Completed order not paid*")&gt;0),"Invalid",IF(OR($H412="Unknown",$N412="Unknown",$AM412="Missing discount imputed as 0"),"Warning","Clean"))</x:f>
        <x:v>Clean</x:v>
      </x:c>
      <x:c r="AF412" s="80" t="str">
        <x:v>Pass</x:v>
      </x:c>
      <x:c r="AG412" s="80" t="str">
        <x:v>No text cleanup required</x:v>
      </x:c>
      <x:c r="AH412" s="12" t="str">
        <x:f>IF(C412="","Missing date",IF(ISNUMBER(C412),"Valid","Unrecognized/invalid date"))</x:f>
        <x:v>Valid</x:v>
      </x:c>
      <x:c r="AI412" s="12" t="str">
        <x:f>IF(D412="","Missing date",IF(ISNUMBER(D412),"Valid","Unrecognized/invalid date"))</x:f>
        <x:v>Valid</x:v>
      </x:c>
      <x:c r="AJ412" s="12" t="str">
        <x:v>Valid</x:v>
      </x:c>
      <x:c r="AK412" s="12" t="str">
        <x:v>Pass</x:v>
      </x:c>
      <x:c r="AL412" s="12" t="str">
        <x:v>None</x:v>
      </x:c>
      <x:c r="AM412" s="12" t="str">
        <x:v>Valid</x:v>
      </x:c>
      <x:c r="AN412" s="12" t="str">
        <x:v>Include in completed sales</x:v>
      </x:c>
      <x:c r="AO412" s="12" t="str">
        <x:v>Not a refunded record</x:v>
      </x:c>
      <x:c r="AP412" s="37" t="n">
        <x:f>IF(LEFT($AM412,7)="Invalid","",IF($AM412="Missing discount imputed as 0",IF(AND(COUNT($O412,$P412,$R412,$S412)=4,$O412&gt;0,$P412&gt;=0,$R412&gt;=0,$S412&gt;=0),0,""),IF(AND(ISNUMBER($Q412),$Q412&gt;=0,$Q412&lt;=0.5),$Q412,"")))</x:f>
        <x:v>0.2</x:v>
      </x:c>
      <x:c r="AQ412" s="152" t="n">
        <x:f>IF(OR($W412="",NOT(ISNUMBER($R412))),"",ROUND($R412-$W412,2))</x:f>
        <x:v>0</x:v>
      </x:c>
      <x:c r="AR412" s="152" t="n">
        <x:f>IF(OR($X412="",NOT(ISNUMBER($T412))),"",ROUND($T412-$X412,2))</x:f>
        <x:v>0</x:v>
      </x:c>
      <x:c r="AS412" s="14" t="str">
        <x:v>OK</x:v>
      </x:c>
    </x:row>
    <x:row r="413">
      <x:c r="A413" s="80" t="n">
        <x:v>413</x:v>
      </x:c>
      <x:c r="B413" s="80" t="str">
        <x:v>ORD-2025-10412</x:v>
      </x:c>
      <x:c r="C413" s="81" t="n">
        <x:v>45892</x:v>
      </x:c>
      <x:c r="D413" s="81" t="n">
        <x:v>45897</x:v>
      </x:c>
      <x:c r="E413" s="80" t="str">
        <x:v>CUST-2855</x:v>
      </x:c>
      <x:c r="F413" s="80" t="str">
        <x:v>Arjun Bose</x:v>
      </x:c>
      <x:c r="G413" s="80" t="str">
        <x:v>Home Office</x:v>
      </x:c>
      <x:c r="H413" s="80" t="str">
        <x:v>West</x:v>
      </x:c>
      <x:c r="I413" s="80" t="str">
        <x:v>Rajasthan</x:v>
      </x:c>
      <x:c r="J413" s="80" t="str">
        <x:v>Udaipur</x:v>
      </x:c>
      <x:c r="K413" s="80" t="str">
        <x:v>Furniture</x:v>
      </x:c>
      <x:c r="L413" s="80" t="str">
        <x:v>Tables</x:v>
      </x:c>
      <x:c r="M413" s="80" t="str">
        <x:v>Basic Tables 615</x:v>
      </x:c>
      <x:c r="N413" s="80" t="str">
        <x:v>First Class</x:v>
      </x:c>
      <x:c r="O413" s="82" t="n">
        <x:v>1</x:v>
      </x:c>
      <x:c r="P413" s="83" t="n">
        <x:v>4167.81</x:v>
      </x:c>
      <x:c r="Q413" s="84" t="n">
        <x:v>0.2</x:v>
      </x:c>
      <x:c r="R413" s="83" t="n">
        <x:v>3334.25</x:v>
      </x:c>
      <x:c r="S413" s="83" t="n">
        <x:v>2768.77</x:v>
      </x:c>
      <x:c r="T413" s="83" t="n">
        <x:v>565.48</x:v>
      </x:c>
      <x:c r="U413" s="83" t="str">
        <x:v>Failed</x:v>
      </x:c>
      <x:c r="V413" s="83" t="str">
        <x:v>Returned</x:v>
      </x:c>
      <x:c r="W413" s="151" t="n">
        <x:f>IF(OR(NOT(ISNUMBER($AP413)),COUNT($O413,$P413)&lt;2,$O413&lt;=0,$P413&lt;0),"",ROUND($O413*$P413*(1-$AP413),2))</x:f>
        <x:v>3334.25</x:v>
      </x:c>
      <x:c r="X413" s="151" t="n">
        <x:f>IF(OR(NOT(ISNUMBER($W413)),NOT(ISNUMBER($S413))),"",ROUND($W413-$S413,2))</x:f>
        <x:v>565.48</x:v>
      </x:c>
      <x:c r="Y413" s="85" t="n">
        <x:f>IF(OR(NOT(ISNUMBER($W413)),NOT(ISNUMBER($X413)),$W413=0),"",ROUND($X413/$W413,4))</x:f>
        <x:v>0.1696</x:v>
      </x:c>
      <x:c r="Z413" s="82" t="n">
        <x:f>IF(OR($AH413&lt;&gt;"Valid",$AI413&lt;&gt;"Valid"),"",INT($D413-$C413))</x:f>
        <x:v>5</x:v>
      </x:c>
      <x:c r="AA413" s="86" t="str">
        <x:f>IF($AH413&lt;&gt;"Valid","",TEXT($C413,"mmmm"))</x:f>
        <x:v>August</x:v>
      </x:c>
      <x:c r="AB413" s="82" t="n">
        <x:f>IF($AH413&lt;&gt;"Valid","",YEAR($C413))</x:f>
        <x:v>2025</x:v>
      </x:c>
      <x:c r="AC413" s="80" t="str">
        <x:v>Failed payment (excluded from completed-sales summary)</x:v>
      </x:c>
      <x:c r="AD413" s="80" t="str">
        <x:v>Excluded</x:v>
      </x:c>
      <x:c r="AE413" s="80" t="str">
        <x:f>IF(OR($AH413&lt;&gt;"Valid",$AI413&lt;&gt;"Valid",$AJ413&lt;&gt;"Valid",LEFT($AM413,7)="Invalid",IFERROR(ABS($AQ413)&gt;0.01,FALSE),IFERROR(ABS($AR413)&gt;0.01,FALSE),COUNTIF($AS413,"*Conflicting duplicate*")&gt;0,COUNTIF($AS413,"*Completed order not paid*")&gt;0),"Invalid",IF(OR($H413="Unknown",$N413="Unknown",$AM413="Missing discount imputed as 0"),"Warning","Clean"))</x:f>
        <x:v>Clean</x:v>
      </x:c>
      <x:c r="AF413" s="80" t="str">
        <x:v>Pass</x:v>
      </x:c>
      <x:c r="AG413" s="80" t="str">
        <x:v>No text cleanup required</x:v>
      </x:c>
      <x:c r="AH413" s="12" t="str">
        <x:f>IF(C413="","Missing date",IF(ISNUMBER(C413),"Valid","Unrecognized/invalid date"))</x:f>
        <x:v>Valid</x:v>
      </x:c>
      <x:c r="AI413" s="12" t="str">
        <x:f>IF(D413="","Missing date",IF(ISNUMBER(D413),"Valid","Unrecognized/invalid date"))</x:f>
        <x:v>Valid</x:v>
      </x:c>
      <x:c r="AJ413" s="12" t="str">
        <x:v>Valid</x:v>
      </x:c>
      <x:c r="AK413" s="12" t="str">
        <x:v>Pass</x:v>
      </x:c>
      <x:c r="AL413" s="12" t="str">
        <x:v>Failed payment – excluded from completed sales</x:v>
      </x:c>
      <x:c r="AM413" s="12" t="str">
        <x:v>Valid</x:v>
      </x:c>
      <x:c r="AN413" s="12" t="str">
        <x:v>Exclude from completed sales</x:v>
      </x:c>
      <x:c r="AO413" s="12" t="str">
        <x:v>Not a refunded record</x:v>
      </x:c>
      <x:c r="AP413" s="37" t="n">
        <x:f>IF(LEFT($AM413,7)="Invalid","",IF($AM413="Missing discount imputed as 0",IF(AND(COUNT($O413,$P413,$R413,$S413)=4,$O413&gt;0,$P413&gt;=0,$R413&gt;=0,$S413&gt;=0),0,""),IF(AND(ISNUMBER($Q413),$Q413&gt;=0,$Q413&lt;=0.5),$Q413,"")))</x:f>
        <x:v>0.2</x:v>
      </x:c>
      <x:c r="AQ413" s="152" t="n">
        <x:f>IF(OR($W413="",NOT(ISNUMBER($R413))),"",ROUND($R413-$W413,2))</x:f>
        <x:v>0</x:v>
      </x:c>
      <x:c r="AR413" s="152" t="n">
        <x:f>IF(OR($X413="",NOT(ISNUMBER($T413))),"",ROUND($T413-$X413,2))</x:f>
        <x:v>0</x:v>
      </x:c>
      <x:c r="AS413" s="14" t="str">
        <x:v>OK</x:v>
      </x:c>
    </x:row>
    <x:row r="414">
      <x:c r="A414" s="80" t="n">
        <x:v>414</x:v>
      </x:c>
      <x:c r="B414" s="80" t="str">
        <x:v>ORD-2024-10413</x:v>
      </x:c>
      <x:c r="C414" s="81" t="n">
        <x:v>45313</x:v>
      </x:c>
      <x:c r="D414" s="81" t="n">
        <x:v>45321</x:v>
      </x:c>
      <x:c r="E414" s="80" t="str">
        <x:v>CUST-4329</x:v>
      </x:c>
      <x:c r="F414" s="80" t="str">
        <x:v>Isha Nair</x:v>
      </x:c>
      <x:c r="G414" s="80" t="str">
        <x:v>Corporate</x:v>
      </x:c>
      <x:c r="H414" s="80" t="str">
        <x:v>South</x:v>
      </x:c>
      <x:c r="I414" s="80" t="str">
        <x:v>Karnataka</x:v>
      </x:c>
      <x:c r="J414" s="80" t="str">
        <x:v>Bengaluru</x:v>
      </x:c>
      <x:c r="K414" s="80" t="str">
        <x:v>Furniture</x:v>
      </x:c>
      <x:c r="L414" s="80" t="str">
        <x:v>Chairs</x:v>
      </x:c>
      <x:c r="M414" s="80" t="str">
        <x:v>Basic Chairs 790</x:v>
      </x:c>
      <x:c r="N414" s="80" t="str">
        <x:v>Same Day</x:v>
      </x:c>
      <x:c r="O414" s="82" t="n">
        <x:v>1</x:v>
      </x:c>
      <x:c r="P414" s="83" t="n">
        <x:v>2111.39</x:v>
      </x:c>
      <x:c r="Q414" s="84" t="n">
        <x:v>0.25</x:v>
      </x:c>
      <x:c r="R414" s="83" t="n">
        <x:v>1583.54</x:v>
      </x:c>
      <x:c r="S414" s="83" t="n">
        <x:v>1014.19</x:v>
      </x:c>
      <x:c r="T414" s="83" t="n">
        <x:v>569.35</x:v>
      </x:c>
      <x:c r="U414" s="83" t="str">
        <x:v>Paid</x:v>
      </x:c>
      <x:c r="V414" s="83" t="str">
        <x:v>Completed</x:v>
      </x:c>
      <x:c r="W414" s="151" t="n">
        <x:f>IF(OR(NOT(ISNUMBER($AP414)),COUNT($O414,$P414)&lt;2,$O414&lt;=0,$P414&lt;0),"",ROUND($O414*$P414*(1-$AP414),2))</x:f>
        <x:v>1583.54</x:v>
      </x:c>
      <x:c r="X414" s="151" t="n">
        <x:f>IF(OR(NOT(ISNUMBER($W414)),NOT(ISNUMBER($S414))),"",ROUND($W414-$S414,2))</x:f>
        <x:v>569.35</x:v>
      </x:c>
      <x:c r="Y414" s="85" t="n">
        <x:f>IF(OR(NOT(ISNUMBER($W414)),NOT(ISNUMBER($X414)),$W414=0),"",ROUND($X414/$W414,4))</x:f>
        <x:v>0.3595</x:v>
      </x:c>
      <x:c r="Z414" s="82" t="n">
        <x:f>IF(OR($AH414&lt;&gt;"Valid",$AI414&lt;&gt;"Valid"),"",INT($D414-$C414))</x:f>
        <x:v>8</x:v>
      </x:c>
      <x:c r="AA414" s="86" t="str">
        <x:f>IF($AH414&lt;&gt;"Valid","",TEXT($C414,"mmmm"))</x:f>
        <x:v>January</x:v>
      </x:c>
      <x:c r="AB414" s="82" t="n">
        <x:f>IF($AH414&lt;&gt;"Valid","",YEAR($C414))</x:f>
        <x:v>2024</x:v>
      </x:c>
      <x:c r="AC414" s="80" t="str">
        <x:v>Consistent</x:v>
      </x:c>
      <x:c r="AD414" s="80" t="str">
        <x:v>Eligible</x:v>
      </x:c>
      <x:c r="AE414" s="80" t="str">
        <x:f>IF(OR($AH414&lt;&gt;"Valid",$AI414&lt;&gt;"Valid",$AJ414&lt;&gt;"Valid",LEFT($AM414,7)="Invalid",IFERROR(ABS($AQ414)&gt;0.01,FALSE),IFERROR(ABS($AR414)&gt;0.01,FALSE),COUNTIF($AS414,"*Conflicting duplicate*")&gt;0,COUNTIF($AS414,"*Completed order not paid*")&gt;0),"Invalid",IF(OR($H414="Unknown",$N414="Unknown",$AM414="Missing discount imputed as 0"),"Warning","Clean"))</x:f>
        <x:v>Clean</x:v>
      </x:c>
      <x:c r="AF414" s="80" t="str">
        <x:v>Pass</x:v>
      </x:c>
      <x:c r="AG414" s="80" t="str">
        <x:v>No text cleanup required</x:v>
      </x:c>
      <x:c r="AH414" s="12" t="str">
        <x:f>IF(C414="","Missing date",IF(ISNUMBER(C414),"Valid","Unrecognized/invalid date"))</x:f>
        <x:v>Valid</x:v>
      </x:c>
      <x:c r="AI414" s="12" t="str">
        <x:f>IF(D414="","Missing date",IF(ISNUMBER(D414),"Valid","Unrecognized/invalid date"))</x:f>
        <x:v>Valid</x:v>
      </x:c>
      <x:c r="AJ414" s="12" t="str">
        <x:v>Valid</x:v>
      </x:c>
      <x:c r="AK414" s="12" t="str">
        <x:v>Pass</x:v>
      </x:c>
      <x:c r="AL414" s="12" t="str">
        <x:v>None</x:v>
      </x:c>
      <x:c r="AM414" s="12" t="str">
        <x:v>Valid</x:v>
      </x:c>
      <x:c r="AN414" s="12" t="str">
        <x:v>Include in completed sales</x:v>
      </x:c>
      <x:c r="AO414" s="12" t="str">
        <x:v>Not a refunded record</x:v>
      </x:c>
      <x:c r="AP414" s="37" t="n">
        <x:f>IF(LEFT($AM414,7)="Invalid","",IF($AM414="Missing discount imputed as 0",IF(AND(COUNT($O414,$P414,$R414,$S414)=4,$O414&gt;0,$P414&gt;=0,$R414&gt;=0,$S414&gt;=0),0,""),IF(AND(ISNUMBER($Q414),$Q414&gt;=0,$Q414&lt;=0.5),$Q414,"")))</x:f>
        <x:v>0.25</x:v>
      </x:c>
      <x:c r="AQ414" s="152" t="n">
        <x:f>IF(OR($W414="",NOT(ISNUMBER($R414))),"",ROUND($R414-$W414,2))</x:f>
        <x:v>0</x:v>
      </x:c>
      <x:c r="AR414" s="152" t="n">
        <x:f>IF(OR($X414="",NOT(ISNUMBER($T414))),"",ROUND($T414-$X414,2))</x:f>
        <x:v>0</x:v>
      </x:c>
      <x:c r="AS414" s="14" t="str">
        <x:v>OK</x:v>
      </x:c>
    </x:row>
    <x:row r="415">
      <x:c r="A415" s="80" t="n">
        <x:v>415</x:v>
      </x:c>
      <x:c r="B415" s="80" t="str">
        <x:v>ORD-2025-10414</x:v>
      </x:c>
      <x:c r="C415" s="81" t="n">
        <x:v>45882</x:v>
      </x:c>
      <x:c r="D415" s="81" t="n">
        <x:v>45886</x:v>
      </x:c>
      <x:c r="E415" s="80" t="str">
        <x:v>CUST-5094</x:v>
      </x:c>
      <x:c r="F415" s="80" t="str">
        <x:v>Neha Gupta</x:v>
      </x:c>
      <x:c r="G415" s="80" t="str">
        <x:v>Home Office</x:v>
      </x:c>
      <x:c r="H415" s="80" t="str">
        <x:v>West</x:v>
      </x:c>
      <x:c r="I415" s="80" t="str">
        <x:v>Madhya Pradesh</x:v>
      </x:c>
      <x:c r="J415" s="80" t="str">
        <x:v>Indore</x:v>
      </x:c>
      <x:c r="K415" s="80" t="str">
        <x:v>Technology</x:v>
      </x:c>
      <x:c r="L415" s="80" t="str">
        <x:v>Accessories</x:v>
      </x:c>
      <x:c r="M415" s="80" t="str">
        <x:v>Smart Accessories 226</x:v>
      </x:c>
      <x:c r="N415" s="80" t="str">
        <x:v>Second Class</x:v>
      </x:c>
      <x:c r="O415" s="82" t="n">
        <x:v>8</x:v>
      </x:c>
      <x:c r="P415" s="83" t="n">
        <x:v>1918.23</x:v>
      </x:c>
      <x:c r="Q415" s="84" t="n">
        <x:v>0</x:v>
      </x:c>
      <x:c r="R415" s="83" t="n">
        <x:v>15345.84</x:v>
      </x:c>
      <x:c r="S415" s="83" t="n">
        <x:v>10735.33</x:v>
      </x:c>
      <x:c r="T415" s="83" t="n">
        <x:v>4610.51</x:v>
      </x:c>
      <x:c r="U415" s="83" t="str">
        <x:v>Pending</x:v>
      </x:c>
      <x:c r="V415" s="83" t="str">
        <x:v>Cancelled</x:v>
      </x:c>
      <x:c r="W415" s="151" t="n">
        <x:f>IF(OR(NOT(ISNUMBER($AP415)),COUNT($O415,$P415)&lt;2,$O415&lt;=0,$P415&lt;0),"",ROUND($O415*$P415*(1-$AP415),2))</x:f>
        <x:v>15345.84</x:v>
      </x:c>
      <x:c r="X415" s="151" t="n">
        <x:f>IF(OR(NOT(ISNUMBER($W415)),NOT(ISNUMBER($S415))),"",ROUND($W415-$S415,2))</x:f>
        <x:v>4610.51</x:v>
      </x:c>
      <x:c r="Y415" s="85" t="n">
        <x:f>IF(OR(NOT(ISNUMBER($W415)),NOT(ISNUMBER($X415)),$W415=0),"",ROUND($X415/$W415,4))</x:f>
        <x:v>0.3004</x:v>
      </x:c>
      <x:c r="Z415" s="82" t="n">
        <x:f>IF(OR($AH415&lt;&gt;"Valid",$AI415&lt;&gt;"Valid"),"",INT($D415-$C415))</x:f>
        <x:v>4</x:v>
      </x:c>
      <x:c r="AA415" s="86" t="str">
        <x:f>IF($AH415&lt;&gt;"Valid","",TEXT($C415,"mmmm"))</x:f>
        <x:v>August</x:v>
      </x:c>
      <x:c r="AB415" s="82" t="n">
        <x:f>IF($AH415&lt;&gt;"Valid","",YEAR($C415))</x:f>
        <x:v>2025</x:v>
      </x:c>
      <x:c r="AC415" s="80" t="str">
        <x:v>Cancelled (excluded from completed-sales summary)</x:v>
      </x:c>
      <x:c r="AD415" s="80" t="str">
        <x:v>Excluded</x:v>
      </x:c>
      <x:c r="AE415" s="80" t="str">
        <x:f>IF(OR($AH415&lt;&gt;"Valid",$AI415&lt;&gt;"Valid",$AJ415&lt;&gt;"Valid",LEFT($AM415,7)="Invalid",IFERROR(ABS($AQ415)&gt;0.01,FALSE),IFERROR(ABS($AR415)&gt;0.01,FALSE),COUNTIF($AS415,"*Conflicting duplicate*")&gt;0,COUNTIF($AS415,"*Completed order not paid*")&gt;0),"Invalid",IF(OR($H415="Unknown",$N415="Unknown",$AM415="Missing discount imputed as 0"),"Warning","Clean"))</x:f>
        <x:v>Clean</x:v>
      </x:c>
      <x:c r="AF415" s="80" t="str">
        <x:v>Pass</x:v>
      </x:c>
      <x:c r="AG415" s="80" t="str">
        <x:v>No text cleanup required</x:v>
      </x:c>
      <x:c r="AH415" s="12" t="str">
        <x:f>IF(C415="","Missing date",IF(ISNUMBER(C415),"Valid","Unrecognized/invalid date"))</x:f>
        <x:v>Valid</x:v>
      </x:c>
      <x:c r="AI415" s="12" t="str">
        <x:f>IF(D415="","Missing date",IF(ISNUMBER(D415),"Valid","Unrecognized/invalid date"))</x:f>
        <x:v>Valid</x:v>
      </x:c>
      <x:c r="AJ415" s="12" t="str">
        <x:v>Valid</x:v>
      </x:c>
      <x:c r="AK415" s="12" t="str">
        <x:v>Pass</x:v>
      </x:c>
      <x:c r="AL415" s="12" t="str">
        <x:v>Cancelled order – excluded from completed sales</x:v>
      </x:c>
      <x:c r="AM415" s="12" t="str">
        <x:v>Valid</x:v>
      </x:c>
      <x:c r="AN415" s="12" t="str">
        <x:v>Exclude from completed sales</x:v>
      </x:c>
      <x:c r="AO415" s="12" t="str">
        <x:v>Not a refunded record</x:v>
      </x:c>
      <x:c r="AP415" s="37" t="n">
        <x:f>IF(LEFT($AM415,7)="Invalid","",IF($AM415="Missing discount imputed as 0",IF(AND(COUNT($O415,$P415,$R415,$S415)=4,$O415&gt;0,$P415&gt;=0,$R415&gt;=0,$S415&gt;=0),0,""),IF(AND(ISNUMBER($Q415),$Q415&gt;=0,$Q415&lt;=0.5),$Q415,"")))</x:f>
        <x:v>0</x:v>
      </x:c>
      <x:c r="AQ415" s="152" t="n">
        <x:f>IF(OR($W415="",NOT(ISNUMBER($R415))),"",ROUND($R415-$W415,2))</x:f>
        <x:v>0</x:v>
      </x:c>
      <x:c r="AR415" s="152" t="n">
        <x:f>IF(OR($X415="",NOT(ISNUMBER($T415))),"",ROUND($T415-$X415,2))</x:f>
        <x:v>0</x:v>
      </x:c>
      <x:c r="AS415" s="14" t="str">
        <x:v>OK</x:v>
      </x:c>
    </x:row>
    <x:row r="416">
      <x:c r="A416" s="80" t="n">
        <x:v>416</x:v>
      </x:c>
      <x:c r="B416" s="80" t="str">
        <x:v>ORD-2024-10415</x:v>
      </x:c>
      <x:c r="C416" s="81" t="n">
        <x:v>45533</x:v>
      </x:c>
      <x:c r="D416" s="81" t="n">
        <x:v>45534</x:v>
      </x:c>
      <x:c r="E416" s="80" t="str">
        <x:v>CUST-4194</x:v>
      </x:c>
      <x:c r="F416" s="80" t="str">
        <x:v>Arjun Bose</x:v>
      </x:c>
      <x:c r="G416" s="80" t="str">
        <x:v>Home Office</x:v>
      </x:c>
      <x:c r="H416" s="80" t="str">
        <x:v>East</x:v>
      </x:c>
      <x:c r="I416" s="80" t="str">
        <x:v>Assam</x:v>
      </x:c>
      <x:c r="J416" s="80" t="str">
        <x:v>Guwahati</x:v>
      </x:c>
      <x:c r="K416" s="80" t="str">
        <x:v>Office Supplies</x:v>
      </x:c>
      <x:c r="L416" s="80" t="str">
        <x:v>Storage</x:v>
      </x:c>
      <x:c r="M416" s="80" t="str">
        <x:v>Max Storage 692</x:v>
      </x:c>
      <x:c r="N416" s="80" t="str">
        <x:v>First Class</x:v>
      </x:c>
      <x:c r="O416" s="82" t="n">
        <x:v>4</x:v>
      </x:c>
      <x:c r="P416" s="83" t="n">
        <x:v>2484.08</x:v>
      </x:c>
      <x:c r="Q416" s="84" t="n">
        <x:v>0.05</x:v>
      </x:c>
      <x:c r="R416" s="83" t="n">
        <x:v>9439.5</x:v>
      </x:c>
      <x:c r="S416" s="83" t="n">
        <x:v>5519.39</x:v>
      </x:c>
      <x:c r="T416" s="83" t="n">
        <x:v>3920.11</x:v>
      </x:c>
      <x:c r="U416" s="83" t="str">
        <x:v>Paid</x:v>
      </x:c>
      <x:c r="V416" s="83" t="str">
        <x:v>Completed</x:v>
      </x:c>
      <x:c r="W416" s="151" t="n">
        <x:f>IF(OR(NOT(ISNUMBER($AP416)),COUNT($O416,$P416)&lt;2,$O416&lt;=0,$P416&lt;0),"",ROUND($O416*$P416*(1-$AP416),2))</x:f>
        <x:v>9439.5</x:v>
      </x:c>
      <x:c r="X416" s="151" t="n">
        <x:f>IF(OR(NOT(ISNUMBER($W416)),NOT(ISNUMBER($S416))),"",ROUND($W416-$S416,2))</x:f>
        <x:v>3920.11</x:v>
      </x:c>
      <x:c r="Y416" s="85" t="n">
        <x:f>IF(OR(NOT(ISNUMBER($W416)),NOT(ISNUMBER($X416)),$W416=0),"",ROUND($X416/$W416,4))</x:f>
        <x:v>0.4153</x:v>
      </x:c>
      <x:c r="Z416" s="82" t="n">
        <x:f>IF(OR($AH416&lt;&gt;"Valid",$AI416&lt;&gt;"Valid"),"",INT($D416-$C416))</x:f>
        <x:v>1</x:v>
      </x:c>
      <x:c r="AA416" s="86" t="str">
        <x:f>IF($AH416&lt;&gt;"Valid","",TEXT($C416,"mmmm"))</x:f>
        <x:v>August</x:v>
      </x:c>
      <x:c r="AB416" s="82" t="n">
        <x:f>IF($AH416&lt;&gt;"Valid","",YEAR($C416))</x:f>
        <x:v>2024</x:v>
      </x:c>
      <x:c r="AC416" s="80" t="str">
        <x:v>Consistent</x:v>
      </x:c>
      <x:c r="AD416" s="80" t="str">
        <x:v>Eligible</x:v>
      </x:c>
      <x:c r="AE416" s="80" t="str">
        <x:f>IF(OR($AH416&lt;&gt;"Valid",$AI416&lt;&gt;"Valid",$AJ416&lt;&gt;"Valid",LEFT($AM416,7)="Invalid",IFERROR(ABS($AQ416)&gt;0.01,FALSE),IFERROR(ABS($AR416)&gt;0.01,FALSE),COUNTIF($AS416,"*Conflicting duplicate*")&gt;0,COUNTIF($AS416,"*Completed order not paid*")&gt;0),"Invalid",IF(OR($H416="Unknown",$N416="Unknown",$AM416="Missing discount imputed as 0"),"Warning","Clean"))</x:f>
        <x:v>Clean</x:v>
      </x:c>
      <x:c r="AF416" s="80" t="str">
        <x:v>Pass</x:v>
      </x:c>
      <x:c r="AG416" s="80" t="str">
        <x:v>No text cleanup required</x:v>
      </x:c>
      <x:c r="AH416" s="12" t="str">
        <x:f>IF(C416="","Missing date",IF(ISNUMBER(C416),"Valid","Unrecognized/invalid date"))</x:f>
        <x:v>Valid</x:v>
      </x:c>
      <x:c r="AI416" s="12" t="str">
        <x:f>IF(D416="","Missing date",IF(ISNUMBER(D416),"Valid","Unrecognized/invalid date"))</x:f>
        <x:v>Valid</x:v>
      </x:c>
      <x:c r="AJ416" s="12" t="str">
        <x:v>Valid</x:v>
      </x:c>
      <x:c r="AK416" s="12" t="str">
        <x:v>Pass</x:v>
      </x:c>
      <x:c r="AL416" s="12" t="str">
        <x:v>None</x:v>
      </x:c>
      <x:c r="AM416" s="12" t="str">
        <x:v>Valid</x:v>
      </x:c>
      <x:c r="AN416" s="12" t="str">
        <x:v>Include in completed sales</x:v>
      </x:c>
      <x:c r="AO416" s="12" t="str">
        <x:v>Not a refunded record</x:v>
      </x:c>
      <x:c r="AP416" s="37" t="n">
        <x:f>IF(LEFT($AM416,7)="Invalid","",IF($AM416="Missing discount imputed as 0",IF(AND(COUNT($O416,$P416,$R416,$S416)=4,$O416&gt;0,$P416&gt;=0,$R416&gt;=0,$S416&gt;=0),0,""),IF(AND(ISNUMBER($Q416),$Q416&gt;=0,$Q416&lt;=0.5),$Q416,"")))</x:f>
        <x:v>0.05</x:v>
      </x:c>
      <x:c r="AQ416" s="152" t="n">
        <x:f>IF(OR($W416="",NOT(ISNUMBER($R416))),"",ROUND($R416-$W416,2))</x:f>
        <x:v>0</x:v>
      </x:c>
      <x:c r="AR416" s="152" t="n">
        <x:f>IF(OR($X416="",NOT(ISNUMBER($T416))),"",ROUND($T416-$X416,2))</x:f>
        <x:v>0</x:v>
      </x:c>
      <x:c r="AS416" s="14" t="str">
        <x:v>OK</x:v>
      </x:c>
    </x:row>
    <x:row r="417">
      <x:c r="A417" s="80" t="n">
        <x:v>417</x:v>
      </x:c>
      <x:c r="B417" s="80" t="str">
        <x:v>ORD-2024-10416</x:v>
      </x:c>
      <x:c r="C417" s="81" t="n">
        <x:v>45316</x:v>
      </x:c>
      <x:c r="D417" s="81" t="n">
        <x:v>45318</x:v>
      </x:c>
      <x:c r="E417" s="80" t="str">
        <x:v>CUST-7087</x:v>
      </x:c>
      <x:c r="F417" s="80" t="str">
        <x:v>Aarav Sharma</x:v>
      </x:c>
      <x:c r="G417" s="80" t="str">
        <x:v>Corporate</x:v>
      </x:c>
      <x:c r="H417" s="80" t="str">
        <x:v>South</x:v>
      </x:c>
      <x:c r="I417" s="80" t="str">
        <x:v>Karnataka</x:v>
      </x:c>
      <x:c r="J417" s="80" t="str">
        <x:v>Bengaluru</x:v>
      </x:c>
      <x:c r="K417" s="80" t="str">
        <x:v>Office Supplies</x:v>
      </x:c>
      <x:c r="L417" s="80" t="str">
        <x:v>Storage</x:v>
      </x:c>
      <x:c r="M417" s="80" t="str">
        <x:v>Basic Storage 684</x:v>
      </x:c>
      <x:c r="N417" s="80" t="str">
        <x:v>Same Day</x:v>
      </x:c>
      <x:c r="O417" s="82" t="n">
        <x:v>7</x:v>
      </x:c>
      <x:c r="P417" s="83" t="n">
        <x:v>1727.26</x:v>
      </x:c>
      <x:c r="Q417" s="84" t="n">
        <x:v>0.15</x:v>
      </x:c>
      <x:c r="R417" s="83" t="n">
        <x:v>10277.2</x:v>
      </x:c>
      <x:c r="S417" s="83" t="n">
        <x:v>7906.5</x:v>
      </x:c>
      <x:c r="T417" s="83" t="n">
        <x:v>2370.7</x:v>
      </x:c>
      <x:c r="U417" s="83" t="str">
        <x:v>Paid</x:v>
      </x:c>
      <x:c r="V417" s="83" t="str">
        <x:v>Returned</x:v>
      </x:c>
      <x:c r="W417" s="151" t="n">
        <x:f>IF(OR(NOT(ISNUMBER($AP417)),COUNT($O417,$P417)&lt;2,$O417&lt;=0,$P417&lt;0),"",ROUND($O417*$P417*(1-$AP417),2))</x:f>
        <x:v>10277.2</x:v>
      </x:c>
      <x:c r="X417" s="151" t="n">
        <x:f>IF(OR(NOT(ISNUMBER($W417)),NOT(ISNUMBER($S417))),"",ROUND($W417-$S417,2))</x:f>
        <x:v>2370.7</x:v>
      </x:c>
      <x:c r="Y417" s="85" t="n">
        <x:f>IF(OR(NOT(ISNUMBER($W417)),NOT(ISNUMBER($X417)),$W417=0),"",ROUND($X417/$W417,4))</x:f>
        <x:v>0.2307</x:v>
      </x:c>
      <x:c r="Z417" s="82" t="n">
        <x:f>IF(OR($AH417&lt;&gt;"Valid",$AI417&lt;&gt;"Valid"),"",INT($D417-$C417))</x:f>
        <x:v>2</x:v>
      </x:c>
      <x:c r="AA417" s="86" t="str">
        <x:f>IF($AH417&lt;&gt;"Valid","",TEXT($C417,"mmmm"))</x:f>
        <x:v>January</x:v>
      </x:c>
      <x:c r="AB417" s="82" t="n">
        <x:f>IF($AH417&lt;&gt;"Valid","",YEAR($C417))</x:f>
        <x:v>2024</x:v>
      </x:c>
      <x:c r="AC417" s="80" t="str">
        <x:v>Consistent</x:v>
      </x:c>
      <x:c r="AD417" s="80" t="str">
        <x:v>Excluded</x:v>
      </x:c>
      <x:c r="AE417" s="80" t="str">
        <x:f>IF(OR($AH417&lt;&gt;"Valid",$AI417&lt;&gt;"Valid",$AJ417&lt;&gt;"Valid",LEFT($AM417,7)="Invalid",IFERROR(ABS($AQ417)&gt;0.01,FALSE),IFERROR(ABS($AR417)&gt;0.01,FALSE),COUNTIF($AS417,"*Conflicting duplicate*")&gt;0,COUNTIF($AS417,"*Completed order not paid*")&gt;0),"Invalid",IF(OR($H417="Unknown",$N417="Unknown",$AM417="Missing discount imputed as 0"),"Warning","Clean"))</x:f>
        <x:v>Clean</x:v>
      </x:c>
      <x:c r="AF417" s="80" t="str">
        <x:v>Pass</x:v>
      </x:c>
      <x:c r="AG417" s="80" t="str">
        <x:v>No text cleanup required</x:v>
      </x:c>
      <x:c r="AH417" s="12" t="str">
        <x:f>IF(C417="","Missing date",IF(ISNUMBER(C417),"Valid","Unrecognized/invalid date"))</x:f>
        <x:v>Valid</x:v>
      </x:c>
      <x:c r="AI417" s="12" t="str">
        <x:f>IF(D417="","Missing date",IF(ISNUMBER(D417),"Valid","Unrecognized/invalid date"))</x:f>
        <x:v>Valid</x:v>
      </x:c>
      <x:c r="AJ417" s="12" t="str">
        <x:v>Valid</x:v>
      </x:c>
      <x:c r="AK417" s="12" t="str">
        <x:v>Pass</x:v>
      </x:c>
      <x:c r="AL417" s="12" t="str">
        <x:v>None</x:v>
      </x:c>
      <x:c r="AM417" s="12" t="str">
        <x:v>Valid</x:v>
      </x:c>
      <x:c r="AN417" s="12" t="str">
        <x:v>Exclude from completed sales</x:v>
      </x:c>
      <x:c r="AO417" s="12" t="str">
        <x:v>Not a refunded record</x:v>
      </x:c>
      <x:c r="AP417" s="37" t="n">
        <x:f>IF(LEFT($AM417,7)="Invalid","",IF($AM417="Missing discount imputed as 0",IF(AND(COUNT($O417,$P417,$R417,$S417)=4,$O417&gt;0,$P417&gt;=0,$R417&gt;=0,$S417&gt;=0),0,""),IF(AND(ISNUMBER($Q417),$Q417&gt;=0,$Q417&lt;=0.5),$Q417,"")))</x:f>
        <x:v>0.15</x:v>
      </x:c>
      <x:c r="AQ417" s="152" t="n">
        <x:f>IF(OR($W417="",NOT(ISNUMBER($R417))),"",ROUND($R417-$W417,2))</x:f>
        <x:v>0</x:v>
      </x:c>
      <x:c r="AR417" s="152" t="n">
        <x:f>IF(OR($X417="",NOT(ISNUMBER($T417))),"",ROUND($T417-$X417,2))</x:f>
        <x:v>0</x:v>
      </x:c>
      <x:c r="AS417" s="14" t="str">
        <x:v>OK</x:v>
      </x:c>
    </x:row>
    <x:row r="418">
      <x:c r="A418" s="80" t="n">
        <x:v>418</x:v>
      </x:c>
      <x:c r="B418" s="80" t="str">
        <x:v>ORD-2025-10417</x:v>
      </x:c>
      <x:c r="C418" s="81" t="n">
        <x:v>45665</x:v>
      </x:c>
      <x:c r="D418" s="81" t="n">
        <x:v>45673</x:v>
      </x:c>
      <x:c r="E418" s="80" t="str">
        <x:v>CUST-7608</x:v>
      </x:c>
      <x:c r="F418" s="80" t="str">
        <x:v>Neha Gupta</x:v>
      </x:c>
      <x:c r="G418" s="80" t="str">
        <x:v>Consumer</x:v>
      </x:c>
      <x:c r="H418" s="80" t="str">
        <x:v>South</x:v>
      </x:c>
      <x:c r="I418" s="80" t="str">
        <x:v>Telangana</x:v>
      </x:c>
      <x:c r="J418" s="80" t="str">
        <x:v>Hyderabad</x:v>
      </x:c>
      <x:c r="K418" s="80" t="str">
        <x:v>Furniture</x:v>
      </x:c>
      <x:c r="L418" s="80" t="str">
        <x:v>Furnishings</x:v>
      </x:c>
      <x:c r="M418" s="80" t="str">
        <x:v>Smart Furnishings 152</x:v>
      </x:c>
      <x:c r="N418" s="80" t="str">
        <x:v>First Class</x:v>
      </x:c>
      <x:c r="O418" s="82" t="n">
        <x:v>8</x:v>
      </x:c>
      <x:c r="P418" s="83" t="n">
        <x:v>638.95</x:v>
      </x:c>
      <x:c r="Q418" s="84" t="n">
        <x:v>0.25</x:v>
      </x:c>
      <x:c r="R418" s="83" t="n">
        <x:v>3833.7</x:v>
      </x:c>
      <x:c r="S418" s="83" t="n">
        <x:v>2886.35</x:v>
      </x:c>
      <x:c r="T418" s="83" t="n">
        <x:v>947.35</x:v>
      </x:c>
      <x:c r="U418" s="83" t="str">
        <x:v>Paid</x:v>
      </x:c>
      <x:c r="V418" s="83" t="str">
        <x:v>Completed</x:v>
      </x:c>
      <x:c r="W418" s="151" t="n">
        <x:f>IF(OR(NOT(ISNUMBER($AP418)),COUNT($O418,$P418)&lt;2,$O418&lt;=0,$P418&lt;0),"",ROUND($O418*$P418*(1-$AP418),2))</x:f>
        <x:v>3833.7</x:v>
      </x:c>
      <x:c r="X418" s="151" t="n">
        <x:f>IF(OR(NOT(ISNUMBER($W418)),NOT(ISNUMBER($S418))),"",ROUND($W418-$S418,2))</x:f>
        <x:v>947.35</x:v>
      </x:c>
      <x:c r="Y418" s="85" t="n">
        <x:f>IF(OR(NOT(ISNUMBER($W418)),NOT(ISNUMBER($X418)),$W418=0),"",ROUND($X418/$W418,4))</x:f>
        <x:v>0.2471</x:v>
      </x:c>
      <x:c r="Z418" s="82" t="n">
        <x:f>IF(OR($AH418&lt;&gt;"Valid",$AI418&lt;&gt;"Valid"),"",INT($D418-$C418))</x:f>
        <x:v>8</x:v>
      </x:c>
      <x:c r="AA418" s="86" t="str">
        <x:f>IF($AH418&lt;&gt;"Valid","",TEXT($C418,"mmmm"))</x:f>
        <x:v>January</x:v>
      </x:c>
      <x:c r="AB418" s="82" t="n">
        <x:f>IF($AH418&lt;&gt;"Valid","",YEAR($C418))</x:f>
        <x:v>2025</x:v>
      </x:c>
      <x:c r="AC418" s="80" t="str">
        <x:v>Consistent</x:v>
      </x:c>
      <x:c r="AD418" s="80" t="str">
        <x:v>Eligible</x:v>
      </x:c>
      <x:c r="AE418" s="80" t="str">
        <x:f>IF(OR($AH418&lt;&gt;"Valid",$AI418&lt;&gt;"Valid",$AJ418&lt;&gt;"Valid",LEFT($AM418,7)="Invalid",IFERROR(ABS($AQ418)&gt;0.01,FALSE),IFERROR(ABS($AR418)&gt;0.01,FALSE),COUNTIF($AS418,"*Conflicting duplicate*")&gt;0,COUNTIF($AS418,"*Completed order not paid*")&gt;0),"Invalid",IF(OR($H418="Unknown",$N418="Unknown",$AM418="Missing discount imputed as 0"),"Warning","Clean"))</x:f>
        <x:v>Clean</x:v>
      </x:c>
      <x:c r="AF418" s="80" t="str">
        <x:v>Cleaned</x:v>
      </x:c>
      <x:c r="AG418" s="80" t="str">
        <x:v>category: TRIM/SUBSTITUTE whitespace cleanup</x:v>
      </x:c>
      <x:c r="AH418" s="12" t="str">
        <x:f>IF(C418="","Missing date",IF(ISNUMBER(C418),"Valid","Unrecognized/invalid date"))</x:f>
        <x:v>Valid</x:v>
      </x:c>
      <x:c r="AI418" s="12" t="str">
        <x:f>IF(D418="","Missing date",IF(ISNUMBER(D418),"Valid","Unrecognized/invalid date"))</x:f>
        <x:v>Valid</x:v>
      </x:c>
      <x:c r="AJ418" s="12" t="str">
        <x:v>Valid</x:v>
      </x:c>
      <x:c r="AK418" s="12" t="str">
        <x:v>Pass</x:v>
      </x:c>
      <x:c r="AL418" s="12" t="str">
        <x:v>None</x:v>
      </x:c>
      <x:c r="AM418" s="12" t="str">
        <x:v>Valid</x:v>
      </x:c>
      <x:c r="AN418" s="12" t="str">
        <x:v>Include in completed sales</x:v>
      </x:c>
      <x:c r="AO418" s="12" t="str">
        <x:v>Not a refunded record</x:v>
      </x:c>
      <x:c r="AP418" s="37" t="n">
        <x:f>IF(LEFT($AM418,7)="Invalid","",IF($AM418="Missing discount imputed as 0",IF(AND(COUNT($O418,$P418,$R418,$S418)=4,$O418&gt;0,$P418&gt;=0,$R418&gt;=0,$S418&gt;=0),0,""),IF(AND(ISNUMBER($Q418),$Q418&gt;=0,$Q418&lt;=0.5),$Q418,"")))</x:f>
        <x:v>0.25</x:v>
      </x:c>
      <x:c r="AQ418" s="152" t="n">
        <x:f>IF(OR($W418="",NOT(ISNUMBER($R418))),"",ROUND($R418-$W418,2))</x:f>
        <x:v>0</x:v>
      </x:c>
      <x:c r="AR418" s="152" t="n">
        <x:f>IF(OR($X418="",NOT(ISNUMBER($T418))),"",ROUND($T418-$X418,2))</x:f>
        <x:v>0</x:v>
      </x:c>
      <x:c r="AS418" s="14" t="str">
        <x:v>OK</x:v>
      </x:c>
    </x:row>
    <x:row r="419">
      <x:c r="A419" s="80" t="n">
        <x:v>419</x:v>
      </x:c>
      <x:c r="B419" s="80" t="str">
        <x:v>ORD-2025-10418</x:v>
      </x:c>
      <x:c r="C419" s="81" t="n">
        <x:v>45686</x:v>
      </x:c>
      <x:c r="D419" s="81" t="n">
        <x:v>45693</x:v>
      </x:c>
      <x:c r="E419" s="80" t="str">
        <x:v>CUST-5269</x:v>
      </x:c>
      <x:c r="F419" s="80" t="str">
        <x:v>Mira Das</x:v>
      </x:c>
      <x:c r="G419" s="80" t="str">
        <x:v>Consumer</x:v>
      </x:c>
      <x:c r="H419" s="80" t="str">
        <x:v>West</x:v>
      </x:c>
      <x:c r="I419" s="80" t="str">
        <x:v>Gujarat</x:v>
      </x:c>
      <x:c r="J419" s="80" t="str">
        <x:v>Ahmedabad</x:v>
      </x:c>
      <x:c r="K419" s="80" t="str">
        <x:v>Office Supplies</x:v>
      </x:c>
      <x:c r="L419" s="80" t="str">
        <x:v>Art</x:v>
      </x:c>
      <x:c r="M419" s="80" t="str">
        <x:v>Max Art 736</x:v>
      </x:c>
      <x:c r="N419" s="80" t="str">
        <x:v>First Class</x:v>
      </x:c>
      <x:c r="O419" s="82" t="n">
        <x:v>6</x:v>
      </x:c>
      <x:c r="P419" s="83" t="n">
        <x:v>3863</x:v>
      </x:c>
      <x:c r="Q419" s="84" t="n">
        <x:v>0.2</x:v>
      </x:c>
      <x:c r="R419" s="83" t="n">
        <x:v>18542.4</x:v>
      </x:c>
      <x:c r="S419" s="83" t="n">
        <x:v>11193.75</x:v>
      </x:c>
      <x:c r="T419" s="83" t="n">
        <x:v>7348.65</x:v>
      </x:c>
      <x:c r="U419" s="83" t="str">
        <x:v>Paid</x:v>
      </x:c>
      <x:c r="V419" s="83" t="str">
        <x:v>Completed</x:v>
      </x:c>
      <x:c r="W419" s="151" t="n">
        <x:f>IF(OR(NOT(ISNUMBER($AP419)),COUNT($O419,$P419)&lt;2,$O419&lt;=0,$P419&lt;0),"",ROUND($O419*$P419*(1-$AP419),2))</x:f>
        <x:v>18542.4</x:v>
      </x:c>
      <x:c r="X419" s="151" t="n">
        <x:f>IF(OR(NOT(ISNUMBER($W419)),NOT(ISNUMBER($S419))),"",ROUND($W419-$S419,2))</x:f>
        <x:v>7348.65</x:v>
      </x:c>
      <x:c r="Y419" s="85" t="n">
        <x:f>IF(OR(NOT(ISNUMBER($W419)),NOT(ISNUMBER($X419)),$W419=0),"",ROUND($X419/$W419,4))</x:f>
        <x:v>0.3963</x:v>
      </x:c>
      <x:c r="Z419" s="82" t="n">
        <x:f>IF(OR($AH419&lt;&gt;"Valid",$AI419&lt;&gt;"Valid"),"",INT($D419-$C419))</x:f>
        <x:v>7</x:v>
      </x:c>
      <x:c r="AA419" s="86" t="str">
        <x:f>IF($AH419&lt;&gt;"Valid","",TEXT($C419,"mmmm"))</x:f>
        <x:v>January</x:v>
      </x:c>
      <x:c r="AB419" s="82" t="n">
        <x:f>IF($AH419&lt;&gt;"Valid","",YEAR($C419))</x:f>
        <x:v>2025</x:v>
      </x:c>
      <x:c r="AC419" s="80" t="str">
        <x:v>Consistent</x:v>
      </x:c>
      <x:c r="AD419" s="80" t="str">
        <x:v>Eligible</x:v>
      </x:c>
      <x:c r="AE419" s="80" t="str">
        <x:f>IF(OR($AH419&lt;&gt;"Valid",$AI419&lt;&gt;"Valid",$AJ419&lt;&gt;"Valid",LEFT($AM419,7)="Invalid",IFERROR(ABS($AQ419)&gt;0.01,FALSE),IFERROR(ABS($AR419)&gt;0.01,FALSE),COUNTIF($AS419,"*Conflicting duplicate*")&gt;0,COUNTIF($AS419,"*Completed order not paid*")&gt;0),"Invalid",IF(OR($H419="Unknown",$N419="Unknown",$AM419="Missing discount imputed as 0"),"Warning","Clean"))</x:f>
        <x:v>Clean</x:v>
      </x:c>
      <x:c r="AF419" s="80" t="str">
        <x:v>Pass</x:v>
      </x:c>
      <x:c r="AG419" s="80" t="str">
        <x:v>No text cleanup required</x:v>
      </x:c>
      <x:c r="AH419" s="12" t="str">
        <x:f>IF(C419="","Missing date",IF(ISNUMBER(C419),"Valid","Unrecognized/invalid date"))</x:f>
        <x:v>Valid</x:v>
      </x:c>
      <x:c r="AI419" s="12" t="str">
        <x:f>IF(D419="","Missing date",IF(ISNUMBER(D419),"Valid","Unrecognized/invalid date"))</x:f>
        <x:v>Valid</x:v>
      </x:c>
      <x:c r="AJ419" s="12" t="str">
        <x:v>Valid</x:v>
      </x:c>
      <x:c r="AK419" s="12" t="str">
        <x:v>Pass</x:v>
      </x:c>
      <x:c r="AL419" s="12" t="str">
        <x:v>None</x:v>
      </x:c>
      <x:c r="AM419" s="12" t="str">
        <x:v>Valid</x:v>
      </x:c>
      <x:c r="AN419" s="12" t="str">
        <x:v>Include in completed sales</x:v>
      </x:c>
      <x:c r="AO419" s="12" t="str">
        <x:v>Not a refunded record</x:v>
      </x:c>
      <x:c r="AP419" s="37" t="n">
        <x:f>IF(LEFT($AM419,7)="Invalid","",IF($AM419="Missing discount imputed as 0",IF(AND(COUNT($O419,$P419,$R419,$S419)=4,$O419&gt;0,$P419&gt;=0,$R419&gt;=0,$S419&gt;=0),0,""),IF(AND(ISNUMBER($Q419),$Q419&gt;=0,$Q419&lt;=0.5),$Q419,"")))</x:f>
        <x:v>0.2</x:v>
      </x:c>
      <x:c r="AQ419" s="152" t="n">
        <x:f>IF(OR($W419="",NOT(ISNUMBER($R419))),"",ROUND($R419-$W419,2))</x:f>
        <x:v>0</x:v>
      </x:c>
      <x:c r="AR419" s="152" t="n">
        <x:f>IF(OR($X419="",NOT(ISNUMBER($T419))),"",ROUND($T419-$X419,2))</x:f>
        <x:v>0</x:v>
      </x:c>
      <x:c r="AS419" s="14" t="str">
        <x:v>OK</x:v>
      </x:c>
    </x:row>
    <x:row r="420">
      <x:c r="A420" s="80" t="n">
        <x:v>420</x:v>
      </x:c>
      <x:c r="B420" s="80" t="str">
        <x:v>ORD-2024-10419</x:v>
      </x:c>
      <x:c r="C420" s="81" t="n">
        <x:v>45605</x:v>
      </x:c>
      <x:c r="D420" s="81" t="n">
        <x:v>45613</x:v>
      </x:c>
      <x:c r="E420" s="80" t="str">
        <x:v>CUST-7925</x:v>
      </x:c>
      <x:c r="F420" s="80" t="str">
        <x:v>Sneha Kapoor</x:v>
      </x:c>
      <x:c r="G420" s="80" t="str">
        <x:v>Corporate</x:v>
      </x:c>
      <x:c r="H420" s="80" t="str">
        <x:v>East</x:v>
      </x:c>
      <x:c r="I420" s="80" t="str">
        <x:v>Odisha</x:v>
      </x:c>
      <x:c r="J420" s="80" t="str">
        <x:v>Bhubaneswar</x:v>
      </x:c>
      <x:c r="K420" s="80" t="str">
        <x:v>Technology</x:v>
      </x:c>
      <x:c r="L420" s="80" t="str">
        <x:v>Copiers</x:v>
      </x:c>
      <x:c r="M420" s="80" t="str">
        <x:v>Elite Copiers 971</x:v>
      </x:c>
      <x:c r="N420" s="80" t="str">
        <x:v>Standard Class</x:v>
      </x:c>
      <x:c r="O420" s="82" t="n">
        <x:v>6</x:v>
      </x:c>
      <x:c r="P420" s="83" t="n">
        <x:v>3660.4</x:v>
      </x:c>
      <x:c r="Q420" s="84" t="n">
        <x:v>0</x:v>
      </x:c>
      <x:c r="R420" s="83" t="n">
        <x:v>21962.4</x:v>
      </x:c>
      <x:c r="S420" s="83" t="n">
        <x:v>15331.99</x:v>
      </x:c>
      <x:c r="T420" s="83" t="n">
        <x:v>6630.41</x:v>
      </x:c>
      <x:c r="U420" s="83" t="str">
        <x:v>Failed</x:v>
      </x:c>
      <x:c r="V420" s="83" t="str">
        <x:v>Cancelled</x:v>
      </x:c>
      <x:c r="W420" s="151" t="n">
        <x:f>IF(OR(NOT(ISNUMBER($AP420)),COUNT($O420,$P420)&lt;2,$O420&lt;=0,$P420&lt;0),"",ROUND($O420*$P420*(1-$AP420),2))</x:f>
        <x:v>21962.4</x:v>
      </x:c>
      <x:c r="X420" s="151" t="n">
        <x:f>IF(OR(NOT(ISNUMBER($W420)),NOT(ISNUMBER($S420))),"",ROUND($W420-$S420,2))</x:f>
        <x:v>6630.41</x:v>
      </x:c>
      <x:c r="Y420" s="85" t="n">
        <x:f>IF(OR(NOT(ISNUMBER($W420)),NOT(ISNUMBER($X420)),$W420=0),"",ROUND($X420/$W420,4))</x:f>
        <x:v>0.3019</x:v>
      </x:c>
      <x:c r="Z420" s="82" t="n">
        <x:f>IF(OR($AH420&lt;&gt;"Valid",$AI420&lt;&gt;"Valid"),"",INT($D420-$C420))</x:f>
        <x:v>8</x:v>
      </x:c>
      <x:c r="AA420" s="86" t="str">
        <x:f>IF($AH420&lt;&gt;"Valid","",TEXT($C420,"mmmm"))</x:f>
        <x:v>November</x:v>
      </x:c>
      <x:c r="AB420" s="82" t="n">
        <x:f>IF($AH420&lt;&gt;"Valid","",YEAR($C420))</x:f>
        <x:v>2024</x:v>
      </x:c>
      <x:c r="AC420" s="80" t="str">
        <x:v>Cancelled (excluded from completed-sales summary)</x:v>
      </x:c>
      <x:c r="AD420" s="80" t="str">
        <x:v>Excluded</x:v>
      </x:c>
      <x:c r="AE420" s="80" t="str">
        <x:f>IF(OR($AH420&lt;&gt;"Valid",$AI420&lt;&gt;"Valid",$AJ420&lt;&gt;"Valid",LEFT($AM420,7)="Invalid",IFERROR(ABS($AQ420)&gt;0.01,FALSE),IFERROR(ABS($AR420)&gt;0.01,FALSE),COUNTIF($AS420,"*Conflicting duplicate*")&gt;0,COUNTIF($AS420,"*Completed order not paid*")&gt;0),"Invalid",IF(OR($H420="Unknown",$N420="Unknown",$AM420="Missing discount imputed as 0"),"Warning","Clean"))</x:f>
        <x:v>Clean</x:v>
      </x:c>
      <x:c r="AF420" s="80" t="str">
        <x:v>Pass</x:v>
      </x:c>
      <x:c r="AG420" s="80" t="str">
        <x:v>No text cleanup required</x:v>
      </x:c>
      <x:c r="AH420" s="12" t="str">
        <x:f>IF(C420="","Missing date",IF(ISNUMBER(C420),"Valid","Unrecognized/invalid date"))</x:f>
        <x:v>Valid</x:v>
      </x:c>
      <x:c r="AI420" s="12" t="str">
        <x:f>IF(D420="","Missing date",IF(ISNUMBER(D420),"Valid","Unrecognized/invalid date"))</x:f>
        <x:v>Valid</x:v>
      </x:c>
      <x:c r="AJ420" s="12" t="str">
        <x:v>Valid</x:v>
      </x:c>
      <x:c r="AK420" s="12" t="str">
        <x:v>Pass</x:v>
      </x:c>
      <x:c r="AL420" s="12" t="str">
        <x:v>Cancelled order – excluded from completed sales; Failed payment – excluded from completed sales</x:v>
      </x:c>
      <x:c r="AM420" s="12" t="str">
        <x:v>Valid</x:v>
      </x:c>
      <x:c r="AN420" s="12" t="str">
        <x:v>Exclude from completed sales</x:v>
      </x:c>
      <x:c r="AO420" s="12" t="str">
        <x:v>Not a refunded record</x:v>
      </x:c>
      <x:c r="AP420" s="37" t="n">
        <x:f>IF(LEFT($AM420,7)="Invalid","",IF($AM420="Missing discount imputed as 0",IF(AND(COUNT($O420,$P420,$R420,$S420)=4,$O420&gt;0,$P420&gt;=0,$R420&gt;=0,$S420&gt;=0),0,""),IF(AND(ISNUMBER($Q420),$Q420&gt;=0,$Q420&lt;=0.5),$Q420,"")))</x:f>
        <x:v>0</x:v>
      </x:c>
      <x:c r="AQ420" s="152" t="n">
        <x:f>IF(OR($W420="",NOT(ISNUMBER($R420))),"",ROUND($R420-$W420,2))</x:f>
        <x:v>0</x:v>
      </x:c>
      <x:c r="AR420" s="152" t="n">
        <x:f>IF(OR($X420="",NOT(ISNUMBER($T420))),"",ROUND($T420-$X420,2))</x:f>
        <x:v>0</x:v>
      </x:c>
      <x:c r="AS420" s="14" t="str">
        <x:v>OK</x:v>
      </x:c>
    </x:row>
    <x:row r="421">
      <x:c r="A421" s="80" t="n">
        <x:v>421</x:v>
      </x:c>
      <x:c r="B421" s="80" t="str">
        <x:v>ORD-2025-10420</x:v>
      </x:c>
      <x:c r="C421" s="81" t="n">
        <x:v>45926</x:v>
      </x:c>
      <x:c r="D421" s="81" t="n">
        <x:v>45930</x:v>
      </x:c>
      <x:c r="E421" s="80" t="str">
        <x:v>CUST-6552</x:v>
      </x:c>
      <x:c r="F421" s="80" t="str">
        <x:v>Sneha Kapoor</x:v>
      </x:c>
      <x:c r="G421" s="80" t="str">
        <x:v>Home Office</x:v>
      </x:c>
      <x:c r="H421" s="80" t="str">
        <x:v>North</x:v>
      </x:c>
      <x:c r="I421" s="80" t="str">
        <x:v>Haryana</x:v>
      </x:c>
      <x:c r="J421" s="80" t="str">
        <x:v>Gurugram</x:v>
      </x:c>
      <x:c r="K421" s="80" t="str">
        <x:v>Technology</x:v>
      </x:c>
      <x:c r="L421" s="80" t="str">
        <x:v>Phones</x:v>
      </x:c>
      <x:c r="M421" s="80" t="str">
        <x:v>Classic Phones 940</x:v>
      </x:c>
      <x:c r="N421" s="80" t="str">
        <x:v>Same Day</x:v>
      </x:c>
      <x:c r="O421" s="82" t="n">
        <x:v>2</x:v>
      </x:c>
      <x:c r="P421" s="83" t="n">
        <x:v>688.83</x:v>
      </x:c>
      <x:c r="Q421" s="84" t="n">
        <x:v>0.05</x:v>
      </x:c>
      <x:c r="R421" s="83" t="n">
        <x:v>1308.78</x:v>
      </x:c>
      <x:c r="S421" s="83" t="n">
        <x:v>843</x:v>
      </x:c>
      <x:c r="T421" s="83" t="n">
        <x:v>465.78</x:v>
      </x:c>
      <x:c r="U421" s="83" t="str">
        <x:v>Paid</x:v>
      </x:c>
      <x:c r="V421" s="83" t="str">
        <x:v>Completed</x:v>
      </x:c>
      <x:c r="W421" s="151" t="n">
        <x:f>IF(OR(NOT(ISNUMBER($AP421)),COUNT($O421,$P421)&lt;2,$O421&lt;=0,$P421&lt;0),"",ROUND($O421*$P421*(1-$AP421),2))</x:f>
        <x:v>1308.78</x:v>
      </x:c>
      <x:c r="X421" s="151" t="n">
        <x:f>IF(OR(NOT(ISNUMBER($W421)),NOT(ISNUMBER($S421))),"",ROUND($W421-$S421,2))</x:f>
        <x:v>465.78</x:v>
      </x:c>
      <x:c r="Y421" s="85" t="n">
        <x:f>IF(OR(NOT(ISNUMBER($W421)),NOT(ISNUMBER($X421)),$W421=0),"",ROUND($X421/$W421,4))</x:f>
        <x:v>0.3559</x:v>
      </x:c>
      <x:c r="Z421" s="82" t="n">
        <x:f>IF(OR($AH421&lt;&gt;"Valid",$AI421&lt;&gt;"Valid"),"",INT($D421-$C421))</x:f>
        <x:v>4</x:v>
      </x:c>
      <x:c r="AA421" s="86" t="str">
        <x:f>IF($AH421&lt;&gt;"Valid","",TEXT($C421,"mmmm"))</x:f>
        <x:v>September</x:v>
      </x:c>
      <x:c r="AB421" s="82" t="n">
        <x:f>IF($AH421&lt;&gt;"Valid","",YEAR($C421))</x:f>
        <x:v>2025</x:v>
      </x:c>
      <x:c r="AC421" s="80" t="str">
        <x:v>Consistent</x:v>
      </x:c>
      <x:c r="AD421" s="80" t="str">
        <x:v>Eligible</x:v>
      </x:c>
      <x:c r="AE421" s="80" t="str">
        <x:f>IF(OR($AH421&lt;&gt;"Valid",$AI421&lt;&gt;"Valid",$AJ421&lt;&gt;"Valid",LEFT($AM421,7)="Invalid",IFERROR(ABS($AQ421)&gt;0.01,FALSE),IFERROR(ABS($AR421)&gt;0.01,FALSE),COUNTIF($AS421,"*Conflicting duplicate*")&gt;0,COUNTIF($AS421,"*Completed order not paid*")&gt;0),"Invalid",IF(OR($H421="Unknown",$N421="Unknown",$AM421="Missing discount imputed as 0"),"Warning","Clean"))</x:f>
        <x:v>Clean</x:v>
      </x:c>
      <x:c r="AF421" s="80" t="str">
        <x:v>Pass</x:v>
      </x:c>
      <x:c r="AG421" s="80" t="str">
        <x:v>No text cleanup required</x:v>
      </x:c>
      <x:c r="AH421" s="12" t="str">
        <x:f>IF(C421="","Missing date",IF(ISNUMBER(C421),"Valid","Unrecognized/invalid date"))</x:f>
        <x:v>Valid</x:v>
      </x:c>
      <x:c r="AI421" s="12" t="str">
        <x:f>IF(D421="","Missing date",IF(ISNUMBER(D421),"Valid","Unrecognized/invalid date"))</x:f>
        <x:v>Valid</x:v>
      </x:c>
      <x:c r="AJ421" s="12" t="str">
        <x:v>Valid</x:v>
      </x:c>
      <x:c r="AK421" s="12" t="str">
        <x:v>Pass</x:v>
      </x:c>
      <x:c r="AL421" s="12" t="str">
        <x:v>None</x:v>
      </x:c>
      <x:c r="AM421" s="12" t="str">
        <x:v>Valid</x:v>
      </x:c>
      <x:c r="AN421" s="12" t="str">
        <x:v>Include in completed sales</x:v>
      </x:c>
      <x:c r="AO421" s="12" t="str">
        <x:v>Not a refunded record</x:v>
      </x:c>
      <x:c r="AP421" s="37" t="n">
        <x:f>IF(LEFT($AM421,7)="Invalid","",IF($AM421="Missing discount imputed as 0",IF(AND(COUNT($O421,$P421,$R421,$S421)=4,$O421&gt;0,$P421&gt;=0,$R421&gt;=0,$S421&gt;=0),0,""),IF(AND(ISNUMBER($Q421),$Q421&gt;=0,$Q421&lt;=0.5),$Q421,"")))</x:f>
        <x:v>0.05</x:v>
      </x:c>
      <x:c r="AQ421" s="152" t="n">
        <x:f>IF(OR($W421="",NOT(ISNUMBER($R421))),"",ROUND($R421-$W421,2))</x:f>
        <x:v>0</x:v>
      </x:c>
      <x:c r="AR421" s="152" t="n">
        <x:f>IF(OR($X421="",NOT(ISNUMBER($T421))),"",ROUND($T421-$X421,2))</x:f>
        <x:v>0</x:v>
      </x:c>
      <x:c r="AS421" s="14" t="str">
        <x:v>OK</x:v>
      </x:c>
    </x:row>
    <x:row r="422">
      <x:c r="A422" s="80" t="n">
        <x:v>422</x:v>
      </x:c>
      <x:c r="B422" s="80" t="str">
        <x:v>ORD-2025-10421</x:v>
      </x:c>
      <x:c r="C422" s="81" t="n">
        <x:v>45734</x:v>
      </x:c>
      <x:c r="D422" s="81" t="n">
        <x:v>45735</x:v>
      </x:c>
      <x:c r="E422" s="80" t="str">
        <x:v>CUST-7131</x:v>
      </x:c>
      <x:c r="F422" s="80" t="str">
        <x:v>Isha Nair</x:v>
      </x:c>
      <x:c r="G422" s="80" t="str">
        <x:v>Corporate</x:v>
      </x:c>
      <x:c r="H422" s="80" t="str">
        <x:v>South</x:v>
      </x:c>
      <x:c r="I422" s="80" t="str">
        <x:v>Tamil Nadu</x:v>
      </x:c>
      <x:c r="J422" s="80" t="str">
        <x:v>Chennai</x:v>
      </x:c>
      <x:c r="K422" s="80" t="str">
        <x:v>Technology</x:v>
      </x:c>
      <x:c r="L422" s="80" t="str">
        <x:v>Machines</x:v>
      </x:c>
      <x:c r="M422" s="80" t="str">
        <x:v>Pro Machines 579</x:v>
      </x:c>
      <x:c r="N422" s="80" t="str">
        <x:v>Standard Class</x:v>
      </x:c>
      <x:c r="O422" s="82" t="n">
        <x:v>2</x:v>
      </x:c>
      <x:c r="P422" s="83" t="n">
        <x:v>1209.99</x:v>
      </x:c>
      <x:c r="Q422" s="84" t="n">
        <x:v>0.25</x:v>
      </x:c>
      <x:c r="R422" s="83" t="n">
        <x:v>1814.99</x:v>
      </x:c>
      <x:c r="S422" s="83" t="n">
        <x:v>1120.06</x:v>
      </x:c>
      <x:c r="T422" s="83" t="n">
        <x:v>694.93</x:v>
      </x:c>
      <x:c r="U422" s="83" t="str">
        <x:v>Pending</x:v>
      </x:c>
      <x:c r="V422" s="83" t="str">
        <x:v>Cancelled</x:v>
      </x:c>
      <x:c r="W422" s="151" t="n">
        <x:f>IF(OR(NOT(ISNUMBER($AP422)),COUNT($O422,$P422)&lt;2,$O422&lt;=0,$P422&lt;0),"",ROUND($O422*$P422*(1-$AP422),2))</x:f>
        <x:v>1814.99</x:v>
      </x:c>
      <x:c r="X422" s="151" t="n">
        <x:f>IF(OR(NOT(ISNUMBER($W422)),NOT(ISNUMBER($S422))),"",ROUND($W422-$S422,2))</x:f>
        <x:v>694.93</x:v>
      </x:c>
      <x:c r="Y422" s="85" t="n">
        <x:f>IF(OR(NOT(ISNUMBER($W422)),NOT(ISNUMBER($X422)),$W422=0),"",ROUND($X422/$W422,4))</x:f>
        <x:v>0.3829</x:v>
      </x:c>
      <x:c r="Z422" s="82" t="n">
        <x:f>IF(OR($AH422&lt;&gt;"Valid",$AI422&lt;&gt;"Valid"),"",INT($D422-$C422))</x:f>
        <x:v>1</x:v>
      </x:c>
      <x:c r="AA422" s="86" t="str">
        <x:f>IF($AH422&lt;&gt;"Valid","",TEXT($C422,"mmmm"))</x:f>
        <x:v>March</x:v>
      </x:c>
      <x:c r="AB422" s="82" t="n">
        <x:f>IF($AH422&lt;&gt;"Valid","",YEAR($C422))</x:f>
        <x:v>2025</x:v>
      </x:c>
      <x:c r="AC422" s="80" t="str">
        <x:v>Cancelled (excluded from completed-sales summary)</x:v>
      </x:c>
      <x:c r="AD422" s="80" t="str">
        <x:v>Excluded</x:v>
      </x:c>
      <x:c r="AE422" s="80" t="str">
        <x:f>IF(OR($AH422&lt;&gt;"Valid",$AI422&lt;&gt;"Valid",$AJ422&lt;&gt;"Valid",LEFT($AM422,7)="Invalid",IFERROR(ABS($AQ422)&gt;0.01,FALSE),IFERROR(ABS($AR422)&gt;0.01,FALSE),COUNTIF($AS422,"*Conflicting duplicate*")&gt;0,COUNTIF($AS422,"*Completed order not paid*")&gt;0),"Invalid",IF(OR($H422="Unknown",$N422="Unknown",$AM422="Missing discount imputed as 0"),"Warning","Clean"))</x:f>
        <x:v>Clean</x:v>
      </x:c>
      <x:c r="AF422" s="80" t="str">
        <x:v>Pass</x:v>
      </x:c>
      <x:c r="AG422" s="80" t="str">
        <x:v>No text cleanup required</x:v>
      </x:c>
      <x:c r="AH422" s="12" t="str">
        <x:f>IF(C422="","Missing date",IF(ISNUMBER(C422),"Valid","Unrecognized/invalid date"))</x:f>
        <x:v>Valid</x:v>
      </x:c>
      <x:c r="AI422" s="12" t="str">
        <x:f>IF(D422="","Missing date",IF(ISNUMBER(D422),"Valid","Unrecognized/invalid date"))</x:f>
        <x:v>Valid</x:v>
      </x:c>
      <x:c r="AJ422" s="12" t="str">
        <x:v>Valid</x:v>
      </x:c>
      <x:c r="AK422" s="12" t="str">
        <x:v>Pass</x:v>
      </x:c>
      <x:c r="AL422" s="12" t="str">
        <x:v>Cancelled order – excluded from completed sales</x:v>
      </x:c>
      <x:c r="AM422" s="12" t="str">
        <x:v>Valid</x:v>
      </x:c>
      <x:c r="AN422" s="12" t="str">
        <x:v>Exclude from completed sales</x:v>
      </x:c>
      <x:c r="AO422" s="12" t="str">
        <x:v>Not a refunded record</x:v>
      </x:c>
      <x:c r="AP422" s="37" t="n">
        <x:f>IF(LEFT($AM422,7)="Invalid","",IF($AM422="Missing discount imputed as 0",IF(AND(COUNT($O422,$P422,$R422,$S422)=4,$O422&gt;0,$P422&gt;=0,$R422&gt;=0,$S422&gt;=0),0,""),IF(AND(ISNUMBER($Q422),$Q422&gt;=0,$Q422&lt;=0.5),$Q422,"")))</x:f>
        <x:v>0.25</x:v>
      </x:c>
      <x:c r="AQ422" s="152" t="n">
        <x:f>IF(OR($W422="",NOT(ISNUMBER($R422))),"",ROUND($R422-$W422,2))</x:f>
        <x:v>0</x:v>
      </x:c>
      <x:c r="AR422" s="152" t="n">
        <x:f>IF(OR($X422="",NOT(ISNUMBER($T422))),"",ROUND($T422-$X422,2))</x:f>
        <x:v>0</x:v>
      </x:c>
      <x:c r="AS422" s="14" t="str">
        <x:v>OK</x:v>
      </x:c>
    </x:row>
    <x:row r="423">
      <x:c r="A423" s="80" t="n">
        <x:v>423</x:v>
      </x:c>
      <x:c r="B423" s="80" t="str">
        <x:v>ORD-2025-10422</x:v>
      </x:c>
      <x:c r="C423" s="81" t="n">
        <x:v>45822</x:v>
      </x:c>
      <x:c r="D423" s="81" t="n">
        <x:v>45827</x:v>
      </x:c>
      <x:c r="E423" s="80" t="str">
        <x:v>CUST-2779</x:v>
      </x:c>
      <x:c r="F423" s="80" t="str">
        <x:v>Rohan Mehta</x:v>
      </x:c>
      <x:c r="G423" s="80" t="str">
        <x:v>Small Business</x:v>
      </x:c>
      <x:c r="H423" s="80" t="str">
        <x:v>North</x:v>
      </x:c>
      <x:c r="I423" s="80" t="str">
        <x:v>Delhi</x:v>
      </x:c>
      <x:c r="J423" s="80" t="str">
        <x:v>New Delhi</x:v>
      </x:c>
      <x:c r="K423" s="80" t="str">
        <x:v>Office Supplies</x:v>
      </x:c>
      <x:c r="L423" s="80" t="str">
        <x:v>Binders</x:v>
      </x:c>
      <x:c r="M423" s="80" t="str">
        <x:v>Elite Binders 943</x:v>
      </x:c>
      <x:c r="N423" s="80" t="str">
        <x:v>Same Day</x:v>
      </x:c>
      <x:c r="O423" s="82" t="n">
        <x:v>3</x:v>
      </x:c>
      <x:c r="P423" s="83" t="n">
        <x:v>1037.45</x:v>
      </x:c>
      <x:c r="Q423" s="84" t="n">
        <x:v>0.2</x:v>
      </x:c>
      <x:c r="R423" s="83" t="n">
        <x:v>2489.88</x:v>
      </x:c>
      <x:c r="S423" s="83" t="n">
        <x:v>1707.52</x:v>
      </x:c>
      <x:c r="T423" s="83" t="n">
        <x:v>782.36</x:v>
      </x:c>
      <x:c r="U423" s="83" t="str">
        <x:v>Pending</x:v>
      </x:c>
      <x:c r="V423" s="83" t="str">
        <x:v>Returned</x:v>
      </x:c>
      <x:c r="W423" s="151" t="n">
        <x:f>IF(OR(NOT(ISNUMBER($AP423)),COUNT($O423,$P423)&lt;2,$O423&lt;=0,$P423&lt;0),"",ROUND($O423*$P423*(1-$AP423),2))</x:f>
        <x:v>2489.88</x:v>
      </x:c>
      <x:c r="X423" s="151" t="n">
        <x:f>IF(OR(NOT(ISNUMBER($W423)),NOT(ISNUMBER($S423))),"",ROUND($W423-$S423,2))</x:f>
        <x:v>782.36</x:v>
      </x:c>
      <x:c r="Y423" s="85" t="n">
        <x:f>IF(OR(NOT(ISNUMBER($W423)),NOT(ISNUMBER($X423)),$W423=0),"",ROUND($X423/$W423,4))</x:f>
        <x:v>0.3142</x:v>
      </x:c>
      <x:c r="Z423" s="82" t="n">
        <x:f>IF(OR($AH423&lt;&gt;"Valid",$AI423&lt;&gt;"Valid"),"",INT($D423-$C423))</x:f>
        <x:v>5</x:v>
      </x:c>
      <x:c r="AA423" s="86" t="str">
        <x:f>IF($AH423&lt;&gt;"Valid","",TEXT($C423,"mmmm"))</x:f>
        <x:v>June</x:v>
      </x:c>
      <x:c r="AB423" s="82" t="n">
        <x:f>IF($AH423&lt;&gt;"Valid","",YEAR($C423))</x:f>
        <x:v>2025</x:v>
      </x:c>
      <x:c r="AC423" s="80" t="str">
        <x:v>Consistent</x:v>
      </x:c>
      <x:c r="AD423" s="80" t="str">
        <x:v>Excluded</x:v>
      </x:c>
      <x:c r="AE423" s="80" t="str">
        <x:f>IF(OR($AH423&lt;&gt;"Valid",$AI423&lt;&gt;"Valid",$AJ423&lt;&gt;"Valid",LEFT($AM423,7)="Invalid",IFERROR(ABS($AQ423)&gt;0.01,FALSE),IFERROR(ABS($AR423)&gt;0.01,FALSE),COUNTIF($AS423,"*Conflicting duplicate*")&gt;0,COUNTIF($AS423,"*Completed order not paid*")&gt;0),"Invalid",IF(OR($H423="Unknown",$N423="Unknown",$AM423="Missing discount imputed as 0"),"Warning","Clean"))</x:f>
        <x:v>Clean</x:v>
      </x:c>
      <x:c r="AF423" s="80" t="str">
        <x:v>Pass</x:v>
      </x:c>
      <x:c r="AG423" s="80" t="str">
        <x:v>No text cleanup required</x:v>
      </x:c>
      <x:c r="AH423" s="12" t="str">
        <x:f>IF(C423="","Missing date",IF(ISNUMBER(C423),"Valid","Unrecognized/invalid date"))</x:f>
        <x:v>Valid</x:v>
      </x:c>
      <x:c r="AI423" s="12" t="str">
        <x:f>IF(D423="","Missing date",IF(ISNUMBER(D423),"Valid","Unrecognized/invalid date"))</x:f>
        <x:v>Valid</x:v>
      </x:c>
      <x:c r="AJ423" s="12" t="str">
        <x:v>Valid</x:v>
      </x:c>
      <x:c r="AK423" s="12" t="str">
        <x:v>Pass</x:v>
      </x:c>
      <x:c r="AL423" s="12" t="str">
        <x:v>None</x:v>
      </x:c>
      <x:c r="AM423" s="12" t="str">
        <x:v>Valid</x:v>
      </x:c>
      <x:c r="AN423" s="12" t="str">
        <x:v>Exclude from completed sales</x:v>
      </x:c>
      <x:c r="AO423" s="12" t="str">
        <x:v>Not a refunded record</x:v>
      </x:c>
      <x:c r="AP423" s="37" t="n">
        <x:f>IF(LEFT($AM423,7)="Invalid","",IF($AM423="Missing discount imputed as 0",IF(AND(COUNT($O423,$P423,$R423,$S423)=4,$O423&gt;0,$P423&gt;=0,$R423&gt;=0,$S423&gt;=0),0,""),IF(AND(ISNUMBER($Q423),$Q423&gt;=0,$Q423&lt;=0.5),$Q423,"")))</x:f>
        <x:v>0.2</x:v>
      </x:c>
      <x:c r="AQ423" s="152" t="n">
        <x:f>IF(OR($W423="",NOT(ISNUMBER($R423))),"",ROUND($R423-$W423,2))</x:f>
        <x:v>0</x:v>
      </x:c>
      <x:c r="AR423" s="152" t="n">
        <x:f>IF(OR($X423="",NOT(ISNUMBER($T423))),"",ROUND($T423-$X423,2))</x:f>
        <x:v>0</x:v>
      </x:c>
      <x:c r="AS423" s="14" t="str">
        <x:v>OK</x:v>
      </x:c>
    </x:row>
    <x:row r="424">
      <x:c r="A424" s="80" t="n">
        <x:v>424</x:v>
      </x:c>
      <x:c r="B424" s="80" t="str">
        <x:v>ORD-2025-10423</x:v>
      </x:c>
      <x:c r="C424" s="81" t="n">
        <x:v>45903</x:v>
      </x:c>
      <x:c r="D424" s="81" t="n">
        <x:v>45906</x:v>
      </x:c>
      <x:c r="E424" s="80" t="str">
        <x:v>CUST-6077</x:v>
      </x:c>
      <x:c r="F424" s="80" t="str">
        <x:v>Kabir Singh</x:v>
      </x:c>
      <x:c r="G424" s="80" t="str">
        <x:v>Consumer</x:v>
      </x:c>
      <x:c r="H424" s="80" t="str">
        <x:v>West</x:v>
      </x:c>
      <x:c r="I424" s="80" t="str">
        <x:v>Madhya Pradesh</x:v>
      </x:c>
      <x:c r="J424" s="80" t="str">
        <x:v>Indore</x:v>
      </x:c>
      <x:c r="K424" s="80" t="str">
        <x:v>Technology</x:v>
      </x:c>
      <x:c r="L424" s="80" t="str">
        <x:v>Copiers</x:v>
      </x:c>
      <x:c r="M424" s="80" t="str">
        <x:v>Elite Copiers 474</x:v>
      </x:c>
      <x:c r="N424" s="80" t="str">
        <x:v>Same Day</x:v>
      </x:c>
      <x:c r="O424" s="82" t="n">
        <x:v>7</x:v>
      </x:c>
      <x:c r="P424" s="83" t="n">
        <x:v>688.85</x:v>
      </x:c>
      <x:c r="Q424" s="84" t="n">
        <x:v>0.15</x:v>
      </x:c>
      <x:c r="R424" s="83" t="n">
        <x:v>4098.66</x:v>
      </x:c>
      <x:c r="S424" s="83" t="n">
        <x:v>2678.06</x:v>
      </x:c>
      <x:c r="T424" s="83" t="n">
        <x:v>1420.6</x:v>
      </x:c>
      <x:c r="U424" s="83" t="str">
        <x:v>Paid</x:v>
      </x:c>
      <x:c r="V424" s="83" t="str">
        <x:v>Completed</x:v>
      </x:c>
      <x:c r="W424" s="151" t="n">
        <x:f>IF(OR(NOT(ISNUMBER($AP424)),COUNT($O424,$P424)&lt;2,$O424&lt;=0,$P424&lt;0),"",ROUND($O424*$P424*(1-$AP424),2))</x:f>
        <x:v>4098.66</x:v>
      </x:c>
      <x:c r="X424" s="151" t="n">
        <x:f>IF(OR(NOT(ISNUMBER($W424)),NOT(ISNUMBER($S424))),"",ROUND($W424-$S424,2))</x:f>
        <x:v>1420.6</x:v>
      </x:c>
      <x:c r="Y424" s="85" t="n">
        <x:f>IF(OR(NOT(ISNUMBER($W424)),NOT(ISNUMBER($X424)),$W424=0),"",ROUND($X424/$W424,4))</x:f>
        <x:v>0.3466</x:v>
      </x:c>
      <x:c r="Z424" s="82" t="n">
        <x:f>IF(OR($AH424&lt;&gt;"Valid",$AI424&lt;&gt;"Valid"),"",INT($D424-$C424))</x:f>
        <x:v>3</x:v>
      </x:c>
      <x:c r="AA424" s="86" t="str">
        <x:f>IF($AH424&lt;&gt;"Valid","",TEXT($C424,"mmmm"))</x:f>
        <x:v>September</x:v>
      </x:c>
      <x:c r="AB424" s="82" t="n">
        <x:f>IF($AH424&lt;&gt;"Valid","",YEAR($C424))</x:f>
        <x:v>2025</x:v>
      </x:c>
      <x:c r="AC424" s="80" t="str">
        <x:v>Consistent</x:v>
      </x:c>
      <x:c r="AD424" s="80" t="str">
        <x:v>Eligible</x:v>
      </x:c>
      <x:c r="AE424" s="80" t="str">
        <x:f>IF(OR($AH424&lt;&gt;"Valid",$AI424&lt;&gt;"Valid",$AJ424&lt;&gt;"Valid",LEFT($AM424,7)="Invalid",IFERROR(ABS($AQ424)&gt;0.01,FALSE),IFERROR(ABS($AR424)&gt;0.01,FALSE),COUNTIF($AS424,"*Conflicting duplicate*")&gt;0,COUNTIF($AS424,"*Completed order not paid*")&gt;0),"Invalid",IF(OR($H424="Unknown",$N424="Unknown",$AM424="Missing discount imputed as 0"),"Warning","Clean"))</x:f>
        <x:v>Clean</x:v>
      </x:c>
      <x:c r="AF424" s="80" t="str">
        <x:v>Pass</x:v>
      </x:c>
      <x:c r="AG424" s="80" t="str">
        <x:v>No text cleanup required</x:v>
      </x:c>
      <x:c r="AH424" s="12" t="str">
        <x:f>IF(C424="","Missing date",IF(ISNUMBER(C424),"Valid","Unrecognized/invalid date"))</x:f>
        <x:v>Valid</x:v>
      </x:c>
      <x:c r="AI424" s="12" t="str">
        <x:f>IF(D424="","Missing date",IF(ISNUMBER(D424),"Valid","Unrecognized/invalid date"))</x:f>
        <x:v>Valid</x:v>
      </x:c>
      <x:c r="AJ424" s="12" t="str">
        <x:v>Valid</x:v>
      </x:c>
      <x:c r="AK424" s="12" t="str">
        <x:v>Pass</x:v>
      </x:c>
      <x:c r="AL424" s="12" t="str">
        <x:v>None</x:v>
      </x:c>
      <x:c r="AM424" s="12" t="str">
        <x:v>Valid</x:v>
      </x:c>
      <x:c r="AN424" s="12" t="str">
        <x:v>Include in completed sales</x:v>
      </x:c>
      <x:c r="AO424" s="12" t="str">
        <x:v>Not a refunded record</x:v>
      </x:c>
      <x:c r="AP424" s="37" t="n">
        <x:f>IF(LEFT($AM424,7)="Invalid","",IF($AM424="Missing discount imputed as 0",IF(AND(COUNT($O424,$P424,$R424,$S424)=4,$O424&gt;0,$P424&gt;=0,$R424&gt;=0,$S424&gt;=0),0,""),IF(AND(ISNUMBER($Q424),$Q424&gt;=0,$Q424&lt;=0.5),$Q424,"")))</x:f>
        <x:v>0.15</x:v>
      </x:c>
      <x:c r="AQ424" s="152" t="n">
        <x:f>IF(OR($W424="",NOT(ISNUMBER($R424))),"",ROUND($R424-$W424,2))</x:f>
        <x:v>0</x:v>
      </x:c>
      <x:c r="AR424" s="152" t="n">
        <x:f>IF(OR($X424="",NOT(ISNUMBER($T424))),"",ROUND($T424-$X424,2))</x:f>
        <x:v>0</x:v>
      </x:c>
      <x:c r="AS424" s="14" t="str">
        <x:v>OK</x:v>
      </x:c>
    </x:row>
    <x:row r="425">
      <x:c r="A425" s="80" t="n">
        <x:v>425</x:v>
      </x:c>
      <x:c r="B425" s="80" t="str">
        <x:v>ORD-2024-10424</x:v>
      </x:c>
      <x:c r="C425" s="81" t="n">
        <x:v>45342</x:v>
      </x:c>
      <x:c r="D425" s="81" t="n">
        <x:v>45349</x:v>
      </x:c>
      <x:c r="E425" s="80" t="str">
        <x:v>CUST-6169</x:v>
      </x:c>
      <x:c r="F425" s="80" t="str">
        <x:v>Diya Patel</x:v>
      </x:c>
      <x:c r="G425" s="80" t="str">
        <x:v>Consumer</x:v>
      </x:c>
      <x:c r="H425" s="80" t="str">
        <x:v>South</x:v>
      </x:c>
      <x:c r="I425" s="80" t="str">
        <x:v>Kerala</x:v>
      </x:c>
      <x:c r="J425" s="80" t="str">
        <x:v>Kochi</x:v>
      </x:c>
      <x:c r="K425" s="80" t="str">
        <x:v>Technology</x:v>
      </x:c>
      <x:c r="L425" s="80" t="str">
        <x:v>Accessories</x:v>
      </x:c>
      <x:c r="M425" s="80" t="str">
        <x:v>Prime Accessories 236</x:v>
      </x:c>
      <x:c r="N425" s="80" t="str">
        <x:v>First Class</x:v>
      </x:c>
      <x:c r="O425" s="82" t="n">
        <x:v>9</x:v>
      </x:c>
      <x:c r="P425" s="83" t="n">
        <x:v>3779.31</x:v>
      </x:c>
      <x:c r="Q425" s="84" t="n">
        <x:v>0.2</x:v>
      </x:c>
      <x:c r="R425" s="83" t="n">
        <x:v>27211.03</x:v>
      </x:c>
      <x:c r="S425" s="83" t="n">
        <x:v>17940.43</x:v>
      </x:c>
      <x:c r="T425" s="83" t="n">
        <x:v>9270.6</x:v>
      </x:c>
      <x:c r="U425" s="83" t="str">
        <x:v>Paid</x:v>
      </x:c>
      <x:c r="V425" s="83" t="str">
        <x:v>Completed</x:v>
      </x:c>
      <x:c r="W425" s="151" t="n">
        <x:f>IF(OR(NOT(ISNUMBER($AP425)),COUNT($O425,$P425)&lt;2,$O425&lt;=0,$P425&lt;0),"",ROUND($O425*$P425*(1-$AP425),2))</x:f>
        <x:v>27211.03</x:v>
      </x:c>
      <x:c r="X425" s="151" t="n">
        <x:f>IF(OR(NOT(ISNUMBER($W425)),NOT(ISNUMBER($S425))),"",ROUND($W425-$S425,2))</x:f>
        <x:v>9270.6</x:v>
      </x:c>
      <x:c r="Y425" s="85" t="n">
        <x:f>IF(OR(NOT(ISNUMBER($W425)),NOT(ISNUMBER($X425)),$W425=0),"",ROUND($X425/$W425,4))</x:f>
        <x:v>0.3407</x:v>
      </x:c>
      <x:c r="Z425" s="82" t="n">
        <x:f>IF(OR($AH425&lt;&gt;"Valid",$AI425&lt;&gt;"Valid"),"",INT($D425-$C425))</x:f>
        <x:v>7</x:v>
      </x:c>
      <x:c r="AA425" s="86" t="str">
        <x:f>IF($AH425&lt;&gt;"Valid","",TEXT($C425,"mmmm"))</x:f>
        <x:v>February</x:v>
      </x:c>
      <x:c r="AB425" s="82" t="n">
        <x:f>IF($AH425&lt;&gt;"Valid","",YEAR($C425))</x:f>
        <x:v>2024</x:v>
      </x:c>
      <x:c r="AC425" s="80" t="str">
        <x:v>Consistent</x:v>
      </x:c>
      <x:c r="AD425" s="80" t="str">
        <x:v>Excluded</x:v>
      </x:c>
      <x:c r="AE425" s="80" t="str">
        <x:f>IF(OR($AH425&lt;&gt;"Valid",$AI425&lt;&gt;"Valid",$AJ425&lt;&gt;"Valid",LEFT($AM425,7)="Invalid",IFERROR(ABS($AQ425)&gt;0.01,FALSE),IFERROR(ABS($AR425)&gt;0.01,FALSE),COUNTIF($AS425,"*Conflicting duplicate*")&gt;0,COUNTIF($AS425,"*Completed order not paid*")&gt;0),"Invalid",IF(OR($H425="Unknown",$N425="Unknown",$AM425="Missing discount imputed as 0"),"Warning","Clean"))</x:f>
        <x:v>Clean</x:v>
      </x:c>
      <x:c r="AF425" s="80" t="str">
        <x:v>Review</x:v>
      </x:c>
      <x:c r="AG425" s="80" t="str">
        <x:v>ship_mode: Case standardization</x:v>
      </x:c>
      <x:c r="AH425" s="12" t="str">
        <x:f>IF(C425="","Missing date",IF(ISNUMBER(C425),"Valid","Unrecognized/invalid date"))</x:f>
        <x:v>Valid</x:v>
      </x:c>
      <x:c r="AI425" s="12" t="str">
        <x:f>IF(D425="","Missing date",IF(ISNUMBER(D425),"Valid","Unrecognized/invalid date"))</x:f>
        <x:v>Valid</x:v>
      </x:c>
      <x:c r="AJ425" s="12" t="str">
        <x:v>Valid</x:v>
      </x:c>
      <x:c r="AK425" s="12" t="str">
        <x:v>Pass</x:v>
      </x:c>
      <x:c r="AL425" s="12" t="str">
        <x:v>None</x:v>
      </x:c>
      <x:c r="AM425" s="12" t="str">
        <x:v>Valid</x:v>
      </x:c>
      <x:c r="AN425" s="12" t="str">
        <x:v>Exclude from completed sales</x:v>
      </x:c>
      <x:c r="AO425" s="12" t="str">
        <x:v>Not a refunded record</x:v>
      </x:c>
      <x:c r="AP425" s="37" t="n">
        <x:f>IF(LEFT($AM425,7)="Invalid","",IF($AM425="Missing discount imputed as 0",IF(AND(COUNT($O425,$P425,$R425,$S425)=4,$O425&gt;0,$P425&gt;=0,$R425&gt;=0,$S425&gt;=0),0,""),IF(AND(ISNUMBER($Q425),$Q425&gt;=0,$Q425&lt;=0.5),$Q425,"")))</x:f>
        <x:v>0.2</x:v>
      </x:c>
      <x:c r="AQ425" s="152" t="n">
        <x:f>IF(OR($W425="",NOT(ISNUMBER($R425))),"",ROUND($R425-$W425,2))</x:f>
        <x:v>0</x:v>
      </x:c>
      <x:c r="AR425" s="152" t="n">
        <x:f>IF(OR($X425="",NOT(ISNUMBER($T425))),"",ROUND($T425-$X425,2))</x:f>
        <x:v>0</x:v>
      </x:c>
      <x:c r="AS425" s="14" t="str">
        <x:v>Conflicting duplicate order ID</x:v>
      </x:c>
    </x:row>
    <x:row r="426">
      <x:c r="A426" s="80" t="n">
        <x:v>426</x:v>
      </x:c>
      <x:c r="B426" s="80" t="str">
        <x:v>ORD-2024-10425</x:v>
      </x:c>
      <x:c r="C426" s="81" t="n">
        <x:v>45469</x:v>
      </x:c>
      <x:c r="D426" s="81" t="n">
        <x:v>45472</x:v>
      </x:c>
      <x:c r="E426" s="80" t="str">
        <x:v>CUST-8904</x:v>
      </x:c>
      <x:c r="F426" s="80" t="str">
        <x:v>Neha Gupta</x:v>
      </x:c>
      <x:c r="G426" s="80" t="str">
        <x:v>Corporate</x:v>
      </x:c>
      <x:c r="H426" s="80" t="str">
        <x:v>North</x:v>
      </x:c>
      <x:c r="I426" s="80" t="str">
        <x:v>Punjab</x:v>
      </x:c>
      <x:c r="J426" s="80" t="str">
        <x:v>Ludhiana</x:v>
      </x:c>
      <x:c r="K426" s="80" t="str">
        <x:v>Technology</x:v>
      </x:c>
      <x:c r="L426" s="80" t="str">
        <x:v>Phones</x:v>
      </x:c>
      <x:c r="M426" s="80" t="str">
        <x:v>Prime Phones 881</x:v>
      </x:c>
      <x:c r="N426" s="80" t="str">
        <x:v>Standard Class</x:v>
      </x:c>
      <x:c r="O426" s="82" t="n">
        <x:v>8</x:v>
      </x:c>
      <x:c r="P426" s="83" t="n">
        <x:v>804.52</x:v>
      </x:c>
      <x:c r="Q426" s="84" t="n">
        <x:v>0</x:v>
      </x:c>
      <x:c r="R426" s="83" t="n">
        <x:v>6436.16</x:v>
      </x:c>
      <x:c r="S426" s="83" t="n">
        <x:v>4263.83</x:v>
      </x:c>
      <x:c r="T426" s="83" t="n">
        <x:v>2172.33</x:v>
      </x:c>
      <x:c r="U426" s="83" t="str">
        <x:v>Paid</x:v>
      </x:c>
      <x:c r="V426" s="83" t="str">
        <x:v>Completed</x:v>
      </x:c>
      <x:c r="W426" s="151" t="n">
        <x:f>IF(OR(NOT(ISNUMBER($AP426)),COUNT($O426,$P426)&lt;2,$O426&lt;=0,$P426&lt;0),"",ROUND($O426*$P426*(1-$AP426),2))</x:f>
        <x:v>6436.16</x:v>
      </x:c>
      <x:c r="X426" s="151" t="n">
        <x:f>IF(OR(NOT(ISNUMBER($W426)),NOT(ISNUMBER($S426))),"",ROUND($W426-$S426,2))</x:f>
        <x:v>2172.33</x:v>
      </x:c>
      <x:c r="Y426" s="85" t="n">
        <x:f>IF(OR(NOT(ISNUMBER($W426)),NOT(ISNUMBER($X426)),$W426=0),"",ROUND($X426/$W426,4))</x:f>
        <x:v>0.3375</x:v>
      </x:c>
      <x:c r="Z426" s="82" t="n">
        <x:f>IF(OR($AH426&lt;&gt;"Valid",$AI426&lt;&gt;"Valid"),"",INT($D426-$C426))</x:f>
        <x:v>3</x:v>
      </x:c>
      <x:c r="AA426" s="86" t="str">
        <x:f>IF($AH426&lt;&gt;"Valid","",TEXT($C426,"mmmm"))</x:f>
        <x:v>June</x:v>
      </x:c>
      <x:c r="AB426" s="82" t="n">
        <x:f>IF($AH426&lt;&gt;"Valid","",YEAR($C426))</x:f>
        <x:v>2024</x:v>
      </x:c>
      <x:c r="AC426" s="80" t="str">
        <x:v>Consistent</x:v>
      </x:c>
      <x:c r="AD426" s="80" t="str">
        <x:v>Eligible</x:v>
      </x:c>
      <x:c r="AE426" s="80" t="str">
        <x:f>IF(OR($AH426&lt;&gt;"Valid",$AI426&lt;&gt;"Valid",$AJ426&lt;&gt;"Valid",LEFT($AM426,7)="Invalid",IFERROR(ABS($AQ426)&gt;0.01,FALSE),IFERROR(ABS($AR426)&gt;0.01,FALSE),COUNTIF($AS426,"*Conflicting duplicate*")&gt;0,COUNTIF($AS426,"*Completed order not paid*")&gt;0),"Invalid",IF(OR($H426="Unknown",$N426="Unknown",$AM426="Missing discount imputed as 0"),"Warning","Clean"))</x:f>
        <x:v>Clean</x:v>
      </x:c>
      <x:c r="AF426" s="80" t="str">
        <x:v>Pass</x:v>
      </x:c>
      <x:c r="AG426" s="80" t="str">
        <x:v>No text cleanup required</x:v>
      </x:c>
      <x:c r="AH426" s="12" t="str">
        <x:f>IF(C426="","Missing date",IF(ISNUMBER(C426),"Valid","Unrecognized/invalid date"))</x:f>
        <x:v>Valid</x:v>
      </x:c>
      <x:c r="AI426" s="12" t="str">
        <x:f>IF(D426="","Missing date",IF(ISNUMBER(D426),"Valid","Unrecognized/invalid date"))</x:f>
        <x:v>Valid</x:v>
      </x:c>
      <x:c r="AJ426" s="12" t="str">
        <x:v>Valid</x:v>
      </x:c>
      <x:c r="AK426" s="12" t="str">
        <x:v>Pass</x:v>
      </x:c>
      <x:c r="AL426" s="12" t="str">
        <x:v>None</x:v>
      </x:c>
      <x:c r="AM426" s="12" t="str">
        <x:v>Valid</x:v>
      </x:c>
      <x:c r="AN426" s="12" t="str">
        <x:v>Include in completed sales</x:v>
      </x:c>
      <x:c r="AO426" s="12" t="str">
        <x:v>Not a refunded record</x:v>
      </x:c>
      <x:c r="AP426" s="37" t="n">
        <x:f>IF(LEFT($AM426,7)="Invalid","",IF($AM426="Missing discount imputed as 0",IF(AND(COUNT($O426,$P426,$R426,$S426)=4,$O426&gt;0,$P426&gt;=0,$R426&gt;=0,$S426&gt;=0),0,""),IF(AND(ISNUMBER($Q426),$Q426&gt;=0,$Q426&lt;=0.5),$Q426,"")))</x:f>
        <x:v>0</x:v>
      </x:c>
      <x:c r="AQ426" s="152" t="n">
        <x:f>IF(OR($W426="",NOT(ISNUMBER($R426))),"",ROUND($R426-$W426,2))</x:f>
        <x:v>0</x:v>
      </x:c>
      <x:c r="AR426" s="152" t="n">
        <x:f>IF(OR($X426="",NOT(ISNUMBER($T426))),"",ROUND($T426-$X426,2))</x:f>
        <x:v>0</x:v>
      </x:c>
      <x:c r="AS426" s="14" t="str">
        <x:v>OK</x:v>
      </x:c>
    </x:row>
    <x:row r="427">
      <x:c r="A427" s="80" t="n">
        <x:v>427</x:v>
      </x:c>
      <x:c r="B427" s="80" t="str">
        <x:v>ORD-2024-10426</x:v>
      </x:c>
      <x:c r="C427" s="81" t="n">
        <x:v>45561</x:v>
      </x:c>
      <x:c r="D427" s="81" t="n">
        <x:v>45562</x:v>
      </x:c>
      <x:c r="E427" s="80" t="str">
        <x:v>CUST-9586</x:v>
      </x:c>
      <x:c r="F427" s="80" t="str">
        <x:v>Isha Nair</x:v>
      </x:c>
      <x:c r="G427" s="80" t="str">
        <x:v>Home Office</x:v>
      </x:c>
      <x:c r="H427" s="80" t="str">
        <x:v>North</x:v>
      </x:c>
      <x:c r="I427" s="80" t="str">
        <x:v>Delhi</x:v>
      </x:c>
      <x:c r="J427" s="80" t="str">
        <x:v>New Delhi</x:v>
      </x:c>
      <x:c r="K427" s="80" t="str">
        <x:v>Office Supplies</x:v>
      </x:c>
      <x:c r="L427" s="80" t="str">
        <x:v>Labels</x:v>
      </x:c>
      <x:c r="M427" s="80" t="str">
        <x:v>Pro Labels 903</x:v>
      </x:c>
      <x:c r="N427" s="80" t="str">
        <x:v>First Class</x:v>
      </x:c>
      <x:c r="O427" s="82" t="n">
        <x:v>2</x:v>
      </x:c>
      <x:c r="P427" s="83" t="n">
        <x:v>1065.69</x:v>
      </x:c>
      <x:c r="Q427" s="84" t="n">
        <x:v>0.1</x:v>
      </x:c>
      <x:c r="R427" s="83" t="n">
        <x:v>1918.24</x:v>
      </x:c>
      <x:c r="S427" s="83" t="n">
        <x:v>1373.52</x:v>
      </x:c>
      <x:c r="T427" s="83" t="n">
        <x:v>544.72</x:v>
      </x:c>
      <x:c r="U427" s="83" t="str">
        <x:v>Refunded</x:v>
      </x:c>
      <x:c r="V427" s="83" t="str">
        <x:v>Cancelled</x:v>
      </x:c>
      <x:c r="W427" s="151" t="n">
        <x:f>IF(OR(NOT(ISNUMBER($AP427)),COUNT($O427,$P427)&lt;2,$O427&lt;=0,$P427&lt;0),"",ROUND($O427*$P427*(1-$AP427),2))</x:f>
        <x:v>1918.24</x:v>
      </x:c>
      <x:c r="X427" s="151" t="n">
        <x:f>IF(OR(NOT(ISNUMBER($W427)),NOT(ISNUMBER($S427))),"",ROUND($W427-$S427,2))</x:f>
        <x:v>544.72</x:v>
      </x:c>
      <x:c r="Y427" s="85" t="n">
        <x:f>IF(OR(NOT(ISNUMBER($W427)),NOT(ISNUMBER($X427)),$W427=0),"",ROUND($X427/$W427,4))</x:f>
        <x:v>0.284</x:v>
      </x:c>
      <x:c r="Z427" s="82" t="n">
        <x:f>IF(OR($AH427&lt;&gt;"Valid",$AI427&lt;&gt;"Valid"),"",INT($D427-$C427))</x:f>
        <x:v>1</x:v>
      </x:c>
      <x:c r="AA427" s="86" t="str">
        <x:f>IF($AH427&lt;&gt;"Valid","",TEXT($C427,"mmmm"))</x:f>
        <x:v>September</x:v>
      </x:c>
      <x:c r="AB427" s="82" t="n">
        <x:f>IF($AH427&lt;&gt;"Valid","",YEAR($C427))</x:f>
        <x:v>2024</x:v>
      </x:c>
      <x:c r="AC427" s="80" t="str">
        <x:v>Cancelled (excluded from completed-sales summary)</x:v>
      </x:c>
      <x:c r="AD427" s="80" t="str">
        <x:v>Excluded</x:v>
      </x:c>
      <x:c r="AE427" s="80" t="str">
        <x:f>IF(OR($AH427&lt;&gt;"Valid",$AI427&lt;&gt;"Valid",$AJ427&lt;&gt;"Valid",LEFT($AM427,7)="Invalid",IFERROR(ABS($AQ427)&gt;0.01,FALSE),IFERROR(ABS($AR427)&gt;0.01,FALSE),COUNTIF($AS427,"*Conflicting duplicate*")&gt;0,COUNTIF($AS427,"*Completed order not paid*")&gt;0),"Invalid",IF(OR($H427="Unknown",$N427="Unknown",$AM427="Missing discount imputed as 0"),"Warning","Clean"))</x:f>
        <x:v>Clean</x:v>
      </x:c>
      <x:c r="AF427" s="80" t="str">
        <x:v>Pass</x:v>
      </x:c>
      <x:c r="AG427" s="80" t="str">
        <x:v>No text cleanup required</x:v>
      </x:c>
      <x:c r="AH427" s="12" t="str">
        <x:f>IF(C427="","Missing date",IF(ISNUMBER(C427),"Valid","Unrecognized/invalid date"))</x:f>
        <x:v>Valid</x:v>
      </x:c>
      <x:c r="AI427" s="12" t="str">
        <x:f>IF(D427="","Missing date",IF(ISNUMBER(D427),"Valid","Unrecognized/invalid date"))</x:f>
        <x:v>Valid</x:v>
      </x:c>
      <x:c r="AJ427" s="12" t="str">
        <x:v>Valid</x:v>
      </x:c>
      <x:c r="AK427" s="12" t="str">
        <x:v>Pass</x:v>
      </x:c>
      <x:c r="AL427" s="12" t="str">
        <x:v>Cancelled order – excluded from completed sales; Refunded payment – separately summarized</x:v>
      </x:c>
      <x:c r="AM427" s="12" t="str">
        <x:v>Valid</x:v>
      </x:c>
      <x:c r="AN427" s="12" t="str">
        <x:v>Exclude from completed sales</x:v>
      </x:c>
      <x:c r="AO427" s="12" t="str">
        <x:v>Include in refunded summary</x:v>
      </x:c>
      <x:c r="AP427" s="37" t="n">
        <x:f>IF(LEFT($AM427,7)="Invalid","",IF($AM427="Missing discount imputed as 0",IF(AND(COUNT($O427,$P427,$R427,$S427)=4,$O427&gt;0,$P427&gt;=0,$R427&gt;=0,$S427&gt;=0),0,""),IF(AND(ISNUMBER($Q427),$Q427&gt;=0,$Q427&lt;=0.5),$Q427,"")))</x:f>
        <x:v>0.1</x:v>
      </x:c>
      <x:c r="AQ427" s="152" t="n">
        <x:f>IF(OR($W427="",NOT(ISNUMBER($R427))),"",ROUND($R427-$W427,2))</x:f>
        <x:v>0</x:v>
      </x:c>
      <x:c r="AR427" s="152" t="n">
        <x:f>IF(OR($X427="",NOT(ISNUMBER($T427))),"",ROUND($T427-$X427,2))</x:f>
        <x:v>0</x:v>
      </x:c>
      <x:c r="AS427" s="14" t="str">
        <x:v>OK</x:v>
      </x:c>
    </x:row>
    <x:row r="428">
      <x:c r="A428" s="80" t="n">
        <x:v>428</x:v>
      </x:c>
      <x:c r="B428" s="80" t="str">
        <x:v>ORD-2024-10427</x:v>
      </x:c>
      <x:c r="C428" s="81" t="n">
        <x:v>45473</x:v>
      </x:c>
      <x:c r="D428" s="81" t="n">
        <x:v>45474</x:v>
      </x:c>
      <x:c r="E428" s="80" t="str">
        <x:v>CUST-5431</x:v>
      </x:c>
      <x:c r="F428" s="80" t="str">
        <x:v>Aditi Sen</x:v>
      </x:c>
      <x:c r="G428" s="80" t="str">
        <x:v>Consumer</x:v>
      </x:c>
      <x:c r="H428" s="80" t="str">
        <x:v>North</x:v>
      </x:c>
      <x:c r="I428" s="80" t="str">
        <x:v>Haryana</x:v>
      </x:c>
      <x:c r="J428" s="80" t="str">
        <x:v>Gurugram</x:v>
      </x:c>
      <x:c r="K428" s="80" t="str">
        <x:v>Technology</x:v>
      </x:c>
      <x:c r="L428" s="80" t="str">
        <x:v>Copiers</x:v>
      </x:c>
      <x:c r="M428" s="80" t="str">
        <x:v>Max Copiers 402</x:v>
      </x:c>
      <x:c r="N428" s="80" t="str">
        <x:v>Same Day</x:v>
      </x:c>
      <x:c r="O428" s="82" t="n">
        <x:v>8</x:v>
      </x:c>
      <x:c r="P428" s="83" t="n">
        <x:v>3756.66</x:v>
      </x:c>
      <x:c r="Q428" s="84" t="n">
        <x:v>0.1</x:v>
      </x:c>
      <x:c r="R428" s="83" t="n">
        <x:v>27047.95</x:v>
      </x:c>
      <x:c r="S428" s="83" t="n">
        <x:v>18431.33</x:v>
      </x:c>
      <x:c r="T428" s="83" t="n">
        <x:v>8616.62</x:v>
      </x:c>
      <x:c r="U428" s="83" t="str">
        <x:v>Paid</x:v>
      </x:c>
      <x:c r="V428" s="83" t="str">
        <x:v>Completed</x:v>
      </x:c>
      <x:c r="W428" s="151" t="n">
        <x:f>IF(OR(NOT(ISNUMBER($AP428)),COUNT($O428,$P428)&lt;2,$O428&lt;=0,$P428&lt;0),"",ROUND($O428*$P428*(1-$AP428),2))</x:f>
        <x:v>27047.95</x:v>
      </x:c>
      <x:c r="X428" s="151" t="n">
        <x:f>IF(OR(NOT(ISNUMBER($W428)),NOT(ISNUMBER($S428))),"",ROUND($W428-$S428,2))</x:f>
        <x:v>8616.62</x:v>
      </x:c>
      <x:c r="Y428" s="85" t="n">
        <x:f>IF(OR(NOT(ISNUMBER($W428)),NOT(ISNUMBER($X428)),$W428=0),"",ROUND($X428/$W428,4))</x:f>
        <x:v>0.3186</x:v>
      </x:c>
      <x:c r="Z428" s="82" t="n">
        <x:f>IF(OR($AH428&lt;&gt;"Valid",$AI428&lt;&gt;"Valid"),"",INT($D428-$C428))</x:f>
        <x:v>1</x:v>
      </x:c>
      <x:c r="AA428" s="86" t="str">
        <x:f>IF($AH428&lt;&gt;"Valid","",TEXT($C428,"mmmm"))</x:f>
        <x:v>June</x:v>
      </x:c>
      <x:c r="AB428" s="82" t="n">
        <x:f>IF($AH428&lt;&gt;"Valid","",YEAR($C428))</x:f>
        <x:v>2024</x:v>
      </x:c>
      <x:c r="AC428" s="80" t="str">
        <x:v>Consistent</x:v>
      </x:c>
      <x:c r="AD428" s="80" t="str">
        <x:v>Eligible</x:v>
      </x:c>
      <x:c r="AE428" s="80" t="str">
        <x:f>IF(OR($AH428&lt;&gt;"Valid",$AI428&lt;&gt;"Valid",$AJ428&lt;&gt;"Valid",LEFT($AM428,7)="Invalid",IFERROR(ABS($AQ428)&gt;0.01,FALSE),IFERROR(ABS($AR428)&gt;0.01,FALSE),COUNTIF($AS428,"*Conflicting duplicate*")&gt;0,COUNTIF($AS428,"*Completed order not paid*")&gt;0),"Invalid",IF(OR($H428="Unknown",$N428="Unknown",$AM428="Missing discount imputed as 0"),"Warning","Clean"))</x:f>
        <x:v>Clean</x:v>
      </x:c>
      <x:c r="AF428" s="80" t="str">
        <x:v>Pass</x:v>
      </x:c>
      <x:c r="AG428" s="80" t="str">
        <x:v>No text cleanup required</x:v>
      </x:c>
      <x:c r="AH428" s="12" t="str">
        <x:f>IF(C428="","Missing date",IF(ISNUMBER(C428),"Valid","Unrecognized/invalid date"))</x:f>
        <x:v>Valid</x:v>
      </x:c>
      <x:c r="AI428" s="12" t="str">
        <x:f>IF(D428="","Missing date",IF(ISNUMBER(D428),"Valid","Unrecognized/invalid date"))</x:f>
        <x:v>Valid</x:v>
      </x:c>
      <x:c r="AJ428" s="12" t="str">
        <x:v>Valid</x:v>
      </x:c>
      <x:c r="AK428" s="12" t="str">
        <x:v>Pass</x:v>
      </x:c>
      <x:c r="AL428" s="12" t="str">
        <x:v>None</x:v>
      </x:c>
      <x:c r="AM428" s="12" t="str">
        <x:v>Valid</x:v>
      </x:c>
      <x:c r="AN428" s="12" t="str">
        <x:v>Include in completed sales</x:v>
      </x:c>
      <x:c r="AO428" s="12" t="str">
        <x:v>Not a refunded record</x:v>
      </x:c>
      <x:c r="AP428" s="37" t="n">
        <x:f>IF(LEFT($AM428,7)="Invalid","",IF($AM428="Missing discount imputed as 0",IF(AND(COUNT($O428,$P428,$R428,$S428)=4,$O428&gt;0,$P428&gt;=0,$R428&gt;=0,$S428&gt;=0),0,""),IF(AND(ISNUMBER($Q428),$Q428&gt;=0,$Q428&lt;=0.5),$Q428,"")))</x:f>
        <x:v>0.1</x:v>
      </x:c>
      <x:c r="AQ428" s="152" t="n">
        <x:f>IF(OR($W428="",NOT(ISNUMBER($R428))),"",ROUND($R428-$W428,2))</x:f>
        <x:v>0</x:v>
      </x:c>
      <x:c r="AR428" s="152" t="n">
        <x:f>IF(OR($X428="",NOT(ISNUMBER($T428))),"",ROUND($T428-$X428,2))</x:f>
        <x:v>0</x:v>
      </x:c>
      <x:c r="AS428" s="14" t="str">
        <x:v>OK</x:v>
      </x:c>
    </x:row>
    <x:row r="429">
      <x:c r="A429" s="80" t="n">
        <x:v>429</x:v>
      </x:c>
      <x:c r="B429" s="80" t="str">
        <x:v>ORD-2025-10428</x:v>
      </x:c>
      <x:c r="C429" s="81" t="n">
        <x:v>45769</x:v>
      </x:c>
      <x:c r="D429" s="81" t="n">
        <x:v>45771</x:v>
      </x:c>
      <x:c r="E429" s="80" t="str">
        <x:v>CUST-8843</x:v>
      </x:c>
      <x:c r="F429" s="80" t="str">
        <x:v>Isha Nair</x:v>
      </x:c>
      <x:c r="G429" s="80" t="str">
        <x:v>Corporate</x:v>
      </x:c>
      <x:c r="H429" s="80" t="str">
        <x:v>Unknown</x:v>
      </x:c>
      <x:c r="I429" s="80" t="str">
        <x:v>Jharkhand</x:v>
      </x:c>
      <x:c r="J429" s="80" t="str">
        <x:v>Ranchi</x:v>
      </x:c>
      <x:c r="K429" s="80" t="str">
        <x:v>Technology</x:v>
      </x:c>
      <x:c r="L429" s="80" t="str">
        <x:v>Accessories</x:v>
      </x:c>
      <x:c r="M429" s="80" t="str">
        <x:v>Prime Accessories 419</x:v>
      </x:c>
      <x:c r="N429" s="80" t="str">
        <x:v>Standard Class</x:v>
      </x:c>
      <x:c r="O429" s="82" t="n">
        <x:v>9</x:v>
      </x:c>
      <x:c r="P429" s="83" t="n">
        <x:v>2939.44</x:v>
      </x:c>
      <x:c r="Q429" s="84" t="n">
        <x:v>0</x:v>
      </x:c>
      <x:c r="R429" s="83" t="n">
        <x:v>26454.96</x:v>
      </x:c>
      <x:c r="S429" s="83" t="n">
        <x:v>17630.25</x:v>
      </x:c>
      <x:c r="T429" s="83" t="n">
        <x:v>8824.71</x:v>
      </x:c>
      <x:c r="U429" s="83" t="str">
        <x:v>Paid</x:v>
      </x:c>
      <x:c r="V429" s="83" t="str">
        <x:v>Completed</x:v>
      </x:c>
      <x:c r="W429" s="151" t="n">
        <x:f>IF(OR(NOT(ISNUMBER($AP429)),COUNT($O429,$P429)&lt;2,$O429&lt;=0,$P429&lt;0),"",ROUND($O429*$P429*(1-$AP429),2))</x:f>
        <x:v>26454.96</x:v>
      </x:c>
      <x:c r="X429" s="151" t="n">
        <x:f>IF(OR(NOT(ISNUMBER($W429)),NOT(ISNUMBER($S429))),"",ROUND($W429-$S429,2))</x:f>
        <x:v>8824.71</x:v>
      </x:c>
      <x:c r="Y429" s="85" t="n">
        <x:f>IF(OR(NOT(ISNUMBER($W429)),NOT(ISNUMBER($X429)),$W429=0),"",ROUND($X429/$W429,4))</x:f>
        <x:v>0.3336</x:v>
      </x:c>
      <x:c r="Z429" s="82" t="n">
        <x:f>IF(OR($AH429&lt;&gt;"Valid",$AI429&lt;&gt;"Valid"),"",INT($D429-$C429))</x:f>
        <x:v>2</x:v>
      </x:c>
      <x:c r="AA429" s="86" t="str">
        <x:f>IF($AH429&lt;&gt;"Valid","",TEXT($C429,"mmmm"))</x:f>
        <x:v>April</x:v>
      </x:c>
      <x:c r="AB429" s="82" t="n">
        <x:f>IF($AH429&lt;&gt;"Valid","",YEAR($C429))</x:f>
        <x:v>2025</x:v>
      </x:c>
      <x:c r="AC429" s="80" t="str">
        <x:v>Consistent</x:v>
      </x:c>
      <x:c r="AD429" s="80" t="str">
        <x:v>Eligible</x:v>
      </x:c>
      <x:c r="AE429" s="80" t="str">
        <x:f>IF(OR($AH429&lt;&gt;"Valid",$AI429&lt;&gt;"Valid",$AJ429&lt;&gt;"Valid",LEFT($AM429,7)="Invalid",IFERROR(ABS($AQ429)&gt;0.01,FALSE),IFERROR(ABS($AR429)&gt;0.01,FALSE),COUNTIF($AS429,"*Conflicting duplicate*")&gt;0,COUNTIF($AS429,"*Completed order not paid*")&gt;0),"Invalid",IF(OR($H429="Unknown",$N429="Unknown",$AM429="Missing discount imputed as 0"),"Warning","Clean"))</x:f>
        <x:v>Warning</x:v>
      </x:c>
      <x:c r="AF429" s="80" t="str">
        <x:v>Cleaned</x:v>
      </x:c>
      <x:c r="AG429" s="80" t="str">
        <x:v>region: Missing value filled as Unknown; ship_mode: Case standardization</x:v>
      </x:c>
      <x:c r="AH429" s="12" t="str">
        <x:f>IF(C429="","Missing date",IF(ISNUMBER(C429),"Valid","Unrecognized/invalid date"))</x:f>
        <x:v>Valid</x:v>
      </x:c>
      <x:c r="AI429" s="12" t="str">
        <x:f>IF(D429="","Missing date",IF(ISNUMBER(D429),"Valid","Unrecognized/invalid date"))</x:f>
        <x:v>Valid</x:v>
      </x:c>
      <x:c r="AJ429" s="12" t="str">
        <x:v>Valid</x:v>
      </x:c>
      <x:c r="AK429" s="12" t="str">
        <x:v>Pass</x:v>
      </x:c>
      <x:c r="AL429" s="12" t="str">
        <x:v>Missing region filled as Unknown</x:v>
      </x:c>
      <x:c r="AM429" s="12" t="str">
        <x:v>Valid</x:v>
      </x:c>
      <x:c r="AN429" s="12" t="str">
        <x:v>Include in completed sales</x:v>
      </x:c>
      <x:c r="AO429" s="12" t="str">
        <x:v>Not a refunded record</x:v>
      </x:c>
      <x:c r="AP429" s="37" t="n">
        <x:f>IF(LEFT($AM429,7)="Invalid","",IF($AM429="Missing discount imputed as 0",IF(AND(COUNT($O429,$P429,$R429,$S429)=4,$O429&gt;0,$P429&gt;=0,$R429&gt;=0,$S429&gt;=0),0,""),IF(AND(ISNUMBER($Q429),$Q429&gt;=0,$Q429&lt;=0.5),$Q429,"")))</x:f>
        <x:v>0</x:v>
      </x:c>
      <x:c r="AQ429" s="152" t="n">
        <x:f>IF(OR($W429="",NOT(ISNUMBER($R429))),"",ROUND($R429-$W429,2))</x:f>
        <x:v>0</x:v>
      </x:c>
      <x:c r="AR429" s="152" t="n">
        <x:f>IF(OR($X429="",NOT(ISNUMBER($T429))),"",ROUND($T429-$X429,2))</x:f>
        <x:v>0</x:v>
      </x:c>
      <x:c r="AS429" s="14" t="str">
        <x:v>OK</x:v>
      </x:c>
    </x:row>
    <x:row r="430">
      <x:c r="A430" s="80" t="n">
        <x:v>430</x:v>
      </x:c>
      <x:c r="B430" s="80" t="str">
        <x:v>ORD-2025-10429</x:v>
      </x:c>
      <x:c r="C430" s="81" t="n">
        <x:v>45731</x:v>
      </x:c>
      <x:c r="D430" s="81" t="n">
        <x:v>45738</x:v>
      </x:c>
      <x:c r="E430" s="80" t="str">
        <x:v>CUST-7626</x:v>
      </x:c>
      <x:c r="F430" s="80" t="str">
        <x:v>Karan Malhotra</x:v>
      </x:c>
      <x:c r="G430" s="80" t="str">
        <x:v>Small Business</x:v>
      </x:c>
      <x:c r="H430" s="80" t="str">
        <x:v>East</x:v>
      </x:c>
      <x:c r="I430" s="80" t="str">
        <x:v>West Bengal</x:v>
      </x:c>
      <x:c r="J430" s="80" t="str">
        <x:v>Kolkata</x:v>
      </x:c>
      <x:c r="K430" s="80" t="str">
        <x:v>Technology</x:v>
      </x:c>
      <x:c r="L430" s="80" t="str">
        <x:v>Phones</x:v>
      </x:c>
      <x:c r="M430" s="80" t="str">
        <x:v>Elite Phones 488</x:v>
      </x:c>
      <x:c r="N430" s="80" t="str">
        <x:v>Same Day</x:v>
      </x:c>
      <x:c r="O430" s="82" t="n">
        <x:v>2</x:v>
      </x:c>
      <x:c r="P430" s="83" t="n">
        <x:v>1235.93</x:v>
      </x:c>
      <x:c r="Q430" s="84" t="n">
        <x:v>0.25</x:v>
      </x:c>
      <x:c r="R430" s="83" t="n">
        <x:v>1853.89</x:v>
      </x:c>
      <x:c r="S430" s="83" t="n">
        <x:v>1101.23</x:v>
      </x:c>
      <x:c r="T430" s="83" t="n">
        <x:v>752.66</x:v>
      </x:c>
      <x:c r="U430" s="83" t="str">
        <x:v>Pending</x:v>
      </x:c>
      <x:c r="V430" s="83" t="str">
        <x:v>Cancelled</x:v>
      </x:c>
      <x:c r="W430" s="151" t="n">
        <x:f>IF(OR(NOT(ISNUMBER($AP430)),COUNT($O430,$P430)&lt;2,$O430&lt;=0,$P430&lt;0),"",ROUND($O430*$P430*(1-$AP430),2))</x:f>
        <x:v>1853.9</x:v>
      </x:c>
      <x:c r="X430" s="151" t="n">
        <x:f>IF(OR(NOT(ISNUMBER($W430)),NOT(ISNUMBER($S430))),"",ROUND($W430-$S430,2))</x:f>
        <x:v>752.67</x:v>
      </x:c>
      <x:c r="Y430" s="85" t="n">
        <x:f>IF(OR(NOT(ISNUMBER($W430)),NOT(ISNUMBER($X430)),$W430=0),"",ROUND($X430/$W430,4))</x:f>
        <x:v>0.406</x:v>
      </x:c>
      <x:c r="Z430" s="82" t="n">
        <x:f>IF(OR($AH430&lt;&gt;"Valid",$AI430&lt;&gt;"Valid"),"",INT($D430-$C430))</x:f>
        <x:v>7</x:v>
      </x:c>
      <x:c r="AA430" s="86" t="str">
        <x:f>IF($AH430&lt;&gt;"Valid","",TEXT($C430,"mmmm"))</x:f>
        <x:v>March</x:v>
      </x:c>
      <x:c r="AB430" s="82" t="n">
        <x:f>IF($AH430&lt;&gt;"Valid","",YEAR($C430))</x:f>
        <x:v>2025</x:v>
      </x:c>
      <x:c r="AC430" s="80" t="str">
        <x:v>Cancelled (excluded from completed-sales summary)</x:v>
      </x:c>
      <x:c r="AD430" s="80" t="str">
        <x:v>Excluded</x:v>
      </x:c>
      <x:c r="AE430" s="80" t="str">
        <x:f>IF(OR($AH430&lt;&gt;"Valid",$AI430&lt;&gt;"Valid",$AJ430&lt;&gt;"Valid",LEFT($AM430,7)="Invalid",IFERROR(ABS($AQ430)&gt;0.01,FALSE),IFERROR(ABS($AR430)&gt;0.01,FALSE),COUNTIF($AS430,"*Conflicting duplicate*")&gt;0,COUNTIF($AS430,"*Completed order not paid*")&gt;0),"Invalid",IF(OR($H430="Unknown",$N430="Unknown",$AM430="Missing discount imputed as 0"),"Warning","Clean"))</x:f>
        <x:v>Clean</x:v>
      </x:c>
      <x:c r="AF430" s="80" t="str">
        <x:v>Pass</x:v>
      </x:c>
      <x:c r="AG430" s="80" t="str">
        <x:v>No text cleanup required</x:v>
      </x:c>
      <x:c r="AH430" s="12" t="str">
        <x:f>IF(C430="","Missing date",IF(ISNUMBER(C430),"Valid","Unrecognized/invalid date"))</x:f>
        <x:v>Valid</x:v>
      </x:c>
      <x:c r="AI430" s="12" t="str">
        <x:f>IF(D430="","Missing date",IF(ISNUMBER(D430),"Valid","Unrecognized/invalid date"))</x:f>
        <x:v>Valid</x:v>
      </x:c>
      <x:c r="AJ430" s="12" t="str">
        <x:v>Valid</x:v>
      </x:c>
      <x:c r="AK430" s="12" t="str">
        <x:v>Pass</x:v>
      </x:c>
      <x:c r="AL430" s="12" t="str">
        <x:v>Cancelled order – excluded from completed sales</x:v>
      </x:c>
      <x:c r="AM430" s="12" t="str">
        <x:v>Valid</x:v>
      </x:c>
      <x:c r="AN430" s="12" t="str">
        <x:v>Exclude from completed sales</x:v>
      </x:c>
      <x:c r="AO430" s="12" t="str">
        <x:v>Not a refunded record</x:v>
      </x:c>
      <x:c r="AP430" s="37" t="n">
        <x:f>IF(LEFT($AM430,7)="Invalid","",IF($AM430="Missing discount imputed as 0",IF(AND(COUNT($O430,$P430,$R430,$S430)=4,$O430&gt;0,$P430&gt;=0,$R430&gt;=0,$S430&gt;=0),0,""),IF(AND(ISNUMBER($Q430),$Q430&gt;=0,$Q430&lt;=0.5),$Q430,"")))</x:f>
        <x:v>0.25</x:v>
      </x:c>
      <x:c r="AQ430" s="152" t="n">
        <x:f>IF(OR($W430="",NOT(ISNUMBER($R430))),"",ROUND($R430-$W430,2))</x:f>
        <x:v>-0.01</x:v>
      </x:c>
      <x:c r="AR430" s="152" t="n">
        <x:f>IF(OR($X430="",NOT(ISNUMBER($T430))),"",ROUND($T430-$X430,2))</x:f>
        <x:v>-0.01</x:v>
      </x:c>
      <x:c r="AS430" s="14" t="str">
        <x:v>OK</x:v>
      </x:c>
    </x:row>
    <x:row r="431">
      <x:c r="A431" s="80" t="n">
        <x:v>431</x:v>
      </x:c>
      <x:c r="B431" s="80" t="str">
        <x:v>ORD-2025-10430</x:v>
      </x:c>
      <x:c r="C431" s="81" t="n">
        <x:v>45717</x:v>
      </x:c>
      <x:c r="D431" s="81" t="n">
        <x:v>45724</x:v>
      </x:c>
      <x:c r="E431" s="80" t="str">
        <x:v>CUST-8562</x:v>
      </x:c>
      <x:c r="F431" s="80" t="str">
        <x:v>Neha Gupta</x:v>
      </x:c>
      <x:c r="G431" s="80" t="str">
        <x:v>Home Office</x:v>
      </x:c>
      <x:c r="H431" s="80" t="str">
        <x:v>North</x:v>
      </x:c>
      <x:c r="I431" s="80" t="str">
        <x:v>Rajasthan</x:v>
      </x:c>
      <x:c r="J431" s="80" t="str">
        <x:v>Jaipur</x:v>
      </x:c>
      <x:c r="K431" s="80" t="str">
        <x:v>Technology</x:v>
      </x:c>
      <x:c r="L431" s="80" t="str">
        <x:v>Copiers</x:v>
      </x:c>
      <x:c r="M431" s="80" t="str">
        <x:v>Prime Copiers 109</x:v>
      </x:c>
      <x:c r="N431" s="80" t="str">
        <x:v>Same Day</x:v>
      </x:c>
      <x:c r="O431" s="82" t="n">
        <x:v>8</x:v>
      </x:c>
      <x:c r="P431" s="83" t="n">
        <x:v>2943.1</x:v>
      </x:c>
      <x:c r="Q431" s="84" t="n">
        <x:v>0.25</x:v>
      </x:c>
      <x:c r="R431" s="83" t="n">
        <x:v>17658.6</x:v>
      </x:c>
      <x:c r="S431" s="83" t="n">
        <x:v>13842.48</x:v>
      </x:c>
      <x:c r="T431" s="83" t="n">
        <x:v>3816.12</x:v>
      </x:c>
      <x:c r="U431" s="83" t="str">
        <x:v>Paid</x:v>
      </x:c>
      <x:c r="V431" s="83" t="str">
        <x:v>Completed</x:v>
      </x:c>
      <x:c r="W431" s="151" t="n">
        <x:f>IF(OR(NOT(ISNUMBER($AP431)),COUNT($O431,$P431)&lt;2,$O431&lt;=0,$P431&lt;0),"",ROUND($O431*$P431*(1-$AP431),2))</x:f>
        <x:v>17658.6</x:v>
      </x:c>
      <x:c r="X431" s="151" t="n">
        <x:f>IF(OR(NOT(ISNUMBER($W431)),NOT(ISNUMBER($S431))),"",ROUND($W431-$S431,2))</x:f>
        <x:v>3816.12</x:v>
      </x:c>
      <x:c r="Y431" s="85" t="n">
        <x:f>IF(OR(NOT(ISNUMBER($W431)),NOT(ISNUMBER($X431)),$W431=0),"",ROUND($X431/$W431,4))</x:f>
        <x:v>0.2161</x:v>
      </x:c>
      <x:c r="Z431" s="82" t="n">
        <x:f>IF(OR($AH431&lt;&gt;"Valid",$AI431&lt;&gt;"Valid"),"",INT($D431-$C431))</x:f>
        <x:v>7</x:v>
      </x:c>
      <x:c r="AA431" s="86" t="str">
        <x:f>IF($AH431&lt;&gt;"Valid","",TEXT($C431,"mmmm"))</x:f>
        <x:v>March</x:v>
      </x:c>
      <x:c r="AB431" s="82" t="n">
        <x:f>IF($AH431&lt;&gt;"Valid","",YEAR($C431))</x:f>
        <x:v>2025</x:v>
      </x:c>
      <x:c r="AC431" s="80" t="str">
        <x:v>Consistent</x:v>
      </x:c>
      <x:c r="AD431" s="80" t="str">
        <x:v>Eligible</x:v>
      </x:c>
      <x:c r="AE431" s="80" t="str">
        <x:f>IF(OR($AH431&lt;&gt;"Valid",$AI431&lt;&gt;"Valid",$AJ431&lt;&gt;"Valid",LEFT($AM431,7)="Invalid",IFERROR(ABS($AQ431)&gt;0.01,FALSE),IFERROR(ABS($AR431)&gt;0.01,FALSE),COUNTIF($AS431,"*Conflicting duplicate*")&gt;0,COUNTIF($AS431,"*Completed order not paid*")&gt;0),"Invalid",IF(OR($H431="Unknown",$N431="Unknown",$AM431="Missing discount imputed as 0"),"Warning","Clean"))</x:f>
        <x:v>Clean</x:v>
      </x:c>
      <x:c r="AF431" s="80" t="str">
        <x:v>Pass</x:v>
      </x:c>
      <x:c r="AG431" s="80" t="str">
        <x:v>No text cleanup required</x:v>
      </x:c>
      <x:c r="AH431" s="12" t="str">
        <x:f>IF(C431="","Missing date",IF(ISNUMBER(C431),"Valid","Unrecognized/invalid date"))</x:f>
        <x:v>Valid</x:v>
      </x:c>
      <x:c r="AI431" s="12" t="str">
        <x:f>IF(D431="","Missing date",IF(ISNUMBER(D431),"Valid","Unrecognized/invalid date"))</x:f>
        <x:v>Valid</x:v>
      </x:c>
      <x:c r="AJ431" s="12" t="str">
        <x:v>Valid</x:v>
      </x:c>
      <x:c r="AK431" s="12" t="str">
        <x:v>Pass</x:v>
      </x:c>
      <x:c r="AL431" s="12" t="str">
        <x:v>None</x:v>
      </x:c>
      <x:c r="AM431" s="12" t="str">
        <x:v>Valid</x:v>
      </x:c>
      <x:c r="AN431" s="12" t="str">
        <x:v>Include in completed sales</x:v>
      </x:c>
      <x:c r="AO431" s="12" t="str">
        <x:v>Not a refunded record</x:v>
      </x:c>
      <x:c r="AP431" s="37" t="n">
        <x:f>IF(LEFT($AM431,7)="Invalid","",IF($AM431="Missing discount imputed as 0",IF(AND(COUNT($O431,$P431,$R431,$S431)=4,$O431&gt;0,$P431&gt;=0,$R431&gt;=0,$S431&gt;=0),0,""),IF(AND(ISNUMBER($Q431),$Q431&gt;=0,$Q431&lt;=0.5),$Q431,"")))</x:f>
        <x:v>0.25</x:v>
      </x:c>
      <x:c r="AQ431" s="152" t="n">
        <x:f>IF(OR($W431="",NOT(ISNUMBER($R431))),"",ROUND($R431-$W431,2))</x:f>
        <x:v>0</x:v>
      </x:c>
      <x:c r="AR431" s="152" t="n">
        <x:f>IF(OR($X431="",NOT(ISNUMBER($T431))),"",ROUND($T431-$X431,2))</x:f>
        <x:v>0</x:v>
      </x:c>
      <x:c r="AS431" s="14" t="str">
        <x:v>OK</x:v>
      </x:c>
    </x:row>
    <x:row r="432">
      <x:c r="A432" s="80" t="n">
        <x:v>432</x:v>
      </x:c>
      <x:c r="B432" s="80" t="str">
        <x:v>ORD-2024-10431</x:v>
      </x:c>
      <x:c r="C432" s="81" t="n">
        <x:v>45534</x:v>
      </x:c>
      <x:c r="D432" s="81" t="n">
        <x:v>45537</x:v>
      </x:c>
      <x:c r="E432" s="80" t="str">
        <x:v>CUST-2732</x:v>
      </x:c>
      <x:c r="F432" s="80" t="str">
        <x:v>Neha Gupta</x:v>
      </x:c>
      <x:c r="G432" s="80" t="str">
        <x:v>Small Business</x:v>
      </x:c>
      <x:c r="H432" s="80" t="str">
        <x:v>North</x:v>
      </x:c>
      <x:c r="I432" s="80" t="str">
        <x:v>Haryana</x:v>
      </x:c>
      <x:c r="J432" s="80" t="str">
        <x:v>Gurugram</x:v>
      </x:c>
      <x:c r="K432" s="80" t="str">
        <x:v>Office Supplies</x:v>
      </x:c>
      <x:c r="L432" s="80" t="str">
        <x:v>Paper</x:v>
      </x:c>
      <x:c r="M432" s="80" t="str">
        <x:v>Max Paper 576</x:v>
      </x:c>
      <x:c r="N432" s="80" t="str">
        <x:v>Second Class</x:v>
      </x:c>
      <x:c r="O432" s="82" t="n">
        <x:v>1</x:v>
      </x:c>
      <x:c r="P432" s="83" t="n">
        <x:v>4320.84</x:v>
      </x:c>
      <x:c r="Q432" s="84" t="n">
        <x:v>0.15</x:v>
      </x:c>
      <x:c r="R432" s="83" t="n">
        <x:v>3672.71</x:v>
      </x:c>
      <x:c r="S432" s="83" t="n">
        <x:v>2714.23</x:v>
      </x:c>
      <x:c r="T432" s="83" t="n">
        <x:v>763.38</x:v>
      </x:c>
      <x:c r="U432" s="83" t="str">
        <x:v>Paid</x:v>
      </x:c>
      <x:c r="V432" s="83" t="str">
        <x:v>Completed</x:v>
      </x:c>
      <x:c r="W432" s="151" t="n">
        <x:f>IF(OR(NOT(ISNUMBER($AP432)),COUNT($O432,$P432)&lt;2,$O432&lt;=0,$P432&lt;0),"",ROUND($O432*$P432*(1-$AP432),2))</x:f>
        <x:v>3672.71</x:v>
      </x:c>
      <x:c r="X432" s="151" t="n">
        <x:f>IF(OR(NOT(ISNUMBER($W432)),NOT(ISNUMBER($S432))),"",ROUND($W432-$S432,2))</x:f>
        <x:v>958.48</x:v>
      </x:c>
      <x:c r="Y432" s="85" t="n">
        <x:f>IF(OR(NOT(ISNUMBER($W432)),NOT(ISNUMBER($X432)),$W432=0),"",ROUND($X432/$W432,4))</x:f>
        <x:v>0.261</x:v>
      </x:c>
      <x:c r="Z432" s="82" t="n">
        <x:f>IF(OR($AH432&lt;&gt;"Valid",$AI432&lt;&gt;"Valid"),"",INT($D432-$C432))</x:f>
        <x:v>3</x:v>
      </x:c>
      <x:c r="AA432" s="86" t="str">
        <x:f>IF($AH432&lt;&gt;"Valid","",TEXT($C432,"mmmm"))</x:f>
        <x:v>August</x:v>
      </x:c>
      <x:c r="AB432" s="82" t="n">
        <x:f>IF($AH432&lt;&gt;"Valid","",YEAR($C432))</x:f>
        <x:v>2024</x:v>
      </x:c>
      <x:c r="AC432" s="80" t="str">
        <x:v>Consistent</x:v>
      </x:c>
      <x:c r="AD432" s="80" t="str">
        <x:v>Excluded</x:v>
      </x:c>
      <x:c r="AE432" s="80" t="str">
        <x:f>IF(OR($AH432&lt;&gt;"Valid",$AI432&lt;&gt;"Valid",$AJ432&lt;&gt;"Valid",LEFT($AM432,7)="Invalid",IFERROR(ABS($AQ432)&gt;0.01,FALSE),IFERROR(ABS($AR432)&gt;0.01,FALSE),COUNTIF($AS432,"*Conflicting duplicate*")&gt;0,COUNTIF($AS432,"*Completed order not paid*")&gt;0),"Invalid",IF(OR($H432="Unknown",$N432="Unknown",$AM432="Missing discount imputed as 0"),"Warning","Clean"))</x:f>
        <x:v>Invalid</x:v>
      </x:c>
      <x:c r="AF432" s="80" t="str">
        <x:v>Review</x:v>
      </x:c>
      <x:c r="AG432" s="80" t="str">
        <x:v>category: TRIM/SUBSTITUTE whitespace cleanup</x:v>
      </x:c>
      <x:c r="AH432" s="12" t="str">
        <x:f>IF(C432="","Missing date",IF(ISNUMBER(C432),"Valid","Unrecognized/invalid date"))</x:f>
        <x:v>Valid</x:v>
      </x:c>
      <x:c r="AI432" s="12" t="str">
        <x:f>IF(D432="","Missing date",IF(ISNUMBER(D432),"Valid","Unrecognized/invalid date"))</x:f>
        <x:v>Valid</x:v>
      </x:c>
      <x:c r="AJ432" s="12" t="str">
        <x:v>Valid</x:v>
      </x:c>
      <x:c r="AK432" s="12" t="str">
        <x:v>Pass</x:v>
      </x:c>
      <x:c r="AL432" s="12" t="str">
        <x:v>None</x:v>
      </x:c>
      <x:c r="AM432" s="12" t="str">
        <x:v>Valid</x:v>
      </x:c>
      <x:c r="AN432" s="12" t="str">
        <x:v>Exclude from completed sales</x:v>
      </x:c>
      <x:c r="AO432" s="12" t="str">
        <x:v>Not a refunded record</x:v>
      </x:c>
      <x:c r="AP432" s="37" t="n">
        <x:f>IF(LEFT($AM432,7)="Invalid","",IF($AM432="Missing discount imputed as 0",IF(AND(COUNT($O432,$P432,$R432,$S432)=4,$O432&gt;0,$P432&gt;=0,$R432&gt;=0,$S432&gt;=0),0,""),IF(AND(ISNUMBER($Q432),$Q432&gt;=0,$Q432&lt;=0.5),$Q432,"")))</x:f>
        <x:v>0.15</x:v>
      </x:c>
      <x:c r="AQ432" s="152" t="n">
        <x:f>IF(OR($W432="",NOT(ISNUMBER($R432))),"",ROUND($R432-$W432,2))</x:f>
        <x:v>0</x:v>
      </x:c>
      <x:c r="AR432" s="152" t="n">
        <x:f>IF(OR($X432="",NOT(ISNUMBER($T432))),"",ROUND($T432-$X432,2))</x:f>
        <x:v>-195.1</x:v>
      </x:c>
      <x:c r="AS432" s="14" t="str">
        <x:v>Profit calculation mismatch</x:v>
      </x:c>
    </x:row>
    <x:row r="433">
      <x:c r="A433" s="80" t="n">
        <x:v>433</x:v>
      </x:c>
      <x:c r="B433" s="80" t="str">
        <x:v>ORD-2024-10432</x:v>
      </x:c>
      <x:c r="C433" s="81" t="n">
        <x:v>45332</x:v>
      </x:c>
      <x:c r="D433" s="81" t="n">
        <x:v>45335</x:v>
      </x:c>
      <x:c r="E433" s="80" t="str">
        <x:v>CUST-3989</x:v>
      </x:c>
      <x:c r="F433" s="80" t="str">
        <x:v>Karan Malhotra</x:v>
      </x:c>
      <x:c r="G433" s="80" t="str">
        <x:v>Home Office</x:v>
      </x:c>
      <x:c r="H433" s="80" t="str">
        <x:v>West</x:v>
      </x:c>
      <x:c r="I433" s="80" t="str">
        <x:v>Goa</x:v>
      </x:c>
      <x:c r="J433" s="80" t="str">
        <x:v>Panaji</x:v>
      </x:c>
      <x:c r="K433" s="80" t="str">
        <x:v>Technology</x:v>
      </x:c>
      <x:c r="L433" s="80" t="str">
        <x:v>Machines</x:v>
      </x:c>
      <x:c r="M433" s="80" t="str">
        <x:v>Max Machines 412</x:v>
      </x:c>
      <x:c r="N433" s="80" t="str">
        <x:v>Same Day</x:v>
      </x:c>
      <x:c r="O433" s="82" t="n">
        <x:v>2</x:v>
      </x:c>
      <x:c r="P433" s="83" t="n">
        <x:v>4118.45</x:v>
      </x:c>
      <x:c r="Q433" s="84" t="n">
        <x:v>0.25</x:v>
      </x:c>
      <x:c r="R433" s="83" t="n">
        <x:v>6177.67</x:v>
      </x:c>
      <x:c r="S433" s="83" t="n">
        <x:v>4520.75</x:v>
      </x:c>
      <x:c r="T433" s="83" t="n">
        <x:v>1656.92</x:v>
      </x:c>
      <x:c r="U433" s="83" t="str">
        <x:v>Paid</x:v>
      </x:c>
      <x:c r="V433" s="83" t="str">
        <x:v>Completed</x:v>
      </x:c>
      <x:c r="W433" s="151" t="n">
        <x:f>IF(OR(NOT(ISNUMBER($AP433)),COUNT($O433,$P433)&lt;2,$O433&lt;=0,$P433&lt;0),"",ROUND($O433*$P433*(1-$AP433),2))</x:f>
        <x:v>6177.67</x:v>
      </x:c>
      <x:c r="X433" s="151" t="n">
        <x:f>IF(OR(NOT(ISNUMBER($W433)),NOT(ISNUMBER($S433))),"",ROUND($W433-$S433,2))</x:f>
        <x:v>1656.92</x:v>
      </x:c>
      <x:c r="Y433" s="85" t="n">
        <x:f>IF(OR(NOT(ISNUMBER($W433)),NOT(ISNUMBER($X433)),$W433=0),"",ROUND($X433/$W433,4))</x:f>
        <x:v>0.2682</x:v>
      </x:c>
      <x:c r="Z433" s="82" t="n">
        <x:f>IF(OR($AH433&lt;&gt;"Valid",$AI433&lt;&gt;"Valid"),"",INT($D433-$C433))</x:f>
        <x:v>3</x:v>
      </x:c>
      <x:c r="AA433" s="86" t="str">
        <x:f>IF($AH433&lt;&gt;"Valid","",TEXT($C433,"mmmm"))</x:f>
        <x:v>February</x:v>
      </x:c>
      <x:c r="AB433" s="82" t="n">
        <x:f>IF($AH433&lt;&gt;"Valid","",YEAR($C433))</x:f>
        <x:v>2024</x:v>
      </x:c>
      <x:c r="AC433" s="80" t="str">
        <x:v>Consistent</x:v>
      </x:c>
      <x:c r="AD433" s="80" t="str">
        <x:v>Eligible</x:v>
      </x:c>
      <x:c r="AE433" s="80" t="str">
        <x:f>IF(OR($AH433&lt;&gt;"Valid",$AI433&lt;&gt;"Valid",$AJ433&lt;&gt;"Valid",LEFT($AM433,7)="Invalid",IFERROR(ABS($AQ433)&gt;0.01,FALSE),IFERROR(ABS($AR433)&gt;0.01,FALSE),COUNTIF($AS433,"*Conflicting duplicate*")&gt;0,COUNTIF($AS433,"*Completed order not paid*")&gt;0),"Invalid",IF(OR($H433="Unknown",$N433="Unknown",$AM433="Missing discount imputed as 0"),"Warning","Clean"))</x:f>
        <x:v>Clean</x:v>
      </x:c>
      <x:c r="AF433" s="80" t="str">
        <x:v>Pass</x:v>
      </x:c>
      <x:c r="AG433" s="80" t="str">
        <x:v>No text cleanup required</x:v>
      </x:c>
      <x:c r="AH433" s="12" t="str">
        <x:f>IF(C433="","Missing date",IF(ISNUMBER(C433),"Valid","Unrecognized/invalid date"))</x:f>
        <x:v>Valid</x:v>
      </x:c>
      <x:c r="AI433" s="12" t="str">
        <x:f>IF(D433="","Missing date",IF(ISNUMBER(D433),"Valid","Unrecognized/invalid date"))</x:f>
        <x:v>Valid</x:v>
      </x:c>
      <x:c r="AJ433" s="12" t="str">
        <x:v>Valid</x:v>
      </x:c>
      <x:c r="AK433" s="12" t="str">
        <x:v>Pass</x:v>
      </x:c>
      <x:c r="AL433" s="12" t="str">
        <x:v>None</x:v>
      </x:c>
      <x:c r="AM433" s="12" t="str">
        <x:v>Valid</x:v>
      </x:c>
      <x:c r="AN433" s="12" t="str">
        <x:v>Include in completed sales</x:v>
      </x:c>
      <x:c r="AO433" s="12" t="str">
        <x:v>Not a refunded record</x:v>
      </x:c>
      <x:c r="AP433" s="37" t="n">
        <x:f>IF(LEFT($AM433,7)="Invalid","",IF($AM433="Missing discount imputed as 0",IF(AND(COUNT($O433,$P433,$R433,$S433)=4,$O433&gt;0,$P433&gt;=0,$R433&gt;=0,$S433&gt;=0),0,""),IF(AND(ISNUMBER($Q433),$Q433&gt;=0,$Q433&lt;=0.5),$Q433,"")))</x:f>
        <x:v>0.25</x:v>
      </x:c>
      <x:c r="AQ433" s="152" t="n">
        <x:f>IF(OR($W433="",NOT(ISNUMBER($R433))),"",ROUND($R433-$W433,2))</x:f>
        <x:v>0</x:v>
      </x:c>
      <x:c r="AR433" s="152" t="n">
        <x:f>IF(OR($X433="",NOT(ISNUMBER($T433))),"",ROUND($T433-$X433,2))</x:f>
        <x:v>0</x:v>
      </x:c>
      <x:c r="AS433" s="14" t="str">
        <x:v>OK</x:v>
      </x:c>
    </x:row>
    <x:row r="434">
      <x:c r="A434" s="80" t="n">
        <x:v>434</x:v>
      </x:c>
      <x:c r="B434" s="80" t="str">
        <x:v>ORD-2024-10433</x:v>
      </x:c>
      <x:c r="C434" s="81" t="n">
        <x:v>45533</x:v>
      </x:c>
      <x:c r="D434" s="81" t="n">
        <x:v>45537</x:v>
      </x:c>
      <x:c r="E434" s="80" t="str">
        <x:v>CUST-3522</x:v>
      </x:c>
      <x:c r="F434" s="80" t="str">
        <x:v>Priya Menon</x:v>
      </x:c>
      <x:c r="G434" s="80" t="str">
        <x:v>Small Business</x:v>
      </x:c>
      <x:c r="H434" s="80" t="str">
        <x:v>West</x:v>
      </x:c>
      <x:c r="I434" s="80" t="str">
        <x:v>Maharashtra</x:v>
      </x:c>
      <x:c r="J434" s="80" t="str">
        <x:v>Mumbai</x:v>
      </x:c>
      <x:c r="K434" s="80" t="str">
        <x:v>Furniture</x:v>
      </x:c>
      <x:c r="L434" s="80" t="str">
        <x:v>Bookcases</x:v>
      </x:c>
      <x:c r="M434" s="80" t="str">
        <x:v>Classic Bookcases 291</x:v>
      </x:c>
      <x:c r="N434" s="80" t="str">
        <x:v>Standard Class</x:v>
      </x:c>
      <x:c r="O434" s="82" t="n">
        <x:v>6</x:v>
      </x:c>
      <x:c r="P434" s="83" t="n">
        <x:v>172.82</x:v>
      </x:c>
      <x:c r="Q434" s="84" t="n">
        <x:v>0.05</x:v>
      </x:c>
      <x:c r="R434" s="83" t="n">
        <x:v>985.07</x:v>
      </x:c>
      <x:c r="S434" s="83" t="n">
        <x:v>844.48</x:v>
      </x:c>
      <x:c r="T434" s="83" t="n">
        <x:v>140.59</x:v>
      </x:c>
      <x:c r="U434" s="83" t="str">
        <x:v>Paid</x:v>
      </x:c>
      <x:c r="V434" s="83" t="str">
        <x:v>Completed</x:v>
      </x:c>
      <x:c r="W434" s="151" t="n">
        <x:f>IF(OR(NOT(ISNUMBER($AP434)),COUNT($O434,$P434)&lt;2,$O434&lt;=0,$P434&lt;0),"",ROUND($O434*$P434*(1-$AP434),2))</x:f>
        <x:v>985.07</x:v>
      </x:c>
      <x:c r="X434" s="151" t="n">
        <x:f>IF(OR(NOT(ISNUMBER($W434)),NOT(ISNUMBER($S434))),"",ROUND($W434-$S434,2))</x:f>
        <x:v>140.59</x:v>
      </x:c>
      <x:c r="Y434" s="85" t="n">
        <x:f>IF(OR(NOT(ISNUMBER($W434)),NOT(ISNUMBER($X434)),$W434=0),"",ROUND($X434/$W434,4))</x:f>
        <x:v>0.1427</x:v>
      </x:c>
      <x:c r="Z434" s="82" t="n">
        <x:f>IF(OR($AH434&lt;&gt;"Valid",$AI434&lt;&gt;"Valid"),"",INT($D434-$C434))</x:f>
        <x:v>4</x:v>
      </x:c>
      <x:c r="AA434" s="86" t="str">
        <x:f>IF($AH434&lt;&gt;"Valid","",TEXT($C434,"mmmm"))</x:f>
        <x:v>August</x:v>
      </x:c>
      <x:c r="AB434" s="82" t="n">
        <x:f>IF($AH434&lt;&gt;"Valid","",YEAR($C434))</x:f>
        <x:v>2024</x:v>
      </x:c>
      <x:c r="AC434" s="80" t="str">
        <x:v>Consistent</x:v>
      </x:c>
      <x:c r="AD434" s="80" t="str">
        <x:v>Eligible</x:v>
      </x:c>
      <x:c r="AE434" s="80" t="str">
        <x:f>IF(OR($AH434&lt;&gt;"Valid",$AI434&lt;&gt;"Valid",$AJ434&lt;&gt;"Valid",LEFT($AM434,7)="Invalid",IFERROR(ABS($AQ434)&gt;0.01,FALSE),IFERROR(ABS($AR434)&gt;0.01,FALSE),COUNTIF($AS434,"*Conflicting duplicate*")&gt;0,COUNTIF($AS434,"*Completed order not paid*")&gt;0),"Invalid",IF(OR($H434="Unknown",$N434="Unknown",$AM434="Missing discount imputed as 0"),"Warning","Clean"))</x:f>
        <x:v>Clean</x:v>
      </x:c>
      <x:c r="AF434" s="80" t="str">
        <x:v>Pass</x:v>
      </x:c>
      <x:c r="AG434" s="80" t="str">
        <x:v>No text cleanup required</x:v>
      </x:c>
      <x:c r="AH434" s="12" t="str">
        <x:f>IF(C434="","Missing date",IF(ISNUMBER(C434),"Valid","Unrecognized/invalid date"))</x:f>
        <x:v>Valid</x:v>
      </x:c>
      <x:c r="AI434" s="12" t="str">
        <x:f>IF(D434="","Missing date",IF(ISNUMBER(D434),"Valid","Unrecognized/invalid date"))</x:f>
        <x:v>Valid</x:v>
      </x:c>
      <x:c r="AJ434" s="12" t="str">
        <x:v>Valid</x:v>
      </x:c>
      <x:c r="AK434" s="12" t="str">
        <x:v>Pass</x:v>
      </x:c>
      <x:c r="AL434" s="12" t="str">
        <x:v>None</x:v>
      </x:c>
      <x:c r="AM434" s="12" t="str">
        <x:v>Valid</x:v>
      </x:c>
      <x:c r="AN434" s="12" t="str">
        <x:v>Include in completed sales</x:v>
      </x:c>
      <x:c r="AO434" s="12" t="str">
        <x:v>Not a refunded record</x:v>
      </x:c>
      <x:c r="AP434" s="37" t="n">
        <x:f>IF(LEFT($AM434,7)="Invalid","",IF($AM434="Missing discount imputed as 0",IF(AND(COUNT($O434,$P434,$R434,$S434)=4,$O434&gt;0,$P434&gt;=0,$R434&gt;=0,$S434&gt;=0),0,""),IF(AND(ISNUMBER($Q434),$Q434&gt;=0,$Q434&lt;=0.5),$Q434,"")))</x:f>
        <x:v>0.05</x:v>
      </x:c>
      <x:c r="AQ434" s="152" t="n">
        <x:f>IF(OR($W434="",NOT(ISNUMBER($R434))),"",ROUND($R434-$W434,2))</x:f>
        <x:v>0</x:v>
      </x:c>
      <x:c r="AR434" s="152" t="n">
        <x:f>IF(OR($X434="",NOT(ISNUMBER($T434))),"",ROUND($T434-$X434,2))</x:f>
        <x:v>0</x:v>
      </x:c>
      <x:c r="AS434" s="14" t="str">
        <x:v>OK</x:v>
      </x:c>
    </x:row>
    <x:row r="435">
      <x:c r="A435" s="80" t="n">
        <x:v>435</x:v>
      </x:c>
      <x:c r="B435" s="80" t="str">
        <x:v>ORD-2024-10434</x:v>
      </x:c>
      <x:c r="C435" s="81" t="n">
        <x:v>45401</x:v>
      </x:c>
      <x:c r="D435" s="81" t="n">
        <x:v>45402</x:v>
      </x:c>
      <x:c r="E435" s="80" t="str">
        <x:v>CUST-7066</x:v>
      </x:c>
      <x:c r="F435" s="80" t="str">
        <x:v>Priya Menon</x:v>
      </x:c>
      <x:c r="G435" s="80" t="str">
        <x:v>Corporate</x:v>
      </x:c>
      <x:c r="H435" s="80" t="str">
        <x:v>South</x:v>
      </x:c>
      <x:c r="I435" s="80" t="str">
        <x:v>Kerala</x:v>
      </x:c>
      <x:c r="J435" s="80" t="str">
        <x:v>Kochi</x:v>
      </x:c>
      <x:c r="K435" s="80" t="str">
        <x:v>Office Supplies</x:v>
      </x:c>
      <x:c r="L435" s="80" t="str">
        <x:v>Art</x:v>
      </x:c>
      <x:c r="M435" s="80" t="str">
        <x:v>Elite Art 946</x:v>
      </x:c>
      <x:c r="N435" s="80" t="str">
        <x:v>Second Class</x:v>
      </x:c>
      <x:c r="O435" s="82" t="n">
        <x:v>4</x:v>
      </x:c>
      <x:c r="P435" s="83" t="n">
        <x:v>1540.22</x:v>
      </x:c>
      <x:c r="Q435" s="84" t="n">
        <x:v>0</x:v>
      </x:c>
      <x:c r="R435" s="83" t="n">
        <x:v>6160.88</x:v>
      </x:c>
      <x:c r="S435" s="83" t="n">
        <x:v>4938.7</x:v>
      </x:c>
      <x:c r="T435" s="83" t="n">
        <x:v>1222.18</x:v>
      </x:c>
      <x:c r="U435" s="83" t="str">
        <x:v>Refunded</x:v>
      </x:c>
      <x:c r="V435" s="83" t="str">
        <x:v>Returned</x:v>
      </x:c>
      <x:c r="W435" s="151" t="n">
        <x:f>IF(OR(NOT(ISNUMBER($AP435)),COUNT($O435,$P435)&lt;2,$O435&lt;=0,$P435&lt;0),"",ROUND($O435*$P435*(1-$AP435),2))</x:f>
        <x:v>6160.88</x:v>
      </x:c>
      <x:c r="X435" s="151" t="n">
        <x:f>IF(OR(NOT(ISNUMBER($W435)),NOT(ISNUMBER($S435))),"",ROUND($W435-$S435,2))</x:f>
        <x:v>1222.18</x:v>
      </x:c>
      <x:c r="Y435" s="85" t="n">
        <x:f>IF(OR(NOT(ISNUMBER($W435)),NOT(ISNUMBER($X435)),$W435=0),"",ROUND($X435/$W435,4))</x:f>
        <x:v>0.1984</x:v>
      </x:c>
      <x:c r="Z435" s="82" t="n">
        <x:f>IF(OR($AH435&lt;&gt;"Valid",$AI435&lt;&gt;"Valid"),"",INT($D435-$C435))</x:f>
        <x:v>1</x:v>
      </x:c>
      <x:c r="AA435" s="86" t="str">
        <x:f>IF($AH435&lt;&gt;"Valid","",TEXT($C435,"mmmm"))</x:f>
        <x:v>April</x:v>
      </x:c>
      <x:c r="AB435" s="82" t="n">
        <x:f>IF($AH435&lt;&gt;"Valid","",YEAR($C435))</x:f>
        <x:v>2024</x:v>
      </x:c>
      <x:c r="AC435" s="80" t="str">
        <x:v>Refunded (separately summarized)</x:v>
      </x:c>
      <x:c r="AD435" s="80" t="str">
        <x:v>Excluded</x:v>
      </x:c>
      <x:c r="AE435" s="80" t="str">
        <x:f>IF(OR($AH435&lt;&gt;"Valid",$AI435&lt;&gt;"Valid",$AJ435&lt;&gt;"Valid",LEFT($AM435,7)="Invalid",IFERROR(ABS($AQ435)&gt;0.01,FALSE),IFERROR(ABS($AR435)&gt;0.01,FALSE),COUNTIF($AS435,"*Conflicting duplicate*")&gt;0,COUNTIF($AS435,"*Completed order not paid*")&gt;0),"Invalid",IF(OR($H435="Unknown",$N435="Unknown",$AM435="Missing discount imputed as 0"),"Warning","Clean"))</x:f>
        <x:v>Clean</x:v>
      </x:c>
      <x:c r="AF435" s="80" t="str">
        <x:v>Pass</x:v>
      </x:c>
      <x:c r="AG435" s="80" t="str">
        <x:v>No text cleanup required</x:v>
      </x:c>
      <x:c r="AH435" s="12" t="str">
        <x:f>IF(C435="","Missing date",IF(ISNUMBER(C435),"Valid","Unrecognized/invalid date"))</x:f>
        <x:v>Valid</x:v>
      </x:c>
      <x:c r="AI435" s="12" t="str">
        <x:f>IF(D435="","Missing date",IF(ISNUMBER(D435),"Valid","Unrecognized/invalid date"))</x:f>
        <x:v>Valid</x:v>
      </x:c>
      <x:c r="AJ435" s="12" t="str">
        <x:v>Valid</x:v>
      </x:c>
      <x:c r="AK435" s="12" t="str">
        <x:v>Pass</x:v>
      </x:c>
      <x:c r="AL435" s="12" t="str">
        <x:v>Refunded payment – separately summarized</x:v>
      </x:c>
      <x:c r="AM435" s="12" t="str">
        <x:v>Valid</x:v>
      </x:c>
      <x:c r="AN435" s="12" t="str">
        <x:v>Exclude from completed sales</x:v>
      </x:c>
      <x:c r="AO435" s="12" t="str">
        <x:v>Include in refunded summary</x:v>
      </x:c>
      <x:c r="AP435" s="37" t="n">
        <x:f>IF(LEFT($AM435,7)="Invalid","",IF($AM435="Missing discount imputed as 0",IF(AND(COUNT($O435,$P435,$R435,$S435)=4,$O435&gt;0,$P435&gt;=0,$R435&gt;=0,$S435&gt;=0),0,""),IF(AND(ISNUMBER($Q435),$Q435&gt;=0,$Q435&lt;=0.5),$Q435,"")))</x:f>
        <x:v>0</x:v>
      </x:c>
      <x:c r="AQ435" s="152" t="n">
        <x:f>IF(OR($W435="",NOT(ISNUMBER($R435))),"",ROUND($R435-$W435,2))</x:f>
        <x:v>0</x:v>
      </x:c>
      <x:c r="AR435" s="152" t="n">
        <x:f>IF(OR($X435="",NOT(ISNUMBER($T435))),"",ROUND($T435-$X435,2))</x:f>
        <x:v>0</x:v>
      </x:c>
      <x:c r="AS435" s="14" t="str">
        <x:v>OK</x:v>
      </x:c>
    </x:row>
    <x:row r="436">
      <x:c r="A436" s="80" t="n">
        <x:v>436</x:v>
      </x:c>
      <x:c r="B436" s="80" t="str">
        <x:v>ORD-2025-10435</x:v>
      </x:c>
      <x:c r="C436" s="81" t="n">
        <x:v>45758</x:v>
      </x:c>
      <x:c r="D436" s="81" t="n">
        <x:v>45762</x:v>
      </x:c>
      <x:c r="E436" s="80" t="str">
        <x:v>CUST-2351</x:v>
      </x:c>
      <x:c r="F436" s="80" t="str">
        <x:v>Mira Das</x:v>
      </x:c>
      <x:c r="G436" s="80" t="str">
        <x:v>Home Office</x:v>
      </x:c>
      <x:c r="H436" s="80" t="str">
        <x:v>North</x:v>
      </x:c>
      <x:c r="I436" s="80" t="str">
        <x:v>Uttar Pradesh</x:v>
      </x:c>
      <x:c r="J436" s="80" t="str">
        <x:v>Noida</x:v>
      </x:c>
      <x:c r="K436" s="80" t="str">
        <x:v>Technology</x:v>
      </x:c>
      <x:c r="L436" s="80" t="str">
        <x:v>Accessories</x:v>
      </x:c>
      <x:c r="M436" s="80" t="str">
        <x:v>Eco Accessories 705</x:v>
      </x:c>
      <x:c r="N436" s="80" t="str">
        <x:v>Second Class</x:v>
      </x:c>
      <x:c r="O436" s="82" t="n">
        <x:v>5</x:v>
      </x:c>
      <x:c r="P436" s="83" t="n">
        <x:v>652.78</x:v>
      </x:c>
      <x:c r="Q436" s="84" t="n">
        <x:v>0</x:v>
      </x:c>
      <x:c r="R436" s="83" t="n">
        <x:v>3263.9</x:v>
      </x:c>
      <x:c r="S436" s="83" t="n">
        <x:v>2068.44</x:v>
      </x:c>
      <x:c r="T436" s="83" t="n">
        <x:v>1195.46</x:v>
      </x:c>
      <x:c r="U436" s="83" t="str">
        <x:v>Paid</x:v>
      </x:c>
      <x:c r="V436" s="83" t="str">
        <x:v>Completed</x:v>
      </x:c>
      <x:c r="W436" s="151" t="n">
        <x:f>IF(OR(NOT(ISNUMBER($AP436)),COUNT($O436,$P436)&lt;2,$O436&lt;=0,$P436&lt;0),"",ROUND($O436*$P436*(1-$AP436),2))</x:f>
        <x:v>3263.9</x:v>
      </x:c>
      <x:c r="X436" s="151" t="n">
        <x:f>IF(OR(NOT(ISNUMBER($W436)),NOT(ISNUMBER($S436))),"",ROUND($W436-$S436,2))</x:f>
        <x:v>1195.46</x:v>
      </x:c>
      <x:c r="Y436" s="85" t="n">
        <x:f>IF(OR(NOT(ISNUMBER($W436)),NOT(ISNUMBER($X436)),$W436=0),"",ROUND($X436/$W436,4))</x:f>
        <x:v>0.3663</x:v>
      </x:c>
      <x:c r="Z436" s="82" t="n">
        <x:f>IF(OR($AH436&lt;&gt;"Valid",$AI436&lt;&gt;"Valid"),"",INT($D436-$C436))</x:f>
        <x:v>4</x:v>
      </x:c>
      <x:c r="AA436" s="86" t="str">
        <x:f>IF($AH436&lt;&gt;"Valid","",TEXT($C436,"mmmm"))</x:f>
        <x:v>April</x:v>
      </x:c>
      <x:c r="AB436" s="82" t="n">
        <x:f>IF($AH436&lt;&gt;"Valid","",YEAR($C436))</x:f>
        <x:v>2025</x:v>
      </x:c>
      <x:c r="AC436" s="80" t="str">
        <x:v>Consistent</x:v>
      </x:c>
      <x:c r="AD436" s="80" t="str">
        <x:v>Eligible</x:v>
      </x:c>
      <x:c r="AE436" s="80" t="str">
        <x:f>IF(OR($AH436&lt;&gt;"Valid",$AI436&lt;&gt;"Valid",$AJ436&lt;&gt;"Valid",LEFT($AM436,7)="Invalid",IFERROR(ABS($AQ436)&gt;0.01,FALSE),IFERROR(ABS($AR436)&gt;0.01,FALSE),COUNTIF($AS436,"*Conflicting duplicate*")&gt;0,COUNTIF($AS436,"*Completed order not paid*")&gt;0),"Invalid",IF(OR($H436="Unknown",$N436="Unknown",$AM436="Missing discount imputed as 0"),"Warning","Clean"))</x:f>
        <x:v>Clean</x:v>
      </x:c>
      <x:c r="AF436" s="80" t="str">
        <x:v>Pass</x:v>
      </x:c>
      <x:c r="AG436" s="80" t="str">
        <x:v>No text cleanup required</x:v>
      </x:c>
      <x:c r="AH436" s="12" t="str">
        <x:f>IF(C436="","Missing date",IF(ISNUMBER(C436),"Valid","Unrecognized/invalid date"))</x:f>
        <x:v>Valid</x:v>
      </x:c>
      <x:c r="AI436" s="12" t="str">
        <x:f>IF(D436="","Missing date",IF(ISNUMBER(D436),"Valid","Unrecognized/invalid date"))</x:f>
        <x:v>Valid</x:v>
      </x:c>
      <x:c r="AJ436" s="12" t="str">
        <x:v>Valid</x:v>
      </x:c>
      <x:c r="AK436" s="12" t="str">
        <x:v>Pass</x:v>
      </x:c>
      <x:c r="AL436" s="12" t="str">
        <x:v>None</x:v>
      </x:c>
      <x:c r="AM436" s="12" t="str">
        <x:v>Valid</x:v>
      </x:c>
      <x:c r="AN436" s="12" t="str">
        <x:v>Include in completed sales</x:v>
      </x:c>
      <x:c r="AO436" s="12" t="str">
        <x:v>Not a refunded record</x:v>
      </x:c>
      <x:c r="AP436" s="37" t="n">
        <x:f>IF(LEFT($AM436,7)="Invalid","",IF($AM436="Missing discount imputed as 0",IF(AND(COUNT($O436,$P436,$R436,$S436)=4,$O436&gt;0,$P436&gt;=0,$R436&gt;=0,$S436&gt;=0),0,""),IF(AND(ISNUMBER($Q436),$Q436&gt;=0,$Q436&lt;=0.5),$Q436,"")))</x:f>
        <x:v>0</x:v>
      </x:c>
      <x:c r="AQ436" s="152" t="n">
        <x:f>IF(OR($W436="",NOT(ISNUMBER($R436))),"",ROUND($R436-$W436,2))</x:f>
        <x:v>0</x:v>
      </x:c>
      <x:c r="AR436" s="152" t="n">
        <x:f>IF(OR($X436="",NOT(ISNUMBER($T436))),"",ROUND($T436-$X436,2))</x:f>
        <x:v>0</x:v>
      </x:c>
      <x:c r="AS436" s="14" t="str">
        <x:v>OK</x:v>
      </x:c>
    </x:row>
    <x:row r="437">
      <x:c r="A437" s="80" t="n">
        <x:v>437</x:v>
      </x:c>
      <x:c r="B437" s="80" t="str">
        <x:v>ORD-2025-10436</x:v>
      </x:c>
      <x:c r="C437" s="81" t="n">
        <x:v>45759</x:v>
      </x:c>
      <x:c r="D437" s="81" t="n">
        <x:v>45767</x:v>
      </x:c>
      <x:c r="E437" s="80" t="str">
        <x:v>CUST-7291</x:v>
      </x:c>
      <x:c r="F437" s="80" t="str">
        <x:v>Kabir Singh</x:v>
      </x:c>
      <x:c r="G437" s="80" t="str">
        <x:v>Home Office</x:v>
      </x:c>
      <x:c r="H437" s="80" t="str">
        <x:v>North</x:v>
      </x:c>
      <x:c r="I437" s="80" t="str">
        <x:v>Delhi</x:v>
      </x:c>
      <x:c r="J437" s="80" t="str">
        <x:v>New Delhi</x:v>
      </x:c>
      <x:c r="K437" s="80" t="str">
        <x:v>Technology</x:v>
      </x:c>
      <x:c r="L437" s="80" t="str">
        <x:v>Machines</x:v>
      </x:c>
      <x:c r="M437" s="80" t="str">
        <x:v>Max Machines 151</x:v>
      </x:c>
      <x:c r="N437" s="80" t="str">
        <x:v>Standard Class</x:v>
      </x:c>
      <x:c r="O437" s="82" t="n">
        <x:v>1</x:v>
      </x:c>
      <x:c r="P437" s="83" t="n">
        <x:v>2737.71</x:v>
      </x:c>
      <x:c r="Q437" s="84" t="n">
        <x:v>0.15</x:v>
      </x:c>
      <x:c r="R437" s="83" t="n">
        <x:v>2327.05</x:v>
      </x:c>
      <x:c r="S437" s="83" t="n">
        <x:v>1919.42</x:v>
      </x:c>
      <x:c r="T437" s="83" t="n">
        <x:v>407.63</x:v>
      </x:c>
      <x:c r="U437" s="83" t="str">
        <x:v>Paid</x:v>
      </x:c>
      <x:c r="V437" s="83" t="str">
        <x:v>Cancelled</x:v>
      </x:c>
      <x:c r="W437" s="151" t="n">
        <x:f>IF(OR(NOT(ISNUMBER($AP437)),COUNT($O437,$P437)&lt;2,$O437&lt;=0,$P437&lt;0),"",ROUND($O437*$P437*(1-$AP437),2))</x:f>
        <x:v>2327.05</x:v>
      </x:c>
      <x:c r="X437" s="151" t="n">
        <x:f>IF(OR(NOT(ISNUMBER($W437)),NOT(ISNUMBER($S437))),"",ROUND($W437-$S437,2))</x:f>
        <x:v>407.63</x:v>
      </x:c>
      <x:c r="Y437" s="85" t="n">
        <x:f>IF(OR(NOT(ISNUMBER($W437)),NOT(ISNUMBER($X437)),$W437=0),"",ROUND($X437/$W437,4))</x:f>
        <x:v>0.1752</x:v>
      </x:c>
      <x:c r="Z437" s="82" t="n">
        <x:f>IF(OR($AH437&lt;&gt;"Valid",$AI437&lt;&gt;"Valid"),"",INT($D437-$C437))</x:f>
        <x:v>8</x:v>
      </x:c>
      <x:c r="AA437" s="86" t="str">
        <x:f>IF($AH437&lt;&gt;"Valid","",TEXT($C437,"mmmm"))</x:f>
        <x:v>April</x:v>
      </x:c>
      <x:c r="AB437" s="82" t="n">
        <x:f>IF($AH437&lt;&gt;"Valid","",YEAR($C437))</x:f>
        <x:v>2025</x:v>
      </x:c>
      <x:c r="AC437" s="80" t="str">
        <x:v>Cancelled (excluded from completed-sales summary)</x:v>
      </x:c>
      <x:c r="AD437" s="80" t="str">
        <x:v>Excluded</x:v>
      </x:c>
      <x:c r="AE437" s="80" t="str">
        <x:f>IF(OR($AH437&lt;&gt;"Valid",$AI437&lt;&gt;"Valid",$AJ437&lt;&gt;"Valid",LEFT($AM437,7)="Invalid",IFERROR(ABS($AQ437)&gt;0.01,FALSE),IFERROR(ABS($AR437)&gt;0.01,FALSE),COUNTIF($AS437,"*Conflicting duplicate*")&gt;0,COUNTIF($AS437,"*Completed order not paid*")&gt;0),"Invalid",IF(OR($H437="Unknown",$N437="Unknown",$AM437="Missing discount imputed as 0"),"Warning","Clean"))</x:f>
        <x:v>Clean</x:v>
      </x:c>
      <x:c r="AF437" s="80" t="str">
        <x:v>Pass</x:v>
      </x:c>
      <x:c r="AG437" s="80" t="str">
        <x:v>No text cleanup required</x:v>
      </x:c>
      <x:c r="AH437" s="12" t="str">
        <x:f>IF(C437="","Missing date",IF(ISNUMBER(C437),"Valid","Unrecognized/invalid date"))</x:f>
        <x:v>Valid</x:v>
      </x:c>
      <x:c r="AI437" s="12" t="str">
        <x:f>IF(D437="","Missing date",IF(ISNUMBER(D437),"Valid","Unrecognized/invalid date"))</x:f>
        <x:v>Valid</x:v>
      </x:c>
      <x:c r="AJ437" s="12" t="str">
        <x:v>Valid</x:v>
      </x:c>
      <x:c r="AK437" s="12" t="str">
        <x:v>Pass</x:v>
      </x:c>
      <x:c r="AL437" s="12" t="str">
        <x:v>Cancelled order – excluded from completed sales</x:v>
      </x:c>
      <x:c r="AM437" s="12" t="str">
        <x:v>Valid</x:v>
      </x:c>
      <x:c r="AN437" s="12" t="str">
        <x:v>Exclude from completed sales</x:v>
      </x:c>
      <x:c r="AO437" s="12" t="str">
        <x:v>Not a refunded record</x:v>
      </x:c>
      <x:c r="AP437" s="37" t="n">
        <x:f>IF(LEFT($AM437,7)="Invalid","",IF($AM437="Missing discount imputed as 0",IF(AND(COUNT($O437,$P437,$R437,$S437)=4,$O437&gt;0,$P437&gt;=0,$R437&gt;=0,$S437&gt;=0),0,""),IF(AND(ISNUMBER($Q437),$Q437&gt;=0,$Q437&lt;=0.5),$Q437,"")))</x:f>
        <x:v>0.15</x:v>
      </x:c>
      <x:c r="AQ437" s="152" t="n">
        <x:f>IF(OR($W437="",NOT(ISNUMBER($R437))),"",ROUND($R437-$W437,2))</x:f>
        <x:v>0</x:v>
      </x:c>
      <x:c r="AR437" s="152" t="n">
        <x:f>IF(OR($X437="",NOT(ISNUMBER($T437))),"",ROUND($T437-$X437,2))</x:f>
        <x:v>0</x:v>
      </x:c>
      <x:c r="AS437" s="14" t="str">
        <x:v>OK</x:v>
      </x:c>
    </x:row>
    <x:row r="438">
      <x:c r="A438" s="80" t="n">
        <x:v>438</x:v>
      </x:c>
      <x:c r="B438" s="80" t="str">
        <x:v>ORD-2024-10437</x:v>
      </x:c>
      <x:c r="C438" s="81" t="n">
        <x:v>45459</x:v>
      </x:c>
      <x:c r="D438" s="81" t="n">
        <x:v>45464</x:v>
      </x:c>
      <x:c r="E438" s="80" t="str">
        <x:v>CUST-4492</x:v>
      </x:c>
      <x:c r="F438" s="80" t="str">
        <x:v>Neha Gupta</x:v>
      </x:c>
      <x:c r="G438" s="80" t="str">
        <x:v>Consumer</x:v>
      </x:c>
      <x:c r="H438" s="80" t="str">
        <x:v>South</x:v>
      </x:c>
      <x:c r="I438" s="80" t="str">
        <x:v>Kerala</x:v>
      </x:c>
      <x:c r="J438" s="80" t="str">
        <x:v>Kochi</x:v>
      </x:c>
      <x:c r="K438" s="80" t="str">
        <x:v>Furniture</x:v>
      </x:c>
      <x:c r="L438" s="80" t="str">
        <x:v>Furnishings</x:v>
      </x:c>
      <x:c r="M438" s="80" t="str">
        <x:v>Max Furnishings 803</x:v>
      </x:c>
      <x:c r="N438" s="80" t="str">
        <x:v>Same Day</x:v>
      </x:c>
      <x:c r="O438" s="82" t="n">
        <x:v>6</x:v>
      </x:c>
      <x:c r="P438" s="83" t="n">
        <x:v>1156.78</x:v>
      </x:c>
      <x:c r="Q438" s="84" t="n">
        <x:v>0.05</x:v>
      </x:c>
      <x:c r="R438" s="83" t="n">
        <x:v>6593.65</x:v>
      </x:c>
      <x:c r="S438" s="83" t="n">
        <x:v>4359.39</x:v>
      </x:c>
      <x:c r="T438" s="83" t="n">
        <x:v>2234.26</x:v>
      </x:c>
      <x:c r="U438" s="83" t="str">
        <x:v>Paid</x:v>
      </x:c>
      <x:c r="V438" s="83" t="str">
        <x:v>Returned</x:v>
      </x:c>
      <x:c r="W438" s="151" t="n">
        <x:f>IF(OR(NOT(ISNUMBER($AP438)),COUNT($O438,$P438)&lt;2,$O438&lt;=0,$P438&lt;0),"",ROUND($O438*$P438*(1-$AP438),2))</x:f>
        <x:v>6593.65</x:v>
      </x:c>
      <x:c r="X438" s="151" t="n">
        <x:f>IF(OR(NOT(ISNUMBER($W438)),NOT(ISNUMBER($S438))),"",ROUND($W438-$S438,2))</x:f>
        <x:v>2234.26</x:v>
      </x:c>
      <x:c r="Y438" s="85" t="n">
        <x:f>IF(OR(NOT(ISNUMBER($W438)),NOT(ISNUMBER($X438)),$W438=0),"",ROUND($X438/$W438,4))</x:f>
        <x:v>0.3389</x:v>
      </x:c>
      <x:c r="Z438" s="82" t="n">
        <x:f>IF(OR($AH438&lt;&gt;"Valid",$AI438&lt;&gt;"Valid"),"",INT($D438-$C438))</x:f>
        <x:v>5</x:v>
      </x:c>
      <x:c r="AA438" s="86" t="str">
        <x:f>IF($AH438&lt;&gt;"Valid","",TEXT($C438,"mmmm"))</x:f>
        <x:v>June</x:v>
      </x:c>
      <x:c r="AB438" s="82" t="n">
        <x:f>IF($AH438&lt;&gt;"Valid","",YEAR($C438))</x:f>
        <x:v>2024</x:v>
      </x:c>
      <x:c r="AC438" s="80" t="str">
        <x:v>Consistent</x:v>
      </x:c>
      <x:c r="AD438" s="80" t="str">
        <x:v>Excluded</x:v>
      </x:c>
      <x:c r="AE438" s="80" t="str">
        <x:f>IF(OR($AH438&lt;&gt;"Valid",$AI438&lt;&gt;"Valid",$AJ438&lt;&gt;"Valid",LEFT($AM438,7)="Invalid",IFERROR(ABS($AQ438)&gt;0.01,FALSE),IFERROR(ABS($AR438)&gt;0.01,FALSE),COUNTIF($AS438,"*Conflicting duplicate*")&gt;0,COUNTIF($AS438,"*Completed order not paid*")&gt;0),"Invalid",IF(OR($H438="Unknown",$N438="Unknown",$AM438="Missing discount imputed as 0"),"Warning","Clean"))</x:f>
        <x:v>Clean</x:v>
      </x:c>
      <x:c r="AF438" s="80" t="str">
        <x:v>Pass</x:v>
      </x:c>
      <x:c r="AG438" s="80" t="str">
        <x:v>No text cleanup required</x:v>
      </x:c>
      <x:c r="AH438" s="12" t="str">
        <x:f>IF(C438="","Missing date",IF(ISNUMBER(C438),"Valid","Unrecognized/invalid date"))</x:f>
        <x:v>Valid</x:v>
      </x:c>
      <x:c r="AI438" s="12" t="str">
        <x:f>IF(D438="","Missing date",IF(ISNUMBER(D438),"Valid","Unrecognized/invalid date"))</x:f>
        <x:v>Valid</x:v>
      </x:c>
      <x:c r="AJ438" s="12" t="str">
        <x:v>Valid</x:v>
      </x:c>
      <x:c r="AK438" s="12" t="str">
        <x:v>Pass</x:v>
      </x:c>
      <x:c r="AL438" s="12" t="str">
        <x:v>None</x:v>
      </x:c>
      <x:c r="AM438" s="12" t="str">
        <x:v>Valid</x:v>
      </x:c>
      <x:c r="AN438" s="12" t="str">
        <x:v>Exclude from completed sales</x:v>
      </x:c>
      <x:c r="AO438" s="12" t="str">
        <x:v>Not a refunded record</x:v>
      </x:c>
      <x:c r="AP438" s="37" t="n">
        <x:f>IF(LEFT($AM438,7)="Invalid","",IF($AM438="Missing discount imputed as 0",IF(AND(COUNT($O438,$P438,$R438,$S438)=4,$O438&gt;0,$P438&gt;=0,$R438&gt;=0,$S438&gt;=0),0,""),IF(AND(ISNUMBER($Q438),$Q438&gt;=0,$Q438&lt;=0.5),$Q438,"")))</x:f>
        <x:v>0.05</x:v>
      </x:c>
      <x:c r="AQ438" s="152" t="n">
        <x:f>IF(OR($W438="",NOT(ISNUMBER($R438))),"",ROUND($R438-$W438,2))</x:f>
        <x:v>0</x:v>
      </x:c>
      <x:c r="AR438" s="152" t="n">
        <x:f>IF(OR($X438="",NOT(ISNUMBER($T438))),"",ROUND($T438-$X438,2))</x:f>
        <x:v>0</x:v>
      </x:c>
      <x:c r="AS438" s="14" t="str">
        <x:v>OK</x:v>
      </x:c>
    </x:row>
    <x:row r="439">
      <x:c r="A439" s="80" t="n">
        <x:v>439</x:v>
      </x:c>
      <x:c r="B439" s="80" t="str">
        <x:v>ORD-2024-10438</x:v>
      </x:c>
      <x:c r="C439" s="81" t="n">
        <x:v>45337</x:v>
      </x:c>
      <x:c r="D439" s="81" t="n">
        <x:v>45340</x:v>
      </x:c>
      <x:c r="E439" s="80" t="str">
        <x:v>CUST-5029</x:v>
      </x:c>
      <x:c r="F439" s="80" t="str">
        <x:v>Aditi Sen</x:v>
      </x:c>
      <x:c r="G439" s="80" t="str">
        <x:v>Small Business</x:v>
      </x:c>
      <x:c r="H439" s="80" t="str">
        <x:v>South</x:v>
      </x:c>
      <x:c r="I439" s="80" t="str">
        <x:v>Kerala</x:v>
      </x:c>
      <x:c r="J439" s="80" t="str">
        <x:v>Kochi</x:v>
      </x:c>
      <x:c r="K439" s="80" t="str">
        <x:v>Technology</x:v>
      </x:c>
      <x:c r="L439" s="80" t="str">
        <x:v>Accessories</x:v>
      </x:c>
      <x:c r="M439" s="80" t="str">
        <x:v>Max Accessories 423</x:v>
      </x:c>
      <x:c r="N439" s="80" t="str">
        <x:v>Same Day</x:v>
      </x:c>
      <x:c r="O439" s="82" t="n">
        <x:v>8</x:v>
      </x:c>
      <x:c r="P439" s="83" t="n">
        <x:v>379.82</x:v>
      </x:c>
      <x:c r="Q439" s="84" t="n">
        <x:v>0.05</x:v>
      </x:c>
      <x:c r="R439" s="83" t="n">
        <x:v>2886.63</x:v>
      </x:c>
      <x:c r="S439" s="83" t="n">
        <x:v>1588.23</x:v>
      </x:c>
      <x:c r="T439" s="83" t="n">
        <x:v>1298.4</x:v>
      </x:c>
      <x:c r="U439" s="83" t="str">
        <x:v>Failed</x:v>
      </x:c>
      <x:c r="V439" s="83" t="str">
        <x:v>Returned</x:v>
      </x:c>
      <x:c r="W439" s="151" t="n">
        <x:f>IF(OR(NOT(ISNUMBER($AP439)),COUNT($O439,$P439)&lt;2,$O439&lt;=0,$P439&lt;0),"",ROUND($O439*$P439*(1-$AP439),2))</x:f>
        <x:v>2886.63</x:v>
      </x:c>
      <x:c r="X439" s="151" t="n">
        <x:f>IF(OR(NOT(ISNUMBER($W439)),NOT(ISNUMBER($S439))),"",ROUND($W439-$S439,2))</x:f>
        <x:v>1298.4</x:v>
      </x:c>
      <x:c r="Y439" s="85" t="n">
        <x:f>IF(OR(NOT(ISNUMBER($W439)),NOT(ISNUMBER($X439)),$W439=0),"",ROUND($X439/$W439,4))</x:f>
        <x:v>0.4498</x:v>
      </x:c>
      <x:c r="Z439" s="82" t="n">
        <x:f>IF(OR($AH439&lt;&gt;"Valid",$AI439&lt;&gt;"Valid"),"",INT($D439-$C439))</x:f>
        <x:v>3</x:v>
      </x:c>
      <x:c r="AA439" s="86" t="str">
        <x:f>IF($AH439&lt;&gt;"Valid","",TEXT($C439,"mmmm"))</x:f>
        <x:v>February</x:v>
      </x:c>
      <x:c r="AB439" s="82" t="n">
        <x:f>IF($AH439&lt;&gt;"Valid","",YEAR($C439))</x:f>
        <x:v>2024</x:v>
      </x:c>
      <x:c r="AC439" s="80" t="str">
        <x:v>Failed payment (excluded from completed-sales summary)</x:v>
      </x:c>
      <x:c r="AD439" s="80" t="str">
        <x:v>Excluded</x:v>
      </x:c>
      <x:c r="AE439" s="80" t="str">
        <x:f>IF(OR($AH439&lt;&gt;"Valid",$AI439&lt;&gt;"Valid",$AJ439&lt;&gt;"Valid",LEFT($AM439,7)="Invalid",IFERROR(ABS($AQ439)&gt;0.01,FALSE),IFERROR(ABS($AR439)&gt;0.01,FALSE),COUNTIF($AS439,"*Conflicting duplicate*")&gt;0,COUNTIF($AS439,"*Completed order not paid*")&gt;0),"Invalid",IF(OR($H439="Unknown",$N439="Unknown",$AM439="Missing discount imputed as 0"),"Warning","Clean"))</x:f>
        <x:v>Clean</x:v>
      </x:c>
      <x:c r="AF439" s="80" t="str">
        <x:v>Cleaned</x:v>
      </x:c>
      <x:c r="AG439" s="80" t="str">
        <x:v>sub_category: TRIM/SUBSTITUTE whitespace cleanup</x:v>
      </x:c>
      <x:c r="AH439" s="12" t="str">
        <x:f>IF(C439="","Missing date",IF(ISNUMBER(C439),"Valid","Unrecognized/invalid date"))</x:f>
        <x:v>Valid</x:v>
      </x:c>
      <x:c r="AI439" s="12" t="str">
        <x:f>IF(D439="","Missing date",IF(ISNUMBER(D439),"Valid","Unrecognized/invalid date"))</x:f>
        <x:v>Valid</x:v>
      </x:c>
      <x:c r="AJ439" s="12" t="str">
        <x:v>Valid</x:v>
      </x:c>
      <x:c r="AK439" s="12" t="str">
        <x:v>Pass</x:v>
      </x:c>
      <x:c r="AL439" s="12" t="str">
        <x:v>Failed payment – excluded from completed sales</x:v>
      </x:c>
      <x:c r="AM439" s="12" t="str">
        <x:v>Valid</x:v>
      </x:c>
      <x:c r="AN439" s="12" t="str">
        <x:v>Exclude from completed sales</x:v>
      </x:c>
      <x:c r="AO439" s="12" t="str">
        <x:v>Not a refunded record</x:v>
      </x:c>
      <x:c r="AP439" s="37" t="n">
        <x:f>IF(LEFT($AM439,7)="Invalid","",IF($AM439="Missing discount imputed as 0",IF(AND(COUNT($O439,$P439,$R439,$S439)=4,$O439&gt;0,$P439&gt;=0,$R439&gt;=0,$S439&gt;=0),0,""),IF(AND(ISNUMBER($Q439),$Q439&gt;=0,$Q439&lt;=0.5),$Q439,"")))</x:f>
        <x:v>0.05</x:v>
      </x:c>
      <x:c r="AQ439" s="152" t="n">
        <x:f>IF(OR($W439="",NOT(ISNUMBER($R439))),"",ROUND($R439-$W439,2))</x:f>
        <x:v>0</x:v>
      </x:c>
      <x:c r="AR439" s="152" t="n">
        <x:f>IF(OR($X439="",NOT(ISNUMBER($T439))),"",ROUND($T439-$X439,2))</x:f>
        <x:v>0</x:v>
      </x:c>
      <x:c r="AS439" s="14" t="str">
        <x:v>OK</x:v>
      </x:c>
    </x:row>
    <x:row r="440">
      <x:c r="A440" s="80" t="n">
        <x:v>440</x:v>
      </x:c>
      <x:c r="B440" s="80" t="str">
        <x:v>ORD-2025-10439</x:v>
      </x:c>
      <x:c r="C440" s="81" t="n">
        <x:v>45784</x:v>
      </x:c>
      <x:c r="D440" s="81" t="n">
        <x:v>45782</x:v>
      </x:c>
      <x:c r="E440" s="80" t="str">
        <x:v>CUST-7252</x:v>
      </x:c>
      <x:c r="F440" s="80" t="str">
        <x:v>Neha Gupta</x:v>
      </x:c>
      <x:c r="G440" s="80" t="str">
        <x:v>Corporate</x:v>
      </x:c>
      <x:c r="H440" s="80" t="str">
        <x:v>East</x:v>
      </x:c>
      <x:c r="I440" s="80" t="str">
        <x:v>Jharkhand</x:v>
      </x:c>
      <x:c r="J440" s="80" t="str">
        <x:v>Ranchi</x:v>
      </x:c>
      <x:c r="K440" s="80" t="str">
        <x:v>Technology</x:v>
      </x:c>
      <x:c r="L440" s="80" t="str">
        <x:v>Phones</x:v>
      </x:c>
      <x:c r="M440" s="80" t="str">
        <x:v>Elite Phones 276</x:v>
      </x:c>
      <x:c r="N440" s="80" t="str">
        <x:v>Standard Class</x:v>
      </x:c>
      <x:c r="O440" s="82" t="n">
        <x:v>1</x:v>
      </x:c>
      <x:c r="P440" s="83" t="n">
        <x:v>2266.47</x:v>
      </x:c>
      <x:c r="Q440" s="84" t="n">
        <x:v>0.2</x:v>
      </x:c>
      <x:c r="R440" s="83" t="n">
        <x:v>1813.18</x:v>
      </x:c>
      <x:c r="S440" s="83" t="n">
        <x:v>1363.64</x:v>
      </x:c>
      <x:c r="T440" s="83" t="n">
        <x:v>449.54</x:v>
      </x:c>
      <x:c r="U440" s="83" t="str">
        <x:v>Paid</x:v>
      </x:c>
      <x:c r="V440" s="83" t="str">
        <x:v>Completed</x:v>
      </x:c>
      <x:c r="W440" s="151" t="n">
        <x:f>IF(OR(NOT(ISNUMBER($AP440)),COUNT($O440,$P440)&lt;2,$O440&lt;=0,$P440&lt;0),"",ROUND($O440*$P440*(1-$AP440),2))</x:f>
        <x:v>1813.18</x:v>
      </x:c>
      <x:c r="X440" s="151" t="n">
        <x:f>IF(OR(NOT(ISNUMBER($W440)),NOT(ISNUMBER($S440))),"",ROUND($W440-$S440,2))</x:f>
        <x:v>449.54</x:v>
      </x:c>
      <x:c r="Y440" s="85" t="n">
        <x:f>IF(OR(NOT(ISNUMBER($W440)),NOT(ISNUMBER($X440)),$W440=0),"",ROUND($X440/$W440,4))</x:f>
        <x:v>0.2479</x:v>
      </x:c>
      <x:c r="Z440" s="82" t="n">
        <x:f>IF(OR($AH440&lt;&gt;"Valid",$AI440&lt;&gt;"Valid"),"",INT($D440-$C440))</x:f>
        <x:v>-2</x:v>
      </x:c>
      <x:c r="AA440" s="86" t="str">
        <x:f>IF($AH440&lt;&gt;"Valid","",TEXT($C440,"mmmm"))</x:f>
        <x:v>May</x:v>
      </x:c>
      <x:c r="AB440" s="82" t="n">
        <x:f>IF($AH440&lt;&gt;"Valid","",YEAR($C440))</x:f>
        <x:v>2025</x:v>
      </x:c>
      <x:c r="AC440" s="80" t="str">
        <x:v>Consistent</x:v>
      </x:c>
      <x:c r="AD440" s="80" t="str">
        <x:v>Excluded</x:v>
      </x:c>
      <x:c r="AE440" s="80" t="str">
        <x:f>IF(OR($AH440&lt;&gt;"Valid",$AI440&lt;&gt;"Valid",$AJ440&lt;&gt;"Valid",LEFT($AM440,7)="Invalid",IFERROR(ABS($AQ440)&gt;0.01,FALSE),IFERROR(ABS($AR440)&gt;0.01,FALSE),COUNTIF($AS440,"*Conflicting duplicate*")&gt;0,COUNTIF($AS440,"*Completed order not paid*")&gt;0),"Invalid",IF(OR($H440="Unknown",$N440="Unknown",$AM440="Missing discount imputed as 0"),"Warning","Clean"))</x:f>
        <x:v>Invalid</x:v>
      </x:c>
      <x:c r="AF440" s="80" t="str">
        <x:v>Review</x:v>
      </x:c>
      <x:c r="AG440" s="80" t="str">
        <x:v>No text cleanup required</x:v>
      </x:c>
      <x:c r="AH440" s="12" t="str">
        <x:f>IF(C440="","Missing date",IF(ISNUMBER(C440),"Valid","Unrecognized/invalid date"))</x:f>
        <x:v>Valid</x:v>
      </x:c>
      <x:c r="AI440" s="12" t="str">
        <x:f>IF(D440="","Missing date",IF(ISNUMBER(D440),"Valid","Unrecognized/invalid date"))</x:f>
        <x:v>Valid</x:v>
      </x:c>
      <x:c r="AJ440" s="12" t="str">
        <x:v>Invalid</x:v>
      </x:c>
      <x:c r="AK440" s="12" t="str">
        <x:v>Ship date is earlier than order date</x:v>
      </x:c>
      <x:c r="AL440" s="12" t="str">
        <x:v>None</x:v>
      </x:c>
      <x:c r="AM440" s="12" t="str">
        <x:v>Valid</x:v>
      </x:c>
      <x:c r="AN440" s="12" t="str">
        <x:v>Exclude from completed sales</x:v>
      </x:c>
      <x:c r="AO440" s="12" t="str">
        <x:v>Not a refunded record</x:v>
      </x:c>
      <x:c r="AP440" s="37" t="n">
        <x:f>IF(LEFT($AM440,7)="Invalid","",IF($AM440="Missing discount imputed as 0",IF(AND(COUNT($O440,$P440,$R440,$S440)=4,$O440&gt;0,$P440&gt;=0,$R440&gt;=0,$S440&gt;=0),0,""),IF(AND(ISNUMBER($Q440),$Q440&gt;=0,$Q440&lt;=0.5),$Q440,"")))</x:f>
        <x:v>0.2</x:v>
      </x:c>
      <x:c r="AQ440" s="152" t="n">
        <x:f>IF(OR($W440="",NOT(ISNUMBER($R440))),"",ROUND($R440-$W440,2))</x:f>
        <x:v>0</x:v>
      </x:c>
      <x:c r="AR440" s="152" t="n">
        <x:f>IF(OR($X440="",NOT(ISNUMBER($T440))),"",ROUND($T440-$X440,2))</x:f>
        <x:v>0</x:v>
      </x:c>
      <x:c r="AS440" s="14" t="str">
        <x:v>Ship date earlier than order date</x:v>
      </x:c>
    </x:row>
    <x:row r="441">
      <x:c r="A441" s="80" t="n">
        <x:v>441</x:v>
      </x:c>
      <x:c r="B441" s="80" t="str">
        <x:v>ORD-2025-10440</x:v>
      </x:c>
      <x:c r="C441" s="81" t="n">
        <x:v>45838</x:v>
      </x:c>
      <x:c r="D441" s="81" t="n">
        <x:v>45841</x:v>
      </x:c>
      <x:c r="E441" s="80" t="str">
        <x:v>CUST-7346</x:v>
      </x:c>
      <x:c r="F441" s="80" t="str">
        <x:v>Aarav Sharma</x:v>
      </x:c>
      <x:c r="G441" s="80" t="str">
        <x:v>Home Office</x:v>
      </x:c>
      <x:c r="H441" s="80" t="str">
        <x:v>West</x:v>
      </x:c>
      <x:c r="I441" s="80" t="str">
        <x:v>Goa</x:v>
      </x:c>
      <x:c r="J441" s="80" t="str">
        <x:v>Panaji</x:v>
      </x:c>
      <x:c r="K441" s="80" t="str">
        <x:v>Office Supplies</x:v>
      </x:c>
      <x:c r="L441" s="80" t="str">
        <x:v>Storage</x:v>
      </x:c>
      <x:c r="M441" s="80" t="str">
        <x:v>Smart Storage 287</x:v>
      </x:c>
      <x:c r="N441" s="80" t="str">
        <x:v>Same Day</x:v>
      </x:c>
      <x:c r="O441" s="82" t="n">
        <x:v>5</x:v>
      </x:c>
      <x:c r="P441" s="83" t="n">
        <x:v>665.25</x:v>
      </x:c>
      <x:c r="Q441" s="84" t="n">
        <x:v>0</x:v>
      </x:c>
      <x:c r="R441" s="83" t="n">
        <x:v>3326.25</x:v>
      </x:c>
      <x:c r="S441" s="83" t="n">
        <x:v>2689.36</x:v>
      </x:c>
      <x:c r="T441" s="83" t="n">
        <x:v>636.89</x:v>
      </x:c>
      <x:c r="U441" s="83" t="str">
        <x:v>Refunded</x:v>
      </x:c>
      <x:c r="V441" s="83" t="str">
        <x:v>Returned</x:v>
      </x:c>
      <x:c r="W441" s="151" t="n">
        <x:f>IF(OR(NOT(ISNUMBER($AP441)),COUNT($O441,$P441)&lt;2,$O441&lt;=0,$P441&lt;0),"",ROUND($O441*$P441*(1-$AP441),2))</x:f>
        <x:v>3326.25</x:v>
      </x:c>
      <x:c r="X441" s="151" t="n">
        <x:f>IF(OR(NOT(ISNUMBER($W441)),NOT(ISNUMBER($S441))),"",ROUND($W441-$S441,2))</x:f>
        <x:v>636.89</x:v>
      </x:c>
      <x:c r="Y441" s="85" t="n">
        <x:f>IF(OR(NOT(ISNUMBER($W441)),NOT(ISNUMBER($X441)),$W441=0),"",ROUND($X441/$W441,4))</x:f>
        <x:v>0.1915</x:v>
      </x:c>
      <x:c r="Z441" s="82" t="n">
        <x:f>IF(OR($AH441&lt;&gt;"Valid",$AI441&lt;&gt;"Valid"),"",INT($D441-$C441))</x:f>
        <x:v>3</x:v>
      </x:c>
      <x:c r="AA441" s="86" t="str">
        <x:f>IF($AH441&lt;&gt;"Valid","",TEXT($C441,"mmmm"))</x:f>
        <x:v>June</x:v>
      </x:c>
      <x:c r="AB441" s="82" t="n">
        <x:f>IF($AH441&lt;&gt;"Valid","",YEAR($C441))</x:f>
        <x:v>2025</x:v>
      </x:c>
      <x:c r="AC441" s="80" t="str">
        <x:v>Refunded (separately summarized)</x:v>
      </x:c>
      <x:c r="AD441" s="80" t="str">
        <x:v>Excluded</x:v>
      </x:c>
      <x:c r="AE441" s="80" t="str">
        <x:f>IF(OR($AH441&lt;&gt;"Valid",$AI441&lt;&gt;"Valid",$AJ441&lt;&gt;"Valid",LEFT($AM441,7)="Invalid",IFERROR(ABS($AQ441)&gt;0.01,FALSE),IFERROR(ABS($AR441)&gt;0.01,FALSE),COUNTIF($AS441,"*Conflicting duplicate*")&gt;0,COUNTIF($AS441,"*Completed order not paid*")&gt;0),"Invalid",IF(OR($H441="Unknown",$N441="Unknown",$AM441="Missing discount imputed as 0"),"Warning","Clean"))</x:f>
        <x:v>Clean</x:v>
      </x:c>
      <x:c r="AF441" s="80" t="str">
        <x:v>Pass</x:v>
      </x:c>
      <x:c r="AG441" s="80" t="str">
        <x:v>No text cleanup required</x:v>
      </x:c>
      <x:c r="AH441" s="12" t="str">
        <x:f>IF(C441="","Missing date",IF(ISNUMBER(C441),"Valid","Unrecognized/invalid date"))</x:f>
        <x:v>Valid</x:v>
      </x:c>
      <x:c r="AI441" s="12" t="str">
        <x:f>IF(D441="","Missing date",IF(ISNUMBER(D441),"Valid","Unrecognized/invalid date"))</x:f>
        <x:v>Valid</x:v>
      </x:c>
      <x:c r="AJ441" s="12" t="str">
        <x:v>Valid</x:v>
      </x:c>
      <x:c r="AK441" s="12" t="str">
        <x:v>Pass</x:v>
      </x:c>
      <x:c r="AL441" s="12" t="str">
        <x:v>Refunded payment – separately summarized</x:v>
      </x:c>
      <x:c r="AM441" s="12" t="str">
        <x:v>Valid</x:v>
      </x:c>
      <x:c r="AN441" s="12" t="str">
        <x:v>Exclude from completed sales</x:v>
      </x:c>
      <x:c r="AO441" s="12" t="str">
        <x:v>Include in refunded summary</x:v>
      </x:c>
      <x:c r="AP441" s="37" t="n">
        <x:f>IF(LEFT($AM441,7)="Invalid","",IF($AM441="Missing discount imputed as 0",IF(AND(COUNT($O441,$P441,$R441,$S441)=4,$O441&gt;0,$P441&gt;=0,$R441&gt;=0,$S441&gt;=0),0,""),IF(AND(ISNUMBER($Q441),$Q441&gt;=0,$Q441&lt;=0.5),$Q441,"")))</x:f>
        <x:v>0</x:v>
      </x:c>
      <x:c r="AQ441" s="152" t="n">
        <x:f>IF(OR($W441="",NOT(ISNUMBER($R441))),"",ROUND($R441-$W441,2))</x:f>
        <x:v>0</x:v>
      </x:c>
      <x:c r="AR441" s="152" t="n">
        <x:f>IF(OR($X441="",NOT(ISNUMBER($T441))),"",ROUND($T441-$X441,2))</x:f>
        <x:v>0</x:v>
      </x:c>
      <x:c r="AS441" s="14" t="str">
        <x:v>OK</x:v>
      </x:c>
    </x:row>
    <x:row r="442">
      <x:c r="A442" s="80" t="n">
        <x:v>442</x:v>
      </x:c>
      <x:c r="B442" s="80" t="str">
        <x:v>ORD-2024-10441</x:v>
      </x:c>
      <x:c r="C442" s="81" t="n">
        <x:v>45384</x:v>
      </x:c>
      <x:c r="D442" s="81" t="n">
        <x:v>45390</x:v>
      </x:c>
      <x:c r="E442" s="80" t="str">
        <x:v>CUST-9039</x:v>
      </x:c>
      <x:c r="F442" s="80" t="str">
        <x:v>Vikram Iyer</x:v>
      </x:c>
      <x:c r="G442" s="80" t="str">
        <x:v>Corporate</x:v>
      </x:c>
      <x:c r="H442" s="80" t="str">
        <x:v>East</x:v>
      </x:c>
      <x:c r="I442" s="80" t="str">
        <x:v>Odisha</x:v>
      </x:c>
      <x:c r="J442" s="80" t="str">
        <x:v>Bhubaneswar</x:v>
      </x:c>
      <x:c r="K442" s="80" t="str">
        <x:v>Technology</x:v>
      </x:c>
      <x:c r="L442" s="80" t="str">
        <x:v>Machines</x:v>
      </x:c>
      <x:c r="M442" s="80" t="str">
        <x:v>Basic Machines 610</x:v>
      </x:c>
      <x:c r="N442" s="80" t="str">
        <x:v>Second Class</x:v>
      </x:c>
      <x:c r="O442" s="82" t="n">
        <x:v>6</x:v>
      </x:c>
      <x:c r="P442" s="83" t="n">
        <x:v>3722.84</x:v>
      </x:c>
      <x:c r="Q442" s="84" t="n">
        <x:v>0.2</x:v>
      </x:c>
      <x:c r="R442" s="83" t="n">
        <x:v>17869.63</x:v>
      </x:c>
      <x:c r="S442" s="83" t="n">
        <x:v>12163.8</x:v>
      </x:c>
      <x:c r="T442" s="83" t="n">
        <x:v>5705.83</x:v>
      </x:c>
      <x:c r="U442" s="83" t="str">
        <x:v>Paid</x:v>
      </x:c>
      <x:c r="V442" s="83" t="str">
        <x:v>Completed</x:v>
      </x:c>
      <x:c r="W442" s="151" t="n">
        <x:f>IF(OR(NOT(ISNUMBER($AP442)),COUNT($O442,$P442)&lt;2,$O442&lt;=0,$P442&lt;0),"",ROUND($O442*$P442*(1-$AP442),2))</x:f>
        <x:v>17869.63</x:v>
      </x:c>
      <x:c r="X442" s="151" t="n">
        <x:f>IF(OR(NOT(ISNUMBER($W442)),NOT(ISNUMBER($S442))),"",ROUND($W442-$S442,2))</x:f>
        <x:v>5705.83</x:v>
      </x:c>
      <x:c r="Y442" s="85" t="n">
        <x:f>IF(OR(NOT(ISNUMBER($W442)),NOT(ISNUMBER($X442)),$W442=0),"",ROUND($X442/$W442,4))</x:f>
        <x:v>0.3193</x:v>
      </x:c>
      <x:c r="Z442" s="82" t="n">
        <x:f>IF(OR($AH442&lt;&gt;"Valid",$AI442&lt;&gt;"Valid"),"",INT($D442-$C442))</x:f>
        <x:v>6</x:v>
      </x:c>
      <x:c r="AA442" s="86" t="str">
        <x:f>IF($AH442&lt;&gt;"Valid","",TEXT($C442,"mmmm"))</x:f>
        <x:v>April</x:v>
      </x:c>
      <x:c r="AB442" s="82" t="n">
        <x:f>IF($AH442&lt;&gt;"Valid","",YEAR($C442))</x:f>
        <x:v>2024</x:v>
      </x:c>
      <x:c r="AC442" s="80" t="str">
        <x:v>Consistent</x:v>
      </x:c>
      <x:c r="AD442" s="80" t="str">
        <x:v>Eligible</x:v>
      </x:c>
      <x:c r="AE442" s="80" t="str">
        <x:f>IF(OR($AH442&lt;&gt;"Valid",$AI442&lt;&gt;"Valid",$AJ442&lt;&gt;"Valid",LEFT($AM442,7)="Invalid",IFERROR(ABS($AQ442)&gt;0.01,FALSE),IFERROR(ABS($AR442)&gt;0.01,FALSE),COUNTIF($AS442,"*Conflicting duplicate*")&gt;0,COUNTIF($AS442,"*Completed order not paid*")&gt;0),"Invalid",IF(OR($H442="Unknown",$N442="Unknown",$AM442="Missing discount imputed as 0"),"Warning","Clean"))</x:f>
        <x:v>Clean</x:v>
      </x:c>
      <x:c r="AF442" s="80" t="str">
        <x:v>Pass</x:v>
      </x:c>
      <x:c r="AG442" s="80" t="str">
        <x:v>No text cleanup required</x:v>
      </x:c>
      <x:c r="AH442" s="12" t="str">
        <x:f>IF(C442="","Missing date",IF(ISNUMBER(C442),"Valid","Unrecognized/invalid date"))</x:f>
        <x:v>Valid</x:v>
      </x:c>
      <x:c r="AI442" s="12" t="str">
        <x:f>IF(D442="","Missing date",IF(ISNUMBER(D442),"Valid","Unrecognized/invalid date"))</x:f>
        <x:v>Valid</x:v>
      </x:c>
      <x:c r="AJ442" s="12" t="str">
        <x:v>Valid</x:v>
      </x:c>
      <x:c r="AK442" s="12" t="str">
        <x:v>Pass</x:v>
      </x:c>
      <x:c r="AL442" s="12" t="str">
        <x:v>None</x:v>
      </x:c>
      <x:c r="AM442" s="12" t="str">
        <x:v>Valid</x:v>
      </x:c>
      <x:c r="AN442" s="12" t="str">
        <x:v>Include in completed sales</x:v>
      </x:c>
      <x:c r="AO442" s="12" t="str">
        <x:v>Not a refunded record</x:v>
      </x:c>
      <x:c r="AP442" s="37" t="n">
        <x:f>IF(LEFT($AM442,7)="Invalid","",IF($AM442="Missing discount imputed as 0",IF(AND(COUNT($O442,$P442,$R442,$S442)=4,$O442&gt;0,$P442&gt;=0,$R442&gt;=0,$S442&gt;=0),0,""),IF(AND(ISNUMBER($Q442),$Q442&gt;=0,$Q442&lt;=0.5),$Q442,"")))</x:f>
        <x:v>0.2</x:v>
      </x:c>
      <x:c r="AQ442" s="152" t="n">
        <x:f>IF(OR($W442="",NOT(ISNUMBER($R442))),"",ROUND($R442-$W442,2))</x:f>
        <x:v>0</x:v>
      </x:c>
      <x:c r="AR442" s="152" t="n">
        <x:f>IF(OR($X442="",NOT(ISNUMBER($T442))),"",ROUND($T442-$X442,2))</x:f>
        <x:v>0</x:v>
      </x:c>
      <x:c r="AS442" s="14" t="str">
        <x:v>OK</x:v>
      </x:c>
    </x:row>
    <x:row r="443">
      <x:c r="A443" s="80" t="n">
        <x:v>443</x:v>
      </x:c>
      <x:c r="B443" s="80" t="str">
        <x:v>ORD-2024-10442</x:v>
      </x:c>
      <x:c r="C443" s="81" t="n">
        <x:v>45568</x:v>
      </x:c>
      <x:c r="D443" s="81" t="n">
        <x:v>45568</x:v>
      </x:c>
      <x:c r="E443" s="80" t="str">
        <x:v>CUST-3975</x:v>
      </x:c>
      <x:c r="F443" s="80" t="str">
        <x:v>Karan Malhotra</x:v>
      </x:c>
      <x:c r="G443" s="80" t="str">
        <x:v>Consumer</x:v>
      </x:c>
      <x:c r="H443" s="80" t="str">
        <x:v>East</x:v>
      </x:c>
      <x:c r="I443" s="80" t="str">
        <x:v>Bihar</x:v>
      </x:c>
      <x:c r="J443" s="80" t="str">
        <x:v>Patna</x:v>
      </x:c>
      <x:c r="K443" s="80" t="str">
        <x:v>Furniture</x:v>
      </x:c>
      <x:c r="L443" s="80" t="str">
        <x:v>Bookcases</x:v>
      </x:c>
      <x:c r="M443" s="80" t="str">
        <x:v>Elite Bookcases 393</x:v>
      </x:c>
      <x:c r="N443" s="80" t="str">
        <x:v>Standard Class</x:v>
      </x:c>
      <x:c r="O443" s="82" t="n">
        <x:v>6</x:v>
      </x:c>
      <x:c r="P443" s="83" t="n">
        <x:v>4217.49</x:v>
      </x:c>
      <x:c r="Q443" s="84" t="n">
        <x:v>0</x:v>
      </x:c>
      <x:c r="R443" s="83" t="n">
        <x:v>25304.94</x:v>
      </x:c>
      <x:c r="S443" s="83" t="n">
        <x:v>20771.95</x:v>
      </x:c>
      <x:c r="T443" s="83" t="n">
        <x:v>4532.99</x:v>
      </x:c>
      <x:c r="U443" s="83" t="str">
        <x:v>Paid</x:v>
      </x:c>
      <x:c r="V443" s="83" t="str">
        <x:v>Cancelled</x:v>
      </x:c>
      <x:c r="W443" s="151" t="n">
        <x:f>IF(OR(NOT(ISNUMBER($AP443)),COUNT($O443,$P443)&lt;2,$O443&lt;=0,$P443&lt;0),"",ROUND($O443*$P443*(1-$AP443),2))</x:f>
        <x:v>25304.94</x:v>
      </x:c>
      <x:c r="X443" s="151" t="n">
        <x:f>IF(OR(NOT(ISNUMBER($W443)),NOT(ISNUMBER($S443))),"",ROUND($W443-$S443,2))</x:f>
        <x:v>4532.99</x:v>
      </x:c>
      <x:c r="Y443" s="85" t="n">
        <x:f>IF(OR(NOT(ISNUMBER($W443)),NOT(ISNUMBER($X443)),$W443=0),"",ROUND($X443/$W443,4))</x:f>
        <x:v>0.1791</x:v>
      </x:c>
      <x:c r="Z443" s="82" t="n">
        <x:f>IF(OR($AH443&lt;&gt;"Valid",$AI443&lt;&gt;"Valid"),"",INT($D443-$C443))</x:f>
        <x:v>0</x:v>
      </x:c>
      <x:c r="AA443" s="86" t="str">
        <x:f>IF($AH443&lt;&gt;"Valid","",TEXT($C443,"mmmm"))</x:f>
        <x:v>October</x:v>
      </x:c>
      <x:c r="AB443" s="82" t="n">
        <x:f>IF($AH443&lt;&gt;"Valid","",YEAR($C443))</x:f>
        <x:v>2024</x:v>
      </x:c>
      <x:c r="AC443" s="80" t="str">
        <x:v>Cancelled (excluded from completed-sales summary)</x:v>
      </x:c>
      <x:c r="AD443" s="80" t="str">
        <x:v>Excluded</x:v>
      </x:c>
      <x:c r="AE443" s="80" t="str">
        <x:f>IF(OR($AH443&lt;&gt;"Valid",$AI443&lt;&gt;"Valid",$AJ443&lt;&gt;"Valid",LEFT($AM443,7)="Invalid",IFERROR(ABS($AQ443)&gt;0.01,FALSE),IFERROR(ABS($AR443)&gt;0.01,FALSE),COUNTIF($AS443,"*Conflicting duplicate*")&gt;0,COUNTIF($AS443,"*Completed order not paid*")&gt;0),"Invalid",IF(OR($H443="Unknown",$N443="Unknown",$AM443="Missing discount imputed as 0"),"Warning","Clean"))</x:f>
        <x:v>Clean</x:v>
      </x:c>
      <x:c r="AF443" s="80" t="str">
        <x:v>Pass</x:v>
      </x:c>
      <x:c r="AG443" s="80" t="str">
        <x:v>No text cleanup required</x:v>
      </x:c>
      <x:c r="AH443" s="12" t="str">
        <x:f>IF(C443="","Missing date",IF(ISNUMBER(C443),"Valid","Unrecognized/invalid date"))</x:f>
        <x:v>Valid</x:v>
      </x:c>
      <x:c r="AI443" s="12" t="str">
        <x:f>IF(D443="","Missing date",IF(ISNUMBER(D443),"Valid","Unrecognized/invalid date"))</x:f>
        <x:v>Valid</x:v>
      </x:c>
      <x:c r="AJ443" s="12" t="str">
        <x:v>Valid</x:v>
      </x:c>
      <x:c r="AK443" s="12" t="str">
        <x:v>Pass</x:v>
      </x:c>
      <x:c r="AL443" s="12" t="str">
        <x:v>Cancelled order – excluded from completed sales</x:v>
      </x:c>
      <x:c r="AM443" s="12" t="str">
        <x:v>Valid</x:v>
      </x:c>
      <x:c r="AN443" s="12" t="str">
        <x:v>Exclude from completed sales</x:v>
      </x:c>
      <x:c r="AO443" s="12" t="str">
        <x:v>Not a refunded record</x:v>
      </x:c>
      <x:c r="AP443" s="37" t="n">
        <x:f>IF(LEFT($AM443,7)="Invalid","",IF($AM443="Missing discount imputed as 0",IF(AND(COUNT($O443,$P443,$R443,$S443)=4,$O443&gt;0,$P443&gt;=0,$R443&gt;=0,$S443&gt;=0),0,""),IF(AND(ISNUMBER($Q443),$Q443&gt;=0,$Q443&lt;=0.5),$Q443,"")))</x:f>
        <x:v>0</x:v>
      </x:c>
      <x:c r="AQ443" s="152" t="n">
        <x:f>IF(OR($W443="",NOT(ISNUMBER($R443))),"",ROUND($R443-$W443,2))</x:f>
        <x:v>0</x:v>
      </x:c>
      <x:c r="AR443" s="152" t="n">
        <x:f>IF(OR($X443="",NOT(ISNUMBER($T443))),"",ROUND($T443-$X443,2))</x:f>
        <x:v>0</x:v>
      </x:c>
      <x:c r="AS443" s="14" t="str">
        <x:v>OK</x:v>
      </x:c>
    </x:row>
    <x:row r="444">
      <x:c r="A444" s="80" t="n">
        <x:v>444</x:v>
      </x:c>
      <x:c r="B444" s="80" t="str">
        <x:v>ORD-2025-10443</x:v>
      </x:c>
      <x:c r="C444" s="81" t="n">
        <x:v>45669</x:v>
      </x:c>
      <x:c r="D444" s="81" t="n">
        <x:v>45676</x:v>
      </x:c>
      <x:c r="E444" s="80" t="str">
        <x:v>CUST-6588</x:v>
      </x:c>
      <x:c r="F444" s="80" t="str">
        <x:v>Aarav Sharma</x:v>
      </x:c>
      <x:c r="G444" s="80" t="str">
        <x:v>Consumer</x:v>
      </x:c>
      <x:c r="H444" s="80" t="str">
        <x:v>East</x:v>
      </x:c>
      <x:c r="I444" s="80" t="str">
        <x:v>Jharkhand</x:v>
      </x:c>
      <x:c r="J444" s="80" t="str">
        <x:v>Ranchi</x:v>
      </x:c>
      <x:c r="K444" s="80" t="str">
        <x:v>Furniture</x:v>
      </x:c>
      <x:c r="L444" s="80" t="str">
        <x:v>Tables</x:v>
      </x:c>
      <x:c r="M444" s="80" t="str">
        <x:v>Prime Tables 242</x:v>
      </x:c>
      <x:c r="N444" s="80" t="str">
        <x:v>First Class</x:v>
      </x:c>
      <x:c r="O444" s="82" t="n">
        <x:v>1</x:v>
      </x:c>
      <x:c r="P444" s="83" t="n">
        <x:v>1842.31</x:v>
      </x:c>
      <x:c r="Q444" s="84" t="n">
        <x:v>0</x:v>
      </x:c>
      <x:c r="R444" s="83" t="n">
        <x:v>1842.31</x:v>
      </x:c>
      <x:c r="S444" s="83" t="n">
        <x:v>1019.17</x:v>
      </x:c>
      <x:c r="T444" s="83" t="n">
        <x:v>823.14</x:v>
      </x:c>
      <x:c r="U444" s="83" t="str">
        <x:v>Paid</x:v>
      </x:c>
      <x:c r="V444" s="83" t="str">
        <x:v>Completed</x:v>
      </x:c>
      <x:c r="W444" s="151" t="n">
        <x:f>IF(OR(NOT(ISNUMBER($AP444)),COUNT($O444,$P444)&lt;2,$O444&lt;=0,$P444&lt;0),"",ROUND($O444*$P444*(1-$AP444),2))</x:f>
        <x:v>1842.31</x:v>
      </x:c>
      <x:c r="X444" s="151" t="n">
        <x:f>IF(OR(NOT(ISNUMBER($W444)),NOT(ISNUMBER($S444))),"",ROUND($W444-$S444,2))</x:f>
        <x:v>823.14</x:v>
      </x:c>
      <x:c r="Y444" s="85" t="n">
        <x:f>IF(OR(NOT(ISNUMBER($W444)),NOT(ISNUMBER($X444)),$W444=0),"",ROUND($X444/$W444,4))</x:f>
        <x:v>0.4468</x:v>
      </x:c>
      <x:c r="Z444" s="82" t="n">
        <x:f>IF(OR($AH444&lt;&gt;"Valid",$AI444&lt;&gt;"Valid"),"",INT($D444-$C444))</x:f>
        <x:v>7</x:v>
      </x:c>
      <x:c r="AA444" s="86" t="str">
        <x:f>IF($AH444&lt;&gt;"Valid","",TEXT($C444,"mmmm"))</x:f>
        <x:v>January</x:v>
      </x:c>
      <x:c r="AB444" s="82" t="n">
        <x:f>IF($AH444&lt;&gt;"Valid","",YEAR($C444))</x:f>
        <x:v>2025</x:v>
      </x:c>
      <x:c r="AC444" s="80" t="str">
        <x:v>Consistent</x:v>
      </x:c>
      <x:c r="AD444" s="80" t="str">
        <x:v>Eligible</x:v>
      </x:c>
      <x:c r="AE444" s="80" t="str">
        <x:f>IF(OR($AH444&lt;&gt;"Valid",$AI444&lt;&gt;"Valid",$AJ444&lt;&gt;"Valid",LEFT($AM444,7)="Invalid",IFERROR(ABS($AQ444)&gt;0.01,FALSE),IFERROR(ABS($AR444)&gt;0.01,FALSE),COUNTIF($AS444,"*Conflicting duplicate*")&gt;0,COUNTIF($AS444,"*Completed order not paid*")&gt;0),"Invalid",IF(OR($H444="Unknown",$N444="Unknown",$AM444="Missing discount imputed as 0"),"Warning","Clean"))</x:f>
        <x:v>Clean</x:v>
      </x:c>
      <x:c r="AF444" s="80" t="str">
        <x:v>Pass</x:v>
      </x:c>
      <x:c r="AG444" s="80" t="str">
        <x:v>No text cleanup required</x:v>
      </x:c>
      <x:c r="AH444" s="12" t="str">
        <x:f>IF(C444="","Missing date",IF(ISNUMBER(C444),"Valid","Unrecognized/invalid date"))</x:f>
        <x:v>Valid</x:v>
      </x:c>
      <x:c r="AI444" s="12" t="str">
        <x:f>IF(D444="","Missing date",IF(ISNUMBER(D444),"Valid","Unrecognized/invalid date"))</x:f>
        <x:v>Valid</x:v>
      </x:c>
      <x:c r="AJ444" s="12" t="str">
        <x:v>Valid</x:v>
      </x:c>
      <x:c r="AK444" s="12" t="str">
        <x:v>Pass</x:v>
      </x:c>
      <x:c r="AL444" s="12" t="str">
        <x:v>None</x:v>
      </x:c>
      <x:c r="AM444" s="12" t="str">
        <x:v>Valid</x:v>
      </x:c>
      <x:c r="AN444" s="12" t="str">
        <x:v>Include in completed sales</x:v>
      </x:c>
      <x:c r="AO444" s="12" t="str">
        <x:v>Not a refunded record</x:v>
      </x:c>
      <x:c r="AP444" s="37" t="n">
        <x:f>IF(LEFT($AM444,7)="Invalid","",IF($AM444="Missing discount imputed as 0",IF(AND(COUNT($O444,$P444,$R444,$S444)=4,$O444&gt;0,$P444&gt;=0,$R444&gt;=0,$S444&gt;=0),0,""),IF(AND(ISNUMBER($Q444),$Q444&gt;=0,$Q444&lt;=0.5),$Q444,"")))</x:f>
        <x:v>0</x:v>
      </x:c>
      <x:c r="AQ444" s="152" t="n">
        <x:f>IF(OR($W444="",NOT(ISNUMBER($R444))),"",ROUND($R444-$W444,2))</x:f>
        <x:v>0</x:v>
      </x:c>
      <x:c r="AR444" s="152" t="n">
        <x:f>IF(OR($X444="",NOT(ISNUMBER($T444))),"",ROUND($T444-$X444,2))</x:f>
        <x:v>0</x:v>
      </x:c>
      <x:c r="AS444" s="14" t="str">
        <x:v>OK</x:v>
      </x:c>
    </x:row>
    <x:row r="445">
      <x:c r="A445" s="80" t="n">
        <x:v>445</x:v>
      </x:c>
      <x:c r="B445" s="80" t="str">
        <x:v>ORD-2024-10444</x:v>
      </x:c>
      <x:c r="C445" s="81" t="n">
        <x:v>45386</x:v>
      </x:c>
      <x:c r="D445" s="81" t="n">
        <x:v>45389</x:v>
      </x:c>
      <x:c r="E445" s="80" t="str">
        <x:v>CUST-2207</x:v>
      </x:c>
      <x:c r="F445" s="80" t="str">
        <x:v>Rohan Mehta</x:v>
      </x:c>
      <x:c r="G445" s="80" t="str">
        <x:v>Home Office</x:v>
      </x:c>
      <x:c r="H445" s="80" t="str">
        <x:v>East</x:v>
      </x:c>
      <x:c r="I445" s="80" t="str">
        <x:v>Odisha</x:v>
      </x:c>
      <x:c r="J445" s="80" t="str">
        <x:v>Bhubaneswar</x:v>
      </x:c>
      <x:c r="K445" s="80" t="str">
        <x:v>Furniture</x:v>
      </x:c>
      <x:c r="L445" s="80" t="str">
        <x:v>Furnishings</x:v>
      </x:c>
      <x:c r="M445" s="80" t="str">
        <x:v>Basic Furnishings 563</x:v>
      </x:c>
      <x:c r="N445" s="80" t="str">
        <x:v>First Class</x:v>
      </x:c>
      <x:c r="O445" s="82" t="n">
        <x:v>1</x:v>
      </x:c>
      <x:c r="P445" s="83" t="n">
        <x:v>3683.75</x:v>
      </x:c>
      <x:c r="Q445" s="84" t="n">
        <x:v>0.1</x:v>
      </x:c>
      <x:c r="R445" s="83" t="n">
        <x:v>3315.38</x:v>
      </x:c>
      <x:c r="S445" s="83" t="n">
        <x:v>2347.68</x:v>
      </x:c>
      <x:c r="T445" s="83" t="n">
        <x:v>967.7</x:v>
      </x:c>
      <x:c r="U445" s="83" t="str">
        <x:v>Paid</x:v>
      </x:c>
      <x:c r="V445" s="83" t="str">
        <x:v>Completed</x:v>
      </x:c>
      <x:c r="W445" s="151" t="n">
        <x:f>IF(OR(NOT(ISNUMBER($AP445)),COUNT($O445,$P445)&lt;2,$O445&lt;=0,$P445&lt;0),"",ROUND($O445*$P445*(1-$AP445),2))</x:f>
        <x:v>3315.38</x:v>
      </x:c>
      <x:c r="X445" s="151" t="n">
        <x:f>IF(OR(NOT(ISNUMBER($W445)),NOT(ISNUMBER($S445))),"",ROUND($W445-$S445,2))</x:f>
        <x:v>967.7</x:v>
      </x:c>
      <x:c r="Y445" s="85" t="n">
        <x:f>IF(OR(NOT(ISNUMBER($W445)),NOT(ISNUMBER($X445)),$W445=0),"",ROUND($X445/$W445,4))</x:f>
        <x:v>0.2919</x:v>
      </x:c>
      <x:c r="Z445" s="82" t="n">
        <x:f>IF(OR($AH445&lt;&gt;"Valid",$AI445&lt;&gt;"Valid"),"",INT($D445-$C445))</x:f>
        <x:v>3</x:v>
      </x:c>
      <x:c r="AA445" s="86" t="str">
        <x:f>IF($AH445&lt;&gt;"Valid","",TEXT($C445,"mmmm"))</x:f>
        <x:v>April</x:v>
      </x:c>
      <x:c r="AB445" s="82" t="n">
        <x:f>IF($AH445&lt;&gt;"Valid","",YEAR($C445))</x:f>
        <x:v>2024</x:v>
      </x:c>
      <x:c r="AC445" s="80" t="str">
        <x:v>Consistent</x:v>
      </x:c>
      <x:c r="AD445" s="80" t="str">
        <x:v>Eligible</x:v>
      </x:c>
      <x:c r="AE445" s="80" t="str">
        <x:f>IF(OR($AH445&lt;&gt;"Valid",$AI445&lt;&gt;"Valid",$AJ445&lt;&gt;"Valid",LEFT($AM445,7)="Invalid",IFERROR(ABS($AQ445)&gt;0.01,FALSE),IFERROR(ABS($AR445)&gt;0.01,FALSE),COUNTIF($AS445,"*Conflicting duplicate*")&gt;0,COUNTIF($AS445,"*Completed order not paid*")&gt;0),"Invalid",IF(OR($H445="Unknown",$N445="Unknown",$AM445="Missing discount imputed as 0"),"Warning","Clean"))</x:f>
        <x:v>Clean</x:v>
      </x:c>
      <x:c r="AF445" s="80" t="str">
        <x:v>Pass</x:v>
      </x:c>
      <x:c r="AG445" s="80" t="str">
        <x:v>No text cleanup required</x:v>
      </x:c>
      <x:c r="AH445" s="12" t="str">
        <x:f>IF(C445="","Missing date",IF(ISNUMBER(C445),"Valid","Unrecognized/invalid date"))</x:f>
        <x:v>Valid</x:v>
      </x:c>
      <x:c r="AI445" s="12" t="str">
        <x:f>IF(D445="","Missing date",IF(ISNUMBER(D445),"Valid","Unrecognized/invalid date"))</x:f>
        <x:v>Valid</x:v>
      </x:c>
      <x:c r="AJ445" s="12" t="str">
        <x:v>Valid</x:v>
      </x:c>
      <x:c r="AK445" s="12" t="str">
        <x:v>Pass</x:v>
      </x:c>
      <x:c r="AL445" s="12" t="str">
        <x:v>None</x:v>
      </x:c>
      <x:c r="AM445" s="12" t="str">
        <x:v>Valid</x:v>
      </x:c>
      <x:c r="AN445" s="12" t="str">
        <x:v>Include in completed sales</x:v>
      </x:c>
      <x:c r="AO445" s="12" t="str">
        <x:v>Not a refunded record</x:v>
      </x:c>
      <x:c r="AP445" s="37" t="n">
        <x:f>IF(LEFT($AM445,7)="Invalid","",IF($AM445="Missing discount imputed as 0",IF(AND(COUNT($O445,$P445,$R445,$S445)=4,$O445&gt;0,$P445&gt;=0,$R445&gt;=0,$S445&gt;=0),0,""),IF(AND(ISNUMBER($Q445),$Q445&gt;=0,$Q445&lt;=0.5),$Q445,"")))</x:f>
        <x:v>0.1</x:v>
      </x:c>
      <x:c r="AQ445" s="152" t="n">
        <x:f>IF(OR($W445="",NOT(ISNUMBER($R445))),"",ROUND($R445-$W445,2))</x:f>
        <x:v>0</x:v>
      </x:c>
      <x:c r="AR445" s="152" t="n">
        <x:f>IF(OR($X445="",NOT(ISNUMBER($T445))),"",ROUND($T445-$X445,2))</x:f>
        <x:v>0</x:v>
      </x:c>
      <x:c r="AS445" s="14" t="str">
        <x:v>OK</x:v>
      </x:c>
    </x:row>
    <x:row r="446">
      <x:c r="A446" s="80" t="n">
        <x:v>446</x:v>
      </x:c>
      <x:c r="B446" s="80" t="str">
        <x:v>ORD-2025-10445</x:v>
      </x:c>
      <x:c r="C446" s="81" t="n">
        <x:v>45881</x:v>
      </x:c>
      <x:c r="D446" s="81" t="n">
        <x:v>45885</x:v>
      </x:c>
      <x:c r="E446" s="80" t="str">
        <x:v>CUST-4475</x:v>
      </x:c>
      <x:c r="F446" s="80" t="str">
        <x:v>Ananya Rao</x:v>
      </x:c>
      <x:c r="G446" s="80" t="str">
        <x:v>Consumer</x:v>
      </x:c>
      <x:c r="H446" s="80" t="str">
        <x:v>East</x:v>
      </x:c>
      <x:c r="I446" s="80" t="str">
        <x:v>Assam</x:v>
      </x:c>
      <x:c r="J446" s="80" t="str">
        <x:v>Guwahati</x:v>
      </x:c>
      <x:c r="K446" s="80" t="str">
        <x:v>Technology</x:v>
      </x:c>
      <x:c r="L446" s="80" t="str">
        <x:v>Accessories</x:v>
      </x:c>
      <x:c r="M446" s="80" t="str">
        <x:v>Prime Accessories 482</x:v>
      </x:c>
      <x:c r="N446" s="80" t="str">
        <x:v>Same Day</x:v>
      </x:c>
      <x:c r="O446" s="82" t="n">
        <x:v>9</x:v>
      </x:c>
      <x:c r="P446" s="83" t="n">
        <x:v>2379.24</x:v>
      </x:c>
      <x:c r="Q446" s="84" t="n">
        <x:v>0.05</x:v>
      </x:c>
      <x:c r="R446" s="83" t="n">
        <x:v>20342.5</x:v>
      </x:c>
      <x:c r="S446" s="83" t="n">
        <x:v>12407.51</x:v>
      </x:c>
      <x:c r="T446" s="83" t="n">
        <x:v>7934.99</x:v>
      </x:c>
      <x:c r="U446" s="83" t="str">
        <x:v>Paid</x:v>
      </x:c>
      <x:c r="V446" s="83" t="str">
        <x:v>Completed</x:v>
      </x:c>
      <x:c r="W446" s="151" t="n">
        <x:f>IF(OR(NOT(ISNUMBER($AP446)),COUNT($O446,$P446)&lt;2,$O446&lt;=0,$P446&lt;0),"",ROUND($O446*$P446*(1-$AP446),2))</x:f>
        <x:v>20342.5</x:v>
      </x:c>
      <x:c r="X446" s="151" t="n">
        <x:f>IF(OR(NOT(ISNUMBER($W446)),NOT(ISNUMBER($S446))),"",ROUND($W446-$S446,2))</x:f>
        <x:v>7934.99</x:v>
      </x:c>
      <x:c r="Y446" s="85" t="n">
        <x:f>IF(OR(NOT(ISNUMBER($W446)),NOT(ISNUMBER($X446)),$W446=0),"",ROUND($X446/$W446,4))</x:f>
        <x:v>0.3901</x:v>
      </x:c>
      <x:c r="Z446" s="82" t="n">
        <x:f>IF(OR($AH446&lt;&gt;"Valid",$AI446&lt;&gt;"Valid"),"",INT($D446-$C446))</x:f>
        <x:v>4</x:v>
      </x:c>
      <x:c r="AA446" s="86" t="str">
        <x:f>IF($AH446&lt;&gt;"Valid","",TEXT($C446,"mmmm"))</x:f>
        <x:v>August</x:v>
      </x:c>
      <x:c r="AB446" s="82" t="n">
        <x:f>IF($AH446&lt;&gt;"Valid","",YEAR($C446))</x:f>
        <x:v>2025</x:v>
      </x:c>
      <x:c r="AC446" s="80" t="str">
        <x:v>Consistent</x:v>
      </x:c>
      <x:c r="AD446" s="80" t="str">
        <x:v>Eligible</x:v>
      </x:c>
      <x:c r="AE446" s="80" t="str">
        <x:f>IF(OR($AH446&lt;&gt;"Valid",$AI446&lt;&gt;"Valid",$AJ446&lt;&gt;"Valid",LEFT($AM446,7)="Invalid",IFERROR(ABS($AQ446)&gt;0.01,FALSE),IFERROR(ABS($AR446)&gt;0.01,FALSE),COUNTIF($AS446,"*Conflicting duplicate*")&gt;0,COUNTIF($AS446,"*Completed order not paid*")&gt;0),"Invalid",IF(OR($H446="Unknown",$N446="Unknown",$AM446="Missing discount imputed as 0"),"Warning","Clean"))</x:f>
        <x:v>Clean</x:v>
      </x:c>
      <x:c r="AF446" s="80" t="str">
        <x:v>Pass</x:v>
      </x:c>
      <x:c r="AG446" s="80" t="str">
        <x:v>No text cleanup required</x:v>
      </x:c>
      <x:c r="AH446" s="12" t="str">
        <x:f>IF(C446="","Missing date",IF(ISNUMBER(C446),"Valid","Unrecognized/invalid date"))</x:f>
        <x:v>Valid</x:v>
      </x:c>
      <x:c r="AI446" s="12" t="str">
        <x:f>IF(D446="","Missing date",IF(ISNUMBER(D446),"Valid","Unrecognized/invalid date"))</x:f>
        <x:v>Valid</x:v>
      </x:c>
      <x:c r="AJ446" s="12" t="str">
        <x:v>Valid</x:v>
      </x:c>
      <x:c r="AK446" s="12" t="str">
        <x:v>Pass</x:v>
      </x:c>
      <x:c r="AL446" s="12" t="str">
        <x:v>None</x:v>
      </x:c>
      <x:c r="AM446" s="12" t="str">
        <x:v>Valid</x:v>
      </x:c>
      <x:c r="AN446" s="12" t="str">
        <x:v>Include in completed sales</x:v>
      </x:c>
      <x:c r="AO446" s="12" t="str">
        <x:v>Not a refunded record</x:v>
      </x:c>
      <x:c r="AP446" s="37" t="n">
        <x:f>IF(LEFT($AM446,7)="Invalid","",IF($AM446="Missing discount imputed as 0",IF(AND(COUNT($O446,$P446,$R446,$S446)=4,$O446&gt;0,$P446&gt;=0,$R446&gt;=0,$S446&gt;=0),0,""),IF(AND(ISNUMBER($Q446),$Q446&gt;=0,$Q446&lt;=0.5),$Q446,"")))</x:f>
        <x:v>0.05</x:v>
      </x:c>
      <x:c r="AQ446" s="152" t="n">
        <x:f>IF(OR($W446="",NOT(ISNUMBER($R446))),"",ROUND($R446-$W446,2))</x:f>
        <x:v>0</x:v>
      </x:c>
      <x:c r="AR446" s="152" t="n">
        <x:f>IF(OR($X446="",NOT(ISNUMBER($T446))),"",ROUND($T446-$X446,2))</x:f>
        <x:v>0</x:v>
      </x:c>
      <x:c r="AS446" s="14" t="str">
        <x:v>OK</x:v>
      </x:c>
    </x:row>
    <x:row r="447">
      <x:c r="A447" s="80" t="n">
        <x:v>447</x:v>
      </x:c>
      <x:c r="B447" s="80" t="str">
        <x:v>ORD-2024-10446</x:v>
      </x:c>
      <x:c r="C447" s="81" t="n">
        <x:v>45421</x:v>
      </x:c>
      <x:c r="D447" s="81" t="n">
        <x:v>45417</x:v>
      </x:c>
      <x:c r="E447" s="80" t="str">
        <x:v>CUST-1351</x:v>
      </x:c>
      <x:c r="F447" s="80" t="str">
        <x:v>Arjun Bose</x:v>
      </x:c>
      <x:c r="G447" s="80" t="str">
        <x:v>Consumer</x:v>
      </x:c>
      <x:c r="H447" s="80" t="str">
        <x:v>East</x:v>
      </x:c>
      <x:c r="I447" s="80" t="str">
        <x:v>Assam</x:v>
      </x:c>
      <x:c r="J447" s="80" t="str">
        <x:v>Guwahati</x:v>
      </x:c>
      <x:c r="K447" s="80" t="str">
        <x:v>Furniture</x:v>
      </x:c>
      <x:c r="L447" s="80" t="str">
        <x:v>Bookcases</x:v>
      </x:c>
      <x:c r="M447" s="80" t="str">
        <x:v>Eco Bookcases 215</x:v>
      </x:c>
      <x:c r="N447" s="80" t="str">
        <x:v>Same Day</x:v>
      </x:c>
      <x:c r="O447" s="82" t="n">
        <x:v>2</x:v>
      </x:c>
      <x:c r="P447" s="83" t="n">
        <x:v>2111.23</x:v>
      </x:c>
      <x:c r="Q447" s="84" t="n">
        <x:v>0.2</x:v>
      </x:c>
      <x:c r="R447" s="83" t="n">
        <x:v>3377.97</x:v>
      </x:c>
      <x:c r="S447" s="83" t="n">
        <x:v>2496.29</x:v>
      </x:c>
      <x:c r="T447" s="83" t="n">
        <x:v>881.68</x:v>
      </x:c>
      <x:c r="U447" s="83" t="str">
        <x:v>Paid</x:v>
      </x:c>
      <x:c r="V447" s="83" t="str">
        <x:v>Completed</x:v>
      </x:c>
      <x:c r="W447" s="151" t="n">
        <x:f>IF(OR(NOT(ISNUMBER($AP447)),COUNT($O447,$P447)&lt;2,$O447&lt;=0,$P447&lt;0),"",ROUND($O447*$P447*(1-$AP447),2))</x:f>
        <x:v>3377.97</x:v>
      </x:c>
      <x:c r="X447" s="151" t="n">
        <x:f>IF(OR(NOT(ISNUMBER($W447)),NOT(ISNUMBER($S447))),"",ROUND($W447-$S447,2))</x:f>
        <x:v>881.68</x:v>
      </x:c>
      <x:c r="Y447" s="85" t="n">
        <x:f>IF(OR(NOT(ISNUMBER($W447)),NOT(ISNUMBER($X447)),$W447=0),"",ROUND($X447/$W447,4))</x:f>
        <x:v>0.261</x:v>
      </x:c>
      <x:c r="Z447" s="82" t="n">
        <x:f>IF(OR($AH447&lt;&gt;"Valid",$AI447&lt;&gt;"Valid"),"",INT($D447-$C447))</x:f>
        <x:v>-4</x:v>
      </x:c>
      <x:c r="AA447" s="86" t="str">
        <x:f>IF($AH447&lt;&gt;"Valid","",TEXT($C447,"mmmm"))</x:f>
        <x:v>May</x:v>
      </x:c>
      <x:c r="AB447" s="82" t="n">
        <x:f>IF($AH447&lt;&gt;"Valid","",YEAR($C447))</x:f>
        <x:v>2024</x:v>
      </x:c>
      <x:c r="AC447" s="80" t="str">
        <x:v>Consistent</x:v>
      </x:c>
      <x:c r="AD447" s="80" t="str">
        <x:v>Excluded</x:v>
      </x:c>
      <x:c r="AE447" s="80" t="str">
        <x:f>IF(OR($AH447&lt;&gt;"Valid",$AI447&lt;&gt;"Valid",$AJ447&lt;&gt;"Valid",LEFT($AM447,7)="Invalid",IFERROR(ABS($AQ447)&gt;0.01,FALSE),IFERROR(ABS($AR447)&gt;0.01,FALSE),COUNTIF($AS447,"*Conflicting duplicate*")&gt;0,COUNTIF($AS447,"*Completed order not paid*")&gt;0),"Invalid",IF(OR($H447="Unknown",$N447="Unknown",$AM447="Missing discount imputed as 0"),"Warning","Clean"))</x:f>
        <x:v>Invalid</x:v>
      </x:c>
      <x:c r="AF447" s="80" t="str">
        <x:v>Review</x:v>
      </x:c>
      <x:c r="AG447" s="80" t="str">
        <x:v>No text cleanup required</x:v>
      </x:c>
      <x:c r="AH447" s="12" t="str">
        <x:f>IF(C447="","Missing date",IF(ISNUMBER(C447),"Valid","Unrecognized/invalid date"))</x:f>
        <x:v>Valid</x:v>
      </x:c>
      <x:c r="AI447" s="12" t="str">
        <x:f>IF(D447="","Missing date",IF(ISNUMBER(D447),"Valid","Unrecognized/invalid date"))</x:f>
        <x:v>Valid</x:v>
      </x:c>
      <x:c r="AJ447" s="12" t="str">
        <x:v>Invalid</x:v>
      </x:c>
      <x:c r="AK447" s="12" t="str">
        <x:v>Ship date is earlier than order date</x:v>
      </x:c>
      <x:c r="AL447" s="12" t="str">
        <x:v>None</x:v>
      </x:c>
      <x:c r="AM447" s="12" t="str">
        <x:v>Valid</x:v>
      </x:c>
      <x:c r="AN447" s="12" t="str">
        <x:v>Exclude from completed sales</x:v>
      </x:c>
      <x:c r="AO447" s="12" t="str">
        <x:v>Not a refunded record</x:v>
      </x:c>
      <x:c r="AP447" s="37" t="n">
        <x:f>IF(LEFT($AM447,7)="Invalid","",IF($AM447="Missing discount imputed as 0",IF(AND(COUNT($O447,$P447,$R447,$S447)=4,$O447&gt;0,$P447&gt;=0,$R447&gt;=0,$S447&gt;=0),0,""),IF(AND(ISNUMBER($Q447),$Q447&gt;=0,$Q447&lt;=0.5),$Q447,"")))</x:f>
        <x:v>0.2</x:v>
      </x:c>
      <x:c r="AQ447" s="152" t="n">
        <x:f>IF(OR($W447="",NOT(ISNUMBER($R447))),"",ROUND($R447-$W447,2))</x:f>
        <x:v>0</x:v>
      </x:c>
      <x:c r="AR447" s="152" t="n">
        <x:f>IF(OR($X447="",NOT(ISNUMBER($T447))),"",ROUND($T447-$X447,2))</x:f>
        <x:v>0</x:v>
      </x:c>
      <x:c r="AS447" s="14" t="str">
        <x:v>Ship date earlier than order date</x:v>
      </x:c>
    </x:row>
    <x:row r="448">
      <x:c r="A448" s="80" t="n">
        <x:v>448</x:v>
      </x:c>
      <x:c r="B448" s="80" t="str">
        <x:v>ORD-2025-10447</x:v>
      </x:c>
      <x:c r="C448" s="81" t="n">
        <x:v>45918</x:v>
      </x:c>
      <x:c r="D448" s="81" t="n">
        <x:v>45919</x:v>
      </x:c>
      <x:c r="E448" s="80" t="str">
        <x:v>CUST-9295</x:v>
      </x:c>
      <x:c r="F448" s="80" t="str">
        <x:v>Sneha Kapoor</x:v>
      </x:c>
      <x:c r="G448" s="80" t="str">
        <x:v>Home Office</x:v>
      </x:c>
      <x:c r="H448" s="80" t="str">
        <x:v>South</x:v>
      </x:c>
      <x:c r="I448" s="80" t="str">
        <x:v>Andhra Pradesh</x:v>
      </x:c>
      <x:c r="J448" s="80" t="str">
        <x:v>Vijayawada</x:v>
      </x:c>
      <x:c r="K448" s="80" t="str">
        <x:v>Office Supplies</x:v>
      </x:c>
      <x:c r="L448" s="80" t="str">
        <x:v>Storage</x:v>
      </x:c>
      <x:c r="M448" s="80" t="str">
        <x:v>Eco Storage 793</x:v>
      </x:c>
      <x:c r="N448" s="80" t="str">
        <x:v>Same Day</x:v>
      </x:c>
      <x:c r="O448" s="82" t="n">
        <x:v>8</x:v>
      </x:c>
      <x:c r="P448" s="83" t="n">
        <x:v>4242.51</x:v>
      </x:c>
      <x:c r="Q448" s="84" t="n">
        <x:v>0</x:v>
      </x:c>
      <x:c r="R448" s="83" t="n">
        <x:v>33940.08</x:v>
      </x:c>
      <x:c r="S448" s="83" t="n">
        <x:v>23754.19</x:v>
      </x:c>
      <x:c r="T448" s="83" t="n">
        <x:v>10185.89</x:v>
      </x:c>
      <x:c r="U448" s="83" t="str">
        <x:v>Paid</x:v>
      </x:c>
      <x:c r="V448" s="83" t="str">
        <x:v>Completed</x:v>
      </x:c>
      <x:c r="W448" s="151" t="n">
        <x:f>IF(OR(NOT(ISNUMBER($AP448)),COUNT($O448,$P448)&lt;2,$O448&lt;=0,$P448&lt;0),"",ROUND($O448*$P448*(1-$AP448),2))</x:f>
        <x:v>33940.08</x:v>
      </x:c>
      <x:c r="X448" s="151" t="n">
        <x:f>IF(OR(NOT(ISNUMBER($W448)),NOT(ISNUMBER($S448))),"",ROUND($W448-$S448,2))</x:f>
        <x:v>10185.89</x:v>
      </x:c>
      <x:c r="Y448" s="85" t="n">
        <x:f>IF(OR(NOT(ISNUMBER($W448)),NOT(ISNUMBER($X448)),$W448=0),"",ROUND($X448/$W448,4))</x:f>
        <x:v>0.3001</x:v>
      </x:c>
      <x:c r="Z448" s="82" t="n">
        <x:f>IF(OR($AH448&lt;&gt;"Valid",$AI448&lt;&gt;"Valid"),"",INT($D448-$C448))</x:f>
        <x:v>1</x:v>
      </x:c>
      <x:c r="AA448" s="86" t="str">
        <x:f>IF($AH448&lt;&gt;"Valid","",TEXT($C448,"mmmm"))</x:f>
        <x:v>September</x:v>
      </x:c>
      <x:c r="AB448" s="82" t="n">
        <x:f>IF($AH448&lt;&gt;"Valid","",YEAR($C448))</x:f>
        <x:v>2025</x:v>
      </x:c>
      <x:c r="AC448" s="80" t="str">
        <x:v>Consistent</x:v>
      </x:c>
      <x:c r="AD448" s="80" t="str">
        <x:v>Eligible</x:v>
      </x:c>
      <x:c r="AE448" s="80" t="str">
        <x:f>IF(OR($AH448&lt;&gt;"Valid",$AI448&lt;&gt;"Valid",$AJ448&lt;&gt;"Valid",LEFT($AM448,7)="Invalid",IFERROR(ABS($AQ448)&gt;0.01,FALSE),IFERROR(ABS($AR448)&gt;0.01,FALSE),COUNTIF($AS448,"*Conflicting duplicate*")&gt;0,COUNTIF($AS448,"*Completed order not paid*")&gt;0),"Invalid",IF(OR($H448="Unknown",$N448="Unknown",$AM448="Missing discount imputed as 0"),"Warning","Clean"))</x:f>
        <x:v>Clean</x:v>
      </x:c>
      <x:c r="AF448" s="80" t="str">
        <x:v>Pass</x:v>
      </x:c>
      <x:c r="AG448" s="80" t="str">
        <x:v>No text cleanup required</x:v>
      </x:c>
      <x:c r="AH448" s="12" t="str">
        <x:f>IF(C448="","Missing date",IF(ISNUMBER(C448),"Valid","Unrecognized/invalid date"))</x:f>
        <x:v>Valid</x:v>
      </x:c>
      <x:c r="AI448" s="12" t="str">
        <x:f>IF(D448="","Missing date",IF(ISNUMBER(D448),"Valid","Unrecognized/invalid date"))</x:f>
        <x:v>Valid</x:v>
      </x:c>
      <x:c r="AJ448" s="12" t="str">
        <x:v>Valid</x:v>
      </x:c>
      <x:c r="AK448" s="12" t="str">
        <x:v>Pass</x:v>
      </x:c>
      <x:c r="AL448" s="12" t="str">
        <x:v>None</x:v>
      </x:c>
      <x:c r="AM448" s="12" t="str">
        <x:v>Valid</x:v>
      </x:c>
      <x:c r="AN448" s="12" t="str">
        <x:v>Include in completed sales</x:v>
      </x:c>
      <x:c r="AO448" s="12" t="str">
        <x:v>Not a refunded record</x:v>
      </x:c>
      <x:c r="AP448" s="37" t="n">
        <x:f>IF(LEFT($AM448,7)="Invalid","",IF($AM448="Missing discount imputed as 0",IF(AND(COUNT($O448,$P448,$R448,$S448)=4,$O448&gt;0,$P448&gt;=0,$R448&gt;=0,$S448&gt;=0),0,""),IF(AND(ISNUMBER($Q448),$Q448&gt;=0,$Q448&lt;=0.5),$Q448,"")))</x:f>
        <x:v>0</x:v>
      </x:c>
      <x:c r="AQ448" s="152" t="n">
        <x:f>IF(OR($W448="",NOT(ISNUMBER($R448))),"",ROUND($R448-$W448,2))</x:f>
        <x:v>0</x:v>
      </x:c>
      <x:c r="AR448" s="152" t="n">
        <x:f>IF(OR($X448="",NOT(ISNUMBER($T448))),"",ROUND($T448-$X448,2))</x:f>
        <x:v>0</x:v>
      </x:c>
      <x:c r="AS448" s="14" t="str">
        <x:v>OK</x:v>
      </x:c>
    </x:row>
    <x:row r="449">
      <x:c r="A449" s="80" t="n">
        <x:v>449</x:v>
      </x:c>
      <x:c r="B449" s="80" t="str">
        <x:v>ORD-2025-10448</x:v>
      </x:c>
      <x:c r="C449" s="81" t="n">
        <x:v>45879</x:v>
      </x:c>
      <x:c r="D449" s="81" t="n">
        <x:v>45879</x:v>
      </x:c>
      <x:c r="E449" s="80" t="str">
        <x:v>CUST-3614</x:v>
      </x:c>
      <x:c r="F449" s="80" t="str">
        <x:v>Rohan Mehta</x:v>
      </x:c>
      <x:c r="G449" s="80" t="str">
        <x:v>Home Office</x:v>
      </x:c>
      <x:c r="H449" s="80" t="str">
        <x:v>South</x:v>
      </x:c>
      <x:c r="I449" s="80" t="str">
        <x:v>Telangana</x:v>
      </x:c>
      <x:c r="J449" s="80" t="str">
        <x:v>Hyderabad</x:v>
      </x:c>
      <x:c r="K449" s="80" t="str">
        <x:v>Furniture</x:v>
      </x:c>
      <x:c r="L449" s="80" t="str">
        <x:v>Bookcases</x:v>
      </x:c>
      <x:c r="M449" s="80" t="str">
        <x:v>Basic Bookcases 182</x:v>
      </x:c>
      <x:c r="N449" s="80" t="str">
        <x:v>Standard Class</x:v>
      </x:c>
      <x:c r="O449" s="82" t="n">
        <x:v>6</x:v>
      </x:c>
      <x:c r="P449" s="83" t="n">
        <x:v>4288.7</x:v>
      </x:c>
      <x:c r="Q449" s="84" t="n">
        <x:v>0.15</x:v>
      </x:c>
      <x:c r="R449" s="83" t="n">
        <x:v>21872.37</x:v>
      </x:c>
      <x:c r="S449" s="83" t="n">
        <x:v>13829.5</x:v>
      </x:c>
      <x:c r="T449" s="83" t="n">
        <x:v>8042.87</x:v>
      </x:c>
      <x:c r="U449" s="83" t="str">
        <x:v>Pending</x:v>
      </x:c>
      <x:c r="V449" s="83" t="str">
        <x:v>Returned</x:v>
      </x:c>
      <x:c r="W449" s="151" t="n">
        <x:f>IF(OR(NOT(ISNUMBER($AP449)),COUNT($O449,$P449)&lt;2,$O449&lt;=0,$P449&lt;0),"",ROUND($O449*$P449*(1-$AP449),2))</x:f>
        <x:v>21872.37</x:v>
      </x:c>
      <x:c r="X449" s="151" t="n">
        <x:f>IF(OR(NOT(ISNUMBER($W449)),NOT(ISNUMBER($S449))),"",ROUND($W449-$S449,2))</x:f>
        <x:v>8042.87</x:v>
      </x:c>
      <x:c r="Y449" s="85" t="n">
        <x:f>IF(OR(NOT(ISNUMBER($W449)),NOT(ISNUMBER($X449)),$W449=0),"",ROUND($X449/$W449,4))</x:f>
        <x:v>0.3677</x:v>
      </x:c>
      <x:c r="Z449" s="82" t="n">
        <x:f>IF(OR($AH449&lt;&gt;"Valid",$AI449&lt;&gt;"Valid"),"",INT($D449-$C449))</x:f>
        <x:v>0</x:v>
      </x:c>
      <x:c r="AA449" s="86" t="str">
        <x:f>IF($AH449&lt;&gt;"Valid","",TEXT($C449,"mmmm"))</x:f>
        <x:v>August</x:v>
      </x:c>
      <x:c r="AB449" s="82" t="n">
        <x:f>IF($AH449&lt;&gt;"Valid","",YEAR($C449))</x:f>
        <x:v>2025</x:v>
      </x:c>
      <x:c r="AC449" s="80" t="str">
        <x:v>Consistent</x:v>
      </x:c>
      <x:c r="AD449" s="80" t="str">
        <x:v>Excluded</x:v>
      </x:c>
      <x:c r="AE449" s="80" t="str">
        <x:f>IF(OR($AH449&lt;&gt;"Valid",$AI449&lt;&gt;"Valid",$AJ449&lt;&gt;"Valid",LEFT($AM449,7)="Invalid",IFERROR(ABS($AQ449)&gt;0.01,FALSE),IFERROR(ABS($AR449)&gt;0.01,FALSE),COUNTIF($AS449,"*Conflicting duplicate*")&gt;0,COUNTIF($AS449,"*Completed order not paid*")&gt;0),"Invalid",IF(OR($H449="Unknown",$N449="Unknown",$AM449="Missing discount imputed as 0"),"Warning","Clean"))</x:f>
        <x:v>Clean</x:v>
      </x:c>
      <x:c r="AF449" s="80" t="str">
        <x:v>Pass</x:v>
      </x:c>
      <x:c r="AG449" s="80" t="str">
        <x:v>No text cleanup required</x:v>
      </x:c>
      <x:c r="AH449" s="12" t="str">
        <x:f>IF(C449="","Missing date",IF(ISNUMBER(C449),"Valid","Unrecognized/invalid date"))</x:f>
        <x:v>Valid</x:v>
      </x:c>
      <x:c r="AI449" s="12" t="str">
        <x:f>IF(D449="","Missing date",IF(ISNUMBER(D449),"Valid","Unrecognized/invalid date"))</x:f>
        <x:v>Valid</x:v>
      </x:c>
      <x:c r="AJ449" s="12" t="str">
        <x:v>Valid</x:v>
      </x:c>
      <x:c r="AK449" s="12" t="str">
        <x:v>Pass</x:v>
      </x:c>
      <x:c r="AL449" s="12" t="str">
        <x:v>None</x:v>
      </x:c>
      <x:c r="AM449" s="12" t="str">
        <x:v>Valid</x:v>
      </x:c>
      <x:c r="AN449" s="12" t="str">
        <x:v>Exclude from completed sales</x:v>
      </x:c>
      <x:c r="AO449" s="12" t="str">
        <x:v>Not a refunded record</x:v>
      </x:c>
      <x:c r="AP449" s="37" t="n">
        <x:f>IF(LEFT($AM449,7)="Invalid","",IF($AM449="Missing discount imputed as 0",IF(AND(COUNT($O449,$P449,$R449,$S449)=4,$O449&gt;0,$P449&gt;=0,$R449&gt;=0,$S449&gt;=0),0,""),IF(AND(ISNUMBER($Q449),$Q449&gt;=0,$Q449&lt;=0.5),$Q449,"")))</x:f>
        <x:v>0.15</x:v>
      </x:c>
      <x:c r="AQ449" s="152" t="n">
        <x:f>IF(OR($W449="",NOT(ISNUMBER($R449))),"",ROUND($R449-$W449,2))</x:f>
        <x:v>0</x:v>
      </x:c>
      <x:c r="AR449" s="152" t="n">
        <x:f>IF(OR($X449="",NOT(ISNUMBER($T449))),"",ROUND($T449-$X449,2))</x:f>
        <x:v>0</x:v>
      </x:c>
      <x:c r="AS449" s="14" t="str">
        <x:v>OK</x:v>
      </x:c>
    </x:row>
    <x:row r="450">
      <x:c r="A450" s="80" t="n">
        <x:v>450</x:v>
      </x:c>
      <x:c r="B450" s="80" t="str">
        <x:v>ORD-2024-10449</x:v>
      </x:c>
      <x:c r="C450" s="81" t="n">
        <x:v>45306</x:v>
      </x:c>
      <x:c r="D450" s="81" t="n">
        <x:v>45309</x:v>
      </x:c>
      <x:c r="E450" s="80" t="str">
        <x:v>CUST-1932</x:v>
      </x:c>
      <x:c r="F450" s="80" t="str">
        <x:v>Mira Das</x:v>
      </x:c>
      <x:c r="G450" s="80" t="str">
        <x:v>Small Business</x:v>
      </x:c>
      <x:c r="H450" s="80" t="str">
        <x:v>South</x:v>
      </x:c>
      <x:c r="I450" s="80" t="str">
        <x:v>Andhra Pradesh</x:v>
      </x:c>
      <x:c r="J450" s="80" t="str">
        <x:v>Vijayawada</x:v>
      </x:c>
      <x:c r="K450" s="80" t="str">
        <x:v>Furniture</x:v>
      </x:c>
      <x:c r="L450" s="80" t="str">
        <x:v>Chairs</x:v>
      </x:c>
      <x:c r="M450" s="80" t="str">
        <x:v>Prime Chairs 631</x:v>
      </x:c>
      <x:c r="N450" s="80" t="str">
        <x:v>First Class</x:v>
      </x:c>
      <x:c r="O450" s="82" t="n">
        <x:v>2</x:v>
      </x:c>
      <x:c r="P450" s="83" t="n">
        <x:v>201.21</x:v>
      </x:c>
      <x:c r="Q450" s="84" t="n">
        <x:v>0.15</x:v>
      </x:c>
      <x:c r="R450" s="83" t="n">
        <x:v>342.06</x:v>
      </x:c>
      <x:c r="S450" s="83" t="n">
        <x:v>244.57</x:v>
      </x:c>
      <x:c r="T450" s="83" t="n">
        <x:v>97.49</x:v>
      </x:c>
      <x:c r="U450" s="83" t="str">
        <x:v>Paid</x:v>
      </x:c>
      <x:c r="V450" s="83" t="str">
        <x:v>Completed</x:v>
      </x:c>
      <x:c r="W450" s="151" t="n">
        <x:f>IF(OR(NOT(ISNUMBER($AP450)),COUNT($O450,$P450)&lt;2,$O450&lt;=0,$P450&lt;0),"",ROUND($O450*$P450*(1-$AP450),2))</x:f>
        <x:v>342.06</x:v>
      </x:c>
      <x:c r="X450" s="151" t="n">
        <x:f>IF(OR(NOT(ISNUMBER($W450)),NOT(ISNUMBER($S450))),"",ROUND($W450-$S450,2))</x:f>
        <x:v>97.49</x:v>
      </x:c>
      <x:c r="Y450" s="85" t="n">
        <x:f>IF(OR(NOT(ISNUMBER($W450)),NOT(ISNUMBER($X450)),$W450=0),"",ROUND($X450/$W450,4))</x:f>
        <x:v>0.285</x:v>
      </x:c>
      <x:c r="Z450" s="82" t="n">
        <x:f>IF(OR($AH450&lt;&gt;"Valid",$AI450&lt;&gt;"Valid"),"",INT($D450-$C450))</x:f>
        <x:v>3</x:v>
      </x:c>
      <x:c r="AA450" s="86" t="str">
        <x:f>IF($AH450&lt;&gt;"Valid","",TEXT($C450,"mmmm"))</x:f>
        <x:v>January</x:v>
      </x:c>
      <x:c r="AB450" s="82" t="n">
        <x:f>IF($AH450&lt;&gt;"Valid","",YEAR($C450))</x:f>
        <x:v>2024</x:v>
      </x:c>
      <x:c r="AC450" s="80" t="str">
        <x:v>Consistent</x:v>
      </x:c>
      <x:c r="AD450" s="80" t="str">
        <x:v>Eligible</x:v>
      </x:c>
      <x:c r="AE450" s="80" t="str">
        <x:f>IF(OR($AH450&lt;&gt;"Valid",$AI450&lt;&gt;"Valid",$AJ450&lt;&gt;"Valid",LEFT($AM450,7)="Invalid",IFERROR(ABS($AQ450)&gt;0.01,FALSE),IFERROR(ABS($AR450)&gt;0.01,FALSE),COUNTIF($AS450,"*Conflicting duplicate*")&gt;0,COUNTIF($AS450,"*Completed order not paid*")&gt;0),"Invalid",IF(OR($H450="Unknown",$N450="Unknown",$AM450="Missing discount imputed as 0"),"Warning","Clean"))</x:f>
        <x:v>Clean</x:v>
      </x:c>
      <x:c r="AF450" s="80" t="str">
        <x:v>Pass</x:v>
      </x:c>
      <x:c r="AG450" s="80" t="str">
        <x:v>No text cleanup required</x:v>
      </x:c>
      <x:c r="AH450" s="12" t="str">
        <x:f>IF(C450="","Missing date",IF(ISNUMBER(C450),"Valid","Unrecognized/invalid date"))</x:f>
        <x:v>Valid</x:v>
      </x:c>
      <x:c r="AI450" s="12" t="str">
        <x:f>IF(D450="","Missing date",IF(ISNUMBER(D450),"Valid","Unrecognized/invalid date"))</x:f>
        <x:v>Valid</x:v>
      </x:c>
      <x:c r="AJ450" s="12" t="str">
        <x:v>Valid</x:v>
      </x:c>
      <x:c r="AK450" s="12" t="str">
        <x:v>Pass</x:v>
      </x:c>
      <x:c r="AL450" s="12" t="str">
        <x:v>None</x:v>
      </x:c>
      <x:c r="AM450" s="12" t="str">
        <x:v>Valid</x:v>
      </x:c>
      <x:c r="AN450" s="12" t="str">
        <x:v>Include in completed sales</x:v>
      </x:c>
      <x:c r="AO450" s="12" t="str">
        <x:v>Not a refunded record</x:v>
      </x:c>
      <x:c r="AP450" s="37" t="n">
        <x:f>IF(LEFT($AM450,7)="Invalid","",IF($AM450="Missing discount imputed as 0",IF(AND(COUNT($O450,$P450,$R450,$S450)=4,$O450&gt;0,$P450&gt;=0,$R450&gt;=0,$S450&gt;=0),0,""),IF(AND(ISNUMBER($Q450),$Q450&gt;=0,$Q450&lt;=0.5),$Q450,"")))</x:f>
        <x:v>0.15</x:v>
      </x:c>
      <x:c r="AQ450" s="152" t="n">
        <x:f>IF(OR($W450="",NOT(ISNUMBER($R450))),"",ROUND($R450-$W450,2))</x:f>
        <x:v>0</x:v>
      </x:c>
      <x:c r="AR450" s="152" t="n">
        <x:f>IF(OR($X450="",NOT(ISNUMBER($T450))),"",ROUND($T450-$X450,2))</x:f>
        <x:v>0</x:v>
      </x:c>
      <x:c r="AS450" s="14" t="str">
        <x:v>OK</x:v>
      </x:c>
    </x:row>
    <x:row r="451">
      <x:c r="A451" s="80" t="n">
        <x:v>451</x:v>
      </x:c>
      <x:c r="B451" s="80" t="str">
        <x:v>ORD-2024-10450</x:v>
      </x:c>
      <x:c r="C451" s="81" t="n">
        <x:v>45449</x:v>
      </x:c>
      <x:c r="D451" s="81" t="n">
        <x:v>45456</x:v>
      </x:c>
      <x:c r="E451" s="80" t="str">
        <x:v>CUST-5094</x:v>
      </x:c>
      <x:c r="F451" s="80" t="str">
        <x:v>Aditi Sen</x:v>
      </x:c>
      <x:c r="G451" s="80" t="str">
        <x:v>Corporate</x:v>
      </x:c>
      <x:c r="H451" s="80" t="str">
        <x:v>East</x:v>
      </x:c>
      <x:c r="I451" s="80" t="str">
        <x:v>Assam</x:v>
      </x:c>
      <x:c r="J451" s="80" t="str">
        <x:v>Guwahati</x:v>
      </x:c>
      <x:c r="K451" s="80" t="str">
        <x:v>Technology</x:v>
      </x:c>
      <x:c r="L451" s="80" t="str">
        <x:v>Machines</x:v>
      </x:c>
      <x:c r="M451" s="80" t="str">
        <x:v>Basic Machines 808</x:v>
      </x:c>
      <x:c r="N451" s="80" t="str">
        <x:v>Second Class</x:v>
      </x:c>
      <x:c r="O451" s="82" t="n">
        <x:v>6</x:v>
      </x:c>
      <x:c r="P451" s="83" t="n">
        <x:v>3270.36</x:v>
      </x:c>
      <x:c r="Q451" s="84" t="n">
        <x:v>0</x:v>
      </x:c>
      <x:c r="R451" s="83" t="n">
        <x:v>19622.16</x:v>
      </x:c>
      <x:c r="S451" s="83" t="n">
        <x:v>14271.27</x:v>
      </x:c>
      <x:c r="T451" s="83" t="n">
        <x:v>5350.89</x:v>
      </x:c>
      <x:c r="U451" s="83" t="str">
        <x:v>Paid</x:v>
      </x:c>
      <x:c r="V451" s="83" t="str">
        <x:v>Completed</x:v>
      </x:c>
      <x:c r="W451" s="151" t="n">
        <x:f>IF(OR(NOT(ISNUMBER($AP451)),COUNT($O451,$P451)&lt;2,$O451&lt;=0,$P451&lt;0),"",ROUND($O451*$P451*(1-$AP451),2))</x:f>
        <x:v>19622.16</x:v>
      </x:c>
      <x:c r="X451" s="151" t="n">
        <x:f>IF(OR(NOT(ISNUMBER($W451)),NOT(ISNUMBER($S451))),"",ROUND($W451-$S451,2))</x:f>
        <x:v>5350.89</x:v>
      </x:c>
      <x:c r="Y451" s="85" t="n">
        <x:f>IF(OR(NOT(ISNUMBER($W451)),NOT(ISNUMBER($X451)),$W451=0),"",ROUND($X451/$W451,4))</x:f>
        <x:v>0.2727</x:v>
      </x:c>
      <x:c r="Z451" s="82" t="n">
        <x:f>IF(OR($AH451&lt;&gt;"Valid",$AI451&lt;&gt;"Valid"),"",INT($D451-$C451))</x:f>
        <x:v>7</x:v>
      </x:c>
      <x:c r="AA451" s="86" t="str">
        <x:f>IF($AH451&lt;&gt;"Valid","",TEXT($C451,"mmmm"))</x:f>
        <x:v>June</x:v>
      </x:c>
      <x:c r="AB451" s="82" t="n">
        <x:f>IF($AH451&lt;&gt;"Valid","",YEAR($C451))</x:f>
        <x:v>2024</x:v>
      </x:c>
      <x:c r="AC451" s="80" t="str">
        <x:v>Consistent</x:v>
      </x:c>
      <x:c r="AD451" s="80" t="str">
        <x:v>Eligible</x:v>
      </x:c>
      <x:c r="AE451" s="80" t="str">
        <x:f>IF(OR($AH451&lt;&gt;"Valid",$AI451&lt;&gt;"Valid",$AJ451&lt;&gt;"Valid",LEFT($AM451,7)="Invalid",IFERROR(ABS($AQ451)&gt;0.01,FALSE),IFERROR(ABS($AR451)&gt;0.01,FALSE),COUNTIF($AS451,"*Conflicting duplicate*")&gt;0,COUNTIF($AS451,"*Completed order not paid*")&gt;0),"Invalid",IF(OR($H451="Unknown",$N451="Unknown",$AM451="Missing discount imputed as 0"),"Warning","Clean"))</x:f>
        <x:v>Clean</x:v>
      </x:c>
      <x:c r="AF451" s="80" t="str">
        <x:v>Pass</x:v>
      </x:c>
      <x:c r="AG451" s="80" t="str">
        <x:v>No text cleanup required</x:v>
      </x:c>
      <x:c r="AH451" s="12" t="str">
        <x:f>IF(C451="","Missing date",IF(ISNUMBER(C451),"Valid","Unrecognized/invalid date"))</x:f>
        <x:v>Valid</x:v>
      </x:c>
      <x:c r="AI451" s="12" t="str">
        <x:f>IF(D451="","Missing date",IF(ISNUMBER(D451),"Valid","Unrecognized/invalid date"))</x:f>
        <x:v>Valid</x:v>
      </x:c>
      <x:c r="AJ451" s="12" t="str">
        <x:v>Valid</x:v>
      </x:c>
      <x:c r="AK451" s="12" t="str">
        <x:v>Pass</x:v>
      </x:c>
      <x:c r="AL451" s="12" t="str">
        <x:v>None</x:v>
      </x:c>
      <x:c r="AM451" s="12" t="str">
        <x:v>Valid</x:v>
      </x:c>
      <x:c r="AN451" s="12" t="str">
        <x:v>Include in completed sales</x:v>
      </x:c>
      <x:c r="AO451" s="12" t="str">
        <x:v>Not a refunded record</x:v>
      </x:c>
      <x:c r="AP451" s="37" t="n">
        <x:f>IF(LEFT($AM451,7)="Invalid","",IF($AM451="Missing discount imputed as 0",IF(AND(COUNT($O451,$P451,$R451,$S451)=4,$O451&gt;0,$P451&gt;=0,$R451&gt;=0,$S451&gt;=0),0,""),IF(AND(ISNUMBER($Q451),$Q451&gt;=0,$Q451&lt;=0.5),$Q451,"")))</x:f>
        <x:v>0</x:v>
      </x:c>
      <x:c r="AQ451" s="152" t="n">
        <x:f>IF(OR($W451="",NOT(ISNUMBER($R451))),"",ROUND($R451-$W451,2))</x:f>
        <x:v>0</x:v>
      </x:c>
      <x:c r="AR451" s="152" t="n">
        <x:f>IF(OR($X451="",NOT(ISNUMBER($T451))),"",ROUND($T451-$X451,2))</x:f>
        <x:v>0</x:v>
      </x:c>
      <x:c r="AS451" s="14" t="str">
        <x:v>OK</x:v>
      </x:c>
    </x:row>
    <x:row r="452">
      <x:c r="A452" s="80" t="n">
        <x:v>452</x:v>
      </x:c>
      <x:c r="B452" s="80" t="str">
        <x:v>ORD-2025-10451</x:v>
      </x:c>
      <x:c r="C452" s="81" t="n">
        <x:v>45820</x:v>
      </x:c>
      <x:c r="D452" s="81" t="n">
        <x:v>45827</x:v>
      </x:c>
      <x:c r="E452" s="80" t="str">
        <x:v>CUST-8672</x:v>
      </x:c>
      <x:c r="F452" s="80" t="str">
        <x:v>Ananya Rao</x:v>
      </x:c>
      <x:c r="G452" s="80" t="str">
        <x:v>Corporate</x:v>
      </x:c>
      <x:c r="H452" s="80" t="str">
        <x:v>North</x:v>
      </x:c>
      <x:c r="I452" s="80" t="str">
        <x:v>Delhi</x:v>
      </x:c>
      <x:c r="J452" s="80" t="str">
        <x:v>New Delhi</x:v>
      </x:c>
      <x:c r="K452" s="80" t="str">
        <x:v>Furniture</x:v>
      </x:c>
      <x:c r="L452" s="80" t="str">
        <x:v>Chairs</x:v>
      </x:c>
      <x:c r="M452" s="80" t="str">
        <x:v>Pro Chairs 302</x:v>
      </x:c>
      <x:c r="N452" s="80" t="str">
        <x:v>Standard Class</x:v>
      </x:c>
      <x:c r="O452" s="82" t="n">
        <x:v>9</x:v>
      </x:c>
      <x:c r="P452" s="83" t="n">
        <x:v>2278.57</x:v>
      </x:c>
      <x:c r="Q452" s="84" t="n">
        <x:v>0.25</x:v>
      </x:c>
      <x:c r="R452" s="83" t="n">
        <x:v>15380.35</x:v>
      </x:c>
      <x:c r="S452" s="83" t="n">
        <x:v>9907.37</x:v>
      </x:c>
      <x:c r="T452" s="83" t="n">
        <x:v>5472.98</x:v>
      </x:c>
      <x:c r="U452" s="83" t="str">
        <x:v>Paid</x:v>
      </x:c>
      <x:c r="V452" s="83" t="str">
        <x:v>Completed</x:v>
      </x:c>
      <x:c r="W452" s="151" t="n">
        <x:f>IF(OR(NOT(ISNUMBER($AP452)),COUNT($O452,$P452)&lt;2,$O452&lt;=0,$P452&lt;0),"",ROUND($O452*$P452*(1-$AP452),2))</x:f>
        <x:v>15380.35</x:v>
      </x:c>
      <x:c r="X452" s="151" t="n">
        <x:f>IF(OR(NOT(ISNUMBER($W452)),NOT(ISNUMBER($S452))),"",ROUND($W452-$S452,2))</x:f>
        <x:v>5472.98</x:v>
      </x:c>
      <x:c r="Y452" s="85" t="n">
        <x:f>IF(OR(NOT(ISNUMBER($W452)),NOT(ISNUMBER($X452)),$W452=0),"",ROUND($X452/$W452,4))</x:f>
        <x:v>0.3558</x:v>
      </x:c>
      <x:c r="Z452" s="82" t="n">
        <x:f>IF(OR($AH452&lt;&gt;"Valid",$AI452&lt;&gt;"Valid"),"",INT($D452-$C452))</x:f>
        <x:v>7</x:v>
      </x:c>
      <x:c r="AA452" s="86" t="str">
        <x:f>IF($AH452&lt;&gt;"Valid","",TEXT($C452,"mmmm"))</x:f>
        <x:v>June</x:v>
      </x:c>
      <x:c r="AB452" s="82" t="n">
        <x:f>IF($AH452&lt;&gt;"Valid","",YEAR($C452))</x:f>
        <x:v>2025</x:v>
      </x:c>
      <x:c r="AC452" s="80" t="str">
        <x:v>Consistent</x:v>
      </x:c>
      <x:c r="AD452" s="80" t="str">
        <x:v>Eligible</x:v>
      </x:c>
      <x:c r="AE452" s="80" t="str">
        <x:f>IF(OR($AH452&lt;&gt;"Valid",$AI452&lt;&gt;"Valid",$AJ452&lt;&gt;"Valid",LEFT($AM452,7)="Invalid",IFERROR(ABS($AQ452)&gt;0.01,FALSE),IFERROR(ABS($AR452)&gt;0.01,FALSE),COUNTIF($AS452,"*Conflicting duplicate*")&gt;0,COUNTIF($AS452,"*Completed order not paid*")&gt;0),"Invalid",IF(OR($H452="Unknown",$N452="Unknown",$AM452="Missing discount imputed as 0"),"Warning","Clean"))</x:f>
        <x:v>Clean</x:v>
      </x:c>
      <x:c r="AF452" s="80" t="str">
        <x:v>Pass</x:v>
      </x:c>
      <x:c r="AG452" s="80" t="str">
        <x:v>No text cleanup required</x:v>
      </x:c>
      <x:c r="AH452" s="12" t="str">
        <x:f>IF(C452="","Missing date",IF(ISNUMBER(C452),"Valid","Unrecognized/invalid date"))</x:f>
        <x:v>Valid</x:v>
      </x:c>
      <x:c r="AI452" s="12" t="str">
        <x:f>IF(D452="","Missing date",IF(ISNUMBER(D452),"Valid","Unrecognized/invalid date"))</x:f>
        <x:v>Valid</x:v>
      </x:c>
      <x:c r="AJ452" s="12" t="str">
        <x:v>Valid</x:v>
      </x:c>
      <x:c r="AK452" s="12" t="str">
        <x:v>Pass</x:v>
      </x:c>
      <x:c r="AL452" s="12" t="str">
        <x:v>None</x:v>
      </x:c>
      <x:c r="AM452" s="12" t="str">
        <x:v>Valid</x:v>
      </x:c>
      <x:c r="AN452" s="12" t="str">
        <x:v>Include in completed sales</x:v>
      </x:c>
      <x:c r="AO452" s="12" t="str">
        <x:v>Not a refunded record</x:v>
      </x:c>
      <x:c r="AP452" s="37" t="n">
        <x:f>IF(LEFT($AM452,7)="Invalid","",IF($AM452="Missing discount imputed as 0",IF(AND(COUNT($O452,$P452,$R452,$S452)=4,$O452&gt;0,$P452&gt;=0,$R452&gt;=0,$S452&gt;=0),0,""),IF(AND(ISNUMBER($Q452),$Q452&gt;=0,$Q452&lt;=0.5),$Q452,"")))</x:f>
        <x:v>0.25</x:v>
      </x:c>
      <x:c r="AQ452" s="152" t="n">
        <x:f>IF(OR($W452="",NOT(ISNUMBER($R452))),"",ROUND($R452-$W452,2))</x:f>
        <x:v>0</x:v>
      </x:c>
      <x:c r="AR452" s="152" t="n">
        <x:f>IF(OR($X452="",NOT(ISNUMBER($T452))),"",ROUND($T452-$X452,2))</x:f>
        <x:v>0</x:v>
      </x:c>
      <x:c r="AS452" s="14" t="str">
        <x:v>OK</x:v>
      </x:c>
    </x:row>
    <x:row r="453">
      <x:c r="A453" s="80" t="n">
        <x:v>453</x:v>
      </x:c>
      <x:c r="B453" s="80" t="str">
        <x:v>ORD-2024-10452</x:v>
      </x:c>
      <x:c r="C453" s="81" t="n">
        <x:v>45375</x:v>
      </x:c>
      <x:c r="D453" s="81" t="n">
        <x:v>45377</x:v>
      </x:c>
      <x:c r="E453" s="80" t="str">
        <x:v>CUST-3907</x:v>
      </x:c>
      <x:c r="F453" s="80" t="str">
        <x:v>Rohan Mehta</x:v>
      </x:c>
      <x:c r="G453" s="80" t="str">
        <x:v>Small Business</x:v>
      </x:c>
      <x:c r="H453" s="80" t="str">
        <x:v>North</x:v>
      </x:c>
      <x:c r="I453" s="80" t="str">
        <x:v>Haryana</x:v>
      </x:c>
      <x:c r="J453" s="80" t="str">
        <x:v>Gurugram</x:v>
      </x:c>
      <x:c r="K453" s="80" t="str">
        <x:v>Office Supplies</x:v>
      </x:c>
      <x:c r="L453" s="80" t="str">
        <x:v>Paper</x:v>
      </x:c>
      <x:c r="M453" s="80" t="str">
        <x:v>Classic Paper 272</x:v>
      </x:c>
      <x:c r="N453" s="80" t="str">
        <x:v>Second Class</x:v>
      </x:c>
      <x:c r="O453" s="82" t="n">
        <x:v>8</x:v>
      </x:c>
      <x:c r="P453" s="83" t="n">
        <x:v>1917.64</x:v>
      </x:c>
      <x:c r="Q453" s="84" t="n">
        <x:v>0.15</x:v>
      </x:c>
      <x:c r="R453" s="83" t="n">
        <x:v>13039.95</x:v>
      </x:c>
      <x:c r="S453" s="83" t="n">
        <x:v>11127.82</x:v>
      </x:c>
      <x:c r="T453" s="83" t="n">
        <x:v>1912.13</x:v>
      </x:c>
      <x:c r="U453" s="83" t="str">
        <x:v>Paid</x:v>
      </x:c>
      <x:c r="V453" s="83" t="str">
        <x:v>Cancelled</x:v>
      </x:c>
      <x:c r="W453" s="151" t="n">
        <x:f>IF(OR(NOT(ISNUMBER($AP453)),COUNT($O453,$P453)&lt;2,$O453&lt;=0,$P453&lt;0),"",ROUND($O453*$P453*(1-$AP453),2))</x:f>
        <x:v>13039.95</x:v>
      </x:c>
      <x:c r="X453" s="151" t="n">
        <x:f>IF(OR(NOT(ISNUMBER($W453)),NOT(ISNUMBER($S453))),"",ROUND($W453-$S453,2))</x:f>
        <x:v>1912.13</x:v>
      </x:c>
      <x:c r="Y453" s="85" t="n">
        <x:f>IF(OR(NOT(ISNUMBER($W453)),NOT(ISNUMBER($X453)),$W453=0),"",ROUND($X453/$W453,4))</x:f>
        <x:v>0.1466</x:v>
      </x:c>
      <x:c r="Z453" s="82" t="n">
        <x:f>IF(OR($AH453&lt;&gt;"Valid",$AI453&lt;&gt;"Valid"),"",INT($D453-$C453))</x:f>
        <x:v>2</x:v>
      </x:c>
      <x:c r="AA453" s="86" t="str">
        <x:f>IF($AH453&lt;&gt;"Valid","",TEXT($C453,"mmmm"))</x:f>
        <x:v>March</x:v>
      </x:c>
      <x:c r="AB453" s="82" t="n">
        <x:f>IF($AH453&lt;&gt;"Valid","",YEAR($C453))</x:f>
        <x:v>2024</x:v>
      </x:c>
      <x:c r="AC453" s="80" t="str">
        <x:v>Cancelled (excluded from completed-sales summary)</x:v>
      </x:c>
      <x:c r="AD453" s="80" t="str">
        <x:v>Excluded</x:v>
      </x:c>
      <x:c r="AE453" s="80" t="str">
        <x:f>IF(OR($AH453&lt;&gt;"Valid",$AI453&lt;&gt;"Valid",$AJ453&lt;&gt;"Valid",LEFT($AM453,7)="Invalid",IFERROR(ABS($AQ453)&gt;0.01,FALSE),IFERROR(ABS($AR453)&gt;0.01,FALSE),COUNTIF($AS453,"*Conflicting duplicate*")&gt;0,COUNTIF($AS453,"*Completed order not paid*")&gt;0),"Invalid",IF(OR($H453="Unknown",$N453="Unknown",$AM453="Missing discount imputed as 0"),"Warning","Clean"))</x:f>
        <x:v>Clean</x:v>
      </x:c>
      <x:c r="AF453" s="80" t="str">
        <x:v>Pass</x:v>
      </x:c>
      <x:c r="AG453" s="80" t="str">
        <x:v>No text cleanup required</x:v>
      </x:c>
      <x:c r="AH453" s="12" t="str">
        <x:f>IF(C453="","Missing date",IF(ISNUMBER(C453),"Valid","Unrecognized/invalid date"))</x:f>
        <x:v>Valid</x:v>
      </x:c>
      <x:c r="AI453" s="12" t="str">
        <x:f>IF(D453="","Missing date",IF(ISNUMBER(D453),"Valid","Unrecognized/invalid date"))</x:f>
        <x:v>Valid</x:v>
      </x:c>
      <x:c r="AJ453" s="12" t="str">
        <x:v>Valid</x:v>
      </x:c>
      <x:c r="AK453" s="12" t="str">
        <x:v>Pass</x:v>
      </x:c>
      <x:c r="AL453" s="12" t="str">
        <x:v>Cancelled order – excluded from completed sales</x:v>
      </x:c>
      <x:c r="AM453" s="12" t="str">
        <x:v>Valid</x:v>
      </x:c>
      <x:c r="AN453" s="12" t="str">
        <x:v>Exclude from completed sales</x:v>
      </x:c>
      <x:c r="AO453" s="12" t="str">
        <x:v>Not a refunded record</x:v>
      </x:c>
      <x:c r="AP453" s="37" t="n">
        <x:f>IF(LEFT($AM453,7)="Invalid","",IF($AM453="Missing discount imputed as 0",IF(AND(COUNT($O453,$P453,$R453,$S453)=4,$O453&gt;0,$P453&gt;=0,$R453&gt;=0,$S453&gt;=0),0,""),IF(AND(ISNUMBER($Q453),$Q453&gt;=0,$Q453&lt;=0.5),$Q453,"")))</x:f>
        <x:v>0.15</x:v>
      </x:c>
      <x:c r="AQ453" s="152" t="n">
        <x:f>IF(OR($W453="",NOT(ISNUMBER($R453))),"",ROUND($R453-$W453,2))</x:f>
        <x:v>0</x:v>
      </x:c>
      <x:c r="AR453" s="152" t="n">
        <x:f>IF(OR($X453="",NOT(ISNUMBER($T453))),"",ROUND($T453-$X453,2))</x:f>
        <x:v>0</x:v>
      </x:c>
      <x:c r="AS453" s="14" t="str">
        <x:v>OK</x:v>
      </x:c>
    </x:row>
    <x:row r="454">
      <x:c r="A454" s="80" t="n">
        <x:v>454</x:v>
      </x:c>
      <x:c r="B454" s="80" t="str">
        <x:v>ORD-2024-10453</x:v>
      </x:c>
      <x:c r="C454" s="81" t="n">
        <x:v>45422</x:v>
      </x:c>
      <x:c r="D454" s="81" t="n">
        <x:v>45428</x:v>
      </x:c>
      <x:c r="E454" s="80" t="str">
        <x:v>CUST-8796</x:v>
      </x:c>
      <x:c r="F454" s="80" t="str">
        <x:v>Diya Patel</x:v>
      </x:c>
      <x:c r="G454" s="80" t="str">
        <x:v>Home Office</x:v>
      </x:c>
      <x:c r="H454" s="80" t="str">
        <x:v>East</x:v>
      </x:c>
      <x:c r="I454" s="80" t="str">
        <x:v>Jharkhand</x:v>
      </x:c>
      <x:c r="J454" s="80" t="str">
        <x:v>Ranchi</x:v>
      </x:c>
      <x:c r="K454" s="80" t="str">
        <x:v>Technology</x:v>
      </x:c>
      <x:c r="L454" s="80" t="str">
        <x:v>Accessories</x:v>
      </x:c>
      <x:c r="M454" s="80" t="str">
        <x:v>Smart Accessories 149</x:v>
      </x:c>
      <x:c r="N454" s="80" t="str">
        <x:v>Second Class</x:v>
      </x:c>
      <x:c r="O454" s="82" t="n">
        <x:v>6</x:v>
      </x:c>
      <x:c r="P454" s="83" t="n">
        <x:v>2013.33</x:v>
      </x:c>
      <x:c r="Q454" s="84" t="n">
        <x:v>0.2</x:v>
      </x:c>
      <x:c r="R454" s="83" t="n">
        <x:v>9663.98</x:v>
      </x:c>
      <x:c r="S454" s="83" t="n">
        <x:v>5628.93</x:v>
      </x:c>
      <x:c r="T454" s="83" t="n">
        <x:v>4035.05</x:v>
      </x:c>
      <x:c r="U454" s="83" t="str">
        <x:v>Paid</x:v>
      </x:c>
      <x:c r="V454" s="83" t="str">
        <x:v>Completed</x:v>
      </x:c>
      <x:c r="W454" s="151" t="n">
        <x:f>IF(OR(NOT(ISNUMBER($AP454)),COUNT($O454,$P454)&lt;2,$O454&lt;=0,$P454&lt;0),"",ROUND($O454*$P454*(1-$AP454),2))</x:f>
        <x:v>9663.98</x:v>
      </x:c>
      <x:c r="X454" s="151" t="n">
        <x:f>IF(OR(NOT(ISNUMBER($W454)),NOT(ISNUMBER($S454))),"",ROUND($W454-$S454,2))</x:f>
        <x:v>4035.05</x:v>
      </x:c>
      <x:c r="Y454" s="85" t="n">
        <x:f>IF(OR(NOT(ISNUMBER($W454)),NOT(ISNUMBER($X454)),$W454=0),"",ROUND($X454/$W454,4))</x:f>
        <x:v>0.4175</x:v>
      </x:c>
      <x:c r="Z454" s="82" t="n">
        <x:f>IF(OR($AH454&lt;&gt;"Valid",$AI454&lt;&gt;"Valid"),"",INT($D454-$C454))</x:f>
        <x:v>6</x:v>
      </x:c>
      <x:c r="AA454" s="86" t="str">
        <x:f>IF($AH454&lt;&gt;"Valid","",TEXT($C454,"mmmm"))</x:f>
        <x:v>May</x:v>
      </x:c>
      <x:c r="AB454" s="82" t="n">
        <x:f>IF($AH454&lt;&gt;"Valid","",YEAR($C454))</x:f>
        <x:v>2024</x:v>
      </x:c>
      <x:c r="AC454" s="80" t="str">
        <x:v>Consistent</x:v>
      </x:c>
      <x:c r="AD454" s="80" t="str">
        <x:v>Eligible</x:v>
      </x:c>
      <x:c r="AE454" s="80" t="str">
        <x:f>IF(OR($AH454&lt;&gt;"Valid",$AI454&lt;&gt;"Valid",$AJ454&lt;&gt;"Valid",LEFT($AM454,7)="Invalid",IFERROR(ABS($AQ454)&gt;0.01,FALSE),IFERROR(ABS($AR454)&gt;0.01,FALSE),COUNTIF($AS454,"*Conflicting duplicate*")&gt;0,COUNTIF($AS454,"*Completed order not paid*")&gt;0),"Invalid",IF(OR($H454="Unknown",$N454="Unknown",$AM454="Missing discount imputed as 0"),"Warning","Clean"))</x:f>
        <x:v>Clean</x:v>
      </x:c>
      <x:c r="AF454" s="80" t="str">
        <x:v>Pass</x:v>
      </x:c>
      <x:c r="AG454" s="80" t="str">
        <x:v>No text cleanup required</x:v>
      </x:c>
      <x:c r="AH454" s="12" t="str">
        <x:f>IF(C454="","Missing date",IF(ISNUMBER(C454),"Valid","Unrecognized/invalid date"))</x:f>
        <x:v>Valid</x:v>
      </x:c>
      <x:c r="AI454" s="12" t="str">
        <x:f>IF(D454="","Missing date",IF(ISNUMBER(D454),"Valid","Unrecognized/invalid date"))</x:f>
        <x:v>Valid</x:v>
      </x:c>
      <x:c r="AJ454" s="12" t="str">
        <x:v>Valid</x:v>
      </x:c>
      <x:c r="AK454" s="12" t="str">
        <x:v>Pass</x:v>
      </x:c>
      <x:c r="AL454" s="12" t="str">
        <x:v>None</x:v>
      </x:c>
      <x:c r="AM454" s="12" t="str">
        <x:v>Valid</x:v>
      </x:c>
      <x:c r="AN454" s="12" t="str">
        <x:v>Include in completed sales</x:v>
      </x:c>
      <x:c r="AO454" s="12" t="str">
        <x:v>Not a refunded record</x:v>
      </x:c>
      <x:c r="AP454" s="37" t="n">
        <x:f>IF(LEFT($AM454,7)="Invalid","",IF($AM454="Missing discount imputed as 0",IF(AND(COUNT($O454,$P454,$R454,$S454)=4,$O454&gt;0,$P454&gt;=0,$R454&gt;=0,$S454&gt;=0),0,""),IF(AND(ISNUMBER($Q454),$Q454&gt;=0,$Q454&lt;=0.5),$Q454,"")))</x:f>
        <x:v>0.2</x:v>
      </x:c>
      <x:c r="AQ454" s="152" t="n">
        <x:f>IF(OR($W454="",NOT(ISNUMBER($R454))),"",ROUND($R454-$W454,2))</x:f>
        <x:v>0</x:v>
      </x:c>
      <x:c r="AR454" s="152" t="n">
        <x:f>IF(OR($X454="",NOT(ISNUMBER($T454))),"",ROUND($T454-$X454,2))</x:f>
        <x:v>0</x:v>
      </x:c>
      <x:c r="AS454" s="14" t="str">
        <x:v>OK</x:v>
      </x:c>
    </x:row>
    <x:row r="455">
      <x:c r="A455" s="80" t="n">
        <x:v>455</x:v>
      </x:c>
      <x:c r="B455" s="80" t="str">
        <x:v>ORD-2025-10454</x:v>
      </x:c>
      <x:c r="C455" s="81" t="n">
        <x:v>45780</x:v>
      </x:c>
      <x:c r="D455" s="81" t="n">
        <x:v>45788</x:v>
      </x:c>
      <x:c r="E455" s="80" t="str">
        <x:v>CUST-2317</x:v>
      </x:c>
      <x:c r="F455" s="80" t="str">
        <x:v>Rohan Mehta</x:v>
      </x:c>
      <x:c r="G455" s="80" t="str">
        <x:v>Small Business</x:v>
      </x:c>
      <x:c r="H455" s="80" t="str">
        <x:v>West</x:v>
      </x:c>
      <x:c r="I455" s="80" t="str">
        <x:v>Madhya Pradesh</x:v>
      </x:c>
      <x:c r="J455" s="80" t="str">
        <x:v>Indore</x:v>
      </x:c>
      <x:c r="K455" s="80" t="str">
        <x:v>Office Supplies</x:v>
      </x:c>
      <x:c r="L455" s="80" t="str">
        <x:v>Labels</x:v>
      </x:c>
      <x:c r="M455" s="80" t="str">
        <x:v>Elite Labels 322</x:v>
      </x:c>
      <x:c r="N455" s="80" t="str">
        <x:v>Same Day</x:v>
      </x:c>
      <x:c r="O455" s="82" t="n">
        <x:v>5</x:v>
      </x:c>
      <x:c r="P455" s="83" t="n">
        <x:v>1483.52</x:v>
      </x:c>
      <x:c r="Q455" s="84" t="n">
        <x:v>0</x:v>
      </x:c>
      <x:c r="R455" s="83" t="n">
        <x:v>7417.6</x:v>
      </x:c>
      <x:c r="S455" s="83" t="n">
        <x:v>4955.86</x:v>
      </x:c>
      <x:c r="T455" s="83" t="n">
        <x:v>2461.74</x:v>
      </x:c>
      <x:c r="U455" s="83" t="str">
        <x:v>Paid</x:v>
      </x:c>
      <x:c r="V455" s="83" t="str">
        <x:v>Completed</x:v>
      </x:c>
      <x:c r="W455" s="151" t="n">
        <x:f>IF(OR(NOT(ISNUMBER($AP455)),COUNT($O455,$P455)&lt;2,$O455&lt;=0,$P455&lt;0),"",ROUND($O455*$P455*(1-$AP455),2))</x:f>
        <x:v>7417.6</x:v>
      </x:c>
      <x:c r="X455" s="151" t="n">
        <x:f>IF(OR(NOT(ISNUMBER($W455)),NOT(ISNUMBER($S455))),"",ROUND($W455-$S455,2))</x:f>
        <x:v>2461.74</x:v>
      </x:c>
      <x:c r="Y455" s="85" t="n">
        <x:f>IF(OR(NOT(ISNUMBER($W455)),NOT(ISNUMBER($X455)),$W455=0),"",ROUND($X455/$W455,4))</x:f>
        <x:v>0.3319</x:v>
      </x:c>
      <x:c r="Z455" s="82" t="n">
        <x:f>IF(OR($AH455&lt;&gt;"Valid",$AI455&lt;&gt;"Valid"),"",INT($D455-$C455))</x:f>
        <x:v>8</x:v>
      </x:c>
      <x:c r="AA455" s="86" t="str">
        <x:f>IF($AH455&lt;&gt;"Valid","",TEXT($C455,"mmmm"))</x:f>
        <x:v>May</x:v>
      </x:c>
      <x:c r="AB455" s="82" t="n">
        <x:f>IF($AH455&lt;&gt;"Valid","",YEAR($C455))</x:f>
        <x:v>2025</x:v>
      </x:c>
      <x:c r="AC455" s="80" t="str">
        <x:v>Consistent</x:v>
      </x:c>
      <x:c r="AD455" s="80" t="str">
        <x:v>Eligible</x:v>
      </x:c>
      <x:c r="AE455" s="80" t="str">
        <x:f>IF(OR($AH455&lt;&gt;"Valid",$AI455&lt;&gt;"Valid",$AJ455&lt;&gt;"Valid",LEFT($AM455,7)="Invalid",IFERROR(ABS($AQ455)&gt;0.01,FALSE),IFERROR(ABS($AR455)&gt;0.01,FALSE),COUNTIF($AS455,"*Conflicting duplicate*")&gt;0,COUNTIF($AS455,"*Completed order not paid*")&gt;0),"Invalid",IF(OR($H455="Unknown",$N455="Unknown",$AM455="Missing discount imputed as 0"),"Warning","Clean"))</x:f>
        <x:v>Clean</x:v>
      </x:c>
      <x:c r="AF455" s="80" t="str">
        <x:v>Cleaned</x:v>
      </x:c>
      <x:c r="AG455" s="80" t="str">
        <x:v>segment: TRIM/SUBSTITUTE whitespace cleanup</x:v>
      </x:c>
      <x:c r="AH455" s="12" t="str">
        <x:f>IF(C455="","Missing date",IF(ISNUMBER(C455),"Valid","Unrecognized/invalid date"))</x:f>
        <x:v>Valid</x:v>
      </x:c>
      <x:c r="AI455" s="12" t="str">
        <x:f>IF(D455="","Missing date",IF(ISNUMBER(D455),"Valid","Unrecognized/invalid date"))</x:f>
        <x:v>Valid</x:v>
      </x:c>
      <x:c r="AJ455" s="12" t="str">
        <x:v>Valid</x:v>
      </x:c>
      <x:c r="AK455" s="12" t="str">
        <x:v>Pass</x:v>
      </x:c>
      <x:c r="AL455" s="12" t="str">
        <x:v>None</x:v>
      </x:c>
      <x:c r="AM455" s="12" t="str">
        <x:v>Valid</x:v>
      </x:c>
      <x:c r="AN455" s="12" t="str">
        <x:v>Include in completed sales</x:v>
      </x:c>
      <x:c r="AO455" s="12" t="str">
        <x:v>Not a refunded record</x:v>
      </x:c>
      <x:c r="AP455" s="37" t="n">
        <x:f>IF(LEFT($AM455,7)="Invalid","",IF($AM455="Missing discount imputed as 0",IF(AND(COUNT($O455,$P455,$R455,$S455)=4,$O455&gt;0,$P455&gt;=0,$R455&gt;=0,$S455&gt;=0),0,""),IF(AND(ISNUMBER($Q455),$Q455&gt;=0,$Q455&lt;=0.5),$Q455,"")))</x:f>
        <x:v>0</x:v>
      </x:c>
      <x:c r="AQ455" s="152" t="n">
        <x:f>IF(OR($W455="",NOT(ISNUMBER($R455))),"",ROUND($R455-$W455,2))</x:f>
        <x:v>0</x:v>
      </x:c>
      <x:c r="AR455" s="152" t="n">
        <x:f>IF(OR($X455="",NOT(ISNUMBER($T455))),"",ROUND($T455-$X455,2))</x:f>
        <x:v>0</x:v>
      </x:c>
      <x:c r="AS455" s="14" t="str">
        <x:v>OK</x:v>
      </x:c>
    </x:row>
    <x:row r="456">
      <x:c r="A456" s="80" t="n">
        <x:v>456</x:v>
      </x:c>
      <x:c r="B456" s="80" t="str">
        <x:v>ORD-2025-10455</x:v>
      </x:c>
      <x:c r="C456" s="81" t="n">
        <x:v>45739</x:v>
      </x:c>
      <x:c r="D456" s="81" t="n">
        <x:v>45744</x:v>
      </x:c>
      <x:c r="E456" s="80" t="str">
        <x:v>CUST-8643</x:v>
      </x:c>
      <x:c r="F456" s="80" t="str">
        <x:v>Vikram Iyer</x:v>
      </x:c>
      <x:c r="G456" s="80" t="str">
        <x:v>Small Business</x:v>
      </x:c>
      <x:c r="H456" s="80" t="str">
        <x:v>North</x:v>
      </x:c>
      <x:c r="I456" s="80" t="str">
        <x:v>Rajasthan</x:v>
      </x:c>
      <x:c r="J456" s="80" t="str">
        <x:v>Jaipur</x:v>
      </x:c>
      <x:c r="K456" s="80" t="str">
        <x:v>Furniture</x:v>
      </x:c>
      <x:c r="L456" s="80" t="str">
        <x:v>Furnishings</x:v>
      </x:c>
      <x:c r="M456" s="80" t="str">
        <x:v>Max Furnishings 821</x:v>
      </x:c>
      <x:c r="N456" s="80" t="str">
        <x:v>Standard Class</x:v>
      </x:c>
      <x:c r="O456" s="82" t="n">
        <x:v>9</x:v>
      </x:c>
      <x:c r="P456" s="83" t="n">
        <x:v>3298</x:v>
      </x:c>
      <x:c r="Q456" s="84" t="n">
        <x:v>0.15</x:v>
      </x:c>
      <x:c r="R456" s="83" t="n">
        <x:v>25229.7</x:v>
      </x:c>
      <x:c r="S456" s="83" t="n">
        <x:v>20170.43</x:v>
      </x:c>
      <x:c r="T456" s="83" t="n">
        <x:v>5059.27</x:v>
      </x:c>
      <x:c r="U456" s="83" t="str">
        <x:v>Paid</x:v>
      </x:c>
      <x:c r="V456" s="83" t="str">
        <x:v>Completed</x:v>
      </x:c>
      <x:c r="W456" s="151" t="n">
        <x:f>IF(OR(NOT(ISNUMBER($AP456)),COUNT($O456,$P456)&lt;2,$O456&lt;=0,$P456&lt;0),"",ROUND($O456*$P456*(1-$AP456),2))</x:f>
        <x:v>25229.7</x:v>
      </x:c>
      <x:c r="X456" s="151" t="n">
        <x:f>IF(OR(NOT(ISNUMBER($W456)),NOT(ISNUMBER($S456))),"",ROUND($W456-$S456,2))</x:f>
        <x:v>5059.27</x:v>
      </x:c>
      <x:c r="Y456" s="85" t="n">
        <x:f>IF(OR(NOT(ISNUMBER($W456)),NOT(ISNUMBER($X456)),$W456=0),"",ROUND($X456/$W456,4))</x:f>
        <x:v>0.2005</x:v>
      </x:c>
      <x:c r="Z456" s="82" t="n">
        <x:f>IF(OR($AH456&lt;&gt;"Valid",$AI456&lt;&gt;"Valid"),"",INT($D456-$C456))</x:f>
        <x:v>5</x:v>
      </x:c>
      <x:c r="AA456" s="86" t="str">
        <x:f>IF($AH456&lt;&gt;"Valid","",TEXT($C456,"mmmm"))</x:f>
        <x:v>March</x:v>
      </x:c>
      <x:c r="AB456" s="82" t="n">
        <x:f>IF($AH456&lt;&gt;"Valid","",YEAR($C456))</x:f>
        <x:v>2025</x:v>
      </x:c>
      <x:c r="AC456" s="80" t="str">
        <x:v>Consistent</x:v>
      </x:c>
      <x:c r="AD456" s="80" t="str">
        <x:v>Eligible</x:v>
      </x:c>
      <x:c r="AE456" s="80" t="str">
        <x:f>IF(OR($AH456&lt;&gt;"Valid",$AI456&lt;&gt;"Valid",$AJ456&lt;&gt;"Valid",LEFT($AM456,7)="Invalid",IFERROR(ABS($AQ456)&gt;0.01,FALSE),IFERROR(ABS($AR456)&gt;0.01,FALSE),COUNTIF($AS456,"*Conflicting duplicate*")&gt;0,COUNTIF($AS456,"*Completed order not paid*")&gt;0),"Invalid",IF(OR($H456="Unknown",$N456="Unknown",$AM456="Missing discount imputed as 0"),"Warning","Clean"))</x:f>
        <x:v>Clean</x:v>
      </x:c>
      <x:c r="AF456" s="80" t="str">
        <x:v>Pass</x:v>
      </x:c>
      <x:c r="AG456" s="80" t="str">
        <x:v>No text cleanup required</x:v>
      </x:c>
      <x:c r="AH456" s="12" t="str">
        <x:f>IF(C456="","Missing date",IF(ISNUMBER(C456),"Valid","Unrecognized/invalid date"))</x:f>
        <x:v>Valid</x:v>
      </x:c>
      <x:c r="AI456" s="12" t="str">
        <x:f>IF(D456="","Missing date",IF(ISNUMBER(D456),"Valid","Unrecognized/invalid date"))</x:f>
        <x:v>Valid</x:v>
      </x:c>
      <x:c r="AJ456" s="12" t="str">
        <x:v>Valid</x:v>
      </x:c>
      <x:c r="AK456" s="12" t="str">
        <x:v>Pass</x:v>
      </x:c>
      <x:c r="AL456" s="12" t="str">
        <x:v>None</x:v>
      </x:c>
      <x:c r="AM456" s="12" t="str">
        <x:v>Valid</x:v>
      </x:c>
      <x:c r="AN456" s="12" t="str">
        <x:v>Include in completed sales</x:v>
      </x:c>
      <x:c r="AO456" s="12" t="str">
        <x:v>Not a refunded record</x:v>
      </x:c>
      <x:c r="AP456" s="37" t="n">
        <x:f>IF(LEFT($AM456,7)="Invalid","",IF($AM456="Missing discount imputed as 0",IF(AND(COUNT($O456,$P456,$R456,$S456)=4,$O456&gt;0,$P456&gt;=0,$R456&gt;=0,$S456&gt;=0),0,""),IF(AND(ISNUMBER($Q456),$Q456&gt;=0,$Q456&lt;=0.5),$Q456,"")))</x:f>
        <x:v>0.15</x:v>
      </x:c>
      <x:c r="AQ456" s="152" t="n">
        <x:f>IF(OR($W456="",NOT(ISNUMBER($R456))),"",ROUND($R456-$W456,2))</x:f>
        <x:v>0</x:v>
      </x:c>
      <x:c r="AR456" s="152" t="n">
        <x:f>IF(OR($X456="",NOT(ISNUMBER($T456))),"",ROUND($T456-$X456,2))</x:f>
        <x:v>0</x:v>
      </x:c>
      <x:c r="AS456" s="14" t="str">
        <x:v>OK</x:v>
      </x:c>
    </x:row>
    <x:row r="457">
      <x:c r="A457" s="80" t="n">
        <x:v>457</x:v>
      </x:c>
      <x:c r="B457" s="80" t="str">
        <x:v>ORD-2024-10456</x:v>
      </x:c>
      <x:c r="C457" s="81" t="n">
        <x:v>45491</x:v>
      </x:c>
      <x:c r="D457" s="81" t="n">
        <x:v>45495</x:v>
      </x:c>
      <x:c r="E457" s="80" t="str">
        <x:v>CUST-1800</x:v>
      </x:c>
      <x:c r="F457" s="80" t="str">
        <x:v>Neha Gupta</x:v>
      </x:c>
      <x:c r="G457" s="80" t="str">
        <x:v>Small Business</x:v>
      </x:c>
      <x:c r="H457" s="80" t="str">
        <x:v>South</x:v>
      </x:c>
      <x:c r="I457" s="80" t="str">
        <x:v>Telangana</x:v>
      </x:c>
      <x:c r="J457" s="80" t="str">
        <x:v>Hyderabad</x:v>
      </x:c>
      <x:c r="K457" s="80" t="str">
        <x:v>Office Supplies</x:v>
      </x:c>
      <x:c r="L457" s="80" t="str">
        <x:v>Art</x:v>
      </x:c>
      <x:c r="M457" s="80" t="str">
        <x:v>Basic Art 556</x:v>
      </x:c>
      <x:c r="N457" s="80" t="str">
        <x:v>Standard Class</x:v>
      </x:c>
      <x:c r="O457" s="82" t="n">
        <x:v>4</x:v>
      </x:c>
      <x:c r="P457" s="83" t="n">
        <x:v>808.77</x:v>
      </x:c>
      <x:c r="Q457" s="84" t="n">
        <x:v>0</x:v>
      </x:c>
      <x:c r="R457" s="83" t="n">
        <x:v>3235.08</x:v>
      </x:c>
      <x:c r="S457" s="83" t="n">
        <x:v>1848.6</x:v>
      </x:c>
      <x:c r="T457" s="83" t="n">
        <x:v>1386.48</x:v>
      </x:c>
      <x:c r="U457" s="83" t="str">
        <x:v>Paid</x:v>
      </x:c>
      <x:c r="V457" s="83" t="str">
        <x:v>Completed</x:v>
      </x:c>
      <x:c r="W457" s="151" t="n">
        <x:f>IF(OR(NOT(ISNUMBER($AP457)),COUNT($O457,$P457)&lt;2,$O457&lt;=0,$P457&lt;0),"",ROUND($O457*$P457*(1-$AP457),2))</x:f>
        <x:v>3235.08</x:v>
      </x:c>
      <x:c r="X457" s="151" t="n">
        <x:f>IF(OR(NOT(ISNUMBER($W457)),NOT(ISNUMBER($S457))),"",ROUND($W457-$S457,2))</x:f>
        <x:v>1386.48</x:v>
      </x:c>
      <x:c r="Y457" s="85" t="n">
        <x:f>IF(OR(NOT(ISNUMBER($W457)),NOT(ISNUMBER($X457)),$W457=0),"",ROUND($X457/$W457,4))</x:f>
        <x:v>0.4286</x:v>
      </x:c>
      <x:c r="Z457" s="82" t="n">
        <x:f>IF(OR($AH457&lt;&gt;"Valid",$AI457&lt;&gt;"Valid"),"",INT($D457-$C457))</x:f>
        <x:v>4</x:v>
      </x:c>
      <x:c r="AA457" s="86" t="str">
        <x:f>IF($AH457&lt;&gt;"Valid","",TEXT($C457,"mmmm"))</x:f>
        <x:v>July</x:v>
      </x:c>
      <x:c r="AB457" s="82" t="n">
        <x:f>IF($AH457&lt;&gt;"Valid","",YEAR($C457))</x:f>
        <x:v>2024</x:v>
      </x:c>
      <x:c r="AC457" s="80" t="str">
        <x:v>Consistent</x:v>
      </x:c>
      <x:c r="AD457" s="80" t="str">
        <x:v>Eligible</x:v>
      </x:c>
      <x:c r="AE457" s="80" t="str">
        <x:f>IF(OR($AH457&lt;&gt;"Valid",$AI457&lt;&gt;"Valid",$AJ457&lt;&gt;"Valid",LEFT($AM457,7)="Invalid",IFERROR(ABS($AQ457)&gt;0.01,FALSE),IFERROR(ABS($AR457)&gt;0.01,FALSE),COUNTIF($AS457,"*Conflicting duplicate*")&gt;0,COUNTIF($AS457,"*Completed order not paid*")&gt;0),"Invalid",IF(OR($H457="Unknown",$N457="Unknown",$AM457="Missing discount imputed as 0"),"Warning","Clean"))</x:f>
        <x:v>Clean</x:v>
      </x:c>
      <x:c r="AF457" s="80" t="str">
        <x:v>Pass</x:v>
      </x:c>
      <x:c r="AG457" s="80" t="str">
        <x:v>No text cleanup required</x:v>
      </x:c>
      <x:c r="AH457" s="12" t="str">
        <x:f>IF(C457="","Missing date",IF(ISNUMBER(C457),"Valid","Unrecognized/invalid date"))</x:f>
        <x:v>Valid</x:v>
      </x:c>
      <x:c r="AI457" s="12" t="str">
        <x:f>IF(D457="","Missing date",IF(ISNUMBER(D457),"Valid","Unrecognized/invalid date"))</x:f>
        <x:v>Valid</x:v>
      </x:c>
      <x:c r="AJ457" s="12" t="str">
        <x:v>Valid</x:v>
      </x:c>
      <x:c r="AK457" s="12" t="str">
        <x:v>Pass</x:v>
      </x:c>
      <x:c r="AL457" s="12" t="str">
        <x:v>None</x:v>
      </x:c>
      <x:c r="AM457" s="12" t="str">
        <x:v>Valid</x:v>
      </x:c>
      <x:c r="AN457" s="12" t="str">
        <x:v>Include in completed sales</x:v>
      </x:c>
      <x:c r="AO457" s="12" t="str">
        <x:v>Not a refunded record</x:v>
      </x:c>
      <x:c r="AP457" s="37" t="n">
        <x:f>IF(LEFT($AM457,7)="Invalid","",IF($AM457="Missing discount imputed as 0",IF(AND(COUNT($O457,$P457,$R457,$S457)=4,$O457&gt;0,$P457&gt;=0,$R457&gt;=0,$S457&gt;=0),0,""),IF(AND(ISNUMBER($Q457),$Q457&gt;=0,$Q457&lt;=0.5),$Q457,"")))</x:f>
        <x:v>0</x:v>
      </x:c>
      <x:c r="AQ457" s="152" t="n">
        <x:f>IF(OR($W457="",NOT(ISNUMBER($R457))),"",ROUND($R457-$W457,2))</x:f>
        <x:v>0</x:v>
      </x:c>
      <x:c r="AR457" s="152" t="n">
        <x:f>IF(OR($X457="",NOT(ISNUMBER($T457))),"",ROUND($T457-$X457,2))</x:f>
        <x:v>0</x:v>
      </x:c>
      <x:c r="AS457" s="14" t="str">
        <x:v>OK</x:v>
      </x:c>
    </x:row>
    <x:row r="458">
      <x:c r="A458" s="80" t="n">
        <x:v>458</x:v>
      </x:c>
      <x:c r="B458" s="80" t="str">
        <x:v>ORD-2024-10457</x:v>
      </x:c>
      <x:c r="C458" s="81" t="n">
        <x:v>45342</x:v>
      </x:c>
      <x:c r="D458" s="81" t="n">
        <x:v>45342</x:v>
      </x:c>
      <x:c r="E458" s="80" t="str">
        <x:v>CUST-7688</x:v>
      </x:c>
      <x:c r="F458" s="80" t="str">
        <x:v>Neha Gupta</x:v>
      </x:c>
      <x:c r="G458" s="80" t="str">
        <x:v>Corporate</x:v>
      </x:c>
      <x:c r="H458" s="80" t="str">
        <x:v>North</x:v>
      </x:c>
      <x:c r="I458" s="80" t="str">
        <x:v>Uttar Pradesh</x:v>
      </x:c>
      <x:c r="J458" s="80" t="str">
        <x:v>Noida</x:v>
      </x:c>
      <x:c r="K458" s="80" t="str">
        <x:v>Technology</x:v>
      </x:c>
      <x:c r="L458" s="80" t="str">
        <x:v>Accessories</x:v>
      </x:c>
      <x:c r="M458" s="80" t="str">
        <x:v>Smart Accessories 265</x:v>
      </x:c>
      <x:c r="N458" s="80" t="str">
        <x:v>Same Day</x:v>
      </x:c>
      <x:c r="O458" s="82" t="n">
        <x:v>5</x:v>
      </x:c>
      <x:c r="P458" s="83" t="n">
        <x:v>2604.91</x:v>
      </x:c>
      <x:c r="Q458" s="84" t="n">
        <x:v>0.15</x:v>
      </x:c>
      <x:c r="R458" s="83" t="n">
        <x:v>11070.87</x:v>
      </x:c>
      <x:c r="S458" s="83" t="n">
        <x:v>6623.61</x:v>
      </x:c>
      <x:c r="T458" s="83" t="n">
        <x:v>4447.26</x:v>
      </x:c>
      <x:c r="U458" s="83" t="str">
        <x:v>Paid</x:v>
      </x:c>
      <x:c r="V458" s="83" t="str">
        <x:v>Returned</x:v>
      </x:c>
      <x:c r="W458" s="151" t="n">
        <x:f>IF(OR(NOT(ISNUMBER($AP458)),COUNT($O458,$P458)&lt;2,$O458&lt;=0,$P458&lt;0),"",ROUND($O458*$P458*(1-$AP458),2))</x:f>
        <x:v>11070.87</x:v>
      </x:c>
      <x:c r="X458" s="151" t="n">
        <x:f>IF(OR(NOT(ISNUMBER($W458)),NOT(ISNUMBER($S458))),"",ROUND($W458-$S458,2))</x:f>
        <x:v>4447.26</x:v>
      </x:c>
      <x:c r="Y458" s="85" t="n">
        <x:f>IF(OR(NOT(ISNUMBER($W458)),NOT(ISNUMBER($X458)),$W458=0),"",ROUND($X458/$W458,4))</x:f>
        <x:v>0.4017</x:v>
      </x:c>
      <x:c r="Z458" s="82" t="n">
        <x:f>IF(OR($AH458&lt;&gt;"Valid",$AI458&lt;&gt;"Valid"),"",INT($D458-$C458))</x:f>
        <x:v>0</x:v>
      </x:c>
      <x:c r="AA458" s="86" t="str">
        <x:f>IF($AH458&lt;&gt;"Valid","",TEXT($C458,"mmmm"))</x:f>
        <x:v>February</x:v>
      </x:c>
      <x:c r="AB458" s="82" t="n">
        <x:f>IF($AH458&lt;&gt;"Valid","",YEAR($C458))</x:f>
        <x:v>2024</x:v>
      </x:c>
      <x:c r="AC458" s="80" t="str">
        <x:v>Consistent</x:v>
      </x:c>
      <x:c r="AD458" s="80" t="str">
        <x:v>Excluded</x:v>
      </x:c>
      <x:c r="AE458" s="80" t="str">
        <x:f>IF(OR($AH458&lt;&gt;"Valid",$AI458&lt;&gt;"Valid",$AJ458&lt;&gt;"Valid",LEFT($AM458,7)="Invalid",IFERROR(ABS($AQ458)&gt;0.01,FALSE),IFERROR(ABS($AR458)&gt;0.01,FALSE),COUNTIF($AS458,"*Conflicting duplicate*")&gt;0,COUNTIF($AS458,"*Completed order not paid*")&gt;0),"Invalid",IF(OR($H458="Unknown",$N458="Unknown",$AM458="Missing discount imputed as 0"),"Warning","Clean"))</x:f>
        <x:v>Clean</x:v>
      </x:c>
      <x:c r="AF458" s="80" t="str">
        <x:v>Pass</x:v>
      </x:c>
      <x:c r="AG458" s="80" t="str">
        <x:v>No text cleanup required</x:v>
      </x:c>
      <x:c r="AH458" s="12" t="str">
        <x:f>IF(C458="","Missing date",IF(ISNUMBER(C458),"Valid","Unrecognized/invalid date"))</x:f>
        <x:v>Valid</x:v>
      </x:c>
      <x:c r="AI458" s="12" t="str">
        <x:f>IF(D458="","Missing date",IF(ISNUMBER(D458),"Valid","Unrecognized/invalid date"))</x:f>
        <x:v>Valid</x:v>
      </x:c>
      <x:c r="AJ458" s="12" t="str">
        <x:v>Valid</x:v>
      </x:c>
      <x:c r="AK458" s="12" t="str">
        <x:v>Pass</x:v>
      </x:c>
      <x:c r="AL458" s="12" t="str">
        <x:v>None</x:v>
      </x:c>
      <x:c r="AM458" s="12" t="str">
        <x:v>Valid</x:v>
      </x:c>
      <x:c r="AN458" s="12" t="str">
        <x:v>Exclude from completed sales</x:v>
      </x:c>
      <x:c r="AO458" s="12" t="str">
        <x:v>Not a refunded record</x:v>
      </x:c>
      <x:c r="AP458" s="37" t="n">
        <x:f>IF(LEFT($AM458,7)="Invalid","",IF($AM458="Missing discount imputed as 0",IF(AND(COUNT($O458,$P458,$R458,$S458)=4,$O458&gt;0,$P458&gt;=0,$R458&gt;=0,$S458&gt;=0),0,""),IF(AND(ISNUMBER($Q458),$Q458&gt;=0,$Q458&lt;=0.5),$Q458,"")))</x:f>
        <x:v>0.15</x:v>
      </x:c>
      <x:c r="AQ458" s="152" t="n">
        <x:f>IF(OR($W458="",NOT(ISNUMBER($R458))),"",ROUND($R458-$W458,2))</x:f>
        <x:v>0</x:v>
      </x:c>
      <x:c r="AR458" s="152" t="n">
        <x:f>IF(OR($X458="",NOT(ISNUMBER($T458))),"",ROUND($T458-$X458,2))</x:f>
        <x:v>0</x:v>
      </x:c>
      <x:c r="AS458" s="14" t="str">
        <x:v>OK</x:v>
      </x:c>
    </x:row>
    <x:row r="459">
      <x:c r="A459" s="80" t="n">
        <x:v>459</x:v>
      </x:c>
      <x:c r="B459" s="80" t="str">
        <x:v>ORD-2024-10458</x:v>
      </x:c>
      <x:c r="C459" s="81" t="n">
        <x:v>45416</x:v>
      </x:c>
      <x:c r="D459" s="81" t="n">
        <x:v>45416</x:v>
      </x:c>
      <x:c r="E459" s="80" t="str">
        <x:v>CUST-4957</x:v>
      </x:c>
      <x:c r="F459" s="80" t="str">
        <x:v>Mira Das</x:v>
      </x:c>
      <x:c r="G459" s="80" t="str">
        <x:v>Small Business</x:v>
      </x:c>
      <x:c r="H459" s="80" t="str">
        <x:v>West</x:v>
      </x:c>
      <x:c r="I459" s="80" t="str">
        <x:v>Goa</x:v>
      </x:c>
      <x:c r="J459" s="80" t="str">
        <x:v>Panaji</x:v>
      </x:c>
      <x:c r="K459" s="80" t="str">
        <x:v>Furniture</x:v>
      </x:c>
      <x:c r="L459" s="80" t="str">
        <x:v>Tables</x:v>
      </x:c>
      <x:c r="M459" s="80" t="str">
        <x:v>Elite Tables 418</x:v>
      </x:c>
      <x:c r="N459" s="80" t="str">
        <x:v>Standard Class</x:v>
      </x:c>
      <x:c r="O459" s="82" t="n">
        <x:v>7</x:v>
      </x:c>
      <x:c r="P459" s="83" t="n">
        <x:v>2851.51</x:v>
      </x:c>
      <x:c r="Q459" s="84" t="n">
        <x:v>0</x:v>
      </x:c>
      <x:c r="R459" s="83" t="n">
        <x:v>19960.57</x:v>
      </x:c>
      <x:c r="S459" s="83" t="n">
        <x:v>16603.6</x:v>
      </x:c>
      <x:c r="T459" s="83" t="n">
        <x:v>3356.97</x:v>
      </x:c>
      <x:c r="U459" s="83" t="str">
        <x:v>Paid</x:v>
      </x:c>
      <x:c r="V459" s="83" t="str">
        <x:v>Completed</x:v>
      </x:c>
      <x:c r="W459" s="151" t="n">
        <x:f>IF(OR(NOT(ISNUMBER($AP459)),COUNT($O459,$P459)&lt;2,$O459&lt;=0,$P459&lt;0),"",ROUND($O459*$P459*(1-$AP459),2))</x:f>
        <x:v>19960.57</x:v>
      </x:c>
      <x:c r="X459" s="151" t="n">
        <x:f>IF(OR(NOT(ISNUMBER($W459)),NOT(ISNUMBER($S459))),"",ROUND($W459-$S459,2))</x:f>
        <x:v>3356.97</x:v>
      </x:c>
      <x:c r="Y459" s="85" t="n">
        <x:f>IF(OR(NOT(ISNUMBER($W459)),NOT(ISNUMBER($X459)),$W459=0),"",ROUND($X459/$W459,4))</x:f>
        <x:v>0.1682</x:v>
      </x:c>
      <x:c r="Z459" s="82" t="n">
        <x:f>IF(OR($AH459&lt;&gt;"Valid",$AI459&lt;&gt;"Valid"),"",INT($D459-$C459))</x:f>
        <x:v>0</x:v>
      </x:c>
      <x:c r="AA459" s="86" t="str">
        <x:f>IF($AH459&lt;&gt;"Valid","",TEXT($C459,"mmmm"))</x:f>
        <x:v>May</x:v>
      </x:c>
      <x:c r="AB459" s="82" t="n">
        <x:f>IF($AH459&lt;&gt;"Valid","",YEAR($C459))</x:f>
        <x:v>2024</x:v>
      </x:c>
      <x:c r="AC459" s="80" t="str">
        <x:v>Consistent</x:v>
      </x:c>
      <x:c r="AD459" s="80" t="str">
        <x:v>Eligible</x:v>
      </x:c>
      <x:c r="AE459" s="80" t="str">
        <x:f>IF(OR($AH459&lt;&gt;"Valid",$AI459&lt;&gt;"Valid",$AJ459&lt;&gt;"Valid",LEFT($AM459,7)="Invalid",IFERROR(ABS($AQ459)&gt;0.01,FALSE),IFERROR(ABS($AR459)&gt;0.01,FALSE),COUNTIF($AS459,"*Conflicting duplicate*")&gt;0,COUNTIF($AS459,"*Completed order not paid*")&gt;0),"Invalid",IF(OR($H459="Unknown",$N459="Unknown",$AM459="Missing discount imputed as 0"),"Warning","Clean"))</x:f>
        <x:v>Clean</x:v>
      </x:c>
      <x:c r="AF459" s="80" t="str">
        <x:v>Pass</x:v>
      </x:c>
      <x:c r="AG459" s="80" t="str">
        <x:v>No text cleanup required</x:v>
      </x:c>
      <x:c r="AH459" s="12" t="str">
        <x:f>IF(C459="","Missing date",IF(ISNUMBER(C459),"Valid","Unrecognized/invalid date"))</x:f>
        <x:v>Valid</x:v>
      </x:c>
      <x:c r="AI459" s="12" t="str">
        <x:f>IF(D459="","Missing date",IF(ISNUMBER(D459),"Valid","Unrecognized/invalid date"))</x:f>
        <x:v>Valid</x:v>
      </x:c>
      <x:c r="AJ459" s="12" t="str">
        <x:v>Valid</x:v>
      </x:c>
      <x:c r="AK459" s="12" t="str">
        <x:v>Pass</x:v>
      </x:c>
      <x:c r="AL459" s="12" t="str">
        <x:v>None</x:v>
      </x:c>
      <x:c r="AM459" s="12" t="str">
        <x:v>Valid</x:v>
      </x:c>
      <x:c r="AN459" s="12" t="str">
        <x:v>Include in completed sales</x:v>
      </x:c>
      <x:c r="AO459" s="12" t="str">
        <x:v>Not a refunded record</x:v>
      </x:c>
      <x:c r="AP459" s="37" t="n">
        <x:f>IF(LEFT($AM459,7)="Invalid","",IF($AM459="Missing discount imputed as 0",IF(AND(COUNT($O459,$P459,$R459,$S459)=4,$O459&gt;0,$P459&gt;=0,$R459&gt;=0,$S459&gt;=0),0,""),IF(AND(ISNUMBER($Q459),$Q459&gt;=0,$Q459&lt;=0.5),$Q459,"")))</x:f>
        <x:v>0</x:v>
      </x:c>
      <x:c r="AQ459" s="152" t="n">
        <x:f>IF(OR($W459="",NOT(ISNUMBER($R459))),"",ROUND($R459-$W459,2))</x:f>
        <x:v>0</x:v>
      </x:c>
      <x:c r="AR459" s="152" t="n">
        <x:f>IF(OR($X459="",NOT(ISNUMBER($T459))),"",ROUND($T459-$X459,2))</x:f>
        <x:v>0</x:v>
      </x:c>
      <x:c r="AS459" s="14" t="str">
        <x:v>OK</x:v>
      </x:c>
    </x:row>
    <x:row r="460">
      <x:c r="A460" s="80" t="n">
        <x:v>460</x:v>
      </x:c>
      <x:c r="B460" s="80" t="str">
        <x:v>ORD-2024-10459</x:v>
      </x:c>
      <x:c r="C460" s="81" t="n">
        <x:v>45332</x:v>
      </x:c>
      <x:c r="D460" s="81" t="n">
        <x:v>45333</x:v>
      </x:c>
      <x:c r="E460" s="80" t="str">
        <x:v>CUST-1263</x:v>
      </x:c>
      <x:c r="F460" s="80" t="str">
        <x:v>Karan Malhotra</x:v>
      </x:c>
      <x:c r="G460" s="80" t="str">
        <x:v>Corporate</x:v>
      </x:c>
      <x:c r="H460" s="80" t="str">
        <x:v>North</x:v>
      </x:c>
      <x:c r="I460" s="80" t="str">
        <x:v>Rajasthan</x:v>
      </x:c>
      <x:c r="J460" s="80" t="str">
        <x:v>Jaipur</x:v>
      </x:c>
      <x:c r="K460" s="80" t="str">
        <x:v>Technology</x:v>
      </x:c>
      <x:c r="L460" s="80" t="str">
        <x:v>Phones</x:v>
      </x:c>
      <x:c r="M460" s="80" t="str">
        <x:v>Pro Phones 907</x:v>
      </x:c>
      <x:c r="N460" s="80" t="str">
        <x:v>Second Class</x:v>
      </x:c>
      <x:c r="O460" s="82" t="n">
        <x:v>3</x:v>
      </x:c>
      <x:c r="P460" s="83" t="n">
        <x:v>3183.72</x:v>
      </x:c>
      <x:c r="Q460" s="84" t="n">
        <x:v>0.1</x:v>
      </x:c>
      <x:c r="R460" s="83" t="n">
        <x:v>8596.04</x:v>
      </x:c>
      <x:c r="S460" s="83" t="n">
        <x:v>5378.16</x:v>
      </x:c>
      <x:c r="T460" s="83" t="n">
        <x:v>3217.88</x:v>
      </x:c>
      <x:c r="U460" s="83" t="str">
        <x:v>Paid</x:v>
      </x:c>
      <x:c r="V460" s="83" t="str">
        <x:v>Completed</x:v>
      </x:c>
      <x:c r="W460" s="151" t="n">
        <x:f>IF(OR(NOT(ISNUMBER($AP460)),COUNT($O460,$P460)&lt;2,$O460&lt;=0,$P460&lt;0),"",ROUND($O460*$P460*(1-$AP460),2))</x:f>
        <x:v>8596.04</x:v>
      </x:c>
      <x:c r="X460" s="151" t="n">
        <x:f>IF(OR(NOT(ISNUMBER($W460)),NOT(ISNUMBER($S460))),"",ROUND($W460-$S460,2))</x:f>
        <x:v>3217.88</x:v>
      </x:c>
      <x:c r="Y460" s="85" t="n">
        <x:f>IF(OR(NOT(ISNUMBER($W460)),NOT(ISNUMBER($X460)),$W460=0),"",ROUND($X460/$W460,4))</x:f>
        <x:v>0.3743</x:v>
      </x:c>
      <x:c r="Z460" s="82" t="n">
        <x:f>IF(OR($AH460&lt;&gt;"Valid",$AI460&lt;&gt;"Valid"),"",INT($D460-$C460))</x:f>
        <x:v>1</x:v>
      </x:c>
      <x:c r="AA460" s="86" t="str">
        <x:f>IF($AH460&lt;&gt;"Valid","",TEXT($C460,"mmmm"))</x:f>
        <x:v>February</x:v>
      </x:c>
      <x:c r="AB460" s="82" t="n">
        <x:f>IF($AH460&lt;&gt;"Valid","",YEAR($C460))</x:f>
        <x:v>2024</x:v>
      </x:c>
      <x:c r="AC460" s="80" t="str">
        <x:v>Consistent</x:v>
      </x:c>
      <x:c r="AD460" s="80" t="str">
        <x:v>Eligible</x:v>
      </x:c>
      <x:c r="AE460" s="80" t="str">
        <x:f>IF(OR($AH460&lt;&gt;"Valid",$AI460&lt;&gt;"Valid",$AJ460&lt;&gt;"Valid",LEFT($AM460,7)="Invalid",IFERROR(ABS($AQ460)&gt;0.01,FALSE),IFERROR(ABS($AR460)&gt;0.01,FALSE),COUNTIF($AS460,"*Conflicting duplicate*")&gt;0,COUNTIF($AS460,"*Completed order not paid*")&gt;0),"Invalid",IF(OR($H460="Unknown",$N460="Unknown",$AM460="Missing discount imputed as 0"),"Warning","Clean"))</x:f>
        <x:v>Clean</x:v>
      </x:c>
      <x:c r="AF460" s="80" t="str">
        <x:v>Pass</x:v>
      </x:c>
      <x:c r="AG460" s="80" t="str">
        <x:v>No text cleanup required</x:v>
      </x:c>
      <x:c r="AH460" s="12" t="str">
        <x:f>IF(C460="","Missing date",IF(ISNUMBER(C460),"Valid","Unrecognized/invalid date"))</x:f>
        <x:v>Valid</x:v>
      </x:c>
      <x:c r="AI460" s="12" t="str">
        <x:f>IF(D460="","Missing date",IF(ISNUMBER(D460),"Valid","Unrecognized/invalid date"))</x:f>
        <x:v>Valid</x:v>
      </x:c>
      <x:c r="AJ460" s="12" t="str">
        <x:v>Valid</x:v>
      </x:c>
      <x:c r="AK460" s="12" t="str">
        <x:v>Pass</x:v>
      </x:c>
      <x:c r="AL460" s="12" t="str">
        <x:v>None</x:v>
      </x:c>
      <x:c r="AM460" s="12" t="str">
        <x:v>Valid</x:v>
      </x:c>
      <x:c r="AN460" s="12" t="str">
        <x:v>Include in completed sales</x:v>
      </x:c>
      <x:c r="AO460" s="12" t="str">
        <x:v>Not a refunded record</x:v>
      </x:c>
      <x:c r="AP460" s="37" t="n">
        <x:f>IF(LEFT($AM460,7)="Invalid","",IF($AM460="Missing discount imputed as 0",IF(AND(COUNT($O460,$P460,$R460,$S460)=4,$O460&gt;0,$P460&gt;=0,$R460&gt;=0,$S460&gt;=0),0,""),IF(AND(ISNUMBER($Q460),$Q460&gt;=0,$Q460&lt;=0.5),$Q460,"")))</x:f>
        <x:v>0.1</x:v>
      </x:c>
      <x:c r="AQ460" s="152" t="n">
        <x:f>IF(OR($W460="",NOT(ISNUMBER($R460))),"",ROUND($R460-$W460,2))</x:f>
        <x:v>0</x:v>
      </x:c>
      <x:c r="AR460" s="152" t="n">
        <x:f>IF(OR($X460="",NOT(ISNUMBER($T460))),"",ROUND($T460-$X460,2))</x:f>
        <x:v>0</x:v>
      </x:c>
      <x:c r="AS460" s="14" t="str">
        <x:v>OK</x:v>
      </x:c>
    </x:row>
    <x:row r="461">
      <x:c r="A461" s="80" t="n">
        <x:v>461</x:v>
      </x:c>
      <x:c r="B461" s="80" t="str">
        <x:v>ORD-2024-10460</x:v>
      </x:c>
      <x:c r="C461" s="81" t="n">
        <x:v>45379</x:v>
      </x:c>
      <x:c r="D461" s="81" t="n">
        <x:v>45386</x:v>
      </x:c>
      <x:c r="E461" s="80" t="str">
        <x:v>CUST-4745</x:v>
      </x:c>
      <x:c r="F461" s="80" t="str">
        <x:v>Ananya Rao</x:v>
      </x:c>
      <x:c r="G461" s="80" t="str">
        <x:v>Home Office</x:v>
      </x:c>
      <x:c r="H461" s="80" t="str">
        <x:v>West</x:v>
      </x:c>
      <x:c r="I461" s="80" t="str">
        <x:v>Goa</x:v>
      </x:c>
      <x:c r="J461" s="80" t="str">
        <x:v>Panaji</x:v>
      </x:c>
      <x:c r="K461" s="80" t="str">
        <x:v>Office Supplies</x:v>
      </x:c>
      <x:c r="L461" s="80" t="str">
        <x:v>Paper</x:v>
      </x:c>
      <x:c r="M461" s="80" t="str">
        <x:v>Basic Paper 233</x:v>
      </x:c>
      <x:c r="N461" s="80" t="str">
        <x:v>First Class</x:v>
      </x:c>
      <x:c r="O461" s="82" t="n">
        <x:v>3</x:v>
      </x:c>
      <x:c r="P461" s="83" t="n">
        <x:v>1150.92</x:v>
      </x:c>
      <x:c r="Q461" s="84" t="n">
        <x:v>0</x:v>
      </x:c>
      <x:c r="R461" s="83" t="n">
        <x:v>3452.76</x:v>
      </x:c>
      <x:c r="S461" s="83" t="n">
        <x:v>2077.96</x:v>
      </x:c>
      <x:c r="T461" s="83" t="n">
        <x:v>1374.8</x:v>
      </x:c>
      <x:c r="U461" s="83" t="str">
        <x:v>Paid</x:v>
      </x:c>
      <x:c r="V461" s="83" t="str">
        <x:v>Completed</x:v>
      </x:c>
      <x:c r="W461" s="151" t="n">
        <x:f>IF(OR(NOT(ISNUMBER($AP461)),COUNT($O461,$P461)&lt;2,$O461&lt;=0,$P461&lt;0),"",ROUND($O461*$P461*(1-$AP461),2))</x:f>
        <x:v>3452.76</x:v>
      </x:c>
      <x:c r="X461" s="151" t="n">
        <x:f>IF(OR(NOT(ISNUMBER($W461)),NOT(ISNUMBER($S461))),"",ROUND($W461-$S461,2))</x:f>
        <x:v>1374.8</x:v>
      </x:c>
      <x:c r="Y461" s="85" t="n">
        <x:f>IF(OR(NOT(ISNUMBER($W461)),NOT(ISNUMBER($X461)),$W461=0),"",ROUND($X461/$W461,4))</x:f>
        <x:v>0.3982</x:v>
      </x:c>
      <x:c r="Z461" s="82" t="n">
        <x:f>IF(OR($AH461&lt;&gt;"Valid",$AI461&lt;&gt;"Valid"),"",INT($D461-$C461))</x:f>
        <x:v>7</x:v>
      </x:c>
      <x:c r="AA461" s="86" t="str">
        <x:f>IF($AH461&lt;&gt;"Valid","",TEXT($C461,"mmmm"))</x:f>
        <x:v>March</x:v>
      </x:c>
      <x:c r="AB461" s="82" t="n">
        <x:f>IF($AH461&lt;&gt;"Valid","",YEAR($C461))</x:f>
        <x:v>2024</x:v>
      </x:c>
      <x:c r="AC461" s="80" t="str">
        <x:v>Consistent</x:v>
      </x:c>
      <x:c r="AD461" s="80" t="str">
        <x:v>Eligible</x:v>
      </x:c>
      <x:c r="AE461" s="80" t="str">
        <x:f>IF(OR($AH461&lt;&gt;"Valid",$AI461&lt;&gt;"Valid",$AJ461&lt;&gt;"Valid",LEFT($AM461,7)="Invalid",IFERROR(ABS($AQ461)&gt;0.01,FALSE),IFERROR(ABS($AR461)&gt;0.01,FALSE),COUNTIF($AS461,"*Conflicting duplicate*")&gt;0,COUNTIF($AS461,"*Completed order not paid*")&gt;0),"Invalid",IF(OR($H461="Unknown",$N461="Unknown",$AM461="Missing discount imputed as 0"),"Warning","Clean"))</x:f>
        <x:v>Clean</x:v>
      </x:c>
      <x:c r="AF461" s="80" t="str">
        <x:v>Pass</x:v>
      </x:c>
      <x:c r="AG461" s="80" t="str">
        <x:v>No text cleanup required</x:v>
      </x:c>
      <x:c r="AH461" s="12" t="str">
        <x:f>IF(C461="","Missing date",IF(ISNUMBER(C461),"Valid","Unrecognized/invalid date"))</x:f>
        <x:v>Valid</x:v>
      </x:c>
      <x:c r="AI461" s="12" t="str">
        <x:f>IF(D461="","Missing date",IF(ISNUMBER(D461),"Valid","Unrecognized/invalid date"))</x:f>
        <x:v>Valid</x:v>
      </x:c>
      <x:c r="AJ461" s="12" t="str">
        <x:v>Valid</x:v>
      </x:c>
      <x:c r="AK461" s="12" t="str">
        <x:v>Pass</x:v>
      </x:c>
      <x:c r="AL461" s="12" t="str">
        <x:v>None</x:v>
      </x:c>
      <x:c r="AM461" s="12" t="str">
        <x:v>Valid</x:v>
      </x:c>
      <x:c r="AN461" s="12" t="str">
        <x:v>Include in completed sales</x:v>
      </x:c>
      <x:c r="AO461" s="12" t="str">
        <x:v>Not a refunded record</x:v>
      </x:c>
      <x:c r="AP461" s="37" t="n">
        <x:f>IF(LEFT($AM461,7)="Invalid","",IF($AM461="Missing discount imputed as 0",IF(AND(COUNT($O461,$P461,$R461,$S461)=4,$O461&gt;0,$P461&gt;=0,$R461&gt;=0,$S461&gt;=0),0,""),IF(AND(ISNUMBER($Q461),$Q461&gt;=0,$Q461&lt;=0.5),$Q461,"")))</x:f>
        <x:v>0</x:v>
      </x:c>
      <x:c r="AQ461" s="152" t="n">
        <x:f>IF(OR($W461="",NOT(ISNUMBER($R461))),"",ROUND($R461-$W461,2))</x:f>
        <x:v>0</x:v>
      </x:c>
      <x:c r="AR461" s="152" t="n">
        <x:f>IF(OR($X461="",NOT(ISNUMBER($T461))),"",ROUND($T461-$X461,2))</x:f>
        <x:v>0</x:v>
      </x:c>
      <x:c r="AS461" s="14" t="str">
        <x:v>OK</x:v>
      </x:c>
    </x:row>
    <x:row r="462">
      <x:c r="A462" s="80" t="n">
        <x:v>462</x:v>
      </x:c>
      <x:c r="B462" s="80" t="str">
        <x:v>ORD-2025-10461</x:v>
      </x:c>
      <x:c r="C462" s="81" t="n">
        <x:v>45930</x:v>
      </x:c>
      <x:c r="D462" s="81" t="n">
        <x:v>45936</x:v>
      </x:c>
      <x:c r="E462" s="80" t="str">
        <x:v>CUST-5551</x:v>
      </x:c>
      <x:c r="F462" s="80" t="str">
        <x:v>Aarav Sharma</x:v>
      </x:c>
      <x:c r="G462" s="80" t="str">
        <x:v>Corporate</x:v>
      </x:c>
      <x:c r="H462" s="80" t="str">
        <x:v>Unknown</x:v>
      </x:c>
      <x:c r="I462" s="80" t="str">
        <x:v>Rajasthan</x:v>
      </x:c>
      <x:c r="J462" s="80" t="str">
        <x:v>Jaipur</x:v>
      </x:c>
      <x:c r="K462" s="80" t="str">
        <x:v>Technology</x:v>
      </x:c>
      <x:c r="L462" s="80" t="str">
        <x:v>Copiers</x:v>
      </x:c>
      <x:c r="M462" s="80" t="str">
        <x:v>Eco Copiers 603</x:v>
      </x:c>
      <x:c r="N462" s="80" t="str">
        <x:v>Second Class</x:v>
      </x:c>
      <x:c r="O462" s="82" t="n">
        <x:v>9</x:v>
      </x:c>
      <x:c r="P462" s="83" t="n">
        <x:v>1359.88</x:v>
      </x:c>
      <x:c r="Q462" s="84" t="n">
        <x:v>0.05</x:v>
      </x:c>
      <x:c r="R462" s="83" t="n">
        <x:v>11626.97</x:v>
      </x:c>
      <x:c r="S462" s="83" t="n">
        <x:v>7394.07</x:v>
      </x:c>
      <x:c r="T462" s="83" t="n">
        <x:v>4232.9</x:v>
      </x:c>
      <x:c r="U462" s="83" t="str">
        <x:v>Paid</x:v>
      </x:c>
      <x:c r="V462" s="83" t="str">
        <x:v>Completed</x:v>
      </x:c>
      <x:c r="W462" s="151" t="n">
        <x:f>IF(OR(NOT(ISNUMBER($AP462)),COUNT($O462,$P462)&lt;2,$O462&lt;=0,$P462&lt;0),"",ROUND($O462*$P462*(1-$AP462),2))</x:f>
        <x:v>11626.97</x:v>
      </x:c>
      <x:c r="X462" s="151" t="n">
        <x:f>IF(OR(NOT(ISNUMBER($W462)),NOT(ISNUMBER($S462))),"",ROUND($W462-$S462,2))</x:f>
        <x:v>4232.9</x:v>
      </x:c>
      <x:c r="Y462" s="85" t="n">
        <x:f>IF(OR(NOT(ISNUMBER($W462)),NOT(ISNUMBER($X462)),$W462=0),"",ROUND($X462/$W462,4))</x:f>
        <x:v>0.3641</x:v>
      </x:c>
      <x:c r="Z462" s="82" t="n">
        <x:f>IF(OR($AH462&lt;&gt;"Valid",$AI462&lt;&gt;"Valid"),"",INT($D462-$C462))</x:f>
        <x:v>6</x:v>
      </x:c>
      <x:c r="AA462" s="86" t="str">
        <x:f>IF($AH462&lt;&gt;"Valid","",TEXT($C462,"mmmm"))</x:f>
        <x:v>September</x:v>
      </x:c>
      <x:c r="AB462" s="82" t="n">
        <x:f>IF($AH462&lt;&gt;"Valid","",YEAR($C462))</x:f>
        <x:v>2025</x:v>
      </x:c>
      <x:c r="AC462" s="80" t="str">
        <x:v>Consistent</x:v>
      </x:c>
      <x:c r="AD462" s="80" t="str">
        <x:v>Eligible</x:v>
      </x:c>
      <x:c r="AE462" s="80" t="str">
        <x:f>IF(OR($AH462&lt;&gt;"Valid",$AI462&lt;&gt;"Valid",$AJ462&lt;&gt;"Valid",LEFT($AM462,7)="Invalid",IFERROR(ABS($AQ462)&gt;0.01,FALSE),IFERROR(ABS($AR462)&gt;0.01,FALSE),COUNTIF($AS462,"*Conflicting duplicate*")&gt;0,COUNTIF($AS462,"*Completed order not paid*")&gt;0),"Invalid",IF(OR($H462="Unknown",$N462="Unknown",$AM462="Missing discount imputed as 0"),"Warning","Clean"))</x:f>
        <x:v>Warning</x:v>
      </x:c>
      <x:c r="AF462" s="80" t="str">
        <x:v>Cleaned</x:v>
      </x:c>
      <x:c r="AG462" s="80" t="str">
        <x:v>region: Missing value filled as Unknown</x:v>
      </x:c>
      <x:c r="AH462" s="12" t="str">
        <x:f>IF(C462="","Missing date",IF(ISNUMBER(C462),"Valid","Unrecognized/invalid date"))</x:f>
        <x:v>Valid</x:v>
      </x:c>
      <x:c r="AI462" s="12" t="str">
        <x:f>IF(D462="","Missing date",IF(ISNUMBER(D462),"Valid","Unrecognized/invalid date"))</x:f>
        <x:v>Valid</x:v>
      </x:c>
      <x:c r="AJ462" s="12" t="str">
        <x:v>Valid</x:v>
      </x:c>
      <x:c r="AK462" s="12" t="str">
        <x:v>Pass</x:v>
      </x:c>
      <x:c r="AL462" s="12" t="str">
        <x:v>Missing region filled as Unknown</x:v>
      </x:c>
      <x:c r="AM462" s="12" t="str">
        <x:v>Valid</x:v>
      </x:c>
      <x:c r="AN462" s="12" t="str">
        <x:v>Include in completed sales</x:v>
      </x:c>
      <x:c r="AO462" s="12" t="str">
        <x:v>Not a refunded record</x:v>
      </x:c>
      <x:c r="AP462" s="37" t="n">
        <x:f>IF(LEFT($AM462,7)="Invalid","",IF($AM462="Missing discount imputed as 0",IF(AND(COUNT($O462,$P462,$R462,$S462)=4,$O462&gt;0,$P462&gt;=0,$R462&gt;=0,$S462&gt;=0),0,""),IF(AND(ISNUMBER($Q462),$Q462&gt;=0,$Q462&lt;=0.5),$Q462,"")))</x:f>
        <x:v>0.05</x:v>
      </x:c>
      <x:c r="AQ462" s="152" t="n">
        <x:f>IF(OR($W462="",NOT(ISNUMBER($R462))),"",ROUND($R462-$W462,2))</x:f>
        <x:v>0</x:v>
      </x:c>
      <x:c r="AR462" s="152" t="n">
        <x:f>IF(OR($X462="",NOT(ISNUMBER($T462))),"",ROUND($T462-$X462,2))</x:f>
        <x:v>0</x:v>
      </x:c>
      <x:c r="AS462" s="14" t="str">
        <x:v>OK</x:v>
      </x:c>
    </x:row>
    <x:row r="463">
      <x:c r="A463" s="80" t="n">
        <x:v>463</x:v>
      </x:c>
      <x:c r="B463" s="80" t="str">
        <x:v>ORD-2025-10462</x:v>
      </x:c>
      <x:c r="C463" s="81" t="n">
        <x:v>45802</x:v>
      </x:c>
      <x:c r="D463" s="81" t="n">
        <x:v>45803</x:v>
      </x:c>
      <x:c r="E463" s="80" t="str">
        <x:v>CUST-3659</x:v>
      </x:c>
      <x:c r="F463" s="80" t="str">
        <x:v>Neha Gupta</x:v>
      </x:c>
      <x:c r="G463" s="80" t="str">
        <x:v>Corporate</x:v>
      </x:c>
      <x:c r="H463" s="80" t="str">
        <x:v>South</x:v>
      </x:c>
      <x:c r="I463" s="80" t="str">
        <x:v>Andhra Pradesh</x:v>
      </x:c>
      <x:c r="J463" s="80" t="str">
        <x:v>Vijayawada</x:v>
      </x:c>
      <x:c r="K463" s="80" t="str">
        <x:v>Office Supplies</x:v>
      </x:c>
      <x:c r="L463" s="80" t="str">
        <x:v>Paper</x:v>
      </x:c>
      <x:c r="M463" s="80" t="str">
        <x:v>Max Paper 700</x:v>
      </x:c>
      <x:c r="N463" s="80" t="str">
        <x:v>Standard Class</x:v>
      </x:c>
      <x:c r="O463" s="82" t="n">
        <x:v>3</x:v>
      </x:c>
      <x:c r="P463" s="83" t="n">
        <x:v>3378.15</x:v>
      </x:c>
      <x:c r="Q463" s="84" t="n">
        <x:v>0.15</x:v>
      </x:c>
      <x:c r="R463" s="83" t="n">
        <x:v>8614.28</x:v>
      </x:c>
      <x:c r="S463" s="83" t="n">
        <x:v>7052.08</x:v>
      </x:c>
      <x:c r="T463" s="83" t="n">
        <x:v>1562.2</x:v>
      </x:c>
      <x:c r="U463" s="83" t="str">
        <x:v>Paid</x:v>
      </x:c>
      <x:c r="V463" s="83" t="str">
        <x:v>Completed</x:v>
      </x:c>
      <x:c r="W463" s="151" t="n">
        <x:f>IF(OR(NOT(ISNUMBER($AP463)),COUNT($O463,$P463)&lt;2,$O463&lt;=0,$P463&lt;0),"",ROUND($O463*$P463*(1-$AP463),2))</x:f>
        <x:v>8614.28</x:v>
      </x:c>
      <x:c r="X463" s="151" t="n">
        <x:f>IF(OR(NOT(ISNUMBER($W463)),NOT(ISNUMBER($S463))),"",ROUND($W463-$S463,2))</x:f>
        <x:v>1562.2</x:v>
      </x:c>
      <x:c r="Y463" s="85" t="n">
        <x:f>IF(OR(NOT(ISNUMBER($W463)),NOT(ISNUMBER($X463)),$W463=0),"",ROUND($X463/$W463,4))</x:f>
        <x:v>0.1814</x:v>
      </x:c>
      <x:c r="Z463" s="82" t="n">
        <x:f>IF(OR($AH463&lt;&gt;"Valid",$AI463&lt;&gt;"Valid"),"",INT($D463-$C463))</x:f>
        <x:v>1</x:v>
      </x:c>
      <x:c r="AA463" s="86" t="str">
        <x:f>IF($AH463&lt;&gt;"Valid","",TEXT($C463,"mmmm"))</x:f>
        <x:v>May</x:v>
      </x:c>
      <x:c r="AB463" s="82" t="n">
        <x:f>IF($AH463&lt;&gt;"Valid","",YEAR($C463))</x:f>
        <x:v>2025</x:v>
      </x:c>
      <x:c r="AC463" s="80" t="str">
        <x:v>Consistent</x:v>
      </x:c>
      <x:c r="AD463" s="80" t="str">
        <x:v>Eligible</x:v>
      </x:c>
      <x:c r="AE463" s="80" t="str">
        <x:f>IF(OR($AH463&lt;&gt;"Valid",$AI463&lt;&gt;"Valid",$AJ463&lt;&gt;"Valid",LEFT($AM463,7)="Invalid",IFERROR(ABS($AQ463)&gt;0.01,FALSE),IFERROR(ABS($AR463)&gt;0.01,FALSE),COUNTIF($AS463,"*Conflicting duplicate*")&gt;0,COUNTIF($AS463,"*Completed order not paid*")&gt;0),"Invalid",IF(OR($H463="Unknown",$N463="Unknown",$AM463="Missing discount imputed as 0"),"Warning","Clean"))</x:f>
        <x:v>Clean</x:v>
      </x:c>
      <x:c r="AF463" s="80" t="str">
        <x:v>Pass</x:v>
      </x:c>
      <x:c r="AG463" s="80" t="str">
        <x:v>No text cleanup required</x:v>
      </x:c>
      <x:c r="AH463" s="12" t="str">
        <x:f>IF(C463="","Missing date",IF(ISNUMBER(C463),"Valid","Unrecognized/invalid date"))</x:f>
        <x:v>Valid</x:v>
      </x:c>
      <x:c r="AI463" s="12" t="str">
        <x:f>IF(D463="","Missing date",IF(ISNUMBER(D463),"Valid","Unrecognized/invalid date"))</x:f>
        <x:v>Valid</x:v>
      </x:c>
      <x:c r="AJ463" s="12" t="str">
        <x:v>Valid</x:v>
      </x:c>
      <x:c r="AK463" s="12" t="str">
        <x:v>Pass</x:v>
      </x:c>
      <x:c r="AL463" s="12" t="str">
        <x:v>None</x:v>
      </x:c>
      <x:c r="AM463" s="12" t="str">
        <x:v>Valid</x:v>
      </x:c>
      <x:c r="AN463" s="12" t="str">
        <x:v>Include in completed sales</x:v>
      </x:c>
      <x:c r="AO463" s="12" t="str">
        <x:v>Not a refunded record</x:v>
      </x:c>
      <x:c r="AP463" s="37" t="n">
        <x:f>IF(LEFT($AM463,7)="Invalid","",IF($AM463="Missing discount imputed as 0",IF(AND(COUNT($O463,$P463,$R463,$S463)=4,$O463&gt;0,$P463&gt;=0,$R463&gt;=0,$S463&gt;=0),0,""),IF(AND(ISNUMBER($Q463),$Q463&gt;=0,$Q463&lt;=0.5),$Q463,"")))</x:f>
        <x:v>0.15</x:v>
      </x:c>
      <x:c r="AQ463" s="152" t="n">
        <x:f>IF(OR($W463="",NOT(ISNUMBER($R463))),"",ROUND($R463-$W463,2))</x:f>
        <x:v>0</x:v>
      </x:c>
      <x:c r="AR463" s="152" t="n">
        <x:f>IF(OR($X463="",NOT(ISNUMBER($T463))),"",ROUND($T463-$X463,2))</x:f>
        <x:v>0</x:v>
      </x:c>
      <x:c r="AS463" s="14" t="str">
        <x:v>OK</x:v>
      </x:c>
    </x:row>
    <x:row r="464">
      <x:c r="A464" s="80" t="n">
        <x:v>464</x:v>
      </x:c>
      <x:c r="B464" s="80" t="str">
        <x:v>ORD-2024-10463</x:v>
      </x:c>
      <x:c r="C464" s="81" t="n">
        <x:v>45558</x:v>
      </x:c>
      <x:c r="D464" s="81" t="n">
        <x:v>45560</x:v>
      </x:c>
      <x:c r="E464" s="80" t="str">
        <x:v>CUST-6594</x:v>
      </x:c>
      <x:c r="F464" s="80" t="str">
        <x:v>Aarav Sharma</x:v>
      </x:c>
      <x:c r="G464" s="80" t="str">
        <x:v>Home Office</x:v>
      </x:c>
      <x:c r="H464" s="80" t="str">
        <x:v>North</x:v>
      </x:c>
      <x:c r="I464" s="80" t="str">
        <x:v>Delhi</x:v>
      </x:c>
      <x:c r="J464" s="80" t="str">
        <x:v>New Delhi</x:v>
      </x:c>
      <x:c r="K464" s="80" t="str">
        <x:v>Office Supplies</x:v>
      </x:c>
      <x:c r="L464" s="80" t="str">
        <x:v>Binders</x:v>
      </x:c>
      <x:c r="M464" s="80" t="str">
        <x:v>Pro Binders 404</x:v>
      </x:c>
      <x:c r="N464" s="80" t="str">
        <x:v>First Class</x:v>
      </x:c>
      <x:c r="O464" s="82" t="n">
        <x:v>2</x:v>
      </x:c>
      <x:c r="P464" s="83" t="n">
        <x:v>1275.14</x:v>
      </x:c>
      <x:c r="Q464" s="84" t="n">
        <x:v>0.2</x:v>
      </x:c>
      <x:c r="R464" s="83" t="n">
        <x:v>2040.22</x:v>
      </x:c>
      <x:c r="S464" s="83" t="n">
        <x:v>1395.71</x:v>
      </x:c>
      <x:c r="T464" s="83" t="n">
        <x:v>644.51</x:v>
      </x:c>
      <x:c r="U464" s="83" t="str">
        <x:v>Paid</x:v>
      </x:c>
      <x:c r="V464" s="83" t="str">
        <x:v>Completed</x:v>
      </x:c>
      <x:c r="W464" s="151" t="n">
        <x:f>IF(OR(NOT(ISNUMBER($AP464)),COUNT($O464,$P464)&lt;2,$O464&lt;=0,$P464&lt;0),"",ROUND($O464*$P464*(1-$AP464),2))</x:f>
        <x:v>2040.22</x:v>
      </x:c>
      <x:c r="X464" s="151" t="n">
        <x:f>IF(OR(NOT(ISNUMBER($W464)),NOT(ISNUMBER($S464))),"",ROUND($W464-$S464,2))</x:f>
        <x:v>644.51</x:v>
      </x:c>
      <x:c r="Y464" s="85" t="n">
        <x:f>IF(OR(NOT(ISNUMBER($W464)),NOT(ISNUMBER($X464)),$W464=0),"",ROUND($X464/$W464,4))</x:f>
        <x:v>0.3159</x:v>
      </x:c>
      <x:c r="Z464" s="82" t="n">
        <x:f>IF(OR($AH464&lt;&gt;"Valid",$AI464&lt;&gt;"Valid"),"",INT($D464-$C464))</x:f>
        <x:v>2</x:v>
      </x:c>
      <x:c r="AA464" s="86" t="str">
        <x:f>IF($AH464&lt;&gt;"Valid","",TEXT($C464,"mmmm"))</x:f>
        <x:v>September</x:v>
      </x:c>
      <x:c r="AB464" s="82" t="n">
        <x:f>IF($AH464&lt;&gt;"Valid","",YEAR($C464))</x:f>
        <x:v>2024</x:v>
      </x:c>
      <x:c r="AC464" s="80" t="str">
        <x:v>Consistent</x:v>
      </x:c>
      <x:c r="AD464" s="80" t="str">
        <x:v>Eligible</x:v>
      </x:c>
      <x:c r="AE464" s="80" t="str">
        <x:f>IF(OR($AH464&lt;&gt;"Valid",$AI464&lt;&gt;"Valid",$AJ464&lt;&gt;"Valid",LEFT($AM464,7)="Invalid",IFERROR(ABS($AQ464)&gt;0.01,FALSE),IFERROR(ABS($AR464)&gt;0.01,FALSE),COUNTIF($AS464,"*Conflicting duplicate*")&gt;0,COUNTIF($AS464,"*Completed order not paid*")&gt;0),"Invalid",IF(OR($H464="Unknown",$N464="Unknown",$AM464="Missing discount imputed as 0"),"Warning","Clean"))</x:f>
        <x:v>Clean</x:v>
      </x:c>
      <x:c r="AF464" s="80" t="str">
        <x:v>Pass</x:v>
      </x:c>
      <x:c r="AG464" s="80" t="str">
        <x:v>No text cleanup required</x:v>
      </x:c>
      <x:c r="AH464" s="12" t="str">
        <x:f>IF(C464="","Missing date",IF(ISNUMBER(C464),"Valid","Unrecognized/invalid date"))</x:f>
        <x:v>Valid</x:v>
      </x:c>
      <x:c r="AI464" s="12" t="str">
        <x:f>IF(D464="","Missing date",IF(ISNUMBER(D464),"Valid","Unrecognized/invalid date"))</x:f>
        <x:v>Valid</x:v>
      </x:c>
      <x:c r="AJ464" s="12" t="str">
        <x:v>Valid</x:v>
      </x:c>
      <x:c r="AK464" s="12" t="str">
        <x:v>Pass</x:v>
      </x:c>
      <x:c r="AL464" s="12" t="str">
        <x:v>None</x:v>
      </x:c>
      <x:c r="AM464" s="12" t="str">
        <x:v>Valid</x:v>
      </x:c>
      <x:c r="AN464" s="12" t="str">
        <x:v>Include in completed sales</x:v>
      </x:c>
      <x:c r="AO464" s="12" t="str">
        <x:v>Not a refunded record</x:v>
      </x:c>
      <x:c r="AP464" s="37" t="n">
        <x:f>IF(LEFT($AM464,7)="Invalid","",IF($AM464="Missing discount imputed as 0",IF(AND(COUNT($O464,$P464,$R464,$S464)=4,$O464&gt;0,$P464&gt;=0,$R464&gt;=0,$S464&gt;=0),0,""),IF(AND(ISNUMBER($Q464),$Q464&gt;=0,$Q464&lt;=0.5),$Q464,"")))</x:f>
        <x:v>0.2</x:v>
      </x:c>
      <x:c r="AQ464" s="152" t="n">
        <x:f>IF(OR($W464="",NOT(ISNUMBER($R464))),"",ROUND($R464-$W464,2))</x:f>
        <x:v>0</x:v>
      </x:c>
      <x:c r="AR464" s="152" t="n">
        <x:f>IF(OR($X464="",NOT(ISNUMBER($T464))),"",ROUND($T464-$X464,2))</x:f>
        <x:v>0</x:v>
      </x:c>
      <x:c r="AS464" s="14" t="str">
        <x:v>OK</x:v>
      </x:c>
    </x:row>
    <x:row r="465">
      <x:c r="A465" s="80" t="n">
        <x:v>465</x:v>
      </x:c>
      <x:c r="B465" s="80" t="str">
        <x:v>ORD-2025-10464</x:v>
      </x:c>
      <x:c r="C465" s="81" t="n">
        <x:v>45695</x:v>
      </x:c>
      <x:c r="D465" s="81" t="n">
        <x:v>45696</x:v>
      </x:c>
      <x:c r="E465" s="80" t="str">
        <x:v>CUST-2626</x:v>
      </x:c>
      <x:c r="F465" s="80" t="str">
        <x:v>Arjun Bose</x:v>
      </x:c>
      <x:c r="G465" s="80" t="str">
        <x:v>Corporate</x:v>
      </x:c>
      <x:c r="H465" s="80" t="str">
        <x:v>West</x:v>
      </x:c>
      <x:c r="I465" s="80" t="str">
        <x:v>Madhya Pradesh</x:v>
      </x:c>
      <x:c r="J465" s="80" t="str">
        <x:v>Indore</x:v>
      </x:c>
      <x:c r="K465" s="80" t="str">
        <x:v>Technology</x:v>
      </x:c>
      <x:c r="L465" s="80" t="str">
        <x:v>Phones</x:v>
      </x:c>
      <x:c r="M465" s="80" t="str">
        <x:v>Eco Phones 208</x:v>
      </x:c>
      <x:c r="N465" s="80" t="str">
        <x:v>Standard Class</x:v>
      </x:c>
      <x:c r="O465" s="82" t="n">
        <x:v>4</x:v>
      </x:c>
      <x:c r="P465" s="83" t="n">
        <x:v>889.5</x:v>
      </x:c>
      <x:c r="Q465" s="84" t="n">
        <x:v>0.2</x:v>
      </x:c>
      <x:c r="R465" s="83" t="n">
        <x:v>2846.4</x:v>
      </x:c>
      <x:c r="S465" s="83" t="n">
        <x:v>2132.37</x:v>
      </x:c>
      <x:c r="T465" s="83" t="n">
        <x:v>714.03</x:v>
      </x:c>
      <x:c r="U465" s="83" t="str">
        <x:v>Paid</x:v>
      </x:c>
      <x:c r="V465" s="83" t="str">
        <x:v>Completed</x:v>
      </x:c>
      <x:c r="W465" s="151" t="n">
        <x:f>IF(OR(NOT(ISNUMBER($AP465)),COUNT($O465,$P465)&lt;2,$O465&lt;=0,$P465&lt;0),"",ROUND($O465*$P465*(1-$AP465),2))</x:f>
        <x:v>2846.4</x:v>
      </x:c>
      <x:c r="X465" s="151" t="n">
        <x:f>IF(OR(NOT(ISNUMBER($W465)),NOT(ISNUMBER($S465))),"",ROUND($W465-$S465,2))</x:f>
        <x:v>714.03</x:v>
      </x:c>
      <x:c r="Y465" s="85" t="n">
        <x:f>IF(OR(NOT(ISNUMBER($W465)),NOT(ISNUMBER($X465)),$W465=0),"",ROUND($X465/$W465,4))</x:f>
        <x:v>0.2509</x:v>
      </x:c>
      <x:c r="Z465" s="82" t="n">
        <x:f>IF(OR($AH465&lt;&gt;"Valid",$AI465&lt;&gt;"Valid"),"",INT($D465-$C465))</x:f>
        <x:v>1</x:v>
      </x:c>
      <x:c r="AA465" s="86" t="str">
        <x:f>IF($AH465&lt;&gt;"Valid","",TEXT($C465,"mmmm"))</x:f>
        <x:v>February</x:v>
      </x:c>
      <x:c r="AB465" s="82" t="n">
        <x:f>IF($AH465&lt;&gt;"Valid","",YEAR($C465))</x:f>
        <x:v>2025</x:v>
      </x:c>
      <x:c r="AC465" s="80" t="str">
        <x:v>Consistent</x:v>
      </x:c>
      <x:c r="AD465" s="80" t="str">
        <x:v>Eligible</x:v>
      </x:c>
      <x:c r="AE465" s="80" t="str">
        <x:f>IF(OR($AH465&lt;&gt;"Valid",$AI465&lt;&gt;"Valid",$AJ465&lt;&gt;"Valid",LEFT($AM465,7)="Invalid",IFERROR(ABS($AQ465)&gt;0.01,FALSE),IFERROR(ABS($AR465)&gt;0.01,FALSE),COUNTIF($AS465,"*Conflicting duplicate*")&gt;0,COUNTIF($AS465,"*Completed order not paid*")&gt;0),"Invalid",IF(OR($H465="Unknown",$N465="Unknown",$AM465="Missing discount imputed as 0"),"Warning","Clean"))</x:f>
        <x:v>Clean</x:v>
      </x:c>
      <x:c r="AF465" s="80" t="str">
        <x:v>Pass</x:v>
      </x:c>
      <x:c r="AG465" s="80" t="str">
        <x:v>No text cleanup required</x:v>
      </x:c>
      <x:c r="AH465" s="12" t="str">
        <x:f>IF(C465="","Missing date",IF(ISNUMBER(C465),"Valid","Unrecognized/invalid date"))</x:f>
        <x:v>Valid</x:v>
      </x:c>
      <x:c r="AI465" s="12" t="str">
        <x:f>IF(D465="","Missing date",IF(ISNUMBER(D465),"Valid","Unrecognized/invalid date"))</x:f>
        <x:v>Valid</x:v>
      </x:c>
      <x:c r="AJ465" s="12" t="str">
        <x:v>Valid</x:v>
      </x:c>
      <x:c r="AK465" s="12" t="str">
        <x:v>Pass</x:v>
      </x:c>
      <x:c r="AL465" s="12" t="str">
        <x:v>None</x:v>
      </x:c>
      <x:c r="AM465" s="12" t="str">
        <x:v>Valid</x:v>
      </x:c>
      <x:c r="AN465" s="12" t="str">
        <x:v>Include in completed sales</x:v>
      </x:c>
      <x:c r="AO465" s="12" t="str">
        <x:v>Not a refunded record</x:v>
      </x:c>
      <x:c r="AP465" s="37" t="n">
        <x:f>IF(LEFT($AM465,7)="Invalid","",IF($AM465="Missing discount imputed as 0",IF(AND(COUNT($O465,$P465,$R465,$S465)=4,$O465&gt;0,$P465&gt;=0,$R465&gt;=0,$S465&gt;=0),0,""),IF(AND(ISNUMBER($Q465),$Q465&gt;=0,$Q465&lt;=0.5),$Q465,"")))</x:f>
        <x:v>0.2</x:v>
      </x:c>
      <x:c r="AQ465" s="152" t="n">
        <x:f>IF(OR($W465="",NOT(ISNUMBER($R465))),"",ROUND($R465-$W465,2))</x:f>
        <x:v>0</x:v>
      </x:c>
      <x:c r="AR465" s="152" t="n">
        <x:f>IF(OR($X465="",NOT(ISNUMBER($T465))),"",ROUND($T465-$X465,2))</x:f>
        <x:v>0</x:v>
      </x:c>
      <x:c r="AS465" s="14" t="str">
        <x:v>OK</x:v>
      </x:c>
    </x:row>
    <x:row r="466">
      <x:c r="A466" s="80" t="n">
        <x:v>466</x:v>
      </x:c>
      <x:c r="B466" s="80" t="str">
        <x:v>ORD-2025-10465</x:v>
      </x:c>
      <x:c r="C466" s="81" t="n">
        <x:v>45727</x:v>
      </x:c>
      <x:c r="D466" s="81" t="n">
        <x:v>45731</x:v>
      </x:c>
      <x:c r="E466" s="80" t="str">
        <x:v>CUST-7362</x:v>
      </x:c>
      <x:c r="F466" s="80" t="str">
        <x:v>Arjun Bose</x:v>
      </x:c>
      <x:c r="G466" s="80" t="str">
        <x:v>Corporate</x:v>
      </x:c>
      <x:c r="H466" s="80" t="str">
        <x:v>East</x:v>
      </x:c>
      <x:c r="I466" s="80" t="str">
        <x:v>Bihar</x:v>
      </x:c>
      <x:c r="J466" s="80" t="str">
        <x:v>Patna</x:v>
      </x:c>
      <x:c r="K466" s="80" t="str">
        <x:v>Office Supplies</x:v>
      </x:c>
      <x:c r="L466" s="80" t="str">
        <x:v>Paper</x:v>
      </x:c>
      <x:c r="M466" s="80" t="str">
        <x:v>Elite Paper 106</x:v>
      </x:c>
      <x:c r="N466" s="80" t="str">
        <x:v>Same Day</x:v>
      </x:c>
      <x:c r="O466" s="82" t="n">
        <x:v>3</x:v>
      </x:c>
      <x:c r="P466" s="83" t="n">
        <x:v>3625.08</x:v>
      </x:c>
      <x:c r="Q466" s="84" t="n">
        <x:v>0.05</x:v>
      </x:c>
      <x:c r="R466" s="83" t="n">
        <x:v>10331.48</x:v>
      </x:c>
      <x:c r="S466" s="83" t="n">
        <x:v>7131.91</x:v>
      </x:c>
      <x:c r="T466" s="83" t="n">
        <x:v>3199.57</x:v>
      </x:c>
      <x:c r="U466" s="83" t="str">
        <x:v>Pending</x:v>
      </x:c>
      <x:c r="V466" s="83" t="str">
        <x:v>Cancelled</x:v>
      </x:c>
      <x:c r="W466" s="151" t="n">
        <x:f>IF(OR(NOT(ISNUMBER($AP466)),COUNT($O466,$P466)&lt;2,$O466&lt;=0,$P466&lt;0),"",ROUND($O466*$P466*(1-$AP466),2))</x:f>
        <x:v>10331.48</x:v>
      </x:c>
      <x:c r="X466" s="151" t="n">
        <x:f>IF(OR(NOT(ISNUMBER($W466)),NOT(ISNUMBER($S466))),"",ROUND($W466-$S466,2))</x:f>
        <x:v>3199.57</x:v>
      </x:c>
      <x:c r="Y466" s="85" t="n">
        <x:f>IF(OR(NOT(ISNUMBER($W466)),NOT(ISNUMBER($X466)),$W466=0),"",ROUND($X466/$W466,4))</x:f>
        <x:v>0.3097</x:v>
      </x:c>
      <x:c r="Z466" s="82" t="n">
        <x:f>IF(OR($AH466&lt;&gt;"Valid",$AI466&lt;&gt;"Valid"),"",INT($D466-$C466))</x:f>
        <x:v>4</x:v>
      </x:c>
      <x:c r="AA466" s="86" t="str">
        <x:f>IF($AH466&lt;&gt;"Valid","",TEXT($C466,"mmmm"))</x:f>
        <x:v>March</x:v>
      </x:c>
      <x:c r="AB466" s="82" t="n">
        <x:f>IF($AH466&lt;&gt;"Valid","",YEAR($C466))</x:f>
        <x:v>2025</x:v>
      </x:c>
      <x:c r="AC466" s="80" t="str">
        <x:v>Cancelled (excluded from completed-sales summary)</x:v>
      </x:c>
      <x:c r="AD466" s="80" t="str">
        <x:v>Excluded</x:v>
      </x:c>
      <x:c r="AE466" s="80" t="str">
        <x:f>IF(OR($AH466&lt;&gt;"Valid",$AI466&lt;&gt;"Valid",$AJ466&lt;&gt;"Valid",LEFT($AM466,7)="Invalid",IFERROR(ABS($AQ466)&gt;0.01,FALSE),IFERROR(ABS($AR466)&gt;0.01,FALSE),COUNTIF($AS466,"*Conflicting duplicate*")&gt;0,COUNTIF($AS466,"*Completed order not paid*")&gt;0),"Invalid",IF(OR($H466="Unknown",$N466="Unknown",$AM466="Missing discount imputed as 0"),"Warning","Clean"))</x:f>
        <x:v>Clean</x:v>
      </x:c>
      <x:c r="AF466" s="80" t="str">
        <x:v>Pass</x:v>
      </x:c>
      <x:c r="AG466" s="80" t="str">
        <x:v>No text cleanup required</x:v>
      </x:c>
      <x:c r="AH466" s="12" t="str">
        <x:f>IF(C466="","Missing date",IF(ISNUMBER(C466),"Valid","Unrecognized/invalid date"))</x:f>
        <x:v>Valid</x:v>
      </x:c>
      <x:c r="AI466" s="12" t="str">
        <x:f>IF(D466="","Missing date",IF(ISNUMBER(D466),"Valid","Unrecognized/invalid date"))</x:f>
        <x:v>Valid</x:v>
      </x:c>
      <x:c r="AJ466" s="12" t="str">
        <x:v>Valid</x:v>
      </x:c>
      <x:c r="AK466" s="12" t="str">
        <x:v>Pass</x:v>
      </x:c>
      <x:c r="AL466" s="12" t="str">
        <x:v>Cancelled order – excluded from completed sales</x:v>
      </x:c>
      <x:c r="AM466" s="12" t="str">
        <x:v>Valid</x:v>
      </x:c>
      <x:c r="AN466" s="12" t="str">
        <x:v>Exclude from completed sales</x:v>
      </x:c>
      <x:c r="AO466" s="12" t="str">
        <x:v>Not a refunded record</x:v>
      </x:c>
      <x:c r="AP466" s="37" t="n">
        <x:f>IF(LEFT($AM466,7)="Invalid","",IF($AM466="Missing discount imputed as 0",IF(AND(COUNT($O466,$P466,$R466,$S466)=4,$O466&gt;0,$P466&gt;=0,$R466&gt;=0,$S466&gt;=0),0,""),IF(AND(ISNUMBER($Q466),$Q466&gt;=0,$Q466&lt;=0.5),$Q466,"")))</x:f>
        <x:v>0.05</x:v>
      </x:c>
      <x:c r="AQ466" s="152" t="n">
        <x:f>IF(OR($W466="",NOT(ISNUMBER($R466))),"",ROUND($R466-$W466,2))</x:f>
        <x:v>0</x:v>
      </x:c>
      <x:c r="AR466" s="152" t="n">
        <x:f>IF(OR($X466="",NOT(ISNUMBER($T466))),"",ROUND($T466-$X466,2))</x:f>
        <x:v>0</x:v>
      </x:c>
      <x:c r="AS466" s="14" t="str">
        <x:v>OK</x:v>
      </x:c>
    </x:row>
    <x:row r="467">
      <x:c r="A467" s="80" t="n">
        <x:v>467</x:v>
      </x:c>
      <x:c r="B467" s="80" t="str">
        <x:v>ORD-2024-10466</x:v>
      </x:c>
      <x:c r="C467" s="81" t="n">
        <x:v>45320</x:v>
      </x:c>
      <x:c r="D467" s="81" t="n">
        <x:v>45328</x:v>
      </x:c>
      <x:c r="E467" s="80" t="str">
        <x:v>CUST-1748</x:v>
      </x:c>
      <x:c r="F467" s="80" t="str">
        <x:v>Aarav Sharma</x:v>
      </x:c>
      <x:c r="G467" s="80" t="str">
        <x:v>Small Business</x:v>
      </x:c>
      <x:c r="H467" s="80" t="str">
        <x:v>West</x:v>
      </x:c>
      <x:c r="I467" s="80" t="str">
        <x:v>Madhya Pradesh</x:v>
      </x:c>
      <x:c r="J467" s="80" t="str">
        <x:v>Indore</x:v>
      </x:c>
      <x:c r="K467" s="80" t="str">
        <x:v>Office Supplies</x:v>
      </x:c>
      <x:c r="L467" s="80" t="str">
        <x:v>Labels</x:v>
      </x:c>
      <x:c r="M467" s="80" t="str">
        <x:v>Eco Labels 914</x:v>
      </x:c>
      <x:c r="N467" s="80" t="str">
        <x:v>Standard Class</x:v>
      </x:c>
      <x:c r="O467" s="82" t="n">
        <x:v>2</x:v>
      </x:c>
      <x:c r="P467" s="83" t="n">
        <x:v>1258.9</x:v>
      </x:c>
      <x:c r="Q467" s="84" t="n">
        <x:v>0</x:v>
      </x:c>
      <x:c r="R467" s="83" t="n">
        <x:v>2517.8</x:v>
      </x:c>
      <x:c r="S467" s="83" t="n">
        <x:v>1478.54</x:v>
      </x:c>
      <x:c r="T467" s="83" t="n">
        <x:v>1039.26</x:v>
      </x:c>
      <x:c r="U467" s="83" t="str">
        <x:v>Paid</x:v>
      </x:c>
      <x:c r="V467" s="83" t="str">
        <x:v>Completed</x:v>
      </x:c>
      <x:c r="W467" s="151" t="n">
        <x:f>IF(OR(NOT(ISNUMBER($AP467)),COUNT($O467,$P467)&lt;2,$O467&lt;=0,$P467&lt;0),"",ROUND($O467*$P467*(1-$AP467),2))</x:f>
        <x:v>2517.8</x:v>
      </x:c>
      <x:c r="X467" s="151" t="n">
        <x:f>IF(OR(NOT(ISNUMBER($W467)),NOT(ISNUMBER($S467))),"",ROUND($W467-$S467,2))</x:f>
        <x:v>1039.26</x:v>
      </x:c>
      <x:c r="Y467" s="85" t="n">
        <x:f>IF(OR(NOT(ISNUMBER($W467)),NOT(ISNUMBER($X467)),$W467=0),"",ROUND($X467/$W467,4))</x:f>
        <x:v>0.4128</x:v>
      </x:c>
      <x:c r="Z467" s="82" t="n">
        <x:f>IF(OR($AH467&lt;&gt;"Valid",$AI467&lt;&gt;"Valid"),"",INT($D467-$C467))</x:f>
        <x:v>8</x:v>
      </x:c>
      <x:c r="AA467" s="86" t="str">
        <x:f>IF($AH467&lt;&gt;"Valid","",TEXT($C467,"mmmm"))</x:f>
        <x:v>January</x:v>
      </x:c>
      <x:c r="AB467" s="82" t="n">
        <x:f>IF($AH467&lt;&gt;"Valid","",YEAR($C467))</x:f>
        <x:v>2024</x:v>
      </x:c>
      <x:c r="AC467" s="80" t="str">
        <x:v>Consistent</x:v>
      </x:c>
      <x:c r="AD467" s="80" t="str">
        <x:v>Eligible</x:v>
      </x:c>
      <x:c r="AE467" s="80" t="str">
        <x:f>IF(OR($AH467&lt;&gt;"Valid",$AI467&lt;&gt;"Valid",$AJ467&lt;&gt;"Valid",LEFT($AM467,7)="Invalid",IFERROR(ABS($AQ467)&gt;0.01,FALSE),IFERROR(ABS($AR467)&gt;0.01,FALSE),COUNTIF($AS467,"*Conflicting duplicate*")&gt;0,COUNTIF($AS467,"*Completed order not paid*")&gt;0),"Invalid",IF(OR($H467="Unknown",$N467="Unknown",$AM467="Missing discount imputed as 0"),"Warning","Clean"))</x:f>
        <x:v>Clean</x:v>
      </x:c>
      <x:c r="AF467" s="80" t="str">
        <x:v>Pass</x:v>
      </x:c>
      <x:c r="AG467" s="80" t="str">
        <x:v>No text cleanup required</x:v>
      </x:c>
      <x:c r="AH467" s="12" t="str">
        <x:f>IF(C467="","Missing date",IF(ISNUMBER(C467),"Valid","Unrecognized/invalid date"))</x:f>
        <x:v>Valid</x:v>
      </x:c>
      <x:c r="AI467" s="12" t="str">
        <x:f>IF(D467="","Missing date",IF(ISNUMBER(D467),"Valid","Unrecognized/invalid date"))</x:f>
        <x:v>Valid</x:v>
      </x:c>
      <x:c r="AJ467" s="12" t="str">
        <x:v>Valid</x:v>
      </x:c>
      <x:c r="AK467" s="12" t="str">
        <x:v>Pass</x:v>
      </x:c>
      <x:c r="AL467" s="12" t="str">
        <x:v>None</x:v>
      </x:c>
      <x:c r="AM467" s="12" t="str">
        <x:v>Valid</x:v>
      </x:c>
      <x:c r="AN467" s="12" t="str">
        <x:v>Include in completed sales</x:v>
      </x:c>
      <x:c r="AO467" s="12" t="str">
        <x:v>Not a refunded record</x:v>
      </x:c>
      <x:c r="AP467" s="37" t="n">
        <x:f>IF(LEFT($AM467,7)="Invalid","",IF($AM467="Missing discount imputed as 0",IF(AND(COUNT($O467,$P467,$R467,$S467)=4,$O467&gt;0,$P467&gt;=0,$R467&gt;=0,$S467&gt;=0),0,""),IF(AND(ISNUMBER($Q467),$Q467&gt;=0,$Q467&lt;=0.5),$Q467,"")))</x:f>
        <x:v>0</x:v>
      </x:c>
      <x:c r="AQ467" s="152" t="n">
        <x:f>IF(OR($W467="",NOT(ISNUMBER($R467))),"",ROUND($R467-$W467,2))</x:f>
        <x:v>0</x:v>
      </x:c>
      <x:c r="AR467" s="152" t="n">
        <x:f>IF(OR($X467="",NOT(ISNUMBER($T467))),"",ROUND($T467-$X467,2))</x:f>
        <x:v>0</x:v>
      </x:c>
      <x:c r="AS467" s="14" t="str">
        <x:v>OK</x:v>
      </x:c>
    </x:row>
    <x:row r="468">
      <x:c r="A468" s="80" t="n">
        <x:v>468</x:v>
      </x:c>
      <x:c r="B468" s="80" t="str">
        <x:v>ORD-2024-10467</x:v>
      </x:c>
      <x:c r="C468" s="81" t="n">
        <x:v>45295</x:v>
      </x:c>
      <x:c r="D468" s="81" t="n">
        <x:v>45299</x:v>
      </x:c>
      <x:c r="E468" s="80" t="str">
        <x:v>CUST-2725</x:v>
      </x:c>
      <x:c r="F468" s="80" t="str">
        <x:v>Mira Das</x:v>
      </x:c>
      <x:c r="G468" s="80" t="str">
        <x:v>Small Business</x:v>
      </x:c>
      <x:c r="H468" s="80" t="str">
        <x:v>East</x:v>
      </x:c>
      <x:c r="I468" s="80" t="str">
        <x:v>Bihar</x:v>
      </x:c>
      <x:c r="J468" s="80" t="str">
        <x:v>Patna</x:v>
      </x:c>
      <x:c r="K468" s="80" t="str">
        <x:v>Technology</x:v>
      </x:c>
      <x:c r="L468" s="80" t="str">
        <x:v>Accessories</x:v>
      </x:c>
      <x:c r="M468" s="80" t="str">
        <x:v>Max Accessories 486</x:v>
      </x:c>
      <x:c r="N468" s="80" t="str">
        <x:v>Same Day</x:v>
      </x:c>
      <x:c r="O468" s="82" t="n">
        <x:v>9</x:v>
      </x:c>
      <x:c r="P468" s="83" t="n">
        <x:v>1591.96</x:v>
      </x:c>
      <x:c r="Q468" s="84" t="n">
        <x:v>0.2</x:v>
      </x:c>
      <x:c r="R468" s="83" t="n">
        <x:v>11462.11</x:v>
      </x:c>
      <x:c r="S468" s="83" t="n">
        <x:v>7105.48</x:v>
      </x:c>
      <x:c r="T468" s="83" t="n">
        <x:v>4356.63</x:v>
      </x:c>
      <x:c r="U468" s="83" t="str">
        <x:v>Paid</x:v>
      </x:c>
      <x:c r="V468" s="83" t="str">
        <x:v>Completed</x:v>
      </x:c>
      <x:c r="W468" s="151" t="n">
        <x:f>IF(OR(NOT(ISNUMBER($AP468)),COUNT($O468,$P468)&lt;2,$O468&lt;=0,$P468&lt;0),"",ROUND($O468*$P468*(1-$AP468),2))</x:f>
        <x:v>11462.11</x:v>
      </x:c>
      <x:c r="X468" s="151" t="n">
        <x:f>IF(OR(NOT(ISNUMBER($W468)),NOT(ISNUMBER($S468))),"",ROUND($W468-$S468,2))</x:f>
        <x:v>4356.63</x:v>
      </x:c>
      <x:c r="Y468" s="85" t="n">
        <x:f>IF(OR(NOT(ISNUMBER($W468)),NOT(ISNUMBER($X468)),$W468=0),"",ROUND($X468/$W468,4))</x:f>
        <x:v>0.3801</x:v>
      </x:c>
      <x:c r="Z468" s="82" t="n">
        <x:f>IF(OR($AH468&lt;&gt;"Valid",$AI468&lt;&gt;"Valid"),"",INT($D468-$C468))</x:f>
        <x:v>4</x:v>
      </x:c>
      <x:c r="AA468" s="86" t="str">
        <x:f>IF($AH468&lt;&gt;"Valid","",TEXT($C468,"mmmm"))</x:f>
        <x:v>January</x:v>
      </x:c>
      <x:c r="AB468" s="82" t="n">
        <x:f>IF($AH468&lt;&gt;"Valid","",YEAR($C468))</x:f>
        <x:v>2024</x:v>
      </x:c>
      <x:c r="AC468" s="80" t="str">
        <x:v>Consistent</x:v>
      </x:c>
      <x:c r="AD468" s="80" t="str">
        <x:v>Eligible</x:v>
      </x:c>
      <x:c r="AE468" s="80" t="str">
        <x:f>IF(OR($AH468&lt;&gt;"Valid",$AI468&lt;&gt;"Valid",$AJ468&lt;&gt;"Valid",LEFT($AM468,7)="Invalid",IFERROR(ABS($AQ468)&gt;0.01,FALSE),IFERROR(ABS($AR468)&gt;0.01,FALSE),COUNTIF($AS468,"*Conflicting duplicate*")&gt;0,COUNTIF($AS468,"*Completed order not paid*")&gt;0),"Invalid",IF(OR($H468="Unknown",$N468="Unknown",$AM468="Missing discount imputed as 0"),"Warning","Clean"))</x:f>
        <x:v>Clean</x:v>
      </x:c>
      <x:c r="AF468" s="80" t="str">
        <x:v>Pass</x:v>
      </x:c>
      <x:c r="AG468" s="80" t="str">
        <x:v>No text cleanup required</x:v>
      </x:c>
      <x:c r="AH468" s="12" t="str">
        <x:f>IF(C468="","Missing date",IF(ISNUMBER(C468),"Valid","Unrecognized/invalid date"))</x:f>
        <x:v>Valid</x:v>
      </x:c>
      <x:c r="AI468" s="12" t="str">
        <x:f>IF(D468="","Missing date",IF(ISNUMBER(D468),"Valid","Unrecognized/invalid date"))</x:f>
        <x:v>Valid</x:v>
      </x:c>
      <x:c r="AJ468" s="12" t="str">
        <x:v>Valid</x:v>
      </x:c>
      <x:c r="AK468" s="12" t="str">
        <x:v>Pass</x:v>
      </x:c>
      <x:c r="AL468" s="12" t="str">
        <x:v>None</x:v>
      </x:c>
      <x:c r="AM468" s="12" t="str">
        <x:v>Valid</x:v>
      </x:c>
      <x:c r="AN468" s="12" t="str">
        <x:v>Include in completed sales</x:v>
      </x:c>
      <x:c r="AO468" s="12" t="str">
        <x:v>Not a refunded record</x:v>
      </x:c>
      <x:c r="AP468" s="37" t="n">
        <x:f>IF(LEFT($AM468,7)="Invalid","",IF($AM468="Missing discount imputed as 0",IF(AND(COUNT($O468,$P468,$R468,$S468)=4,$O468&gt;0,$P468&gt;=0,$R468&gt;=0,$S468&gt;=0),0,""),IF(AND(ISNUMBER($Q468),$Q468&gt;=0,$Q468&lt;=0.5),$Q468,"")))</x:f>
        <x:v>0.2</x:v>
      </x:c>
      <x:c r="AQ468" s="152" t="n">
        <x:f>IF(OR($W468="",NOT(ISNUMBER($R468))),"",ROUND($R468-$W468,2))</x:f>
        <x:v>0</x:v>
      </x:c>
      <x:c r="AR468" s="152" t="n">
        <x:f>IF(OR($X468="",NOT(ISNUMBER($T468))),"",ROUND($T468-$X468,2))</x:f>
        <x:v>0</x:v>
      </x:c>
      <x:c r="AS468" s="14" t="str">
        <x:v>OK</x:v>
      </x:c>
    </x:row>
    <x:row r="469">
      <x:c r="A469" s="80" t="n">
        <x:v>469</x:v>
      </x:c>
      <x:c r="B469" s="80" t="str">
        <x:v>ORD-2024-10468</x:v>
      </x:c>
      <x:c r="C469" s="81" t="n">
        <x:v>45524</x:v>
      </x:c>
      <x:c r="D469" s="81" t="n">
        <x:v>45525</x:v>
      </x:c>
      <x:c r="E469" s="80" t="str">
        <x:v>CUST-9470</x:v>
      </x:c>
      <x:c r="F469" s="80" t="str">
        <x:v>Aditi Sen</x:v>
      </x:c>
      <x:c r="G469" s="80" t="str">
        <x:v>Corporate</x:v>
      </x:c>
      <x:c r="H469" s="80" t="str">
        <x:v>East</x:v>
      </x:c>
      <x:c r="I469" s="80" t="str">
        <x:v>Odisha</x:v>
      </x:c>
      <x:c r="J469" s="80" t="str">
        <x:v>Bhubaneswar</x:v>
      </x:c>
      <x:c r="K469" s="80" t="str">
        <x:v>Technology</x:v>
      </x:c>
      <x:c r="L469" s="80" t="str">
        <x:v>Copiers</x:v>
      </x:c>
      <x:c r="M469" s="80" t="str">
        <x:v>Max Copiers 867</x:v>
      </x:c>
      <x:c r="N469" s="80" t="str">
        <x:v>First Class</x:v>
      </x:c>
      <x:c r="O469" s="82" t="n">
        <x:v>5</x:v>
      </x:c>
      <x:c r="P469" s="83" t="n">
        <x:v>4288.33</x:v>
      </x:c>
      <x:c r="Q469" s="84" t="n">
        <x:v>0.1</x:v>
      </x:c>
      <x:c r="R469" s="83" t="n">
        <x:v>19297.49</x:v>
      </x:c>
      <x:c r="S469" s="83" t="n">
        <x:v>15451.66</x:v>
      </x:c>
      <x:c r="T469" s="83" t="n">
        <x:v>3845.83</x:v>
      </x:c>
      <x:c r="U469" s="83" t="str">
        <x:v>Refunded</x:v>
      </x:c>
      <x:c r="V469" s="83" t="str">
        <x:v>Cancelled</x:v>
      </x:c>
      <x:c r="W469" s="151" t="n">
        <x:f>IF(OR(NOT(ISNUMBER($AP469)),COUNT($O469,$P469)&lt;2,$O469&lt;=0,$P469&lt;0),"",ROUND($O469*$P469*(1-$AP469),2))</x:f>
        <x:v>19297.49</x:v>
      </x:c>
      <x:c r="X469" s="151" t="n">
        <x:f>IF(OR(NOT(ISNUMBER($W469)),NOT(ISNUMBER($S469))),"",ROUND($W469-$S469,2))</x:f>
        <x:v>3845.83</x:v>
      </x:c>
      <x:c r="Y469" s="85" t="n">
        <x:f>IF(OR(NOT(ISNUMBER($W469)),NOT(ISNUMBER($X469)),$W469=0),"",ROUND($X469/$W469,4))</x:f>
        <x:v>0.1993</x:v>
      </x:c>
      <x:c r="Z469" s="82" t="n">
        <x:f>IF(OR($AH469&lt;&gt;"Valid",$AI469&lt;&gt;"Valid"),"",INT($D469-$C469))</x:f>
        <x:v>1</x:v>
      </x:c>
      <x:c r="AA469" s="86" t="str">
        <x:f>IF($AH469&lt;&gt;"Valid","",TEXT($C469,"mmmm"))</x:f>
        <x:v>August</x:v>
      </x:c>
      <x:c r="AB469" s="82" t="n">
        <x:f>IF($AH469&lt;&gt;"Valid","",YEAR($C469))</x:f>
        <x:v>2024</x:v>
      </x:c>
      <x:c r="AC469" s="80" t="str">
        <x:v>Cancelled (excluded from completed-sales summary)</x:v>
      </x:c>
      <x:c r="AD469" s="80" t="str">
        <x:v>Excluded</x:v>
      </x:c>
      <x:c r="AE469" s="80" t="str">
        <x:f>IF(OR($AH469&lt;&gt;"Valid",$AI469&lt;&gt;"Valid",$AJ469&lt;&gt;"Valid",LEFT($AM469,7)="Invalid",IFERROR(ABS($AQ469)&gt;0.01,FALSE),IFERROR(ABS($AR469)&gt;0.01,FALSE),COUNTIF($AS469,"*Conflicting duplicate*")&gt;0,COUNTIF($AS469,"*Completed order not paid*")&gt;0),"Invalid",IF(OR($H469="Unknown",$N469="Unknown",$AM469="Missing discount imputed as 0"),"Warning","Clean"))</x:f>
        <x:v>Clean</x:v>
      </x:c>
      <x:c r="AF469" s="80" t="str">
        <x:v>Pass</x:v>
      </x:c>
      <x:c r="AG469" s="80" t="str">
        <x:v>No text cleanup required</x:v>
      </x:c>
      <x:c r="AH469" s="12" t="str">
        <x:f>IF(C469="","Missing date",IF(ISNUMBER(C469),"Valid","Unrecognized/invalid date"))</x:f>
        <x:v>Valid</x:v>
      </x:c>
      <x:c r="AI469" s="12" t="str">
        <x:f>IF(D469="","Missing date",IF(ISNUMBER(D469),"Valid","Unrecognized/invalid date"))</x:f>
        <x:v>Valid</x:v>
      </x:c>
      <x:c r="AJ469" s="12" t="str">
        <x:v>Valid</x:v>
      </x:c>
      <x:c r="AK469" s="12" t="str">
        <x:v>Pass</x:v>
      </x:c>
      <x:c r="AL469" s="12" t="str">
        <x:v>Cancelled order – excluded from completed sales; Refunded payment – separately summarized</x:v>
      </x:c>
      <x:c r="AM469" s="12" t="str">
        <x:v>Valid</x:v>
      </x:c>
      <x:c r="AN469" s="12" t="str">
        <x:v>Exclude from completed sales</x:v>
      </x:c>
      <x:c r="AO469" s="12" t="str">
        <x:v>Include in refunded summary</x:v>
      </x:c>
      <x:c r="AP469" s="37" t="n">
        <x:f>IF(LEFT($AM469,7)="Invalid","",IF($AM469="Missing discount imputed as 0",IF(AND(COUNT($O469,$P469,$R469,$S469)=4,$O469&gt;0,$P469&gt;=0,$R469&gt;=0,$S469&gt;=0),0,""),IF(AND(ISNUMBER($Q469),$Q469&gt;=0,$Q469&lt;=0.5),$Q469,"")))</x:f>
        <x:v>0.1</x:v>
      </x:c>
      <x:c r="AQ469" s="152" t="n">
        <x:f>IF(OR($W469="",NOT(ISNUMBER($R469))),"",ROUND($R469-$W469,2))</x:f>
        <x:v>0</x:v>
      </x:c>
      <x:c r="AR469" s="152" t="n">
        <x:f>IF(OR($X469="",NOT(ISNUMBER($T469))),"",ROUND($T469-$X469,2))</x:f>
        <x:v>0</x:v>
      </x:c>
      <x:c r="AS469" s="14" t="str">
        <x:v>OK</x:v>
      </x:c>
    </x:row>
    <x:row r="470">
      <x:c r="A470" s="80" t="n">
        <x:v>470</x:v>
      </x:c>
      <x:c r="B470" s="80" t="str">
        <x:v>ORD-2025-10469</x:v>
      </x:c>
      <x:c r="C470" s="81" t="n">
        <x:v>45666</x:v>
      </x:c>
      <x:c r="D470" s="81" t="n">
        <x:v>45664</x:v>
      </x:c>
      <x:c r="E470" s="80" t="str">
        <x:v>CUST-4176</x:v>
      </x:c>
      <x:c r="F470" s="80" t="str">
        <x:v>Aarav Sharma</x:v>
      </x:c>
      <x:c r="G470" s="80" t="str">
        <x:v>Home Office</x:v>
      </x:c>
      <x:c r="H470" s="80" t="str">
        <x:v>East</x:v>
      </x:c>
      <x:c r="I470" s="80" t="str">
        <x:v>West Bengal</x:v>
      </x:c>
      <x:c r="J470" s="80" t="str">
        <x:v>Kolkata</x:v>
      </x:c>
      <x:c r="K470" s="80" t="str">
        <x:v>Office Supplies</x:v>
      </x:c>
      <x:c r="L470" s="80" t="str">
        <x:v>Binders</x:v>
      </x:c>
      <x:c r="M470" s="80" t="str">
        <x:v>Pro Binders 555</x:v>
      </x:c>
      <x:c r="N470" s="80" t="str">
        <x:v>Second Class</x:v>
      </x:c>
      <x:c r="O470" s="82" t="n">
        <x:v>3</x:v>
      </x:c>
      <x:c r="P470" s="83" t="n">
        <x:v>2188.33</x:v>
      </x:c>
      <x:c r="Q470" s="84" t="n">
        <x:v>0</x:v>
      </x:c>
      <x:c r="R470" s="83" t="n">
        <x:v>6564.99</x:v>
      </x:c>
      <x:c r="S470" s="83" t="n">
        <x:v>5407.24</x:v>
      </x:c>
      <x:c r="T470" s="83" t="n">
        <x:v>1157.75</x:v>
      </x:c>
      <x:c r="U470" s="83" t="str">
        <x:v>Paid</x:v>
      </x:c>
      <x:c r="V470" s="83" t="str">
        <x:v>Completed</x:v>
      </x:c>
      <x:c r="W470" s="151" t="n">
        <x:f>IF(OR(NOT(ISNUMBER($AP470)),COUNT($O470,$P470)&lt;2,$O470&lt;=0,$P470&lt;0),"",ROUND($O470*$P470*(1-$AP470),2))</x:f>
        <x:v>6564.99</x:v>
      </x:c>
      <x:c r="X470" s="151" t="n">
        <x:f>IF(OR(NOT(ISNUMBER($W470)),NOT(ISNUMBER($S470))),"",ROUND($W470-$S470,2))</x:f>
        <x:v>1157.75</x:v>
      </x:c>
      <x:c r="Y470" s="85" t="n">
        <x:f>IF(OR(NOT(ISNUMBER($W470)),NOT(ISNUMBER($X470)),$W470=0),"",ROUND($X470/$W470,4))</x:f>
        <x:v>0.1764</x:v>
      </x:c>
      <x:c r="Z470" s="82" t="n">
        <x:f>IF(OR($AH470&lt;&gt;"Valid",$AI470&lt;&gt;"Valid"),"",INT($D470-$C470))</x:f>
        <x:v>-2</x:v>
      </x:c>
      <x:c r="AA470" s="86" t="str">
        <x:f>IF($AH470&lt;&gt;"Valid","",TEXT($C470,"mmmm"))</x:f>
        <x:v>January</x:v>
      </x:c>
      <x:c r="AB470" s="82" t="n">
        <x:f>IF($AH470&lt;&gt;"Valid","",YEAR($C470))</x:f>
        <x:v>2025</x:v>
      </x:c>
      <x:c r="AC470" s="80" t="str">
        <x:v>Consistent</x:v>
      </x:c>
      <x:c r="AD470" s="80" t="str">
        <x:v>Excluded</x:v>
      </x:c>
      <x:c r="AE470" s="80" t="str">
        <x:f>IF(OR($AH470&lt;&gt;"Valid",$AI470&lt;&gt;"Valid",$AJ470&lt;&gt;"Valid",LEFT($AM470,7)="Invalid",IFERROR(ABS($AQ470)&gt;0.01,FALSE),IFERROR(ABS($AR470)&gt;0.01,FALSE),COUNTIF($AS470,"*Conflicting duplicate*")&gt;0,COUNTIF($AS470,"*Completed order not paid*")&gt;0),"Invalid",IF(OR($H470="Unknown",$N470="Unknown",$AM470="Missing discount imputed as 0"),"Warning","Clean"))</x:f>
        <x:v>Invalid</x:v>
      </x:c>
      <x:c r="AF470" s="80" t="str">
        <x:v>Review</x:v>
      </x:c>
      <x:c r="AG470" s="80" t="str">
        <x:v>No text cleanup required</x:v>
      </x:c>
      <x:c r="AH470" s="12" t="str">
        <x:f>IF(C470="","Missing date",IF(ISNUMBER(C470),"Valid","Unrecognized/invalid date"))</x:f>
        <x:v>Valid</x:v>
      </x:c>
      <x:c r="AI470" s="12" t="str">
        <x:f>IF(D470="","Missing date",IF(ISNUMBER(D470),"Valid","Unrecognized/invalid date"))</x:f>
        <x:v>Valid</x:v>
      </x:c>
      <x:c r="AJ470" s="12" t="str">
        <x:v>Invalid</x:v>
      </x:c>
      <x:c r="AK470" s="12" t="str">
        <x:v>Ship date is earlier than order date</x:v>
      </x:c>
      <x:c r="AL470" s="12" t="str">
        <x:v>None</x:v>
      </x:c>
      <x:c r="AM470" s="12" t="str">
        <x:v>Valid</x:v>
      </x:c>
      <x:c r="AN470" s="12" t="str">
        <x:v>Exclude from completed sales</x:v>
      </x:c>
      <x:c r="AO470" s="12" t="str">
        <x:v>Not a refunded record</x:v>
      </x:c>
      <x:c r="AP470" s="37" t="n">
        <x:f>IF(LEFT($AM470,7)="Invalid","",IF($AM470="Missing discount imputed as 0",IF(AND(COUNT($O470,$P470,$R470,$S470)=4,$O470&gt;0,$P470&gt;=0,$R470&gt;=0,$S470&gt;=0),0,""),IF(AND(ISNUMBER($Q470),$Q470&gt;=0,$Q470&lt;=0.5),$Q470,"")))</x:f>
        <x:v>0</x:v>
      </x:c>
      <x:c r="AQ470" s="152" t="n">
        <x:f>IF(OR($W470="",NOT(ISNUMBER($R470))),"",ROUND($R470-$W470,2))</x:f>
        <x:v>0</x:v>
      </x:c>
      <x:c r="AR470" s="152" t="n">
        <x:f>IF(OR($X470="",NOT(ISNUMBER($T470))),"",ROUND($T470-$X470,2))</x:f>
        <x:v>0</x:v>
      </x:c>
      <x:c r="AS470" s="14" t="str">
        <x:v>Ship date earlier than order date</x:v>
      </x:c>
    </x:row>
    <x:row r="471">
      <x:c r="A471" s="80" t="n">
        <x:v>471</x:v>
      </x:c>
      <x:c r="B471" s="80" t="str">
        <x:v>ORD-2024-10470</x:v>
      </x:c>
      <x:c r="C471" s="81" t="n">
        <x:v>45310</x:v>
      </x:c>
      <x:c r="D471" s="81" t="n">
        <x:v>45316</x:v>
      </x:c>
      <x:c r="E471" s="80" t="str">
        <x:v>CUST-3448</x:v>
      </x:c>
      <x:c r="F471" s="80" t="str">
        <x:v>Aditi Sen</x:v>
      </x:c>
      <x:c r="G471" s="80" t="str">
        <x:v>Corporate</x:v>
      </x:c>
      <x:c r="H471" s="80" t="str">
        <x:v>West</x:v>
      </x:c>
      <x:c r="I471" s="80" t="str">
        <x:v>Goa</x:v>
      </x:c>
      <x:c r="J471" s="80" t="str">
        <x:v>Panaji</x:v>
      </x:c>
      <x:c r="K471" s="80" t="str">
        <x:v>Technology</x:v>
      </x:c>
      <x:c r="L471" s="80" t="str">
        <x:v>Copiers</x:v>
      </x:c>
      <x:c r="M471" s="80" t="str">
        <x:v>Pro Copiers 971</x:v>
      </x:c>
      <x:c r="N471" s="80" t="str">
        <x:v>First Class</x:v>
      </x:c>
      <x:c r="O471" s="82" t="n">
        <x:v>3</x:v>
      </x:c>
      <x:c r="P471" s="83" t="n">
        <x:v>1041.66</x:v>
      </x:c>
      <x:c r="Q471" s="84" t="n">
        <x:v>0.1</x:v>
      </x:c>
      <x:c r="R471" s="83" t="n">
        <x:v>2812.48</x:v>
      </x:c>
      <x:c r="S471" s="83" t="n">
        <x:v>2282.12</x:v>
      </x:c>
      <x:c r="T471" s="83" t="n">
        <x:v>530.36</x:v>
      </x:c>
      <x:c r="U471" s="83" t="str">
        <x:v>Paid</x:v>
      </x:c>
      <x:c r="V471" s="83" t="str">
        <x:v>Completed</x:v>
      </x:c>
      <x:c r="W471" s="151" t="n">
        <x:f>IF(OR(NOT(ISNUMBER($AP471)),COUNT($O471,$P471)&lt;2,$O471&lt;=0,$P471&lt;0),"",ROUND($O471*$P471*(1-$AP471),2))</x:f>
        <x:v>2812.48</x:v>
      </x:c>
      <x:c r="X471" s="151" t="n">
        <x:f>IF(OR(NOT(ISNUMBER($W471)),NOT(ISNUMBER($S471))),"",ROUND($W471-$S471,2))</x:f>
        <x:v>530.36</x:v>
      </x:c>
      <x:c r="Y471" s="85" t="n">
        <x:f>IF(OR(NOT(ISNUMBER($W471)),NOT(ISNUMBER($X471)),$W471=0),"",ROUND($X471/$W471,4))</x:f>
        <x:v>0.1886</x:v>
      </x:c>
      <x:c r="Z471" s="82" t="n">
        <x:f>IF(OR($AH471&lt;&gt;"Valid",$AI471&lt;&gt;"Valid"),"",INT($D471-$C471))</x:f>
        <x:v>6</x:v>
      </x:c>
      <x:c r="AA471" s="86" t="str">
        <x:f>IF($AH471&lt;&gt;"Valid","",TEXT($C471,"mmmm"))</x:f>
        <x:v>January</x:v>
      </x:c>
      <x:c r="AB471" s="82" t="n">
        <x:f>IF($AH471&lt;&gt;"Valid","",YEAR($C471))</x:f>
        <x:v>2024</x:v>
      </x:c>
      <x:c r="AC471" s="80" t="str">
        <x:v>Consistent</x:v>
      </x:c>
      <x:c r="AD471" s="80" t="str">
        <x:v>Eligible</x:v>
      </x:c>
      <x:c r="AE471" s="80" t="str">
        <x:f>IF(OR($AH471&lt;&gt;"Valid",$AI471&lt;&gt;"Valid",$AJ471&lt;&gt;"Valid",LEFT($AM471,7)="Invalid",IFERROR(ABS($AQ471)&gt;0.01,FALSE),IFERROR(ABS($AR471)&gt;0.01,FALSE),COUNTIF($AS471,"*Conflicting duplicate*")&gt;0,COUNTIF($AS471,"*Completed order not paid*")&gt;0),"Invalid",IF(OR($H471="Unknown",$N471="Unknown",$AM471="Missing discount imputed as 0"),"Warning","Clean"))</x:f>
        <x:v>Clean</x:v>
      </x:c>
      <x:c r="AF471" s="80" t="str">
        <x:v>Pass</x:v>
      </x:c>
      <x:c r="AG471" s="80" t="str">
        <x:v>No text cleanup required</x:v>
      </x:c>
      <x:c r="AH471" s="12" t="str">
        <x:f>IF(C471="","Missing date",IF(ISNUMBER(C471),"Valid","Unrecognized/invalid date"))</x:f>
        <x:v>Valid</x:v>
      </x:c>
      <x:c r="AI471" s="12" t="str">
        <x:f>IF(D471="","Missing date",IF(ISNUMBER(D471),"Valid","Unrecognized/invalid date"))</x:f>
        <x:v>Valid</x:v>
      </x:c>
      <x:c r="AJ471" s="12" t="str">
        <x:v>Valid</x:v>
      </x:c>
      <x:c r="AK471" s="12" t="str">
        <x:v>Pass</x:v>
      </x:c>
      <x:c r="AL471" s="12" t="str">
        <x:v>None</x:v>
      </x:c>
      <x:c r="AM471" s="12" t="str">
        <x:v>Valid</x:v>
      </x:c>
      <x:c r="AN471" s="12" t="str">
        <x:v>Include in completed sales</x:v>
      </x:c>
      <x:c r="AO471" s="12" t="str">
        <x:v>Not a refunded record</x:v>
      </x:c>
      <x:c r="AP471" s="37" t="n">
        <x:f>IF(LEFT($AM471,7)="Invalid","",IF($AM471="Missing discount imputed as 0",IF(AND(COUNT($O471,$P471,$R471,$S471)=4,$O471&gt;0,$P471&gt;=0,$R471&gt;=0,$S471&gt;=0),0,""),IF(AND(ISNUMBER($Q471),$Q471&gt;=0,$Q471&lt;=0.5),$Q471,"")))</x:f>
        <x:v>0.1</x:v>
      </x:c>
      <x:c r="AQ471" s="152" t="n">
        <x:f>IF(OR($W471="",NOT(ISNUMBER($R471))),"",ROUND($R471-$W471,2))</x:f>
        <x:v>0</x:v>
      </x:c>
      <x:c r="AR471" s="152" t="n">
        <x:f>IF(OR($X471="",NOT(ISNUMBER($T471))),"",ROUND($T471-$X471,2))</x:f>
        <x:v>0</x:v>
      </x:c>
      <x:c r="AS471" s="14" t="str">
        <x:v>OK</x:v>
      </x:c>
    </x:row>
    <x:row r="472">
      <x:c r="A472" s="80" t="n">
        <x:v>472</x:v>
      </x:c>
      <x:c r="B472" s="80" t="str">
        <x:v>ORD-2024-10471</x:v>
      </x:c>
      <x:c r="C472" s="81" t="n">
        <x:v>45501</x:v>
      </x:c>
      <x:c r="D472" s="81" t="n">
        <x:v>45504</x:v>
      </x:c>
      <x:c r="E472" s="80" t="str">
        <x:v>CUST-4970</x:v>
      </x:c>
      <x:c r="F472" s="80" t="str">
        <x:v>Aditi Sen</x:v>
      </x:c>
      <x:c r="G472" s="80" t="str">
        <x:v>Consumer</x:v>
      </x:c>
      <x:c r="H472" s="80" t="str">
        <x:v>North</x:v>
      </x:c>
      <x:c r="I472" s="80" t="str">
        <x:v>Rajasthan</x:v>
      </x:c>
      <x:c r="J472" s="80" t="str">
        <x:v>Jaipur</x:v>
      </x:c>
      <x:c r="K472" s="80" t="str">
        <x:v>Furniture</x:v>
      </x:c>
      <x:c r="L472" s="80" t="str">
        <x:v>Tables</x:v>
      </x:c>
      <x:c r="M472" s="80" t="str">
        <x:v>Pro Tables 833</x:v>
      </x:c>
      <x:c r="N472" s="80" t="str">
        <x:v>Same Day</x:v>
      </x:c>
      <x:c r="O472" s="82" t="n">
        <x:v>2</x:v>
      </x:c>
      <x:c r="P472" s="83" t="n">
        <x:v>4424.78</x:v>
      </x:c>
      <x:c r="Q472" s="84" t="n">
        <x:v>0.2</x:v>
      </x:c>
      <x:c r="R472" s="83" t="n">
        <x:v>7079.65</x:v>
      </x:c>
      <x:c r="S472" s="83" t="n">
        <x:v>4465.91</x:v>
      </x:c>
      <x:c r="T472" s="83" t="n">
        <x:v>2613.74</x:v>
      </x:c>
      <x:c r="U472" s="83" t="str">
        <x:v>Paid</x:v>
      </x:c>
      <x:c r="V472" s="83" t="str">
        <x:v>Completed</x:v>
      </x:c>
      <x:c r="W472" s="151" t="n">
        <x:f>IF(OR(NOT(ISNUMBER($AP472)),COUNT($O472,$P472)&lt;2,$O472&lt;=0,$P472&lt;0),"",ROUND($O472*$P472*(1-$AP472),2))</x:f>
        <x:v>7079.65</x:v>
      </x:c>
      <x:c r="X472" s="151" t="n">
        <x:f>IF(OR(NOT(ISNUMBER($W472)),NOT(ISNUMBER($S472))),"",ROUND($W472-$S472,2))</x:f>
        <x:v>2613.74</x:v>
      </x:c>
      <x:c r="Y472" s="85" t="n">
        <x:f>IF(OR(NOT(ISNUMBER($W472)),NOT(ISNUMBER($X472)),$W472=0),"",ROUND($X472/$W472,4))</x:f>
        <x:v>0.3692</x:v>
      </x:c>
      <x:c r="Z472" s="82" t="n">
        <x:f>IF(OR($AH472&lt;&gt;"Valid",$AI472&lt;&gt;"Valid"),"",INT($D472-$C472))</x:f>
        <x:v>3</x:v>
      </x:c>
      <x:c r="AA472" s="86" t="str">
        <x:f>IF($AH472&lt;&gt;"Valid","",TEXT($C472,"mmmm"))</x:f>
        <x:v>July</x:v>
      </x:c>
      <x:c r="AB472" s="82" t="n">
        <x:f>IF($AH472&lt;&gt;"Valid","",YEAR($C472))</x:f>
        <x:v>2024</x:v>
      </x:c>
      <x:c r="AC472" s="80" t="str">
        <x:v>Consistent</x:v>
      </x:c>
      <x:c r="AD472" s="80" t="str">
        <x:v>Eligible</x:v>
      </x:c>
      <x:c r="AE472" s="80" t="str">
        <x:f>IF(OR($AH472&lt;&gt;"Valid",$AI472&lt;&gt;"Valid",$AJ472&lt;&gt;"Valid",LEFT($AM472,7)="Invalid",IFERROR(ABS($AQ472)&gt;0.01,FALSE),IFERROR(ABS($AR472)&gt;0.01,FALSE),COUNTIF($AS472,"*Conflicting duplicate*")&gt;0,COUNTIF($AS472,"*Completed order not paid*")&gt;0),"Invalid",IF(OR($H472="Unknown",$N472="Unknown",$AM472="Missing discount imputed as 0"),"Warning","Clean"))</x:f>
        <x:v>Clean</x:v>
      </x:c>
      <x:c r="AF472" s="80" t="str">
        <x:v>Pass</x:v>
      </x:c>
      <x:c r="AG472" s="80" t="str">
        <x:v>No text cleanup required</x:v>
      </x:c>
      <x:c r="AH472" s="12" t="str">
        <x:f>IF(C472="","Missing date",IF(ISNUMBER(C472),"Valid","Unrecognized/invalid date"))</x:f>
        <x:v>Valid</x:v>
      </x:c>
      <x:c r="AI472" s="12" t="str">
        <x:f>IF(D472="","Missing date",IF(ISNUMBER(D472),"Valid","Unrecognized/invalid date"))</x:f>
        <x:v>Valid</x:v>
      </x:c>
      <x:c r="AJ472" s="12" t="str">
        <x:v>Valid</x:v>
      </x:c>
      <x:c r="AK472" s="12" t="str">
        <x:v>Pass</x:v>
      </x:c>
      <x:c r="AL472" s="12" t="str">
        <x:v>None</x:v>
      </x:c>
      <x:c r="AM472" s="12" t="str">
        <x:v>Valid</x:v>
      </x:c>
      <x:c r="AN472" s="12" t="str">
        <x:v>Include in completed sales</x:v>
      </x:c>
      <x:c r="AO472" s="12" t="str">
        <x:v>Not a refunded record</x:v>
      </x:c>
      <x:c r="AP472" s="37" t="n">
        <x:f>IF(LEFT($AM472,7)="Invalid","",IF($AM472="Missing discount imputed as 0",IF(AND(COUNT($O472,$P472,$R472,$S472)=4,$O472&gt;0,$P472&gt;=0,$R472&gt;=0,$S472&gt;=0),0,""),IF(AND(ISNUMBER($Q472),$Q472&gt;=0,$Q472&lt;=0.5),$Q472,"")))</x:f>
        <x:v>0.2</x:v>
      </x:c>
      <x:c r="AQ472" s="152" t="n">
        <x:f>IF(OR($W472="",NOT(ISNUMBER($R472))),"",ROUND($R472-$W472,2))</x:f>
        <x:v>0</x:v>
      </x:c>
      <x:c r="AR472" s="152" t="n">
        <x:f>IF(OR($X472="",NOT(ISNUMBER($T472))),"",ROUND($T472-$X472,2))</x:f>
        <x:v>0</x:v>
      </x:c>
      <x:c r="AS472" s="14" t="str">
        <x:v>OK</x:v>
      </x:c>
    </x:row>
    <x:row r="473">
      <x:c r="A473" s="80" t="n">
        <x:v>473</x:v>
      </x:c>
      <x:c r="B473" s="80" t="str">
        <x:v>ORD-2024-10472</x:v>
      </x:c>
      <x:c r="C473" s="81" t="n">
        <x:v>45333</x:v>
      </x:c>
      <x:c r="D473" s="81" t="n">
        <x:v>45337</x:v>
      </x:c>
      <x:c r="E473" s="80" t="str">
        <x:v>CUST-6147</x:v>
      </x:c>
      <x:c r="F473" s="80" t="str">
        <x:v>Kabir Singh</x:v>
      </x:c>
      <x:c r="G473" s="80" t="str">
        <x:v>Consumer</x:v>
      </x:c>
      <x:c r="H473" s="80" t="str">
        <x:v>South</x:v>
      </x:c>
      <x:c r="I473" s="80" t="str">
        <x:v>Telangana</x:v>
      </x:c>
      <x:c r="J473" s="80" t="str">
        <x:v>Hyderabad</x:v>
      </x:c>
      <x:c r="K473" s="80" t="str">
        <x:v>Office Supplies</x:v>
      </x:c>
      <x:c r="L473" s="80" t="str">
        <x:v>Binders</x:v>
      </x:c>
      <x:c r="M473" s="80" t="str">
        <x:v>Prime Binders 497</x:v>
      </x:c>
      <x:c r="N473" s="80" t="str">
        <x:v>Standard Class</x:v>
      </x:c>
      <x:c r="O473" s="82" t="n">
        <x:v>3</x:v>
      </x:c>
      <x:c r="P473" s="83" t="n">
        <x:v>3019.14</x:v>
      </x:c>
      <x:c r="Q473" s="84" t="n">
        <x:v>0.25</x:v>
      </x:c>
      <x:c r="R473" s="83" t="n">
        <x:v>6793.07</x:v>
      </x:c>
      <x:c r="S473" s="83" t="n">
        <x:v>4985.22</x:v>
      </x:c>
      <x:c r="T473" s="83" t="n">
        <x:v>1807.85</x:v>
      </x:c>
      <x:c r="U473" s="83" t="str">
        <x:v>Paid</x:v>
      </x:c>
      <x:c r="V473" s="83" t="str">
        <x:v>Completed</x:v>
      </x:c>
      <x:c r="W473" s="151" t="n">
        <x:f>IF(OR(NOT(ISNUMBER($AP473)),COUNT($O473,$P473)&lt;2,$O473&lt;=0,$P473&lt;0),"",ROUND($O473*$P473*(1-$AP473),2))</x:f>
        <x:v>6793.07</x:v>
      </x:c>
      <x:c r="X473" s="151" t="n">
        <x:f>IF(OR(NOT(ISNUMBER($W473)),NOT(ISNUMBER($S473))),"",ROUND($W473-$S473,2))</x:f>
        <x:v>1807.85</x:v>
      </x:c>
      <x:c r="Y473" s="85" t="n">
        <x:f>IF(OR(NOT(ISNUMBER($W473)),NOT(ISNUMBER($X473)),$W473=0),"",ROUND($X473/$W473,4))</x:f>
        <x:v>0.2661</x:v>
      </x:c>
      <x:c r="Z473" s="82" t="n">
        <x:f>IF(OR($AH473&lt;&gt;"Valid",$AI473&lt;&gt;"Valid"),"",INT($D473-$C473))</x:f>
        <x:v>4</x:v>
      </x:c>
      <x:c r="AA473" s="86" t="str">
        <x:f>IF($AH473&lt;&gt;"Valid","",TEXT($C473,"mmmm"))</x:f>
        <x:v>February</x:v>
      </x:c>
      <x:c r="AB473" s="82" t="n">
        <x:f>IF($AH473&lt;&gt;"Valid","",YEAR($C473))</x:f>
        <x:v>2024</x:v>
      </x:c>
      <x:c r="AC473" s="80" t="str">
        <x:v>Consistent</x:v>
      </x:c>
      <x:c r="AD473" s="80" t="str">
        <x:v>Eligible</x:v>
      </x:c>
      <x:c r="AE473" s="80" t="str">
        <x:f>IF(OR($AH473&lt;&gt;"Valid",$AI473&lt;&gt;"Valid",$AJ473&lt;&gt;"Valid",LEFT($AM473,7)="Invalid",IFERROR(ABS($AQ473)&gt;0.01,FALSE),IFERROR(ABS($AR473)&gt;0.01,FALSE),COUNTIF($AS473,"*Conflicting duplicate*")&gt;0,COUNTIF($AS473,"*Completed order not paid*")&gt;0),"Invalid",IF(OR($H473="Unknown",$N473="Unknown",$AM473="Missing discount imputed as 0"),"Warning","Clean"))</x:f>
        <x:v>Clean</x:v>
      </x:c>
      <x:c r="AF473" s="80" t="str">
        <x:v>Pass</x:v>
      </x:c>
      <x:c r="AG473" s="80" t="str">
        <x:v>No text cleanup required</x:v>
      </x:c>
      <x:c r="AH473" s="12" t="str">
        <x:f>IF(C473="","Missing date",IF(ISNUMBER(C473),"Valid","Unrecognized/invalid date"))</x:f>
        <x:v>Valid</x:v>
      </x:c>
      <x:c r="AI473" s="12" t="str">
        <x:f>IF(D473="","Missing date",IF(ISNUMBER(D473),"Valid","Unrecognized/invalid date"))</x:f>
        <x:v>Valid</x:v>
      </x:c>
      <x:c r="AJ473" s="12" t="str">
        <x:v>Valid</x:v>
      </x:c>
      <x:c r="AK473" s="12" t="str">
        <x:v>Pass</x:v>
      </x:c>
      <x:c r="AL473" s="12" t="str">
        <x:v>None</x:v>
      </x:c>
      <x:c r="AM473" s="12" t="str">
        <x:v>Valid</x:v>
      </x:c>
      <x:c r="AN473" s="12" t="str">
        <x:v>Include in completed sales</x:v>
      </x:c>
      <x:c r="AO473" s="12" t="str">
        <x:v>Not a refunded record</x:v>
      </x:c>
      <x:c r="AP473" s="37" t="n">
        <x:f>IF(LEFT($AM473,7)="Invalid","",IF($AM473="Missing discount imputed as 0",IF(AND(COUNT($O473,$P473,$R473,$S473)=4,$O473&gt;0,$P473&gt;=0,$R473&gt;=0,$S473&gt;=0),0,""),IF(AND(ISNUMBER($Q473),$Q473&gt;=0,$Q473&lt;=0.5),$Q473,"")))</x:f>
        <x:v>0.25</x:v>
      </x:c>
      <x:c r="AQ473" s="152" t="n">
        <x:f>IF(OR($W473="",NOT(ISNUMBER($R473))),"",ROUND($R473-$W473,2))</x:f>
        <x:v>0</x:v>
      </x:c>
      <x:c r="AR473" s="152" t="n">
        <x:f>IF(OR($X473="",NOT(ISNUMBER($T473))),"",ROUND($T473-$X473,2))</x:f>
        <x:v>0</x:v>
      </x:c>
      <x:c r="AS473" s="14" t="str">
        <x:v>OK</x:v>
      </x:c>
    </x:row>
    <x:row r="474">
      <x:c r="A474" s="80" t="n">
        <x:v>474</x:v>
      </x:c>
      <x:c r="B474" s="80" t="str">
        <x:v>ORD-2024-10473</x:v>
      </x:c>
      <x:c r="C474" s="81" t="n">
        <x:v>45353</x:v>
      </x:c>
      <x:c r="D474" s="81" t="n">
        <x:v>45358</x:v>
      </x:c>
      <x:c r="E474" s="80" t="str">
        <x:v>CUST-7208</x:v>
      </x:c>
      <x:c r="F474" s="80" t="str">
        <x:v>Rohan Mehta</x:v>
      </x:c>
      <x:c r="G474" s="80" t="str">
        <x:v>Corporate</x:v>
      </x:c>
      <x:c r="H474" s="80" t="str">
        <x:v>East</x:v>
      </x:c>
      <x:c r="I474" s="80" t="str">
        <x:v>Odisha</x:v>
      </x:c>
      <x:c r="J474" s="80" t="str">
        <x:v>Bhubaneswar</x:v>
      </x:c>
      <x:c r="K474" s="80" t="str">
        <x:v>Office Supplies</x:v>
      </x:c>
      <x:c r="L474" s="80" t="str">
        <x:v>Storage</x:v>
      </x:c>
      <x:c r="M474" s="80" t="str">
        <x:v>Pro Storage 756</x:v>
      </x:c>
      <x:c r="N474" s="80" t="str">
        <x:v>Standard Class</x:v>
      </x:c>
      <x:c r="O474" s="82" t="n">
        <x:v>7</x:v>
      </x:c>
      <x:c r="P474" s="83" t="n">
        <x:v>263.46</x:v>
      </x:c>
      <x:c r="Q474" s="84" t="n">
        <x:v>0</x:v>
      </x:c>
      <x:c r="R474" s="83" t="n">
        <x:v>1844.22</x:v>
      </x:c>
      <x:c r="S474" s="83" t="n">
        <x:v>1094.21</x:v>
      </x:c>
      <x:c r="T474" s="83" t="n">
        <x:v>750.01</x:v>
      </x:c>
      <x:c r="U474" s="83" t="str">
        <x:v>Paid</x:v>
      </x:c>
      <x:c r="V474" s="83" t="str">
        <x:v>Completed</x:v>
      </x:c>
      <x:c r="W474" s="151" t="n">
        <x:f>IF(OR(NOT(ISNUMBER($AP474)),COUNT($O474,$P474)&lt;2,$O474&lt;=0,$P474&lt;0),"",ROUND($O474*$P474*(1-$AP474),2))</x:f>
        <x:v>1844.22</x:v>
      </x:c>
      <x:c r="X474" s="151" t="n">
        <x:f>IF(OR(NOT(ISNUMBER($W474)),NOT(ISNUMBER($S474))),"",ROUND($W474-$S474,2))</x:f>
        <x:v>750.01</x:v>
      </x:c>
      <x:c r="Y474" s="85" t="n">
        <x:f>IF(OR(NOT(ISNUMBER($W474)),NOT(ISNUMBER($X474)),$W474=0),"",ROUND($X474/$W474,4))</x:f>
        <x:v>0.4067</x:v>
      </x:c>
      <x:c r="Z474" s="82" t="n">
        <x:f>IF(OR($AH474&lt;&gt;"Valid",$AI474&lt;&gt;"Valid"),"",INT($D474-$C474))</x:f>
        <x:v>5</x:v>
      </x:c>
      <x:c r="AA474" s="86" t="str">
        <x:f>IF($AH474&lt;&gt;"Valid","",TEXT($C474,"mmmm"))</x:f>
        <x:v>March</x:v>
      </x:c>
      <x:c r="AB474" s="82" t="n">
        <x:f>IF($AH474&lt;&gt;"Valid","",YEAR($C474))</x:f>
        <x:v>2024</x:v>
      </x:c>
      <x:c r="AC474" s="80" t="str">
        <x:v>Consistent</x:v>
      </x:c>
      <x:c r="AD474" s="80" t="str">
        <x:v>Eligible</x:v>
      </x:c>
      <x:c r="AE474" s="80" t="str">
        <x:f>IF(OR($AH474&lt;&gt;"Valid",$AI474&lt;&gt;"Valid",$AJ474&lt;&gt;"Valid",LEFT($AM474,7)="Invalid",IFERROR(ABS($AQ474)&gt;0.01,FALSE),IFERROR(ABS($AR474)&gt;0.01,FALSE),COUNTIF($AS474,"*Conflicting duplicate*")&gt;0,COUNTIF($AS474,"*Completed order not paid*")&gt;0),"Invalid",IF(OR($H474="Unknown",$N474="Unknown",$AM474="Missing discount imputed as 0"),"Warning","Clean"))</x:f>
        <x:v>Clean</x:v>
      </x:c>
      <x:c r="AF474" s="80" t="str">
        <x:v>Pass</x:v>
      </x:c>
      <x:c r="AG474" s="80" t="str">
        <x:v>No text cleanup required</x:v>
      </x:c>
      <x:c r="AH474" s="12" t="str">
        <x:f>IF(C474="","Missing date",IF(ISNUMBER(C474),"Valid","Unrecognized/invalid date"))</x:f>
        <x:v>Valid</x:v>
      </x:c>
      <x:c r="AI474" s="12" t="str">
        <x:f>IF(D474="","Missing date",IF(ISNUMBER(D474),"Valid","Unrecognized/invalid date"))</x:f>
        <x:v>Valid</x:v>
      </x:c>
      <x:c r="AJ474" s="12" t="str">
        <x:v>Valid</x:v>
      </x:c>
      <x:c r="AK474" s="12" t="str">
        <x:v>Pass</x:v>
      </x:c>
      <x:c r="AL474" s="12" t="str">
        <x:v>None</x:v>
      </x:c>
      <x:c r="AM474" s="12" t="str">
        <x:v>Valid</x:v>
      </x:c>
      <x:c r="AN474" s="12" t="str">
        <x:v>Include in completed sales</x:v>
      </x:c>
      <x:c r="AO474" s="12" t="str">
        <x:v>Not a refunded record</x:v>
      </x:c>
      <x:c r="AP474" s="37" t="n">
        <x:f>IF(LEFT($AM474,7)="Invalid","",IF($AM474="Missing discount imputed as 0",IF(AND(COUNT($O474,$P474,$R474,$S474)=4,$O474&gt;0,$P474&gt;=0,$R474&gt;=0,$S474&gt;=0),0,""),IF(AND(ISNUMBER($Q474),$Q474&gt;=0,$Q474&lt;=0.5),$Q474,"")))</x:f>
        <x:v>0</x:v>
      </x:c>
      <x:c r="AQ474" s="152" t="n">
        <x:f>IF(OR($W474="",NOT(ISNUMBER($R474))),"",ROUND($R474-$W474,2))</x:f>
        <x:v>0</x:v>
      </x:c>
      <x:c r="AR474" s="152" t="n">
        <x:f>IF(OR($X474="",NOT(ISNUMBER($T474))),"",ROUND($T474-$X474,2))</x:f>
        <x:v>0</x:v>
      </x:c>
      <x:c r="AS474" s="14" t="str">
        <x:v>OK</x:v>
      </x:c>
    </x:row>
    <x:row r="475">
      <x:c r="A475" s="80" t="n">
        <x:v>475</x:v>
      </x:c>
      <x:c r="B475" s="80" t="str">
        <x:v>ORD-2024-10474</x:v>
      </x:c>
      <x:c r="C475" s="81" t="n">
        <x:v>45609</x:v>
      </x:c>
      <x:c r="D475" s="81" t="n">
        <x:v>45609</x:v>
      </x:c>
      <x:c r="E475" s="80" t="str">
        <x:v>CUST-2794</x:v>
      </x:c>
      <x:c r="F475" s="80" t="str">
        <x:v>Priya Menon</x:v>
      </x:c>
      <x:c r="G475" s="80" t="str">
        <x:v>Consumer</x:v>
      </x:c>
      <x:c r="H475" s="80" t="str">
        <x:v>West</x:v>
      </x:c>
      <x:c r="I475" s="80" t="str">
        <x:v>Goa</x:v>
      </x:c>
      <x:c r="J475" s="80" t="str">
        <x:v>Panaji</x:v>
      </x:c>
      <x:c r="K475" s="80" t="str">
        <x:v>Technology</x:v>
      </x:c>
      <x:c r="L475" s="80" t="str">
        <x:v>Copiers</x:v>
      </x:c>
      <x:c r="M475" s="80" t="str">
        <x:v>Max Copiers 829</x:v>
      </x:c>
      <x:c r="N475" s="80" t="str">
        <x:v>Standard Class</x:v>
      </x:c>
      <x:c r="O475" s="82" t="n">
        <x:v>6</x:v>
      </x:c>
      <x:c r="P475" s="83" t="n">
        <x:v>191.45</x:v>
      </x:c>
      <x:c r="Q475" s="84" t="n">
        <x:v>0.2</x:v>
      </x:c>
      <x:c r="R475" s="83" t="n">
        <x:v>918.96</x:v>
      </x:c>
      <x:c r="S475" s="83" t="n">
        <x:v>554.18</x:v>
      </x:c>
      <x:c r="T475" s="83" t="n">
        <x:v>364.78</x:v>
      </x:c>
      <x:c r="U475" s="83" t="str">
        <x:v>Paid</x:v>
      </x:c>
      <x:c r="V475" s="83" t="str">
        <x:v>Completed</x:v>
      </x:c>
      <x:c r="W475" s="151" t="n">
        <x:f>IF(OR(NOT(ISNUMBER($AP475)),COUNT($O475,$P475)&lt;2,$O475&lt;=0,$P475&lt;0),"",ROUND($O475*$P475*(1-$AP475),2))</x:f>
        <x:v>918.96</x:v>
      </x:c>
      <x:c r="X475" s="151" t="n">
        <x:f>IF(OR(NOT(ISNUMBER($W475)),NOT(ISNUMBER($S475))),"",ROUND($W475-$S475,2))</x:f>
        <x:v>364.78</x:v>
      </x:c>
      <x:c r="Y475" s="85" t="n">
        <x:f>IF(OR(NOT(ISNUMBER($W475)),NOT(ISNUMBER($X475)),$W475=0),"",ROUND($X475/$W475,4))</x:f>
        <x:v>0.3969</x:v>
      </x:c>
      <x:c r="Z475" s="82" t="n">
        <x:f>IF(OR($AH475&lt;&gt;"Valid",$AI475&lt;&gt;"Valid"),"",INT($D475-$C475))</x:f>
        <x:v>0</x:v>
      </x:c>
      <x:c r="AA475" s="86" t="str">
        <x:f>IF($AH475&lt;&gt;"Valid","",TEXT($C475,"mmmm"))</x:f>
        <x:v>November</x:v>
      </x:c>
      <x:c r="AB475" s="82" t="n">
        <x:f>IF($AH475&lt;&gt;"Valid","",YEAR($C475))</x:f>
        <x:v>2024</x:v>
      </x:c>
      <x:c r="AC475" s="80" t="str">
        <x:v>Consistent</x:v>
      </x:c>
      <x:c r="AD475" s="80" t="str">
        <x:v>Eligible</x:v>
      </x:c>
      <x:c r="AE475" s="80" t="str">
        <x:f>IF(OR($AH475&lt;&gt;"Valid",$AI475&lt;&gt;"Valid",$AJ475&lt;&gt;"Valid",LEFT($AM475,7)="Invalid",IFERROR(ABS($AQ475)&gt;0.01,FALSE),IFERROR(ABS($AR475)&gt;0.01,FALSE),COUNTIF($AS475,"*Conflicting duplicate*")&gt;0,COUNTIF($AS475,"*Completed order not paid*")&gt;0),"Invalid",IF(OR($H475="Unknown",$N475="Unknown",$AM475="Missing discount imputed as 0"),"Warning","Clean"))</x:f>
        <x:v>Clean</x:v>
      </x:c>
      <x:c r="AF475" s="80" t="str">
        <x:v>Pass</x:v>
      </x:c>
      <x:c r="AG475" s="80" t="str">
        <x:v>No text cleanup required</x:v>
      </x:c>
      <x:c r="AH475" s="12" t="str">
        <x:f>IF(C475="","Missing date",IF(ISNUMBER(C475),"Valid","Unrecognized/invalid date"))</x:f>
        <x:v>Valid</x:v>
      </x:c>
      <x:c r="AI475" s="12" t="str">
        <x:f>IF(D475="","Missing date",IF(ISNUMBER(D475),"Valid","Unrecognized/invalid date"))</x:f>
        <x:v>Valid</x:v>
      </x:c>
      <x:c r="AJ475" s="12" t="str">
        <x:v>Valid</x:v>
      </x:c>
      <x:c r="AK475" s="12" t="str">
        <x:v>Pass</x:v>
      </x:c>
      <x:c r="AL475" s="12" t="str">
        <x:v>None</x:v>
      </x:c>
      <x:c r="AM475" s="12" t="str">
        <x:v>Valid</x:v>
      </x:c>
      <x:c r="AN475" s="12" t="str">
        <x:v>Include in completed sales</x:v>
      </x:c>
      <x:c r="AO475" s="12" t="str">
        <x:v>Not a refunded record</x:v>
      </x:c>
      <x:c r="AP475" s="37" t="n">
        <x:f>IF(LEFT($AM475,7)="Invalid","",IF($AM475="Missing discount imputed as 0",IF(AND(COUNT($O475,$P475,$R475,$S475)=4,$O475&gt;0,$P475&gt;=0,$R475&gt;=0,$S475&gt;=0),0,""),IF(AND(ISNUMBER($Q475),$Q475&gt;=0,$Q475&lt;=0.5),$Q475,"")))</x:f>
        <x:v>0.2</x:v>
      </x:c>
      <x:c r="AQ475" s="152" t="n">
        <x:f>IF(OR($W475="",NOT(ISNUMBER($R475))),"",ROUND($R475-$W475,2))</x:f>
        <x:v>0</x:v>
      </x:c>
      <x:c r="AR475" s="152" t="n">
        <x:f>IF(OR($X475="",NOT(ISNUMBER($T475))),"",ROUND($T475-$X475,2))</x:f>
        <x:v>0</x:v>
      </x:c>
      <x:c r="AS475" s="14" t="str">
        <x:v>OK</x:v>
      </x:c>
    </x:row>
    <x:row r="476">
      <x:c r="A476" s="80" t="n">
        <x:v>476</x:v>
      </x:c>
      <x:c r="B476" s="80" t="str">
        <x:v>ORD-2024-10475</x:v>
      </x:c>
      <x:c r="C476" s="81" t="n">
        <x:v>45446</x:v>
      </x:c>
      <x:c r="D476" s="81" t="n">
        <x:v>45453</x:v>
      </x:c>
      <x:c r="E476" s="80" t="str">
        <x:v>CUST-6249</x:v>
      </x:c>
      <x:c r="F476" s="80" t="str">
        <x:v>Diya Patel</x:v>
      </x:c>
      <x:c r="G476" s="80" t="str">
        <x:v>Corporate</x:v>
      </x:c>
      <x:c r="H476" s="80" t="str">
        <x:v>North</x:v>
      </x:c>
      <x:c r="I476" s="80" t="str">
        <x:v>Punjab</x:v>
      </x:c>
      <x:c r="J476" s="80" t="str">
        <x:v>Ludhiana</x:v>
      </x:c>
      <x:c r="K476" s="80" t="str">
        <x:v>Furniture</x:v>
      </x:c>
      <x:c r="L476" s="80" t="str">
        <x:v>Furnishings</x:v>
      </x:c>
      <x:c r="M476" s="80" t="str">
        <x:v>Prime Furnishings 827</x:v>
      </x:c>
      <x:c r="N476" s="80" t="str">
        <x:v>Standard Class</x:v>
      </x:c>
      <x:c r="O476" s="82" t="n">
        <x:v>3</x:v>
      </x:c>
      <x:c r="P476" s="83" t="n">
        <x:v>1633.57</x:v>
      </x:c>
      <x:c r="Q476" s="84" t="n">
        <x:v>0</x:v>
      </x:c>
      <x:c r="R476" s="83" t="n">
        <x:v>4900.71</x:v>
      </x:c>
      <x:c r="S476" s="83" t="n">
        <x:v>2713.9</x:v>
      </x:c>
      <x:c r="T476" s="83" t="n">
        <x:v>2186.81</x:v>
      </x:c>
      <x:c r="U476" s="83" t="str">
        <x:v>Paid</x:v>
      </x:c>
      <x:c r="V476" s="83" t="str">
        <x:v>Completed</x:v>
      </x:c>
      <x:c r="W476" s="151" t="n">
        <x:f>IF(OR(NOT(ISNUMBER($AP476)),COUNT($O476,$P476)&lt;2,$O476&lt;=0,$P476&lt;0),"",ROUND($O476*$P476*(1-$AP476),2))</x:f>
        <x:v>4900.71</x:v>
      </x:c>
      <x:c r="X476" s="151" t="n">
        <x:f>IF(OR(NOT(ISNUMBER($W476)),NOT(ISNUMBER($S476))),"",ROUND($W476-$S476,2))</x:f>
        <x:v>2186.81</x:v>
      </x:c>
      <x:c r="Y476" s="85" t="n">
        <x:f>IF(OR(NOT(ISNUMBER($W476)),NOT(ISNUMBER($X476)),$W476=0),"",ROUND($X476/$W476,4))</x:f>
        <x:v>0.4462</x:v>
      </x:c>
      <x:c r="Z476" s="82" t="n">
        <x:f>IF(OR($AH476&lt;&gt;"Valid",$AI476&lt;&gt;"Valid"),"",INT($D476-$C476))</x:f>
        <x:v>7</x:v>
      </x:c>
      <x:c r="AA476" s="86" t="str">
        <x:f>IF($AH476&lt;&gt;"Valid","",TEXT($C476,"mmmm"))</x:f>
        <x:v>June</x:v>
      </x:c>
      <x:c r="AB476" s="82" t="n">
        <x:f>IF($AH476&lt;&gt;"Valid","",YEAR($C476))</x:f>
        <x:v>2024</x:v>
      </x:c>
      <x:c r="AC476" s="80" t="str">
        <x:v>Consistent</x:v>
      </x:c>
      <x:c r="AD476" s="80" t="str">
        <x:v>Eligible</x:v>
      </x:c>
      <x:c r="AE476" s="80" t="str">
        <x:f>IF(OR($AH476&lt;&gt;"Valid",$AI476&lt;&gt;"Valid",$AJ476&lt;&gt;"Valid",LEFT($AM476,7)="Invalid",IFERROR(ABS($AQ476)&gt;0.01,FALSE),IFERROR(ABS($AR476)&gt;0.01,FALSE),COUNTIF($AS476,"*Conflicting duplicate*")&gt;0,COUNTIF($AS476,"*Completed order not paid*")&gt;0),"Invalid",IF(OR($H476="Unknown",$N476="Unknown",$AM476="Missing discount imputed as 0"),"Warning","Clean"))</x:f>
        <x:v>Clean</x:v>
      </x:c>
      <x:c r="AF476" s="80" t="str">
        <x:v>Pass</x:v>
      </x:c>
      <x:c r="AG476" s="80" t="str">
        <x:v>No text cleanup required</x:v>
      </x:c>
      <x:c r="AH476" s="12" t="str">
        <x:f>IF(C476="","Missing date",IF(ISNUMBER(C476),"Valid","Unrecognized/invalid date"))</x:f>
        <x:v>Valid</x:v>
      </x:c>
      <x:c r="AI476" s="12" t="str">
        <x:f>IF(D476="","Missing date",IF(ISNUMBER(D476),"Valid","Unrecognized/invalid date"))</x:f>
        <x:v>Valid</x:v>
      </x:c>
      <x:c r="AJ476" s="12" t="str">
        <x:v>Valid</x:v>
      </x:c>
      <x:c r="AK476" s="12" t="str">
        <x:v>Pass</x:v>
      </x:c>
      <x:c r="AL476" s="12" t="str">
        <x:v>None</x:v>
      </x:c>
      <x:c r="AM476" s="12" t="str">
        <x:v>Valid</x:v>
      </x:c>
      <x:c r="AN476" s="12" t="str">
        <x:v>Include in completed sales</x:v>
      </x:c>
      <x:c r="AO476" s="12" t="str">
        <x:v>Not a refunded record</x:v>
      </x:c>
      <x:c r="AP476" s="37" t="n">
        <x:f>IF(LEFT($AM476,7)="Invalid","",IF($AM476="Missing discount imputed as 0",IF(AND(COUNT($O476,$P476,$R476,$S476)=4,$O476&gt;0,$P476&gt;=0,$R476&gt;=0,$S476&gt;=0),0,""),IF(AND(ISNUMBER($Q476),$Q476&gt;=0,$Q476&lt;=0.5),$Q476,"")))</x:f>
        <x:v>0</x:v>
      </x:c>
      <x:c r="AQ476" s="152" t="n">
        <x:f>IF(OR($W476="",NOT(ISNUMBER($R476))),"",ROUND($R476-$W476,2))</x:f>
        <x:v>0</x:v>
      </x:c>
      <x:c r="AR476" s="152" t="n">
        <x:f>IF(OR($X476="",NOT(ISNUMBER($T476))),"",ROUND($T476-$X476,2))</x:f>
        <x:v>0</x:v>
      </x:c>
      <x:c r="AS476" s="14" t="str">
        <x:v>OK</x:v>
      </x:c>
    </x:row>
    <x:row r="477">
      <x:c r="A477" s="80" t="n">
        <x:v>477</x:v>
      </x:c>
      <x:c r="B477" s="80" t="str">
        <x:v>ORD-2025-10476</x:v>
      </x:c>
      <x:c r="C477" s="81" t="n">
        <x:v>45717</x:v>
      </x:c>
      <x:c r="D477" s="81" t="n">
        <x:v>45724</x:v>
      </x:c>
      <x:c r="E477" s="80" t="str">
        <x:v>CUST-5712</x:v>
      </x:c>
      <x:c r="F477" s="80" t="str">
        <x:v>Vikram Iyer</x:v>
      </x:c>
      <x:c r="G477" s="80" t="str">
        <x:v>Consumer</x:v>
      </x:c>
      <x:c r="H477" s="80" t="str">
        <x:v>East</x:v>
      </x:c>
      <x:c r="I477" s="80" t="str">
        <x:v>West Bengal</x:v>
      </x:c>
      <x:c r="J477" s="80" t="str">
        <x:v>Kolkata</x:v>
      </x:c>
      <x:c r="K477" s="80" t="str">
        <x:v>Furniture</x:v>
      </x:c>
      <x:c r="L477" s="80" t="str">
        <x:v>Chairs</x:v>
      </x:c>
      <x:c r="M477" s="80" t="str">
        <x:v>Eco Chairs 365</x:v>
      </x:c>
      <x:c r="N477" s="80" t="str">
        <x:v>Same Day</x:v>
      </x:c>
      <x:c r="O477" s="82" t="n">
        <x:v>8</x:v>
      </x:c>
      <x:c r="P477" s="83" t="n">
        <x:v>3378.82</x:v>
      </x:c>
      <x:c r="Q477" s="84" t="n">
        <x:v>0.25</x:v>
      </x:c>
      <x:c r="R477" s="83" t="n">
        <x:v>20272.92</x:v>
      </x:c>
      <x:c r="S477" s="83" t="n">
        <x:v>15873.38</x:v>
      </x:c>
      <x:c r="T477" s="83" t="n">
        <x:v>4399.54</x:v>
      </x:c>
      <x:c r="U477" s="83" t="str">
        <x:v>Pending</x:v>
      </x:c>
      <x:c r="V477" s="83" t="str">
        <x:v>Returned</x:v>
      </x:c>
      <x:c r="W477" s="151" t="n">
        <x:f>IF(OR(NOT(ISNUMBER($AP477)),COUNT($O477,$P477)&lt;2,$O477&lt;=0,$P477&lt;0),"",ROUND($O477*$P477*(1-$AP477),2))</x:f>
        <x:v>20272.92</x:v>
      </x:c>
      <x:c r="X477" s="151" t="n">
        <x:f>IF(OR(NOT(ISNUMBER($W477)),NOT(ISNUMBER($S477))),"",ROUND($W477-$S477,2))</x:f>
        <x:v>4399.54</x:v>
      </x:c>
      <x:c r="Y477" s="85" t="n">
        <x:f>IF(OR(NOT(ISNUMBER($W477)),NOT(ISNUMBER($X477)),$W477=0),"",ROUND($X477/$W477,4))</x:f>
        <x:v>0.217</x:v>
      </x:c>
      <x:c r="Z477" s="82" t="n">
        <x:f>IF(OR($AH477&lt;&gt;"Valid",$AI477&lt;&gt;"Valid"),"",INT($D477-$C477))</x:f>
        <x:v>7</x:v>
      </x:c>
      <x:c r="AA477" s="86" t="str">
        <x:f>IF($AH477&lt;&gt;"Valid","",TEXT($C477,"mmmm"))</x:f>
        <x:v>March</x:v>
      </x:c>
      <x:c r="AB477" s="82" t="n">
        <x:f>IF($AH477&lt;&gt;"Valid","",YEAR($C477))</x:f>
        <x:v>2025</x:v>
      </x:c>
      <x:c r="AC477" s="80" t="str">
        <x:v>Consistent</x:v>
      </x:c>
      <x:c r="AD477" s="80" t="str">
        <x:v>Excluded</x:v>
      </x:c>
      <x:c r="AE477" s="80" t="str">
        <x:f>IF(OR($AH477&lt;&gt;"Valid",$AI477&lt;&gt;"Valid",$AJ477&lt;&gt;"Valid",LEFT($AM477,7)="Invalid",IFERROR(ABS($AQ477)&gt;0.01,FALSE),IFERROR(ABS($AR477)&gt;0.01,FALSE),COUNTIF($AS477,"*Conflicting duplicate*")&gt;0,COUNTIF($AS477,"*Completed order not paid*")&gt;0),"Invalid",IF(OR($H477="Unknown",$N477="Unknown",$AM477="Missing discount imputed as 0"),"Warning","Clean"))</x:f>
        <x:v>Clean</x:v>
      </x:c>
      <x:c r="AF477" s="80" t="str">
        <x:v>Pass</x:v>
      </x:c>
      <x:c r="AG477" s="80" t="str">
        <x:v>No text cleanup required</x:v>
      </x:c>
      <x:c r="AH477" s="12" t="str">
        <x:f>IF(C477="","Missing date",IF(ISNUMBER(C477),"Valid","Unrecognized/invalid date"))</x:f>
        <x:v>Valid</x:v>
      </x:c>
      <x:c r="AI477" s="12" t="str">
        <x:f>IF(D477="","Missing date",IF(ISNUMBER(D477),"Valid","Unrecognized/invalid date"))</x:f>
        <x:v>Valid</x:v>
      </x:c>
      <x:c r="AJ477" s="12" t="str">
        <x:v>Valid</x:v>
      </x:c>
      <x:c r="AK477" s="12" t="str">
        <x:v>Pass</x:v>
      </x:c>
      <x:c r="AL477" s="12" t="str">
        <x:v>None</x:v>
      </x:c>
      <x:c r="AM477" s="12" t="str">
        <x:v>Valid</x:v>
      </x:c>
      <x:c r="AN477" s="12" t="str">
        <x:v>Exclude from completed sales</x:v>
      </x:c>
      <x:c r="AO477" s="12" t="str">
        <x:v>Not a refunded record</x:v>
      </x:c>
      <x:c r="AP477" s="37" t="n">
        <x:f>IF(LEFT($AM477,7)="Invalid","",IF($AM477="Missing discount imputed as 0",IF(AND(COUNT($O477,$P477,$R477,$S477)=4,$O477&gt;0,$P477&gt;=0,$R477&gt;=0,$S477&gt;=0),0,""),IF(AND(ISNUMBER($Q477),$Q477&gt;=0,$Q477&lt;=0.5),$Q477,"")))</x:f>
        <x:v>0.25</x:v>
      </x:c>
      <x:c r="AQ477" s="152" t="n">
        <x:f>IF(OR($W477="",NOT(ISNUMBER($R477))),"",ROUND($R477-$W477,2))</x:f>
        <x:v>0</x:v>
      </x:c>
      <x:c r="AR477" s="152" t="n">
        <x:f>IF(OR($X477="",NOT(ISNUMBER($T477))),"",ROUND($T477-$X477,2))</x:f>
        <x:v>0</x:v>
      </x:c>
      <x:c r="AS477" s="14" t="str">
        <x:v>OK</x:v>
      </x:c>
    </x:row>
    <x:row r="478">
      <x:c r="A478" s="80" t="n">
        <x:v>478</x:v>
      </x:c>
      <x:c r="B478" s="80" t="str">
        <x:v>ORD-2024-10477</x:v>
      </x:c>
      <x:c r="C478" s="81" t="n">
        <x:v>45419</x:v>
      </x:c>
      <x:c r="D478" s="81" t="n">
        <x:v>45426</x:v>
      </x:c>
      <x:c r="E478" s="80" t="str">
        <x:v>CUST-3004</x:v>
      </x:c>
      <x:c r="F478" s="80" t="str">
        <x:v>Sneha Kapoor</x:v>
      </x:c>
      <x:c r="G478" s="80" t="str">
        <x:v>Small Business</x:v>
      </x:c>
      <x:c r="H478" s="80" t="str">
        <x:v>North</x:v>
      </x:c>
      <x:c r="I478" s="80" t="str">
        <x:v>Rajasthan</x:v>
      </x:c>
      <x:c r="J478" s="80" t="str">
        <x:v>Jaipur</x:v>
      </x:c>
      <x:c r="K478" s="80" t="str">
        <x:v>Office Supplies</x:v>
      </x:c>
      <x:c r="L478" s="80" t="str">
        <x:v>Storage</x:v>
      </x:c>
      <x:c r="M478" s="80" t="str">
        <x:v>Classic Storage 545</x:v>
      </x:c>
      <x:c r="N478" s="80" t="str">
        <x:v>First Class</x:v>
      </x:c>
      <x:c r="O478" s="82" t="n">
        <x:v>3</x:v>
      </x:c>
      <x:c r="P478" s="83" t="n">
        <x:v>383.58</x:v>
      </x:c>
      <x:c r="Q478" s="84" t="n">
        <x:v>0.1</x:v>
      </x:c>
      <x:c r="R478" s="83" t="n">
        <x:v>1035.67</x:v>
      </x:c>
      <x:c r="S478" s="83" t="n">
        <x:v>595.42</x:v>
      </x:c>
      <x:c r="T478" s="83" t="n">
        <x:v>440.25</x:v>
      </x:c>
      <x:c r="U478" s="83" t="str">
        <x:v>Paid</x:v>
      </x:c>
      <x:c r="V478" s="83" t="str">
        <x:v>Completed</x:v>
      </x:c>
      <x:c r="W478" s="151" t="n">
        <x:f>IF(OR(NOT(ISNUMBER($AP478)),COUNT($O478,$P478)&lt;2,$O478&lt;=0,$P478&lt;0),"",ROUND($O478*$P478*(1-$AP478),2))</x:f>
        <x:v>1035.67</x:v>
      </x:c>
      <x:c r="X478" s="151" t="n">
        <x:f>IF(OR(NOT(ISNUMBER($W478)),NOT(ISNUMBER($S478))),"",ROUND($W478-$S478,2))</x:f>
        <x:v>440.25</x:v>
      </x:c>
      <x:c r="Y478" s="85" t="n">
        <x:f>IF(OR(NOT(ISNUMBER($W478)),NOT(ISNUMBER($X478)),$W478=0),"",ROUND($X478/$W478,4))</x:f>
        <x:v>0.4251</x:v>
      </x:c>
      <x:c r="Z478" s="82" t="n">
        <x:f>IF(OR($AH478&lt;&gt;"Valid",$AI478&lt;&gt;"Valid"),"",INT($D478-$C478))</x:f>
        <x:v>7</x:v>
      </x:c>
      <x:c r="AA478" s="86" t="str">
        <x:f>IF($AH478&lt;&gt;"Valid","",TEXT($C478,"mmmm"))</x:f>
        <x:v>May</x:v>
      </x:c>
      <x:c r="AB478" s="82" t="n">
        <x:f>IF($AH478&lt;&gt;"Valid","",YEAR($C478))</x:f>
        <x:v>2024</x:v>
      </x:c>
      <x:c r="AC478" s="80" t="str">
        <x:v>Consistent</x:v>
      </x:c>
      <x:c r="AD478" s="80" t="str">
        <x:v>Eligible</x:v>
      </x:c>
      <x:c r="AE478" s="80" t="str">
        <x:f>IF(OR($AH478&lt;&gt;"Valid",$AI478&lt;&gt;"Valid",$AJ478&lt;&gt;"Valid",LEFT($AM478,7)="Invalid",IFERROR(ABS($AQ478)&gt;0.01,FALSE),IFERROR(ABS($AR478)&gt;0.01,FALSE),COUNTIF($AS478,"*Conflicting duplicate*")&gt;0,COUNTIF($AS478,"*Completed order not paid*")&gt;0),"Invalid",IF(OR($H478="Unknown",$N478="Unknown",$AM478="Missing discount imputed as 0"),"Warning","Clean"))</x:f>
        <x:v>Clean</x:v>
      </x:c>
      <x:c r="AF478" s="80" t="str">
        <x:v>Pass</x:v>
      </x:c>
      <x:c r="AG478" s="80" t="str">
        <x:v>No text cleanup required</x:v>
      </x:c>
      <x:c r="AH478" s="12" t="str">
        <x:f>IF(C478="","Missing date",IF(ISNUMBER(C478),"Valid","Unrecognized/invalid date"))</x:f>
        <x:v>Valid</x:v>
      </x:c>
      <x:c r="AI478" s="12" t="str">
        <x:f>IF(D478="","Missing date",IF(ISNUMBER(D478),"Valid","Unrecognized/invalid date"))</x:f>
        <x:v>Valid</x:v>
      </x:c>
      <x:c r="AJ478" s="12" t="str">
        <x:v>Valid</x:v>
      </x:c>
      <x:c r="AK478" s="12" t="str">
        <x:v>Pass</x:v>
      </x:c>
      <x:c r="AL478" s="12" t="str">
        <x:v>None</x:v>
      </x:c>
      <x:c r="AM478" s="12" t="str">
        <x:v>Valid</x:v>
      </x:c>
      <x:c r="AN478" s="12" t="str">
        <x:v>Include in completed sales</x:v>
      </x:c>
      <x:c r="AO478" s="12" t="str">
        <x:v>Not a refunded record</x:v>
      </x:c>
      <x:c r="AP478" s="37" t="n">
        <x:f>IF(LEFT($AM478,7)="Invalid","",IF($AM478="Missing discount imputed as 0",IF(AND(COUNT($O478,$P478,$R478,$S478)=4,$O478&gt;0,$P478&gt;=0,$R478&gt;=0,$S478&gt;=0),0,""),IF(AND(ISNUMBER($Q478),$Q478&gt;=0,$Q478&lt;=0.5),$Q478,"")))</x:f>
        <x:v>0.1</x:v>
      </x:c>
      <x:c r="AQ478" s="152" t="n">
        <x:f>IF(OR($W478="",NOT(ISNUMBER($R478))),"",ROUND($R478-$W478,2))</x:f>
        <x:v>0</x:v>
      </x:c>
      <x:c r="AR478" s="152" t="n">
        <x:f>IF(OR($X478="",NOT(ISNUMBER($T478))),"",ROUND($T478-$X478,2))</x:f>
        <x:v>0</x:v>
      </x:c>
      <x:c r="AS478" s="14" t="str">
        <x:v>OK</x:v>
      </x:c>
    </x:row>
    <x:row r="479">
      <x:c r="A479" s="80" t="n">
        <x:v>479</x:v>
      </x:c>
      <x:c r="B479" s="80" t="str">
        <x:v>ORD-2025-10478</x:v>
      </x:c>
      <x:c r="C479" s="81" t="n">
        <x:v>45892</x:v>
      </x:c>
      <x:c r="D479" s="81" t="n">
        <x:v>45897</x:v>
      </x:c>
      <x:c r="E479" s="80" t="str">
        <x:v>CUST-6920</x:v>
      </x:c>
      <x:c r="F479" s="80" t="str">
        <x:v>Vikram Iyer</x:v>
      </x:c>
      <x:c r="G479" s="80" t="str">
        <x:v>Corporate</x:v>
      </x:c>
      <x:c r="H479" s="80" t="str">
        <x:v>West</x:v>
      </x:c>
      <x:c r="I479" s="80" t="str">
        <x:v>Gujarat</x:v>
      </x:c>
      <x:c r="J479" s="80" t="str">
        <x:v>Ahmedabad</x:v>
      </x:c>
      <x:c r="K479" s="80" t="str">
        <x:v>Furniture</x:v>
      </x:c>
      <x:c r="L479" s="80" t="str">
        <x:v>Chairs</x:v>
      </x:c>
      <x:c r="M479" s="80" t="str">
        <x:v>Pro Chairs 186</x:v>
      </x:c>
      <x:c r="N479" s="80" t="str">
        <x:v>Standard Class</x:v>
      </x:c>
      <x:c r="O479" s="82" t="n">
        <x:v>6</x:v>
      </x:c>
      <x:c r="P479" s="83" t="n">
        <x:v>2193.23</x:v>
      </x:c>
      <x:c r="Q479" s="84" t="n">
        <x:v>0.1</x:v>
      </x:c>
      <x:c r="R479" s="83" t="n">
        <x:v>11843.44</x:v>
      </x:c>
      <x:c r="S479" s="83" t="n">
        <x:v>9356.88</x:v>
      </x:c>
      <x:c r="T479" s="83" t="n">
        <x:v>2486.56</x:v>
      </x:c>
      <x:c r="U479" s="83" t="str">
        <x:v>Paid</x:v>
      </x:c>
      <x:c r="V479" s="83" t="str">
        <x:v>Cancelled</x:v>
      </x:c>
      <x:c r="W479" s="151" t="n">
        <x:f>IF(OR(NOT(ISNUMBER($AP479)),COUNT($O479,$P479)&lt;2,$O479&lt;=0,$P479&lt;0),"",ROUND($O479*$P479*(1-$AP479),2))</x:f>
        <x:v>11843.44</x:v>
      </x:c>
      <x:c r="X479" s="151" t="n">
        <x:f>IF(OR(NOT(ISNUMBER($W479)),NOT(ISNUMBER($S479))),"",ROUND($W479-$S479,2))</x:f>
        <x:v>2486.56</x:v>
      </x:c>
      <x:c r="Y479" s="85" t="n">
        <x:f>IF(OR(NOT(ISNUMBER($W479)),NOT(ISNUMBER($X479)),$W479=0),"",ROUND($X479/$W479,4))</x:f>
        <x:v>0.21</x:v>
      </x:c>
      <x:c r="Z479" s="82" t="n">
        <x:f>IF(OR($AH479&lt;&gt;"Valid",$AI479&lt;&gt;"Valid"),"",INT($D479-$C479))</x:f>
        <x:v>5</x:v>
      </x:c>
      <x:c r="AA479" s="86" t="str">
        <x:f>IF($AH479&lt;&gt;"Valid","",TEXT($C479,"mmmm"))</x:f>
        <x:v>August</x:v>
      </x:c>
      <x:c r="AB479" s="82" t="n">
        <x:f>IF($AH479&lt;&gt;"Valid","",YEAR($C479))</x:f>
        <x:v>2025</x:v>
      </x:c>
      <x:c r="AC479" s="80" t="str">
        <x:v>Cancelled (excluded from completed-sales summary)</x:v>
      </x:c>
      <x:c r="AD479" s="80" t="str">
        <x:v>Excluded</x:v>
      </x:c>
      <x:c r="AE479" s="80" t="str">
        <x:f>IF(OR($AH479&lt;&gt;"Valid",$AI479&lt;&gt;"Valid",$AJ479&lt;&gt;"Valid",LEFT($AM479,7)="Invalid",IFERROR(ABS($AQ479)&gt;0.01,FALSE),IFERROR(ABS($AR479)&gt;0.01,FALSE),COUNTIF($AS479,"*Conflicting duplicate*")&gt;0,COUNTIF($AS479,"*Completed order not paid*")&gt;0),"Invalid",IF(OR($H479="Unknown",$N479="Unknown",$AM479="Missing discount imputed as 0"),"Warning","Clean"))</x:f>
        <x:v>Clean</x:v>
      </x:c>
      <x:c r="AF479" s="80" t="str">
        <x:v>Pass</x:v>
      </x:c>
      <x:c r="AG479" s="80" t="str">
        <x:v>No text cleanup required</x:v>
      </x:c>
      <x:c r="AH479" s="12" t="str">
        <x:f>IF(C479="","Missing date",IF(ISNUMBER(C479),"Valid","Unrecognized/invalid date"))</x:f>
        <x:v>Valid</x:v>
      </x:c>
      <x:c r="AI479" s="12" t="str">
        <x:f>IF(D479="","Missing date",IF(ISNUMBER(D479),"Valid","Unrecognized/invalid date"))</x:f>
        <x:v>Valid</x:v>
      </x:c>
      <x:c r="AJ479" s="12" t="str">
        <x:v>Valid</x:v>
      </x:c>
      <x:c r="AK479" s="12" t="str">
        <x:v>Pass</x:v>
      </x:c>
      <x:c r="AL479" s="12" t="str">
        <x:v>Cancelled order – excluded from completed sales</x:v>
      </x:c>
      <x:c r="AM479" s="12" t="str">
        <x:v>Valid</x:v>
      </x:c>
      <x:c r="AN479" s="12" t="str">
        <x:v>Exclude from completed sales</x:v>
      </x:c>
      <x:c r="AO479" s="12" t="str">
        <x:v>Not a refunded record</x:v>
      </x:c>
      <x:c r="AP479" s="37" t="n">
        <x:f>IF(LEFT($AM479,7)="Invalid","",IF($AM479="Missing discount imputed as 0",IF(AND(COUNT($O479,$P479,$R479,$S479)=4,$O479&gt;0,$P479&gt;=0,$R479&gt;=0,$S479&gt;=0),0,""),IF(AND(ISNUMBER($Q479),$Q479&gt;=0,$Q479&lt;=0.5),$Q479,"")))</x:f>
        <x:v>0.1</x:v>
      </x:c>
      <x:c r="AQ479" s="152" t="n">
        <x:f>IF(OR($W479="",NOT(ISNUMBER($R479))),"",ROUND($R479-$W479,2))</x:f>
        <x:v>0</x:v>
      </x:c>
      <x:c r="AR479" s="152" t="n">
        <x:f>IF(OR($X479="",NOT(ISNUMBER($T479))),"",ROUND($T479-$X479,2))</x:f>
        <x:v>0</x:v>
      </x:c>
      <x:c r="AS479" s="14" t="str">
        <x:v>OK</x:v>
      </x:c>
    </x:row>
    <x:row r="480">
      <x:c r="A480" s="80" t="n">
        <x:v>480</x:v>
      </x:c>
      <x:c r="B480" s="80" t="str">
        <x:v>ORD-2024-10479</x:v>
      </x:c>
      <x:c r="C480" s="81" t="n">
        <x:v>45452</x:v>
      </x:c>
      <x:c r="D480" s="81" t="n">
        <x:v>45456</x:v>
      </x:c>
      <x:c r="E480" s="80" t="str">
        <x:v>CUST-4838</x:v>
      </x:c>
      <x:c r="F480" s="80" t="str">
        <x:v>Mira Das</x:v>
      </x:c>
      <x:c r="G480" s="80" t="str">
        <x:v>Home Office</x:v>
      </x:c>
      <x:c r="H480" s="80" t="str">
        <x:v>Unknown</x:v>
      </x:c>
      <x:c r="I480" s="80" t="str">
        <x:v>Uttar Pradesh</x:v>
      </x:c>
      <x:c r="J480" s="80" t="str">
        <x:v>Noida</x:v>
      </x:c>
      <x:c r="K480" s="80" t="str">
        <x:v>Technology</x:v>
      </x:c>
      <x:c r="L480" s="80" t="str">
        <x:v>Machines</x:v>
      </x:c>
      <x:c r="M480" s="80" t="str">
        <x:v>Classic Machines 561</x:v>
      </x:c>
      <x:c r="N480" s="80" t="str">
        <x:v>Same Day</x:v>
      </x:c>
      <x:c r="O480" s="82" t="n">
        <x:v>7</x:v>
      </x:c>
      <x:c r="P480" s="83" t="n">
        <x:v>4079.71</x:v>
      </x:c>
      <x:c r="Q480" s="84" t="n">
        <x:v>0.1</x:v>
      </x:c>
      <x:c r="R480" s="83" t="n">
        <x:v>25702.17</x:v>
      </x:c>
      <x:c r="S480" s="83" t="n">
        <x:v>14571.48</x:v>
      </x:c>
      <x:c r="T480" s="83" t="n">
        <x:v>11130.69</x:v>
      </x:c>
      <x:c r="U480" s="83" t="str">
        <x:v>Refunded</x:v>
      </x:c>
      <x:c r="V480" s="83" t="str">
        <x:v>Returned</x:v>
      </x:c>
      <x:c r="W480" s="151" t="n">
        <x:f>IF(OR(NOT(ISNUMBER($AP480)),COUNT($O480,$P480)&lt;2,$O480&lt;=0,$P480&lt;0),"",ROUND($O480*$P480*(1-$AP480),2))</x:f>
        <x:v>25702.17</x:v>
      </x:c>
      <x:c r="X480" s="151" t="n">
        <x:f>IF(OR(NOT(ISNUMBER($W480)),NOT(ISNUMBER($S480))),"",ROUND($W480-$S480,2))</x:f>
        <x:v>11130.69</x:v>
      </x:c>
      <x:c r="Y480" s="85" t="n">
        <x:f>IF(OR(NOT(ISNUMBER($W480)),NOT(ISNUMBER($X480)),$W480=0),"",ROUND($X480/$W480,4))</x:f>
        <x:v>0.4331</x:v>
      </x:c>
      <x:c r="Z480" s="82" t="n">
        <x:f>IF(OR($AH480&lt;&gt;"Valid",$AI480&lt;&gt;"Valid"),"",INT($D480-$C480))</x:f>
        <x:v>4</x:v>
      </x:c>
      <x:c r="AA480" s="86" t="str">
        <x:f>IF($AH480&lt;&gt;"Valid","",TEXT($C480,"mmmm"))</x:f>
        <x:v>June</x:v>
      </x:c>
      <x:c r="AB480" s="82" t="n">
        <x:f>IF($AH480&lt;&gt;"Valid","",YEAR($C480))</x:f>
        <x:v>2024</x:v>
      </x:c>
      <x:c r="AC480" s="80" t="str">
        <x:v>Refunded (separately summarized)</x:v>
      </x:c>
      <x:c r="AD480" s="80" t="str">
        <x:v>Excluded</x:v>
      </x:c>
      <x:c r="AE480" s="80" t="str">
        <x:f>IF(OR($AH480&lt;&gt;"Valid",$AI480&lt;&gt;"Valid",$AJ480&lt;&gt;"Valid",LEFT($AM480,7)="Invalid",IFERROR(ABS($AQ480)&gt;0.01,FALSE),IFERROR(ABS($AR480)&gt;0.01,FALSE),COUNTIF($AS480,"*Conflicting duplicate*")&gt;0,COUNTIF($AS480,"*Completed order not paid*")&gt;0),"Invalid",IF(OR($H480="Unknown",$N480="Unknown",$AM480="Missing discount imputed as 0"),"Warning","Clean"))</x:f>
        <x:v>Warning</x:v>
      </x:c>
      <x:c r="AF480" s="80" t="str">
        <x:v>Cleaned</x:v>
      </x:c>
      <x:c r="AG480" s="80" t="str">
        <x:v>region: Missing value filled as Unknown</x:v>
      </x:c>
      <x:c r="AH480" s="12" t="str">
        <x:f>IF(C480="","Missing date",IF(ISNUMBER(C480),"Valid","Unrecognized/invalid date"))</x:f>
        <x:v>Valid</x:v>
      </x:c>
      <x:c r="AI480" s="12" t="str">
        <x:f>IF(D480="","Missing date",IF(ISNUMBER(D480),"Valid","Unrecognized/invalid date"))</x:f>
        <x:v>Valid</x:v>
      </x:c>
      <x:c r="AJ480" s="12" t="str">
        <x:v>Valid</x:v>
      </x:c>
      <x:c r="AK480" s="12" t="str">
        <x:v>Pass</x:v>
      </x:c>
      <x:c r="AL480" s="12" t="str">
        <x:v>Missing region filled as Unknown; Refunded payment – separately summarized</x:v>
      </x:c>
      <x:c r="AM480" s="12" t="str">
        <x:v>Valid</x:v>
      </x:c>
      <x:c r="AN480" s="12" t="str">
        <x:v>Exclude from completed sales</x:v>
      </x:c>
      <x:c r="AO480" s="12" t="str">
        <x:v>Include in refunded summary</x:v>
      </x:c>
      <x:c r="AP480" s="37" t="n">
        <x:f>IF(LEFT($AM480,7)="Invalid","",IF($AM480="Missing discount imputed as 0",IF(AND(COUNT($O480,$P480,$R480,$S480)=4,$O480&gt;0,$P480&gt;=0,$R480&gt;=0,$S480&gt;=0),0,""),IF(AND(ISNUMBER($Q480),$Q480&gt;=0,$Q480&lt;=0.5),$Q480,"")))</x:f>
        <x:v>0.1</x:v>
      </x:c>
      <x:c r="AQ480" s="152" t="n">
        <x:f>IF(OR($W480="",NOT(ISNUMBER($R480))),"",ROUND($R480-$W480,2))</x:f>
        <x:v>0</x:v>
      </x:c>
      <x:c r="AR480" s="152" t="n">
        <x:f>IF(OR($X480="",NOT(ISNUMBER($T480))),"",ROUND($T480-$X480,2))</x:f>
        <x:v>0</x:v>
      </x:c>
      <x:c r="AS480" s="14" t="str">
        <x:v>OK</x:v>
      </x:c>
    </x:row>
    <x:row r="481">
      <x:c r="A481" s="80" t="n">
        <x:v>481</x:v>
      </x:c>
      <x:c r="B481" s="80" t="str">
        <x:v>ORD-2024-10480</x:v>
      </x:c>
      <x:c r="C481" s="81" t="n">
        <x:v>45345</x:v>
      </x:c>
      <x:c r="D481" s="81" t="n">
        <x:v>45342</x:v>
      </x:c>
      <x:c r="E481" s="80" t="str">
        <x:v>CUST-7520</x:v>
      </x:c>
      <x:c r="F481" s="80" t="str">
        <x:v>Arjun Bose</x:v>
      </x:c>
      <x:c r="G481" s="80" t="str">
        <x:v>Corporate</x:v>
      </x:c>
      <x:c r="H481" s="80" t="str">
        <x:v>East</x:v>
      </x:c>
      <x:c r="I481" s="80" t="str">
        <x:v>Odisha</x:v>
      </x:c>
      <x:c r="J481" s="80" t="str">
        <x:v>Bhubaneswar</x:v>
      </x:c>
      <x:c r="K481" s="80" t="str">
        <x:v>Furniture</x:v>
      </x:c>
      <x:c r="L481" s="80" t="str">
        <x:v>Chairs</x:v>
      </x:c>
      <x:c r="M481" s="80" t="str">
        <x:v>Max Chairs 594</x:v>
      </x:c>
      <x:c r="N481" s="80" t="str">
        <x:v>Second Class</x:v>
      </x:c>
      <x:c r="O481" s="82" t="n">
        <x:v>1</x:v>
      </x:c>
      <x:c r="P481" s="83" t="n">
        <x:v>2202.55</x:v>
      </x:c>
      <x:c r="Q481" s="84" t="n">
        <x:v>0</x:v>
      </x:c>
      <x:c r="R481" s="83" t="n">
        <x:v>1651.91</x:v>
      </x:c>
      <x:c r="S481" s="83" t="n">
        <x:v>1034.57</x:v>
      </x:c>
      <x:c r="T481" s="83" t="n">
        <x:v>617.34</x:v>
      </x:c>
      <x:c r="U481" s="83" t="str">
        <x:v>Paid</x:v>
      </x:c>
      <x:c r="V481" s="83" t="str">
        <x:v>Completed</x:v>
      </x:c>
      <x:c r="W481" s="151" t="n">
        <x:f>IF(OR(NOT(ISNUMBER($AP481)),COUNT($O481,$P481)&lt;2,$O481&lt;=0,$P481&lt;0),"",ROUND($O481*$P481*(1-$AP481),2))</x:f>
        <x:v>2202.55</x:v>
      </x:c>
      <x:c r="X481" s="151" t="n">
        <x:f>IF(OR(NOT(ISNUMBER($W481)),NOT(ISNUMBER($S481))),"",ROUND($W481-$S481,2))</x:f>
        <x:v>1167.98</x:v>
      </x:c>
      <x:c r="Y481" s="85" t="n">
        <x:f>IF(OR(NOT(ISNUMBER($W481)),NOT(ISNUMBER($X481)),$W481=0),"",ROUND($X481/$W481,4))</x:f>
        <x:v>0.5303</x:v>
      </x:c>
      <x:c r="Z481" s="82" t="n">
        <x:f>IF(OR($AH481&lt;&gt;"Valid",$AI481&lt;&gt;"Valid"),"",INT($D481-$C481))</x:f>
        <x:v>-3</x:v>
      </x:c>
      <x:c r="AA481" s="86" t="str">
        <x:f>IF($AH481&lt;&gt;"Valid","",TEXT($C481,"mmmm"))</x:f>
        <x:v>February</x:v>
      </x:c>
      <x:c r="AB481" s="82" t="n">
        <x:f>IF($AH481&lt;&gt;"Valid","",YEAR($C481))</x:f>
        <x:v>2024</x:v>
      </x:c>
      <x:c r="AC481" s="80" t="str">
        <x:v>Consistent</x:v>
      </x:c>
      <x:c r="AD481" s="80" t="str">
        <x:v>Excluded</x:v>
      </x:c>
      <x:c r="AE481" s="80" t="str">
        <x:f>IF(OR($AH481&lt;&gt;"Valid",$AI481&lt;&gt;"Valid",$AJ481&lt;&gt;"Valid",LEFT($AM481,7)="Invalid",IFERROR(ABS($AQ481)&gt;0.01,FALSE),IFERROR(ABS($AR481)&gt;0.01,FALSE),COUNTIF($AS481,"*Conflicting duplicate*")&gt;0,COUNTIF($AS481,"*Completed order not paid*")&gt;0),"Invalid",IF(OR($H481="Unknown",$N481="Unknown",$AM481="Missing discount imputed as 0"),"Warning","Clean"))</x:f>
        <x:v>Invalid</x:v>
      </x:c>
      <x:c r="AF481" s="80" t="str">
        <x:v>Review</x:v>
      </x:c>
      <x:c r="AG481" s="80" t="str">
        <x:v>discount: Imputed 0; discount: Missing value set to 0 after sales-field validation</x:v>
      </x:c>
      <x:c r="AH481" s="12" t="str">
        <x:f>IF(C481="","Missing date",IF(ISNUMBER(C481),"Valid","Unrecognized/invalid date"))</x:f>
        <x:v>Valid</x:v>
      </x:c>
      <x:c r="AI481" s="12" t="str">
        <x:f>IF(D481="","Missing date",IF(ISNUMBER(D481),"Valid","Unrecognized/invalid date"))</x:f>
        <x:v>Valid</x:v>
      </x:c>
      <x:c r="AJ481" s="12" t="str">
        <x:v>Invalid</x:v>
      </x:c>
      <x:c r="AK481" s="12" t="str">
        <x:v>Ship date is earlier than order date</x:v>
      </x:c>
      <x:c r="AL481" s="12" t="str">
        <x:v>Missing discount imputed as 0</x:v>
      </x:c>
      <x:c r="AM481" s="12" t="str">
        <x:v>Missing discount imputed as 0</x:v>
      </x:c>
      <x:c r="AN481" s="12" t="str">
        <x:v>Exclude from completed sales</x:v>
      </x:c>
      <x:c r="AO481" s="12" t="str">
        <x:v>Not a refunded record</x:v>
      </x:c>
      <x:c r="AP481" s="37" t="n">
        <x:f>IF(LEFT($AM481,7)="Invalid","",IF($AM481="Missing discount imputed as 0",IF(AND(COUNT($O481,$P481,$R481,$S481)=4,$O481&gt;0,$P481&gt;=0,$R481&gt;=0,$S481&gt;=0),0,""),IF(AND(ISNUMBER($Q481),$Q481&gt;=0,$Q481&lt;=0.5),$Q481,"")))</x:f>
        <x:v>0</x:v>
      </x:c>
      <x:c r="AQ481" s="152" t="n">
        <x:f>IF(OR($W481="",NOT(ISNUMBER($R481))),"",ROUND($R481-$W481,2))</x:f>
        <x:v>-550.64</x:v>
      </x:c>
      <x:c r="AR481" s="152" t="n">
        <x:f>IF(OR($X481="",NOT(ISNUMBER($T481))),"",ROUND($T481-$X481,2))</x:f>
        <x:v>-550.64</x:v>
      </x:c>
      <x:c r="AS481" s="14" t="str">
        <x:v>Sales calculation mismatch; Ship date earlier than order date</x:v>
      </x:c>
    </x:row>
    <x:row r="482">
      <x:c r="A482" s="80" t="n">
        <x:v>482</x:v>
      </x:c>
      <x:c r="B482" s="80" t="str">
        <x:v>ORD-2025-10481</x:v>
      </x:c>
      <x:c r="C482" s="81" t="n">
        <x:v>45662</x:v>
      </x:c>
      <x:c r="D482" s="81" t="n">
        <x:v>45666</x:v>
      </x:c>
      <x:c r="E482" s="80" t="str">
        <x:v>CUST-9947</x:v>
      </x:c>
      <x:c r="F482" s="80" t="str">
        <x:v>Neha Gupta</x:v>
      </x:c>
      <x:c r="G482" s="80" t="str">
        <x:v>Small Business</x:v>
      </x:c>
      <x:c r="H482" s="80" t="str">
        <x:v>South</x:v>
      </x:c>
      <x:c r="I482" s="80" t="str">
        <x:v>Tamil Nadu</x:v>
      </x:c>
      <x:c r="J482" s="80" t="str">
        <x:v>Chennai</x:v>
      </x:c>
      <x:c r="K482" s="80" t="str">
        <x:v>Office Supplies</x:v>
      </x:c>
      <x:c r="L482" s="80" t="str">
        <x:v>Storage</x:v>
      </x:c>
      <x:c r="M482" s="80" t="str">
        <x:v>Eco Storage 923</x:v>
      </x:c>
      <x:c r="N482" s="80" t="str">
        <x:v>Unknown</x:v>
      </x:c>
      <x:c r="O482" s="82" t="n">
        <x:v>5</x:v>
      </x:c>
      <x:c r="P482" s="83" t="n">
        <x:v>905.16</x:v>
      </x:c>
      <x:c r="Q482" s="84" t="n">
        <x:v>0</x:v>
      </x:c>
      <x:c r="R482" s="83" t="n">
        <x:v>4525.8</x:v>
      </x:c>
      <x:c r="S482" s="83" t="n">
        <x:v>2714.51</x:v>
      </x:c>
      <x:c r="T482" s="83" t="n">
        <x:v>1811.29</x:v>
      </x:c>
      <x:c r="U482" s="83" t="str">
        <x:v>Paid</x:v>
      </x:c>
      <x:c r="V482" s="83" t="str">
        <x:v>Completed</x:v>
      </x:c>
      <x:c r="W482" s="151" t="n">
        <x:f>IF(OR(NOT(ISNUMBER($AP482)),COUNT($O482,$P482)&lt;2,$O482&lt;=0,$P482&lt;0),"",ROUND($O482*$P482*(1-$AP482),2))</x:f>
        <x:v>4525.8</x:v>
      </x:c>
      <x:c r="X482" s="151" t="n">
        <x:f>IF(OR(NOT(ISNUMBER($W482)),NOT(ISNUMBER($S482))),"",ROUND($W482-$S482,2))</x:f>
        <x:v>1811.29</x:v>
      </x:c>
      <x:c r="Y482" s="85" t="n">
        <x:f>IF(OR(NOT(ISNUMBER($W482)),NOT(ISNUMBER($X482)),$W482=0),"",ROUND($X482/$W482,4))</x:f>
        <x:v>0.4002</x:v>
      </x:c>
      <x:c r="Z482" s="82" t="n">
        <x:f>IF(OR($AH482&lt;&gt;"Valid",$AI482&lt;&gt;"Valid"),"",INT($D482-$C482))</x:f>
        <x:v>4</x:v>
      </x:c>
      <x:c r="AA482" s="86" t="str">
        <x:f>IF($AH482&lt;&gt;"Valid","",TEXT($C482,"mmmm"))</x:f>
        <x:v>January</x:v>
      </x:c>
      <x:c r="AB482" s="82" t="n">
        <x:f>IF($AH482&lt;&gt;"Valid","",YEAR($C482))</x:f>
        <x:v>2025</x:v>
      </x:c>
      <x:c r="AC482" s="80" t="str">
        <x:v>Consistent</x:v>
      </x:c>
      <x:c r="AD482" s="80" t="str">
        <x:v>Eligible</x:v>
      </x:c>
      <x:c r="AE482" s="80" t="str">
        <x:f>IF(OR($AH482&lt;&gt;"Valid",$AI482&lt;&gt;"Valid",$AJ482&lt;&gt;"Valid",LEFT($AM482,7)="Invalid",IFERROR(ABS($AQ482)&gt;0.01,FALSE),IFERROR(ABS($AR482)&gt;0.01,FALSE),COUNTIF($AS482,"*Conflicting duplicate*")&gt;0,COUNTIF($AS482,"*Completed order not paid*")&gt;0),"Invalid",IF(OR($H482="Unknown",$N482="Unknown",$AM482="Missing discount imputed as 0"),"Warning","Clean"))</x:f>
        <x:v>Warning</x:v>
      </x:c>
      <x:c r="AF482" s="80" t="str">
        <x:v>Cleaned</x:v>
      </x:c>
      <x:c r="AG482" s="80" t="str">
        <x:v>ship_mode: Missing value filled as Unknown</x:v>
      </x:c>
      <x:c r="AH482" s="12" t="str">
        <x:f>IF(C482="","Missing date",IF(ISNUMBER(C482),"Valid","Unrecognized/invalid date"))</x:f>
        <x:v>Valid</x:v>
      </x:c>
      <x:c r="AI482" s="12" t="str">
        <x:f>IF(D482="","Missing date",IF(ISNUMBER(D482),"Valid","Unrecognized/invalid date"))</x:f>
        <x:v>Valid</x:v>
      </x:c>
      <x:c r="AJ482" s="12" t="str">
        <x:v>Valid</x:v>
      </x:c>
      <x:c r="AK482" s="12" t="str">
        <x:v>Pass</x:v>
      </x:c>
      <x:c r="AL482" s="12" t="str">
        <x:v>Missing ship_mode filled as Unknown</x:v>
      </x:c>
      <x:c r="AM482" s="12" t="str">
        <x:v>Valid</x:v>
      </x:c>
      <x:c r="AN482" s="12" t="str">
        <x:v>Include in completed sales</x:v>
      </x:c>
      <x:c r="AO482" s="12" t="str">
        <x:v>Not a refunded record</x:v>
      </x:c>
      <x:c r="AP482" s="37" t="n">
        <x:f>IF(LEFT($AM482,7)="Invalid","",IF($AM482="Missing discount imputed as 0",IF(AND(COUNT($O482,$P482,$R482,$S482)=4,$O482&gt;0,$P482&gt;=0,$R482&gt;=0,$S482&gt;=0),0,""),IF(AND(ISNUMBER($Q482),$Q482&gt;=0,$Q482&lt;=0.5),$Q482,"")))</x:f>
        <x:v>0</x:v>
      </x:c>
      <x:c r="AQ482" s="152" t="n">
        <x:f>IF(OR($W482="",NOT(ISNUMBER($R482))),"",ROUND($R482-$W482,2))</x:f>
        <x:v>0</x:v>
      </x:c>
      <x:c r="AR482" s="152" t="n">
        <x:f>IF(OR($X482="",NOT(ISNUMBER($T482))),"",ROUND($T482-$X482,2))</x:f>
        <x:v>0</x:v>
      </x:c>
      <x:c r="AS482" s="14" t="str">
        <x:v>OK</x:v>
      </x:c>
    </x:row>
    <x:row r="483">
      <x:c r="A483" s="80" t="n">
        <x:v>483</x:v>
      </x:c>
      <x:c r="B483" s="80" t="str">
        <x:v>ORD-2025-10482</x:v>
      </x:c>
      <x:c r="C483" s="81" t="n">
        <x:v>45813</x:v>
      </x:c>
      <x:c r="D483" s="81" t="n">
        <x:v>45821</x:v>
      </x:c>
      <x:c r="E483" s="80" t="str">
        <x:v>CUST-4403</x:v>
      </x:c>
      <x:c r="F483" s="80" t="str">
        <x:v>Isha Nair</x:v>
      </x:c>
      <x:c r="G483" s="80" t="str">
        <x:v>Consumer</x:v>
      </x:c>
      <x:c r="H483" s="80" t="str">
        <x:v>North</x:v>
      </x:c>
      <x:c r="I483" s="80" t="str">
        <x:v>Uttar Pradesh</x:v>
      </x:c>
      <x:c r="J483" s="80" t="str">
        <x:v>Noida</x:v>
      </x:c>
      <x:c r="K483" s="80" t="str">
        <x:v>Technology</x:v>
      </x:c>
      <x:c r="L483" s="80" t="str">
        <x:v>Machines</x:v>
      </x:c>
      <x:c r="M483" s="80" t="str">
        <x:v>Classic Machines 287</x:v>
      </x:c>
      <x:c r="N483" s="80" t="str">
        <x:v>Same Day</x:v>
      </x:c>
      <x:c r="O483" s="82" t="n">
        <x:v>4</x:v>
      </x:c>
      <x:c r="P483" s="83" t="n">
        <x:v>2793.88</x:v>
      </x:c>
      <x:c r="Q483" s="84" t="n">
        <x:v>0.85</x:v>
      </x:c>
      <x:c r="R483" s="83" t="n">
        <x:v>10616.74</x:v>
      </x:c>
      <x:c r="S483" s="83" t="n">
        <x:v>6353.59</x:v>
      </x:c>
      <x:c r="T483" s="83" t="n">
        <x:v>4263.15</x:v>
      </x:c>
      <x:c r="U483" s="83" t="str">
        <x:v>Paid</x:v>
      </x:c>
      <x:c r="V483" s="83" t="str">
        <x:v>Completed</x:v>
      </x:c>
      <x:c r="W483" s="151" t="str">
        <x:f>IF(OR(NOT(ISNUMBER($AP483)),COUNT($O483,$P483)&lt;2,$O483&lt;=0,$P483&lt;0),"",ROUND($O483*$P483*(1-$AP483),2))</x:f>
      </x:c>
      <x:c r="X483" s="151" t="str">
        <x:f>IF(OR(NOT(ISNUMBER($W483)),NOT(ISNUMBER($S483))),"",ROUND($W483-$S483,2))</x:f>
      </x:c>
      <x:c r="Y483" s="85" t="str">
        <x:f>IF(OR(NOT(ISNUMBER($W483)),NOT(ISNUMBER($X483)),$W483=0),"",ROUND($X483/$W483,4))</x:f>
      </x:c>
      <x:c r="Z483" s="82" t="n">
        <x:f>IF(OR($AH483&lt;&gt;"Valid",$AI483&lt;&gt;"Valid"),"",INT($D483-$C483))</x:f>
        <x:v>8</x:v>
      </x:c>
      <x:c r="AA483" s="86" t="str">
        <x:f>IF($AH483&lt;&gt;"Valid","",TEXT($C483,"mmmm"))</x:f>
        <x:v>June</x:v>
      </x:c>
      <x:c r="AB483" s="82" t="n">
        <x:f>IF($AH483&lt;&gt;"Valid","",YEAR($C483))</x:f>
        <x:v>2025</x:v>
      </x:c>
      <x:c r="AC483" s="80" t="str">
        <x:v>Consistent</x:v>
      </x:c>
      <x:c r="AD483" s="80" t="str">
        <x:v>Excluded</x:v>
      </x:c>
      <x:c r="AE483" s="80" t="str">
        <x:f>IF(OR($AH483&lt;&gt;"Valid",$AI483&lt;&gt;"Valid",$AJ483&lt;&gt;"Valid",LEFT($AM483,7)="Invalid",IFERROR(ABS($AQ483)&gt;0.01,FALSE),IFERROR(ABS($AR483)&gt;0.01,FALSE),COUNTIF($AS483,"*Conflicting duplicate*")&gt;0,COUNTIF($AS483,"*Completed order not paid*")&gt;0),"Invalid",IF(OR($H483="Unknown",$N483="Unknown",$AM483="Missing discount imputed as 0"),"Warning","Clean"))</x:f>
        <x:v>Invalid</x:v>
      </x:c>
      <x:c r="AF483" s="80" t="str">
        <x:v>Review</x:v>
      </x:c>
      <x:c r="AG483" s="80" t="str">
        <x:v>discount: Percent text converted</x:v>
      </x:c>
      <x:c r="AH483" s="12" t="str">
        <x:f>IF(C483="","Missing date",IF(ISNUMBER(C483),"Valid","Unrecognized/invalid date"))</x:f>
        <x:v>Valid</x:v>
      </x:c>
      <x:c r="AI483" s="12" t="str">
        <x:f>IF(D483="","Missing date",IF(ISNUMBER(D483),"Valid","Unrecognized/invalid date"))</x:f>
        <x:v>Valid</x:v>
      </x:c>
      <x:c r="AJ483" s="12" t="str">
        <x:v>Valid</x:v>
      </x:c>
      <x:c r="AK483" s="12" t="str">
        <x:v>Pass</x:v>
      </x:c>
      <x:c r="AL483" s="12" t="str">
        <x:v>None</x:v>
      </x:c>
      <x:c r="AM483" s="12" t="str">
        <x:v>Invalid discount – above 50% allowed range</x:v>
      </x:c>
      <x:c r="AN483" s="12" t="str">
        <x:v>Exclude from completed sales</x:v>
      </x:c>
      <x:c r="AO483" s="12" t="str">
        <x:v>Not a refunded record</x:v>
      </x:c>
      <x:c r="AP483" s="37" t="str">
        <x:f>IF(LEFT($AM483,7)="Invalid","",IF($AM483="Missing discount imputed as 0",IF(AND(COUNT($O483,$P483,$R483,$S483)=4,$O483&gt;0,$P483&gt;=0,$R483&gt;=0,$S483&gt;=0),0,""),IF(AND(ISNUMBER($Q483),$Q483&gt;=0,$Q483&lt;=0.5),$Q483,"")))</x:f>
      </x:c>
      <x:c r="AQ483" s="152" t="str">
        <x:f>IF(OR($W483="",NOT(ISNUMBER($R483))),"",ROUND($R483-$W483,2))</x:f>
      </x:c>
      <x:c r="AR483" s="152" t="str">
        <x:f>IF(OR($X483="",NOT(ISNUMBER($T483))),"",ROUND($T483-$X483,2))</x:f>
      </x:c>
      <x:c r="AS483" s="14" t="str">
        <x:v>Discount above allowed range (&gt;50%)</x:v>
      </x:c>
    </x:row>
    <x:row r="484">
      <x:c r="A484" s="80" t="n">
        <x:v>484</x:v>
      </x:c>
      <x:c r="B484" s="80" t="str">
        <x:v>ORD-2024-10483</x:v>
      </x:c>
      <x:c r="C484" s="81" t="n">
        <x:v>45495</x:v>
      </x:c>
      <x:c r="D484" s="81" t="n">
        <x:v>45495</x:v>
      </x:c>
      <x:c r="E484" s="80" t="str">
        <x:v>CUST-3583</x:v>
      </x:c>
      <x:c r="F484" s="80" t="str">
        <x:v>Priya Menon</x:v>
      </x:c>
      <x:c r="G484" s="80" t="str">
        <x:v>Consumer</x:v>
      </x:c>
      <x:c r="H484" s="80" t="str">
        <x:v>South</x:v>
      </x:c>
      <x:c r="I484" s="80" t="str">
        <x:v>Karnataka</x:v>
      </x:c>
      <x:c r="J484" s="80" t="str">
        <x:v>Bengaluru</x:v>
      </x:c>
      <x:c r="K484" s="80" t="str">
        <x:v>Technology</x:v>
      </x:c>
      <x:c r="L484" s="80" t="str">
        <x:v>Accessories</x:v>
      </x:c>
      <x:c r="M484" s="80" t="str">
        <x:v>Basic Accessories 518</x:v>
      </x:c>
      <x:c r="N484" s="80" t="str">
        <x:v>Second Class</x:v>
      </x:c>
      <x:c r="O484" s="82" t="n">
        <x:v>3</x:v>
      </x:c>
      <x:c r="P484" s="83" t="n">
        <x:v>1286.22</x:v>
      </x:c>
      <x:c r="Q484" s="84" t="n">
        <x:v>0.25</x:v>
      </x:c>
      <x:c r="R484" s="83" t="n">
        <x:v>2893.99</x:v>
      </x:c>
      <x:c r="S484" s="83" t="n">
        <x:v>1856.03</x:v>
      </x:c>
      <x:c r="T484" s="83" t="n">
        <x:v>1037.96</x:v>
      </x:c>
      <x:c r="U484" s="83" t="str">
        <x:v>Paid</x:v>
      </x:c>
      <x:c r="V484" s="83" t="str">
        <x:v>Completed</x:v>
      </x:c>
      <x:c r="W484" s="151" t="n">
        <x:f>IF(OR(NOT(ISNUMBER($AP484)),COUNT($O484,$P484)&lt;2,$O484&lt;=0,$P484&lt;0),"",ROUND($O484*$P484*(1-$AP484),2))</x:f>
        <x:v>2894</x:v>
      </x:c>
      <x:c r="X484" s="151" t="n">
        <x:f>IF(OR(NOT(ISNUMBER($W484)),NOT(ISNUMBER($S484))),"",ROUND($W484-$S484,2))</x:f>
        <x:v>1037.97</x:v>
      </x:c>
      <x:c r="Y484" s="85" t="n">
        <x:f>IF(OR(NOT(ISNUMBER($W484)),NOT(ISNUMBER($X484)),$W484=0),"",ROUND($X484/$W484,4))</x:f>
        <x:v>0.3587</x:v>
      </x:c>
      <x:c r="Z484" s="82" t="n">
        <x:f>IF(OR($AH484&lt;&gt;"Valid",$AI484&lt;&gt;"Valid"),"",INT($D484-$C484))</x:f>
        <x:v>0</x:v>
      </x:c>
      <x:c r="AA484" s="86" t="str">
        <x:f>IF($AH484&lt;&gt;"Valid","",TEXT($C484,"mmmm"))</x:f>
        <x:v>July</x:v>
      </x:c>
      <x:c r="AB484" s="82" t="n">
        <x:f>IF($AH484&lt;&gt;"Valid","",YEAR($C484))</x:f>
        <x:v>2024</x:v>
      </x:c>
      <x:c r="AC484" s="80" t="str">
        <x:v>Consistent</x:v>
      </x:c>
      <x:c r="AD484" s="80" t="str">
        <x:v>Eligible</x:v>
      </x:c>
      <x:c r="AE484" s="80" t="str">
        <x:f>IF(OR($AH484&lt;&gt;"Valid",$AI484&lt;&gt;"Valid",$AJ484&lt;&gt;"Valid",LEFT($AM484,7)="Invalid",IFERROR(ABS($AQ484)&gt;0.01,FALSE),IFERROR(ABS($AR484)&gt;0.01,FALSE),COUNTIF($AS484,"*Conflicting duplicate*")&gt;0,COUNTIF($AS484,"*Completed order not paid*")&gt;0),"Invalid",IF(OR($H484="Unknown",$N484="Unknown",$AM484="Missing discount imputed as 0"),"Warning","Clean"))</x:f>
        <x:v>Clean</x:v>
      </x:c>
      <x:c r="AF484" s="80" t="str">
        <x:v>Pass</x:v>
      </x:c>
      <x:c r="AG484" s="80" t="str">
        <x:v>No text cleanup required</x:v>
      </x:c>
      <x:c r="AH484" s="12" t="str">
        <x:f>IF(C484="","Missing date",IF(ISNUMBER(C484),"Valid","Unrecognized/invalid date"))</x:f>
        <x:v>Valid</x:v>
      </x:c>
      <x:c r="AI484" s="12" t="str">
        <x:f>IF(D484="","Missing date",IF(ISNUMBER(D484),"Valid","Unrecognized/invalid date"))</x:f>
        <x:v>Valid</x:v>
      </x:c>
      <x:c r="AJ484" s="12" t="str">
        <x:v>Valid</x:v>
      </x:c>
      <x:c r="AK484" s="12" t="str">
        <x:v>Pass</x:v>
      </x:c>
      <x:c r="AL484" s="12" t="str">
        <x:v>None</x:v>
      </x:c>
      <x:c r="AM484" s="12" t="str">
        <x:v>Valid</x:v>
      </x:c>
      <x:c r="AN484" s="12" t="str">
        <x:v>Include in completed sales</x:v>
      </x:c>
      <x:c r="AO484" s="12" t="str">
        <x:v>Not a refunded record</x:v>
      </x:c>
      <x:c r="AP484" s="37" t="n">
        <x:f>IF(LEFT($AM484,7)="Invalid","",IF($AM484="Missing discount imputed as 0",IF(AND(COUNT($O484,$P484,$R484,$S484)=4,$O484&gt;0,$P484&gt;=0,$R484&gt;=0,$S484&gt;=0),0,""),IF(AND(ISNUMBER($Q484),$Q484&gt;=0,$Q484&lt;=0.5),$Q484,"")))</x:f>
        <x:v>0.25</x:v>
      </x:c>
      <x:c r="AQ484" s="152" t="n">
        <x:f>IF(OR($W484="",NOT(ISNUMBER($R484))),"",ROUND($R484-$W484,2))</x:f>
        <x:v>-0.01</x:v>
      </x:c>
      <x:c r="AR484" s="152" t="n">
        <x:f>IF(OR($X484="",NOT(ISNUMBER($T484))),"",ROUND($T484-$X484,2))</x:f>
        <x:v>-0.01</x:v>
      </x:c>
      <x:c r="AS484" s="14" t="str">
        <x:v>OK</x:v>
      </x:c>
    </x:row>
    <x:row r="485">
      <x:c r="A485" s="80" t="n">
        <x:v>485</x:v>
      </x:c>
      <x:c r="B485" s="80" t="str">
        <x:v>ORD-2024-10484</x:v>
      </x:c>
      <x:c r="C485" s="81" t="n">
        <x:v>45651</x:v>
      </x:c>
      <x:c r="D485" s="81" t="n">
        <x:v>45651</x:v>
      </x:c>
      <x:c r="E485" s="80" t="str">
        <x:v>CUST-9432</x:v>
      </x:c>
      <x:c r="F485" s="80" t="str">
        <x:v>Mira Das</x:v>
      </x:c>
      <x:c r="G485" s="80" t="str">
        <x:v>Corporate</x:v>
      </x:c>
      <x:c r="H485" s="80" t="str">
        <x:v>East</x:v>
      </x:c>
      <x:c r="I485" s="80" t="str">
        <x:v>Bihar</x:v>
      </x:c>
      <x:c r="J485" s="80" t="str">
        <x:v>Patna</x:v>
      </x:c>
      <x:c r="K485" s="80" t="str">
        <x:v>Technology</x:v>
      </x:c>
      <x:c r="L485" s="80" t="str">
        <x:v>Copiers</x:v>
      </x:c>
      <x:c r="M485" s="80" t="str">
        <x:v>Pro Copiers 984</x:v>
      </x:c>
      <x:c r="N485" s="80" t="str">
        <x:v>Standard Class</x:v>
      </x:c>
      <x:c r="O485" s="82" t="n">
        <x:v>1</x:v>
      </x:c>
      <x:c r="P485" s="83" t="n">
        <x:v>829.66</x:v>
      </x:c>
      <x:c r="Q485" s="84" t="n">
        <x:v>0.15</x:v>
      </x:c>
      <x:c r="R485" s="83" t="n">
        <x:v>705.21</x:v>
      </x:c>
      <x:c r="S485" s="83" t="n">
        <x:v>438.32</x:v>
      </x:c>
      <x:c r="T485" s="83" t="n">
        <x:v>266.89</x:v>
      </x:c>
      <x:c r="U485" s="83" t="str">
        <x:v>Paid</x:v>
      </x:c>
      <x:c r="V485" s="83" t="str">
        <x:v>Completed</x:v>
      </x:c>
      <x:c r="W485" s="151" t="n">
        <x:f>IF(OR(NOT(ISNUMBER($AP485)),COUNT($O485,$P485)&lt;2,$O485&lt;=0,$P485&lt;0),"",ROUND($O485*$P485*(1-$AP485),2))</x:f>
        <x:v>705.21</x:v>
      </x:c>
      <x:c r="X485" s="151" t="n">
        <x:f>IF(OR(NOT(ISNUMBER($W485)),NOT(ISNUMBER($S485))),"",ROUND($W485-$S485,2))</x:f>
        <x:v>266.89</x:v>
      </x:c>
      <x:c r="Y485" s="85" t="n">
        <x:f>IF(OR(NOT(ISNUMBER($W485)),NOT(ISNUMBER($X485)),$W485=0),"",ROUND($X485/$W485,4))</x:f>
        <x:v>0.3785</x:v>
      </x:c>
      <x:c r="Z485" s="82" t="n">
        <x:f>IF(OR($AH485&lt;&gt;"Valid",$AI485&lt;&gt;"Valid"),"",INT($D485-$C485))</x:f>
        <x:v>0</x:v>
      </x:c>
      <x:c r="AA485" s="86" t="str">
        <x:f>IF($AH485&lt;&gt;"Valid","",TEXT($C485,"mmmm"))</x:f>
        <x:v>December</x:v>
      </x:c>
      <x:c r="AB485" s="82" t="n">
        <x:f>IF($AH485&lt;&gt;"Valid","",YEAR($C485))</x:f>
        <x:v>2024</x:v>
      </x:c>
      <x:c r="AC485" s="80" t="str">
        <x:v>Consistent</x:v>
      </x:c>
      <x:c r="AD485" s="80" t="str">
        <x:v>Eligible</x:v>
      </x:c>
      <x:c r="AE485" s="80" t="str">
        <x:f>IF(OR($AH485&lt;&gt;"Valid",$AI485&lt;&gt;"Valid",$AJ485&lt;&gt;"Valid",LEFT($AM485,7)="Invalid",IFERROR(ABS($AQ485)&gt;0.01,FALSE),IFERROR(ABS($AR485)&gt;0.01,FALSE),COUNTIF($AS485,"*Conflicting duplicate*")&gt;0,COUNTIF($AS485,"*Completed order not paid*")&gt;0),"Invalid",IF(OR($H485="Unknown",$N485="Unknown",$AM485="Missing discount imputed as 0"),"Warning","Clean"))</x:f>
        <x:v>Clean</x:v>
      </x:c>
      <x:c r="AF485" s="80" t="str">
        <x:v>Pass</x:v>
      </x:c>
      <x:c r="AG485" s="80" t="str">
        <x:v>No text cleanup required</x:v>
      </x:c>
      <x:c r="AH485" s="12" t="str">
        <x:f>IF(C485="","Missing date",IF(ISNUMBER(C485),"Valid","Unrecognized/invalid date"))</x:f>
        <x:v>Valid</x:v>
      </x:c>
      <x:c r="AI485" s="12" t="str">
        <x:f>IF(D485="","Missing date",IF(ISNUMBER(D485),"Valid","Unrecognized/invalid date"))</x:f>
        <x:v>Valid</x:v>
      </x:c>
      <x:c r="AJ485" s="12" t="str">
        <x:v>Valid</x:v>
      </x:c>
      <x:c r="AK485" s="12" t="str">
        <x:v>Pass</x:v>
      </x:c>
      <x:c r="AL485" s="12" t="str">
        <x:v>None</x:v>
      </x:c>
      <x:c r="AM485" s="12" t="str">
        <x:v>Valid</x:v>
      </x:c>
      <x:c r="AN485" s="12" t="str">
        <x:v>Include in completed sales</x:v>
      </x:c>
      <x:c r="AO485" s="12" t="str">
        <x:v>Not a refunded record</x:v>
      </x:c>
      <x:c r="AP485" s="37" t="n">
        <x:f>IF(LEFT($AM485,7)="Invalid","",IF($AM485="Missing discount imputed as 0",IF(AND(COUNT($O485,$P485,$R485,$S485)=4,$O485&gt;0,$P485&gt;=0,$R485&gt;=0,$S485&gt;=0),0,""),IF(AND(ISNUMBER($Q485),$Q485&gt;=0,$Q485&lt;=0.5),$Q485,"")))</x:f>
        <x:v>0.15</x:v>
      </x:c>
      <x:c r="AQ485" s="152" t="n">
        <x:f>IF(OR($W485="",NOT(ISNUMBER($R485))),"",ROUND($R485-$W485,2))</x:f>
        <x:v>0</x:v>
      </x:c>
      <x:c r="AR485" s="152" t="n">
        <x:f>IF(OR($X485="",NOT(ISNUMBER($T485))),"",ROUND($T485-$X485,2))</x:f>
        <x:v>0</x:v>
      </x:c>
      <x:c r="AS485" s="14" t="str">
        <x:v>OK</x:v>
      </x:c>
    </x:row>
    <x:row r="486">
      <x:c r="A486" s="80" t="n">
        <x:v>486</x:v>
      </x:c>
      <x:c r="B486" s="80" t="str">
        <x:v>ORD-2024-10485</x:v>
      </x:c>
      <x:c r="C486" s="81" t="n">
        <x:v>45654</x:v>
      </x:c>
      <x:c r="D486" s="81" t="n">
        <x:v>45657</x:v>
      </x:c>
      <x:c r="E486" s="80" t="str">
        <x:v>CUST-1801</x:v>
      </x:c>
      <x:c r="F486" s="80" t="str">
        <x:v>Mira Das</x:v>
      </x:c>
      <x:c r="G486" s="80" t="str">
        <x:v>Small Business</x:v>
      </x:c>
      <x:c r="H486" s="80" t="str">
        <x:v>South</x:v>
      </x:c>
      <x:c r="I486" s="80" t="str">
        <x:v>Andhra Pradesh</x:v>
      </x:c>
      <x:c r="J486" s="80" t="str">
        <x:v>Vijayawada</x:v>
      </x:c>
      <x:c r="K486" s="80" t="str">
        <x:v>Furniture</x:v>
      </x:c>
      <x:c r="L486" s="80" t="str">
        <x:v>Furnishings</x:v>
      </x:c>
      <x:c r="M486" s="80" t="str">
        <x:v>Max Furnishings 297</x:v>
      </x:c>
      <x:c r="N486" s="80" t="str">
        <x:v>First Class</x:v>
      </x:c>
      <x:c r="O486" s="82" t="n">
        <x:v>6</x:v>
      </x:c>
      <x:c r="P486" s="83" t="n">
        <x:v>3641.22</x:v>
      </x:c>
      <x:c r="Q486" s="84" t="n">
        <x:v>0.25</x:v>
      </x:c>
      <x:c r="R486" s="83" t="n">
        <x:v>16385.49</x:v>
      </x:c>
      <x:c r="S486" s="83" t="n">
        <x:v>13679.24</x:v>
      </x:c>
      <x:c r="T486" s="83" t="n">
        <x:v>2706.25</x:v>
      </x:c>
      <x:c r="U486" s="83" t="str">
        <x:v>Paid</x:v>
      </x:c>
      <x:c r="V486" s="83" t="str">
        <x:v>Completed</x:v>
      </x:c>
      <x:c r="W486" s="151" t="n">
        <x:f>IF(OR(NOT(ISNUMBER($AP486)),COUNT($O486,$P486)&lt;2,$O486&lt;=0,$P486&lt;0),"",ROUND($O486*$P486*(1-$AP486),2))</x:f>
        <x:v>16385.49</x:v>
      </x:c>
      <x:c r="X486" s="151" t="n">
        <x:f>IF(OR(NOT(ISNUMBER($W486)),NOT(ISNUMBER($S486))),"",ROUND($W486-$S486,2))</x:f>
        <x:v>2706.25</x:v>
      </x:c>
      <x:c r="Y486" s="85" t="n">
        <x:f>IF(OR(NOT(ISNUMBER($W486)),NOT(ISNUMBER($X486)),$W486=0),"",ROUND($X486/$W486,4))</x:f>
        <x:v>0.1652</x:v>
      </x:c>
      <x:c r="Z486" s="82" t="n">
        <x:f>IF(OR($AH486&lt;&gt;"Valid",$AI486&lt;&gt;"Valid"),"",INT($D486-$C486))</x:f>
        <x:v>3</x:v>
      </x:c>
      <x:c r="AA486" s="86" t="str">
        <x:f>IF($AH486&lt;&gt;"Valid","",TEXT($C486,"mmmm"))</x:f>
        <x:v>December</x:v>
      </x:c>
      <x:c r="AB486" s="82" t="n">
        <x:f>IF($AH486&lt;&gt;"Valid","",YEAR($C486))</x:f>
        <x:v>2024</x:v>
      </x:c>
      <x:c r="AC486" s="80" t="str">
        <x:v>Consistent</x:v>
      </x:c>
      <x:c r="AD486" s="80" t="str">
        <x:v>Eligible</x:v>
      </x:c>
      <x:c r="AE486" s="80" t="str">
        <x:f>IF(OR($AH486&lt;&gt;"Valid",$AI486&lt;&gt;"Valid",$AJ486&lt;&gt;"Valid",LEFT($AM486,7)="Invalid",IFERROR(ABS($AQ486)&gt;0.01,FALSE),IFERROR(ABS($AR486)&gt;0.01,FALSE),COUNTIF($AS486,"*Conflicting duplicate*")&gt;0,COUNTIF($AS486,"*Completed order not paid*")&gt;0),"Invalid",IF(OR($H486="Unknown",$N486="Unknown",$AM486="Missing discount imputed as 0"),"Warning","Clean"))</x:f>
        <x:v>Clean</x:v>
      </x:c>
      <x:c r="AF486" s="80" t="str">
        <x:v>Pass</x:v>
      </x:c>
      <x:c r="AG486" s="80" t="str">
        <x:v>No text cleanup required</x:v>
      </x:c>
      <x:c r="AH486" s="12" t="str">
        <x:f>IF(C486="","Missing date",IF(ISNUMBER(C486),"Valid","Unrecognized/invalid date"))</x:f>
        <x:v>Valid</x:v>
      </x:c>
      <x:c r="AI486" s="12" t="str">
        <x:f>IF(D486="","Missing date",IF(ISNUMBER(D486),"Valid","Unrecognized/invalid date"))</x:f>
        <x:v>Valid</x:v>
      </x:c>
      <x:c r="AJ486" s="12" t="str">
        <x:v>Valid</x:v>
      </x:c>
      <x:c r="AK486" s="12" t="str">
        <x:v>Pass</x:v>
      </x:c>
      <x:c r="AL486" s="12" t="str">
        <x:v>None</x:v>
      </x:c>
      <x:c r="AM486" s="12" t="str">
        <x:v>Valid</x:v>
      </x:c>
      <x:c r="AN486" s="12" t="str">
        <x:v>Include in completed sales</x:v>
      </x:c>
      <x:c r="AO486" s="12" t="str">
        <x:v>Not a refunded record</x:v>
      </x:c>
      <x:c r="AP486" s="37" t="n">
        <x:f>IF(LEFT($AM486,7)="Invalid","",IF($AM486="Missing discount imputed as 0",IF(AND(COUNT($O486,$P486,$R486,$S486)=4,$O486&gt;0,$P486&gt;=0,$R486&gt;=0,$S486&gt;=0),0,""),IF(AND(ISNUMBER($Q486),$Q486&gt;=0,$Q486&lt;=0.5),$Q486,"")))</x:f>
        <x:v>0.25</x:v>
      </x:c>
      <x:c r="AQ486" s="152" t="n">
        <x:f>IF(OR($W486="",NOT(ISNUMBER($R486))),"",ROUND($R486-$W486,2))</x:f>
        <x:v>0</x:v>
      </x:c>
      <x:c r="AR486" s="152" t="n">
        <x:f>IF(OR($X486="",NOT(ISNUMBER($T486))),"",ROUND($T486-$X486,2))</x:f>
        <x:v>0</x:v>
      </x:c>
      <x:c r="AS486" s="14" t="str">
        <x:v>OK</x:v>
      </x:c>
    </x:row>
    <x:row r="487">
      <x:c r="A487" s="80" t="n">
        <x:v>487</x:v>
      </x:c>
      <x:c r="B487" s="80" t="str">
        <x:v>ORD-2025-10486</x:v>
      </x:c>
      <x:c r="C487" s="81" t="n">
        <x:v>45679</x:v>
      </x:c>
      <x:c r="D487" s="81" t="n">
        <x:v>45680</x:v>
      </x:c>
      <x:c r="E487" s="80" t="str">
        <x:v>CUST-1594</x:v>
      </x:c>
      <x:c r="F487" s="80" t="str">
        <x:v>Rahul Verma</x:v>
      </x:c>
      <x:c r="G487" s="80" t="str">
        <x:v>Corporate</x:v>
      </x:c>
      <x:c r="H487" s="80" t="str">
        <x:v>West</x:v>
      </x:c>
      <x:c r="I487" s="80" t="str">
        <x:v>Goa</x:v>
      </x:c>
      <x:c r="J487" s="80" t="str">
        <x:v>Panaji</x:v>
      </x:c>
      <x:c r="K487" s="80" t="str">
        <x:v>Furniture</x:v>
      </x:c>
      <x:c r="L487" s="80" t="str">
        <x:v>Bookcases</x:v>
      </x:c>
      <x:c r="M487" s="80" t="str">
        <x:v>Elite Bookcases 802</x:v>
      </x:c>
      <x:c r="N487" s="80" t="str">
        <x:v>Standard Class</x:v>
      </x:c>
      <x:c r="O487" s="82" t="n">
        <x:v>4</x:v>
      </x:c>
      <x:c r="P487" s="83" t="n">
        <x:v>2555.19</x:v>
      </x:c>
      <x:c r="Q487" s="84" t="n">
        <x:v>0.25</x:v>
      </x:c>
      <x:c r="R487" s="83" t="n">
        <x:v>7665.57</x:v>
      </x:c>
      <x:c r="S487" s="83" t="n">
        <x:v>5595.6</x:v>
      </x:c>
      <x:c r="T487" s="83" t="n">
        <x:v>2069.97</x:v>
      </x:c>
      <x:c r="U487" s="83" t="str">
        <x:v>Paid</x:v>
      </x:c>
      <x:c r="V487" s="83" t="str">
        <x:v>Completed</x:v>
      </x:c>
      <x:c r="W487" s="151" t="n">
        <x:f>IF(OR(NOT(ISNUMBER($AP487)),COUNT($O487,$P487)&lt;2,$O487&lt;=0,$P487&lt;0),"",ROUND($O487*$P487*(1-$AP487),2))</x:f>
        <x:v>7665.57</x:v>
      </x:c>
      <x:c r="X487" s="151" t="n">
        <x:f>IF(OR(NOT(ISNUMBER($W487)),NOT(ISNUMBER($S487))),"",ROUND($W487-$S487,2))</x:f>
        <x:v>2069.97</x:v>
      </x:c>
      <x:c r="Y487" s="85" t="n">
        <x:f>IF(OR(NOT(ISNUMBER($W487)),NOT(ISNUMBER($X487)),$W487=0),"",ROUND($X487/$W487,4))</x:f>
        <x:v>0.27</x:v>
      </x:c>
      <x:c r="Z487" s="82" t="n">
        <x:f>IF(OR($AH487&lt;&gt;"Valid",$AI487&lt;&gt;"Valid"),"",INT($D487-$C487))</x:f>
        <x:v>1</x:v>
      </x:c>
      <x:c r="AA487" s="86" t="str">
        <x:f>IF($AH487&lt;&gt;"Valid","",TEXT($C487,"mmmm"))</x:f>
        <x:v>January</x:v>
      </x:c>
      <x:c r="AB487" s="82" t="n">
        <x:f>IF($AH487&lt;&gt;"Valid","",YEAR($C487))</x:f>
        <x:v>2025</x:v>
      </x:c>
      <x:c r="AC487" s="80" t="str">
        <x:v>Consistent</x:v>
      </x:c>
      <x:c r="AD487" s="80" t="str">
        <x:v>Eligible</x:v>
      </x:c>
      <x:c r="AE487" s="80" t="str">
        <x:f>IF(OR($AH487&lt;&gt;"Valid",$AI487&lt;&gt;"Valid",$AJ487&lt;&gt;"Valid",LEFT($AM487,7)="Invalid",IFERROR(ABS($AQ487)&gt;0.01,FALSE),IFERROR(ABS($AR487)&gt;0.01,FALSE),COUNTIF($AS487,"*Conflicting duplicate*")&gt;0,COUNTIF($AS487,"*Completed order not paid*")&gt;0),"Invalid",IF(OR($H487="Unknown",$N487="Unknown",$AM487="Missing discount imputed as 0"),"Warning","Clean"))</x:f>
        <x:v>Clean</x:v>
      </x:c>
      <x:c r="AF487" s="80" t="str">
        <x:v>Pass</x:v>
      </x:c>
      <x:c r="AG487" s="80" t="str">
        <x:v>No text cleanup required</x:v>
      </x:c>
      <x:c r="AH487" s="12" t="str">
        <x:f>IF(C487="","Missing date",IF(ISNUMBER(C487),"Valid","Unrecognized/invalid date"))</x:f>
        <x:v>Valid</x:v>
      </x:c>
      <x:c r="AI487" s="12" t="str">
        <x:f>IF(D487="","Missing date",IF(ISNUMBER(D487),"Valid","Unrecognized/invalid date"))</x:f>
        <x:v>Valid</x:v>
      </x:c>
      <x:c r="AJ487" s="12" t="str">
        <x:v>Valid</x:v>
      </x:c>
      <x:c r="AK487" s="12" t="str">
        <x:v>Pass</x:v>
      </x:c>
      <x:c r="AL487" s="12" t="str">
        <x:v>None</x:v>
      </x:c>
      <x:c r="AM487" s="12" t="str">
        <x:v>Valid</x:v>
      </x:c>
      <x:c r="AN487" s="12" t="str">
        <x:v>Include in completed sales</x:v>
      </x:c>
      <x:c r="AO487" s="12" t="str">
        <x:v>Not a refunded record</x:v>
      </x:c>
      <x:c r="AP487" s="37" t="n">
        <x:f>IF(LEFT($AM487,7)="Invalid","",IF($AM487="Missing discount imputed as 0",IF(AND(COUNT($O487,$P487,$R487,$S487)=4,$O487&gt;0,$P487&gt;=0,$R487&gt;=0,$S487&gt;=0),0,""),IF(AND(ISNUMBER($Q487),$Q487&gt;=0,$Q487&lt;=0.5),$Q487,"")))</x:f>
        <x:v>0.25</x:v>
      </x:c>
      <x:c r="AQ487" s="152" t="n">
        <x:f>IF(OR($W487="",NOT(ISNUMBER($R487))),"",ROUND($R487-$W487,2))</x:f>
        <x:v>0</x:v>
      </x:c>
      <x:c r="AR487" s="152" t="n">
        <x:f>IF(OR($X487="",NOT(ISNUMBER($T487))),"",ROUND($T487-$X487,2))</x:f>
        <x:v>0</x:v>
      </x:c>
      <x:c r="AS487" s="14" t="str">
        <x:v>OK</x:v>
      </x:c>
    </x:row>
    <x:row r="488">
      <x:c r="A488" s="80" t="n">
        <x:v>488</x:v>
      </x:c>
      <x:c r="B488" s="80" t="str">
        <x:v>ORD-2025-10487</x:v>
      </x:c>
      <x:c r="C488" s="81" t="n">
        <x:v>45830</x:v>
      </x:c>
      <x:c r="D488" s="81" t="n">
        <x:v>45834</x:v>
      </x:c>
      <x:c r="E488" s="80" t="str">
        <x:v>CUST-8132</x:v>
      </x:c>
      <x:c r="F488" s="80" t="str">
        <x:v>Rahul Verma</x:v>
      </x:c>
      <x:c r="G488" s="80" t="str">
        <x:v>Corporate</x:v>
      </x:c>
      <x:c r="H488" s="80" t="str">
        <x:v>West</x:v>
      </x:c>
      <x:c r="I488" s="80" t="str">
        <x:v>Goa</x:v>
      </x:c>
      <x:c r="J488" s="80" t="str">
        <x:v>Panaji</x:v>
      </x:c>
      <x:c r="K488" s="80" t="str">
        <x:v>Furniture</x:v>
      </x:c>
      <x:c r="L488" s="80" t="str">
        <x:v>Tables</x:v>
      </x:c>
      <x:c r="M488" s="80" t="str">
        <x:v>Pro Tables 257</x:v>
      </x:c>
      <x:c r="N488" s="80" t="str">
        <x:v>Standard Class</x:v>
      </x:c>
      <x:c r="O488" s="82" t="n">
        <x:v>3</x:v>
      </x:c>
      <x:c r="P488" s="83" t="n">
        <x:v>1946.18</x:v>
      </x:c>
      <x:c r="Q488" s="84" t="n">
        <x:v>0.2</x:v>
      </x:c>
      <x:c r="R488" s="83" t="n">
        <x:v>4670.83</x:v>
      </x:c>
      <x:c r="S488" s="83" t="n">
        <x:v>3166.49</x:v>
      </x:c>
      <x:c r="T488" s="83" t="n">
        <x:v>1504.34</x:v>
      </x:c>
      <x:c r="U488" s="83" t="str">
        <x:v>Paid</x:v>
      </x:c>
      <x:c r="V488" s="83" t="str">
        <x:v>Completed</x:v>
      </x:c>
      <x:c r="W488" s="151" t="n">
        <x:f>IF(OR(NOT(ISNUMBER($AP488)),COUNT($O488,$P488)&lt;2,$O488&lt;=0,$P488&lt;0),"",ROUND($O488*$P488*(1-$AP488),2))</x:f>
        <x:v>4670.83</x:v>
      </x:c>
      <x:c r="X488" s="151" t="n">
        <x:f>IF(OR(NOT(ISNUMBER($W488)),NOT(ISNUMBER($S488))),"",ROUND($W488-$S488,2))</x:f>
        <x:v>1504.34</x:v>
      </x:c>
      <x:c r="Y488" s="85" t="n">
        <x:f>IF(OR(NOT(ISNUMBER($W488)),NOT(ISNUMBER($X488)),$W488=0),"",ROUND($X488/$W488,4))</x:f>
        <x:v>0.3221</x:v>
      </x:c>
      <x:c r="Z488" s="82" t="n">
        <x:f>IF(OR($AH488&lt;&gt;"Valid",$AI488&lt;&gt;"Valid"),"",INT($D488-$C488))</x:f>
        <x:v>4</x:v>
      </x:c>
      <x:c r="AA488" s="86" t="str">
        <x:f>IF($AH488&lt;&gt;"Valid","",TEXT($C488,"mmmm"))</x:f>
        <x:v>June</x:v>
      </x:c>
      <x:c r="AB488" s="82" t="n">
        <x:f>IF($AH488&lt;&gt;"Valid","",YEAR($C488))</x:f>
        <x:v>2025</x:v>
      </x:c>
      <x:c r="AC488" s="80" t="str">
        <x:v>Consistent</x:v>
      </x:c>
      <x:c r="AD488" s="80" t="str">
        <x:v>Eligible</x:v>
      </x:c>
      <x:c r="AE488" s="80" t="str">
        <x:f>IF(OR($AH488&lt;&gt;"Valid",$AI488&lt;&gt;"Valid",$AJ488&lt;&gt;"Valid",LEFT($AM488,7)="Invalid",IFERROR(ABS($AQ488)&gt;0.01,FALSE),IFERROR(ABS($AR488)&gt;0.01,FALSE),COUNTIF($AS488,"*Conflicting duplicate*")&gt;0,COUNTIF($AS488,"*Completed order not paid*")&gt;0),"Invalid",IF(OR($H488="Unknown",$N488="Unknown",$AM488="Missing discount imputed as 0"),"Warning","Clean"))</x:f>
        <x:v>Clean</x:v>
      </x:c>
      <x:c r="AF488" s="80" t="str">
        <x:v>Pass</x:v>
      </x:c>
      <x:c r="AG488" s="80" t="str">
        <x:v>No text cleanup required</x:v>
      </x:c>
      <x:c r="AH488" s="12" t="str">
        <x:f>IF(C488="","Missing date",IF(ISNUMBER(C488),"Valid","Unrecognized/invalid date"))</x:f>
        <x:v>Valid</x:v>
      </x:c>
      <x:c r="AI488" s="12" t="str">
        <x:f>IF(D488="","Missing date",IF(ISNUMBER(D488),"Valid","Unrecognized/invalid date"))</x:f>
        <x:v>Valid</x:v>
      </x:c>
      <x:c r="AJ488" s="12" t="str">
        <x:v>Valid</x:v>
      </x:c>
      <x:c r="AK488" s="12" t="str">
        <x:v>Pass</x:v>
      </x:c>
      <x:c r="AL488" s="12" t="str">
        <x:v>None</x:v>
      </x:c>
      <x:c r="AM488" s="12" t="str">
        <x:v>Valid</x:v>
      </x:c>
      <x:c r="AN488" s="12" t="str">
        <x:v>Include in completed sales</x:v>
      </x:c>
      <x:c r="AO488" s="12" t="str">
        <x:v>Not a refunded record</x:v>
      </x:c>
      <x:c r="AP488" s="37" t="n">
        <x:f>IF(LEFT($AM488,7)="Invalid","",IF($AM488="Missing discount imputed as 0",IF(AND(COUNT($O488,$P488,$R488,$S488)=4,$O488&gt;0,$P488&gt;=0,$R488&gt;=0,$S488&gt;=0),0,""),IF(AND(ISNUMBER($Q488),$Q488&gt;=0,$Q488&lt;=0.5),$Q488,"")))</x:f>
        <x:v>0.2</x:v>
      </x:c>
      <x:c r="AQ488" s="152" t="n">
        <x:f>IF(OR($W488="",NOT(ISNUMBER($R488))),"",ROUND($R488-$W488,2))</x:f>
        <x:v>0</x:v>
      </x:c>
      <x:c r="AR488" s="152" t="n">
        <x:f>IF(OR($X488="",NOT(ISNUMBER($T488))),"",ROUND($T488-$X488,2))</x:f>
        <x:v>0</x:v>
      </x:c>
      <x:c r="AS488" s="14" t="str">
        <x:v>OK</x:v>
      </x:c>
    </x:row>
    <x:row r="489">
      <x:c r="A489" s="80" t="n">
        <x:v>489</x:v>
      </x:c>
      <x:c r="B489" s="80" t="str">
        <x:v>ORD-2025-10488</x:v>
      </x:c>
      <x:c r="C489" s="81" t="n">
        <x:v>45818</x:v>
      </x:c>
      <x:c r="D489" s="81" t="n">
        <x:v>45825</x:v>
      </x:c>
      <x:c r="E489" s="80" t="str">
        <x:v>CUST-7685</x:v>
      </x:c>
      <x:c r="F489" s="80" t="str">
        <x:v>Rahul Verma</x:v>
      </x:c>
      <x:c r="G489" s="80" t="str">
        <x:v>Corporate</x:v>
      </x:c>
      <x:c r="H489" s="80" t="str">
        <x:v>South</x:v>
      </x:c>
      <x:c r="I489" s="80" t="str">
        <x:v>Telangana</x:v>
      </x:c>
      <x:c r="J489" s="80" t="str">
        <x:v>Hyderabad</x:v>
      </x:c>
      <x:c r="K489" s="80" t="str">
        <x:v>Furniture</x:v>
      </x:c>
      <x:c r="L489" s="80" t="str">
        <x:v>Furnishings</x:v>
      </x:c>
      <x:c r="M489" s="80" t="str">
        <x:v>Prime Furnishings 299</x:v>
      </x:c>
      <x:c r="N489" s="80" t="str">
        <x:v>Standard Class</x:v>
      </x:c>
      <x:c r="O489" s="82" t="n">
        <x:v>5</x:v>
      </x:c>
      <x:c r="P489" s="83" t="n">
        <x:v>1231.1</x:v>
      </x:c>
      <x:c r="Q489" s="84" t="n">
        <x:v>0</x:v>
      </x:c>
      <x:c r="R489" s="83" t="n">
        <x:v>6155.5</x:v>
      </x:c>
      <x:c r="S489" s="83" t="n">
        <x:v>4282.09</x:v>
      </x:c>
      <x:c r="T489" s="83" t="n">
        <x:v>1873.41</x:v>
      </x:c>
      <x:c r="U489" s="83" t="str">
        <x:v>Refunded</x:v>
      </x:c>
      <x:c r="V489" s="83" t="str">
        <x:v>Returned</x:v>
      </x:c>
      <x:c r="W489" s="151" t="n">
        <x:f>IF(OR(NOT(ISNUMBER($AP489)),COUNT($O489,$P489)&lt;2,$O489&lt;=0,$P489&lt;0),"",ROUND($O489*$P489*(1-$AP489),2))</x:f>
        <x:v>6155.5</x:v>
      </x:c>
      <x:c r="X489" s="151" t="n">
        <x:f>IF(OR(NOT(ISNUMBER($W489)),NOT(ISNUMBER($S489))),"",ROUND($W489-$S489,2))</x:f>
        <x:v>1873.41</x:v>
      </x:c>
      <x:c r="Y489" s="85" t="n">
        <x:f>IF(OR(NOT(ISNUMBER($W489)),NOT(ISNUMBER($X489)),$W489=0),"",ROUND($X489/$W489,4))</x:f>
        <x:v>0.3043</x:v>
      </x:c>
      <x:c r="Z489" s="82" t="n">
        <x:f>IF(OR($AH489&lt;&gt;"Valid",$AI489&lt;&gt;"Valid"),"",INT($D489-$C489))</x:f>
        <x:v>7</x:v>
      </x:c>
      <x:c r="AA489" s="86" t="str">
        <x:f>IF($AH489&lt;&gt;"Valid","",TEXT($C489,"mmmm"))</x:f>
        <x:v>June</x:v>
      </x:c>
      <x:c r="AB489" s="82" t="n">
        <x:f>IF($AH489&lt;&gt;"Valid","",YEAR($C489))</x:f>
        <x:v>2025</x:v>
      </x:c>
      <x:c r="AC489" s="80" t="str">
        <x:v>Refunded (separately summarized)</x:v>
      </x:c>
      <x:c r="AD489" s="80" t="str">
        <x:v>Excluded</x:v>
      </x:c>
      <x:c r="AE489" s="80" t="str">
        <x:f>IF(OR($AH489&lt;&gt;"Valid",$AI489&lt;&gt;"Valid",$AJ489&lt;&gt;"Valid",LEFT($AM489,7)="Invalid",IFERROR(ABS($AQ489)&gt;0.01,FALSE),IFERROR(ABS($AR489)&gt;0.01,FALSE),COUNTIF($AS489,"*Conflicting duplicate*")&gt;0,COUNTIF($AS489,"*Completed order not paid*")&gt;0),"Invalid",IF(OR($H489="Unknown",$N489="Unknown",$AM489="Missing discount imputed as 0"),"Warning","Clean"))</x:f>
        <x:v>Clean</x:v>
      </x:c>
      <x:c r="AF489" s="80" t="str">
        <x:v>Pass</x:v>
      </x:c>
      <x:c r="AG489" s="80" t="str">
        <x:v>No text cleanup required</x:v>
      </x:c>
      <x:c r="AH489" s="12" t="str">
        <x:f>IF(C489="","Missing date",IF(ISNUMBER(C489),"Valid","Unrecognized/invalid date"))</x:f>
        <x:v>Valid</x:v>
      </x:c>
      <x:c r="AI489" s="12" t="str">
        <x:f>IF(D489="","Missing date",IF(ISNUMBER(D489),"Valid","Unrecognized/invalid date"))</x:f>
        <x:v>Valid</x:v>
      </x:c>
      <x:c r="AJ489" s="12" t="str">
        <x:v>Valid</x:v>
      </x:c>
      <x:c r="AK489" s="12" t="str">
        <x:v>Pass</x:v>
      </x:c>
      <x:c r="AL489" s="12" t="str">
        <x:v>Refunded payment – separately summarized</x:v>
      </x:c>
      <x:c r="AM489" s="12" t="str">
        <x:v>Valid</x:v>
      </x:c>
      <x:c r="AN489" s="12" t="str">
        <x:v>Exclude from completed sales</x:v>
      </x:c>
      <x:c r="AO489" s="12" t="str">
        <x:v>Include in refunded summary</x:v>
      </x:c>
      <x:c r="AP489" s="37" t="n">
        <x:f>IF(LEFT($AM489,7)="Invalid","",IF($AM489="Missing discount imputed as 0",IF(AND(COUNT($O489,$P489,$R489,$S489)=4,$O489&gt;0,$P489&gt;=0,$R489&gt;=0,$S489&gt;=0),0,""),IF(AND(ISNUMBER($Q489),$Q489&gt;=0,$Q489&lt;=0.5),$Q489,"")))</x:f>
        <x:v>0</x:v>
      </x:c>
      <x:c r="AQ489" s="152" t="n">
        <x:f>IF(OR($W489="",NOT(ISNUMBER($R489))),"",ROUND($R489-$W489,2))</x:f>
        <x:v>0</x:v>
      </x:c>
      <x:c r="AR489" s="152" t="n">
        <x:f>IF(OR($X489="",NOT(ISNUMBER($T489))),"",ROUND($T489-$X489,2))</x:f>
        <x:v>0</x:v>
      </x:c>
      <x:c r="AS489" s="14" t="str">
        <x:v>OK</x:v>
      </x:c>
    </x:row>
    <x:row r="490">
      <x:c r="A490" s="80" t="n">
        <x:v>490</x:v>
      </x:c>
      <x:c r="B490" s="80" t="str">
        <x:v>ORD-2024-10489</x:v>
      </x:c>
      <x:c r="C490" s="81" t="n">
        <x:v>45579</x:v>
      </x:c>
      <x:c r="D490" s="81" t="n">
        <x:v>45585</x:v>
      </x:c>
      <x:c r="E490" s="80" t="str">
        <x:v>CUST-2183</x:v>
      </x:c>
      <x:c r="F490" s="80" t="str">
        <x:v>Aditi Sen</x:v>
      </x:c>
      <x:c r="G490" s="80" t="str">
        <x:v>Small Business</x:v>
      </x:c>
      <x:c r="H490" s="80" t="str">
        <x:v>North</x:v>
      </x:c>
      <x:c r="I490" s="80" t="str">
        <x:v>Rajasthan</x:v>
      </x:c>
      <x:c r="J490" s="80" t="str">
        <x:v>Jaipur</x:v>
      </x:c>
      <x:c r="K490" s="80" t="str">
        <x:v>Furniture</x:v>
      </x:c>
      <x:c r="L490" s="80" t="str">
        <x:v>Tables</x:v>
      </x:c>
      <x:c r="M490" s="80" t="str">
        <x:v>Eco Tables 487</x:v>
      </x:c>
      <x:c r="N490" s="80" t="str">
        <x:v>Same Day</x:v>
      </x:c>
      <x:c r="O490" s="82" t="n">
        <x:v>7</x:v>
      </x:c>
      <x:c r="P490" s="83" t="n">
        <x:v>1547.6</x:v>
      </x:c>
      <x:c r="Q490" s="84" t="n">
        <x:v>0.2</x:v>
      </x:c>
      <x:c r="R490" s="83" t="n">
        <x:v>8666.56</x:v>
      </x:c>
      <x:c r="S490" s="83" t="n">
        <x:v>5967.44</x:v>
      </x:c>
      <x:c r="T490" s="83" t="n">
        <x:v>2699.12</x:v>
      </x:c>
      <x:c r="U490" s="83" t="str">
        <x:v>Paid</x:v>
      </x:c>
      <x:c r="V490" s="83" t="str">
        <x:v>Completed</x:v>
      </x:c>
      <x:c r="W490" s="151" t="n">
        <x:f>IF(OR(NOT(ISNUMBER($AP490)),COUNT($O490,$P490)&lt;2,$O490&lt;=0,$P490&lt;0),"",ROUND($O490*$P490*(1-$AP490),2))</x:f>
        <x:v>8666.56</x:v>
      </x:c>
      <x:c r="X490" s="151" t="n">
        <x:f>IF(OR(NOT(ISNUMBER($W490)),NOT(ISNUMBER($S490))),"",ROUND($W490-$S490,2))</x:f>
        <x:v>2699.12</x:v>
      </x:c>
      <x:c r="Y490" s="85" t="n">
        <x:f>IF(OR(NOT(ISNUMBER($W490)),NOT(ISNUMBER($X490)),$W490=0),"",ROUND($X490/$W490,4))</x:f>
        <x:v>0.3114</x:v>
      </x:c>
      <x:c r="Z490" s="82" t="n">
        <x:f>IF(OR($AH490&lt;&gt;"Valid",$AI490&lt;&gt;"Valid"),"",INT($D490-$C490))</x:f>
        <x:v>6</x:v>
      </x:c>
      <x:c r="AA490" s="86" t="str">
        <x:f>IF($AH490&lt;&gt;"Valid","",TEXT($C490,"mmmm"))</x:f>
        <x:v>October</x:v>
      </x:c>
      <x:c r="AB490" s="82" t="n">
        <x:f>IF($AH490&lt;&gt;"Valid","",YEAR($C490))</x:f>
        <x:v>2024</x:v>
      </x:c>
      <x:c r="AC490" s="80" t="str">
        <x:v>Consistent</x:v>
      </x:c>
      <x:c r="AD490" s="80" t="str">
        <x:v>Eligible</x:v>
      </x:c>
      <x:c r="AE490" s="80" t="str">
        <x:f>IF(OR($AH490&lt;&gt;"Valid",$AI490&lt;&gt;"Valid",$AJ490&lt;&gt;"Valid",LEFT($AM490,7)="Invalid",IFERROR(ABS($AQ490)&gt;0.01,FALSE),IFERROR(ABS($AR490)&gt;0.01,FALSE),COUNTIF($AS490,"*Conflicting duplicate*")&gt;0,COUNTIF($AS490,"*Completed order not paid*")&gt;0),"Invalid",IF(OR($H490="Unknown",$N490="Unknown",$AM490="Missing discount imputed as 0"),"Warning","Clean"))</x:f>
        <x:v>Clean</x:v>
      </x:c>
      <x:c r="AF490" s="80" t="str">
        <x:v>Cleaned</x:v>
      </x:c>
      <x:c r="AG490" s="80" t="str">
        <x:v>region: TRIM/SUBSTITUTE whitespace cleanup</x:v>
      </x:c>
      <x:c r="AH490" s="12" t="str">
        <x:f>IF(C490="","Missing date",IF(ISNUMBER(C490),"Valid","Unrecognized/invalid date"))</x:f>
        <x:v>Valid</x:v>
      </x:c>
      <x:c r="AI490" s="12" t="str">
        <x:f>IF(D490="","Missing date",IF(ISNUMBER(D490),"Valid","Unrecognized/invalid date"))</x:f>
        <x:v>Valid</x:v>
      </x:c>
      <x:c r="AJ490" s="12" t="str">
        <x:v>Valid</x:v>
      </x:c>
      <x:c r="AK490" s="12" t="str">
        <x:v>Pass</x:v>
      </x:c>
      <x:c r="AL490" s="12" t="str">
        <x:v>None</x:v>
      </x:c>
      <x:c r="AM490" s="12" t="str">
        <x:v>Valid</x:v>
      </x:c>
      <x:c r="AN490" s="12" t="str">
        <x:v>Include in completed sales</x:v>
      </x:c>
      <x:c r="AO490" s="12" t="str">
        <x:v>Not a refunded record</x:v>
      </x:c>
      <x:c r="AP490" s="37" t="n">
        <x:f>IF(LEFT($AM490,7)="Invalid","",IF($AM490="Missing discount imputed as 0",IF(AND(COUNT($O490,$P490,$R490,$S490)=4,$O490&gt;0,$P490&gt;=0,$R490&gt;=0,$S490&gt;=0),0,""),IF(AND(ISNUMBER($Q490),$Q490&gt;=0,$Q490&lt;=0.5),$Q490,"")))</x:f>
        <x:v>0.2</x:v>
      </x:c>
      <x:c r="AQ490" s="152" t="n">
        <x:f>IF(OR($W490="",NOT(ISNUMBER($R490))),"",ROUND($R490-$W490,2))</x:f>
        <x:v>0</x:v>
      </x:c>
      <x:c r="AR490" s="152" t="n">
        <x:f>IF(OR($X490="",NOT(ISNUMBER($T490))),"",ROUND($T490-$X490,2))</x:f>
        <x:v>0</x:v>
      </x:c>
      <x:c r="AS490" s="14" t="str">
        <x:v>OK</x:v>
      </x:c>
    </x:row>
    <x:row r="491">
      <x:c r="A491" s="80" t="n">
        <x:v>491</x:v>
      </x:c>
      <x:c r="B491" s="80" t="str">
        <x:v>ORD-2024-10490</x:v>
      </x:c>
      <x:c r="C491" s="81" t="n">
        <x:v>45329</x:v>
      </x:c>
      <x:c r="D491" s="81" t="n">
        <x:v>45334</x:v>
      </x:c>
      <x:c r="E491" s="80" t="str">
        <x:v>CUST-1636</x:v>
      </x:c>
      <x:c r="F491" s="80" t="str">
        <x:v>Arjun Bose</x:v>
      </x:c>
      <x:c r="G491" s="80" t="str">
        <x:v>Home Office</x:v>
      </x:c>
      <x:c r="H491" s="80" t="str">
        <x:v>East</x:v>
      </x:c>
      <x:c r="I491" s="80" t="str">
        <x:v>West Bengal</x:v>
      </x:c>
      <x:c r="J491" s="80" t="str">
        <x:v>Kolkata</x:v>
      </x:c>
      <x:c r="K491" s="80" t="str">
        <x:v>Technology</x:v>
      </x:c>
      <x:c r="L491" s="80" t="str">
        <x:v>Accessories</x:v>
      </x:c>
      <x:c r="M491" s="80" t="str">
        <x:v>Prime Accessories 960</x:v>
      </x:c>
      <x:c r="N491" s="80" t="str">
        <x:v>Second Class</x:v>
      </x:c>
      <x:c r="O491" s="82" t="n">
        <x:v>1</x:v>
      </x:c>
      <x:c r="P491" s="83" t="n">
        <x:v>452.19</x:v>
      </x:c>
      <x:c r="Q491" s="84" t="n">
        <x:v>0.2</x:v>
      </x:c>
      <x:c r="R491" s="83" t="n">
        <x:v>361.75</x:v>
      </x:c>
      <x:c r="S491" s="83" t="n">
        <x:v>262.53</x:v>
      </x:c>
      <x:c r="T491" s="83" t="n">
        <x:v>99.22</x:v>
      </x:c>
      <x:c r="U491" s="83" t="str">
        <x:v>Paid</x:v>
      </x:c>
      <x:c r="V491" s="83" t="str">
        <x:v>Completed</x:v>
      </x:c>
      <x:c r="W491" s="151" t="n">
        <x:f>IF(OR(NOT(ISNUMBER($AP491)),COUNT($O491,$P491)&lt;2,$O491&lt;=0,$P491&lt;0),"",ROUND($O491*$P491*(1-$AP491),2))</x:f>
        <x:v>361.75</x:v>
      </x:c>
      <x:c r="X491" s="151" t="n">
        <x:f>IF(OR(NOT(ISNUMBER($W491)),NOT(ISNUMBER($S491))),"",ROUND($W491-$S491,2))</x:f>
        <x:v>99.22</x:v>
      </x:c>
      <x:c r="Y491" s="85" t="n">
        <x:f>IF(OR(NOT(ISNUMBER($W491)),NOT(ISNUMBER($X491)),$W491=0),"",ROUND($X491/$W491,4))</x:f>
        <x:v>0.2743</x:v>
      </x:c>
      <x:c r="Z491" s="82" t="n">
        <x:f>IF(OR($AH491&lt;&gt;"Valid",$AI491&lt;&gt;"Valid"),"",INT($D491-$C491))</x:f>
        <x:v>5</x:v>
      </x:c>
      <x:c r="AA491" s="86" t="str">
        <x:f>IF($AH491&lt;&gt;"Valid","",TEXT($C491,"mmmm"))</x:f>
        <x:v>February</x:v>
      </x:c>
      <x:c r="AB491" s="82" t="n">
        <x:f>IF($AH491&lt;&gt;"Valid","",YEAR($C491))</x:f>
        <x:v>2024</x:v>
      </x:c>
      <x:c r="AC491" s="80" t="str">
        <x:v>Consistent</x:v>
      </x:c>
      <x:c r="AD491" s="80" t="str">
        <x:v>Eligible</x:v>
      </x:c>
      <x:c r="AE491" s="80" t="str">
        <x:f>IF(OR($AH491&lt;&gt;"Valid",$AI491&lt;&gt;"Valid",$AJ491&lt;&gt;"Valid",LEFT($AM491,7)="Invalid",IFERROR(ABS($AQ491)&gt;0.01,FALSE),IFERROR(ABS($AR491)&gt;0.01,FALSE),COUNTIF($AS491,"*Conflicting duplicate*")&gt;0,COUNTIF($AS491,"*Completed order not paid*")&gt;0),"Invalid",IF(OR($H491="Unknown",$N491="Unknown",$AM491="Missing discount imputed as 0"),"Warning","Clean"))</x:f>
        <x:v>Clean</x:v>
      </x:c>
      <x:c r="AF491" s="80" t="str">
        <x:v>Pass</x:v>
      </x:c>
      <x:c r="AG491" s="80" t="str">
        <x:v>No text cleanup required</x:v>
      </x:c>
      <x:c r="AH491" s="12" t="str">
        <x:f>IF(C491="","Missing date",IF(ISNUMBER(C491),"Valid","Unrecognized/invalid date"))</x:f>
        <x:v>Valid</x:v>
      </x:c>
      <x:c r="AI491" s="12" t="str">
        <x:f>IF(D491="","Missing date",IF(ISNUMBER(D491),"Valid","Unrecognized/invalid date"))</x:f>
        <x:v>Valid</x:v>
      </x:c>
      <x:c r="AJ491" s="12" t="str">
        <x:v>Valid</x:v>
      </x:c>
      <x:c r="AK491" s="12" t="str">
        <x:v>Pass</x:v>
      </x:c>
      <x:c r="AL491" s="12" t="str">
        <x:v>None</x:v>
      </x:c>
      <x:c r="AM491" s="12" t="str">
        <x:v>Valid</x:v>
      </x:c>
      <x:c r="AN491" s="12" t="str">
        <x:v>Include in completed sales</x:v>
      </x:c>
      <x:c r="AO491" s="12" t="str">
        <x:v>Not a refunded record</x:v>
      </x:c>
      <x:c r="AP491" s="37" t="n">
        <x:f>IF(LEFT($AM491,7)="Invalid","",IF($AM491="Missing discount imputed as 0",IF(AND(COUNT($O491,$P491,$R491,$S491)=4,$O491&gt;0,$P491&gt;=0,$R491&gt;=0,$S491&gt;=0),0,""),IF(AND(ISNUMBER($Q491),$Q491&gt;=0,$Q491&lt;=0.5),$Q491,"")))</x:f>
        <x:v>0.2</x:v>
      </x:c>
      <x:c r="AQ491" s="152" t="n">
        <x:f>IF(OR($W491="",NOT(ISNUMBER($R491))),"",ROUND($R491-$W491,2))</x:f>
        <x:v>0</x:v>
      </x:c>
      <x:c r="AR491" s="152" t="n">
        <x:f>IF(OR($X491="",NOT(ISNUMBER($T491))),"",ROUND($T491-$X491,2))</x:f>
        <x:v>0</x:v>
      </x:c>
      <x:c r="AS491" s="14" t="str">
        <x:v>OK</x:v>
      </x:c>
    </x:row>
    <x:row r="492">
      <x:c r="A492" s="80" t="n">
        <x:v>492</x:v>
      </x:c>
      <x:c r="B492" s="80" t="str">
        <x:v>ORD-2024-10491</x:v>
      </x:c>
      <x:c r="C492" s="81" t="n">
        <x:v>45551</x:v>
      </x:c>
      <x:c r="D492" s="81" t="n">
        <x:v>45554</x:v>
      </x:c>
      <x:c r="E492" s="80" t="str">
        <x:v>CUST-1350</x:v>
      </x:c>
      <x:c r="F492" s="80" t="str">
        <x:v>Aditi Sen</x:v>
      </x:c>
      <x:c r="G492" s="80" t="str">
        <x:v>Consumer</x:v>
      </x:c>
      <x:c r="H492" s="80" t="str">
        <x:v>West</x:v>
      </x:c>
      <x:c r="I492" s="80" t="str">
        <x:v>Rajasthan</x:v>
      </x:c>
      <x:c r="J492" s="80" t="str">
        <x:v>Udaipur</x:v>
      </x:c>
      <x:c r="K492" s="80" t="str">
        <x:v>Office Supplies</x:v>
      </x:c>
      <x:c r="L492" s="80" t="str">
        <x:v>Binders</x:v>
      </x:c>
      <x:c r="M492" s="80" t="str">
        <x:v>Smart Binders 191</x:v>
      </x:c>
      <x:c r="N492" s="80" t="str">
        <x:v>First Class</x:v>
      </x:c>
      <x:c r="O492" s="82" t="n">
        <x:v>7</x:v>
      </x:c>
      <x:c r="P492" s="83" t="n">
        <x:v>406.42</x:v>
      </x:c>
      <x:c r="Q492" s="84" t="n">
        <x:v>0.15</x:v>
      </x:c>
      <x:c r="R492" s="83" t="n">
        <x:v>2418.2</x:v>
      </x:c>
      <x:c r="S492" s="83" t="n">
        <x:v>1613.82</x:v>
      </x:c>
      <x:c r="T492" s="83" t="n">
        <x:v>804.38</x:v>
      </x:c>
      <x:c r="U492" s="83" t="str">
        <x:v>Paid</x:v>
      </x:c>
      <x:c r="V492" s="83" t="str">
        <x:v>Completed</x:v>
      </x:c>
      <x:c r="W492" s="151" t="n">
        <x:f>IF(OR(NOT(ISNUMBER($AP492)),COUNT($O492,$P492)&lt;2,$O492&lt;=0,$P492&lt;0),"",ROUND($O492*$P492*(1-$AP492),2))</x:f>
        <x:v>2418.2</x:v>
      </x:c>
      <x:c r="X492" s="151" t="n">
        <x:f>IF(OR(NOT(ISNUMBER($W492)),NOT(ISNUMBER($S492))),"",ROUND($W492-$S492,2))</x:f>
        <x:v>804.38</x:v>
      </x:c>
      <x:c r="Y492" s="85" t="n">
        <x:f>IF(OR(NOT(ISNUMBER($W492)),NOT(ISNUMBER($X492)),$W492=0),"",ROUND($X492/$W492,4))</x:f>
        <x:v>0.3326</x:v>
      </x:c>
      <x:c r="Z492" s="82" t="n">
        <x:f>IF(OR($AH492&lt;&gt;"Valid",$AI492&lt;&gt;"Valid"),"",INT($D492-$C492))</x:f>
        <x:v>3</x:v>
      </x:c>
      <x:c r="AA492" s="86" t="str">
        <x:f>IF($AH492&lt;&gt;"Valid","",TEXT($C492,"mmmm"))</x:f>
        <x:v>September</x:v>
      </x:c>
      <x:c r="AB492" s="82" t="n">
        <x:f>IF($AH492&lt;&gt;"Valid","",YEAR($C492))</x:f>
        <x:v>2024</x:v>
      </x:c>
      <x:c r="AC492" s="80" t="str">
        <x:v>Consistent</x:v>
      </x:c>
      <x:c r="AD492" s="80" t="str">
        <x:v>Eligible</x:v>
      </x:c>
      <x:c r="AE492" s="80" t="str">
        <x:f>IF(OR($AH492&lt;&gt;"Valid",$AI492&lt;&gt;"Valid",$AJ492&lt;&gt;"Valid",LEFT($AM492,7)="Invalid",IFERROR(ABS($AQ492)&gt;0.01,FALSE),IFERROR(ABS($AR492)&gt;0.01,FALSE),COUNTIF($AS492,"*Conflicting duplicate*")&gt;0,COUNTIF($AS492,"*Completed order not paid*")&gt;0),"Invalid",IF(OR($H492="Unknown",$N492="Unknown",$AM492="Missing discount imputed as 0"),"Warning","Clean"))</x:f>
        <x:v>Clean</x:v>
      </x:c>
      <x:c r="AF492" s="80" t="str">
        <x:v>Pass</x:v>
      </x:c>
      <x:c r="AG492" s="80" t="str">
        <x:v>No text cleanup required</x:v>
      </x:c>
      <x:c r="AH492" s="12" t="str">
        <x:f>IF(C492="","Missing date",IF(ISNUMBER(C492),"Valid","Unrecognized/invalid date"))</x:f>
        <x:v>Valid</x:v>
      </x:c>
      <x:c r="AI492" s="12" t="str">
        <x:f>IF(D492="","Missing date",IF(ISNUMBER(D492),"Valid","Unrecognized/invalid date"))</x:f>
        <x:v>Valid</x:v>
      </x:c>
      <x:c r="AJ492" s="12" t="str">
        <x:v>Valid</x:v>
      </x:c>
      <x:c r="AK492" s="12" t="str">
        <x:v>Pass</x:v>
      </x:c>
      <x:c r="AL492" s="12" t="str">
        <x:v>None</x:v>
      </x:c>
      <x:c r="AM492" s="12" t="str">
        <x:v>Valid</x:v>
      </x:c>
      <x:c r="AN492" s="12" t="str">
        <x:v>Include in completed sales</x:v>
      </x:c>
      <x:c r="AO492" s="12" t="str">
        <x:v>Not a refunded record</x:v>
      </x:c>
      <x:c r="AP492" s="37" t="n">
        <x:f>IF(LEFT($AM492,7)="Invalid","",IF($AM492="Missing discount imputed as 0",IF(AND(COUNT($O492,$P492,$R492,$S492)=4,$O492&gt;0,$P492&gt;=0,$R492&gt;=0,$S492&gt;=0),0,""),IF(AND(ISNUMBER($Q492),$Q492&gt;=0,$Q492&lt;=0.5),$Q492,"")))</x:f>
        <x:v>0.15</x:v>
      </x:c>
      <x:c r="AQ492" s="152" t="n">
        <x:f>IF(OR($W492="",NOT(ISNUMBER($R492))),"",ROUND($R492-$W492,2))</x:f>
        <x:v>0</x:v>
      </x:c>
      <x:c r="AR492" s="152" t="n">
        <x:f>IF(OR($X492="",NOT(ISNUMBER($T492))),"",ROUND($T492-$X492,2))</x:f>
        <x:v>0</x:v>
      </x:c>
      <x:c r="AS492" s="14" t="str">
        <x:v>OK</x:v>
      </x:c>
    </x:row>
    <x:row r="493">
      <x:c r="A493" s="80" t="n">
        <x:v>493</x:v>
      </x:c>
      <x:c r="B493" s="80" t="str">
        <x:v>ORD-2025-10492</x:v>
      </x:c>
      <x:c r="C493" s="81" t="n">
        <x:v>45776</x:v>
      </x:c>
      <x:c r="D493" s="81" t="n">
        <x:v>45777</x:v>
      </x:c>
      <x:c r="E493" s="80" t="str">
        <x:v>CUST-4101</x:v>
      </x:c>
      <x:c r="F493" s="80" t="str">
        <x:v>Mira Das</x:v>
      </x:c>
      <x:c r="G493" s="80" t="str">
        <x:v>Corporate</x:v>
      </x:c>
      <x:c r="H493" s="80" t="str">
        <x:v>South</x:v>
      </x:c>
      <x:c r="I493" s="80" t="str">
        <x:v>Kerala</x:v>
      </x:c>
      <x:c r="J493" s="80" t="str">
        <x:v>Kochi</x:v>
      </x:c>
      <x:c r="K493" s="80" t="str">
        <x:v>Technology</x:v>
      </x:c>
      <x:c r="L493" s="80" t="str">
        <x:v>Accessories</x:v>
      </x:c>
      <x:c r="M493" s="80" t="str">
        <x:v>Prime Accessories 118</x:v>
      </x:c>
      <x:c r="N493" s="80" t="str">
        <x:v>Standard Class</x:v>
      </x:c>
      <x:c r="O493" s="82" t="n">
        <x:v>4</x:v>
      </x:c>
      <x:c r="P493" s="83" t="n">
        <x:v>606.58</x:v>
      </x:c>
      <x:c r="Q493" s="84" t="n">
        <x:v>0.2</x:v>
      </x:c>
      <x:c r="R493" s="83" t="n">
        <x:v>1941.06</x:v>
      </x:c>
      <x:c r="S493" s="83" t="n">
        <x:v>1207.42</x:v>
      </x:c>
      <x:c r="T493" s="83" t="n">
        <x:v>733.64</x:v>
      </x:c>
      <x:c r="U493" s="83" t="str">
        <x:v>Paid</x:v>
      </x:c>
      <x:c r="V493" s="83" t="str">
        <x:v>Completed</x:v>
      </x:c>
      <x:c r="W493" s="151" t="n">
        <x:f>IF(OR(NOT(ISNUMBER($AP493)),COUNT($O493,$P493)&lt;2,$O493&lt;=0,$P493&lt;0),"",ROUND($O493*$P493*(1-$AP493),2))</x:f>
        <x:v>1941.06</x:v>
      </x:c>
      <x:c r="X493" s="151" t="n">
        <x:f>IF(OR(NOT(ISNUMBER($W493)),NOT(ISNUMBER($S493))),"",ROUND($W493-$S493,2))</x:f>
        <x:v>733.64</x:v>
      </x:c>
      <x:c r="Y493" s="85" t="n">
        <x:f>IF(OR(NOT(ISNUMBER($W493)),NOT(ISNUMBER($X493)),$W493=0),"",ROUND($X493/$W493,4))</x:f>
        <x:v>0.378</x:v>
      </x:c>
      <x:c r="Z493" s="82" t="n">
        <x:f>IF(OR($AH493&lt;&gt;"Valid",$AI493&lt;&gt;"Valid"),"",INT($D493-$C493))</x:f>
        <x:v>1</x:v>
      </x:c>
      <x:c r="AA493" s="86" t="str">
        <x:f>IF($AH493&lt;&gt;"Valid","",TEXT($C493,"mmmm"))</x:f>
        <x:v>April</x:v>
      </x:c>
      <x:c r="AB493" s="82" t="n">
        <x:f>IF($AH493&lt;&gt;"Valid","",YEAR($C493))</x:f>
        <x:v>2025</x:v>
      </x:c>
      <x:c r="AC493" s="80" t="str">
        <x:v>Consistent</x:v>
      </x:c>
      <x:c r="AD493" s="80" t="str">
        <x:v>Eligible</x:v>
      </x:c>
      <x:c r="AE493" s="80" t="str">
        <x:f>IF(OR($AH493&lt;&gt;"Valid",$AI493&lt;&gt;"Valid",$AJ493&lt;&gt;"Valid",LEFT($AM493,7)="Invalid",IFERROR(ABS($AQ493)&gt;0.01,FALSE),IFERROR(ABS($AR493)&gt;0.01,FALSE),COUNTIF($AS493,"*Conflicting duplicate*")&gt;0,COUNTIF($AS493,"*Completed order not paid*")&gt;0),"Invalid",IF(OR($H493="Unknown",$N493="Unknown",$AM493="Missing discount imputed as 0"),"Warning","Clean"))</x:f>
        <x:v>Clean</x:v>
      </x:c>
      <x:c r="AF493" s="80" t="str">
        <x:v>Pass</x:v>
      </x:c>
      <x:c r="AG493" s="80" t="str">
        <x:v>No text cleanup required</x:v>
      </x:c>
      <x:c r="AH493" s="12" t="str">
        <x:f>IF(C493="","Missing date",IF(ISNUMBER(C493),"Valid","Unrecognized/invalid date"))</x:f>
        <x:v>Valid</x:v>
      </x:c>
      <x:c r="AI493" s="12" t="str">
        <x:f>IF(D493="","Missing date",IF(ISNUMBER(D493),"Valid","Unrecognized/invalid date"))</x:f>
        <x:v>Valid</x:v>
      </x:c>
      <x:c r="AJ493" s="12" t="str">
        <x:v>Valid</x:v>
      </x:c>
      <x:c r="AK493" s="12" t="str">
        <x:v>Pass</x:v>
      </x:c>
      <x:c r="AL493" s="12" t="str">
        <x:v>None</x:v>
      </x:c>
      <x:c r="AM493" s="12" t="str">
        <x:v>Valid</x:v>
      </x:c>
      <x:c r="AN493" s="12" t="str">
        <x:v>Include in completed sales</x:v>
      </x:c>
      <x:c r="AO493" s="12" t="str">
        <x:v>Not a refunded record</x:v>
      </x:c>
      <x:c r="AP493" s="37" t="n">
        <x:f>IF(LEFT($AM493,7)="Invalid","",IF($AM493="Missing discount imputed as 0",IF(AND(COUNT($O493,$P493,$R493,$S493)=4,$O493&gt;0,$P493&gt;=0,$R493&gt;=0,$S493&gt;=0),0,""),IF(AND(ISNUMBER($Q493),$Q493&gt;=0,$Q493&lt;=0.5),$Q493,"")))</x:f>
        <x:v>0.2</x:v>
      </x:c>
      <x:c r="AQ493" s="152" t="n">
        <x:f>IF(OR($W493="",NOT(ISNUMBER($R493))),"",ROUND($R493-$W493,2))</x:f>
        <x:v>0</x:v>
      </x:c>
      <x:c r="AR493" s="152" t="n">
        <x:f>IF(OR($X493="",NOT(ISNUMBER($T493))),"",ROUND($T493-$X493,2))</x:f>
        <x:v>0</x:v>
      </x:c>
      <x:c r="AS493" s="14" t="str">
        <x:v>OK</x:v>
      </x:c>
    </x:row>
    <x:row r="494">
      <x:c r="A494" s="80" t="n">
        <x:v>494</x:v>
      </x:c>
      <x:c r="B494" s="80" t="str">
        <x:v>ORD-2025-10493</x:v>
      </x:c>
      <x:c r="C494" s="81" t="n">
        <x:v>45836</x:v>
      </x:c>
      <x:c r="D494" s="81" t="n">
        <x:v>45840</x:v>
      </x:c>
      <x:c r="E494" s="80" t="str">
        <x:v>CUST-4679</x:v>
      </x:c>
      <x:c r="F494" s="80" t="str">
        <x:v>Ananya Rao</x:v>
      </x:c>
      <x:c r="G494" s="80" t="str">
        <x:v>Corporate</x:v>
      </x:c>
      <x:c r="H494" s="80" t="str">
        <x:v>South</x:v>
      </x:c>
      <x:c r="I494" s="80" t="str">
        <x:v>Andhra Pradesh</x:v>
      </x:c>
      <x:c r="J494" s="80" t="str">
        <x:v>Vijayawada</x:v>
      </x:c>
      <x:c r="K494" s="80" t="str">
        <x:v>Office Supplies</x:v>
      </x:c>
      <x:c r="L494" s="80" t="str">
        <x:v>Storage</x:v>
      </x:c>
      <x:c r="M494" s="80" t="str">
        <x:v>Elite Storage 331</x:v>
      </x:c>
      <x:c r="N494" s="80" t="str">
        <x:v>Second Class</x:v>
      </x:c>
      <x:c r="O494" s="82" t="n">
        <x:v>2</x:v>
      </x:c>
      <x:c r="P494" s="83" t="n">
        <x:v>2725.44</x:v>
      </x:c>
      <x:c r="Q494" s="84" t="n">
        <x:v>0.25</x:v>
      </x:c>
      <x:c r="R494" s="83" t="n">
        <x:v>4088.16</x:v>
      </x:c>
      <x:c r="S494" s="83" t="n">
        <x:v>3205.68</x:v>
      </x:c>
      <x:c r="T494" s="83" t="n">
        <x:v>882.48</x:v>
      </x:c>
      <x:c r="U494" s="83" t="str">
        <x:v>Paid</x:v>
      </x:c>
      <x:c r="V494" s="83" t="str">
        <x:v>Completed</x:v>
      </x:c>
      <x:c r="W494" s="151" t="n">
        <x:f>IF(OR(NOT(ISNUMBER($AP494)),COUNT($O494,$P494)&lt;2,$O494&lt;=0,$P494&lt;0),"",ROUND($O494*$P494*(1-$AP494),2))</x:f>
        <x:v>4088.16</x:v>
      </x:c>
      <x:c r="X494" s="151" t="n">
        <x:f>IF(OR(NOT(ISNUMBER($W494)),NOT(ISNUMBER($S494))),"",ROUND($W494-$S494,2))</x:f>
        <x:v>882.48</x:v>
      </x:c>
      <x:c r="Y494" s="85" t="n">
        <x:f>IF(OR(NOT(ISNUMBER($W494)),NOT(ISNUMBER($X494)),$W494=0),"",ROUND($X494/$W494,4))</x:f>
        <x:v>0.2159</x:v>
      </x:c>
      <x:c r="Z494" s="82" t="n">
        <x:f>IF(OR($AH494&lt;&gt;"Valid",$AI494&lt;&gt;"Valid"),"",INT($D494-$C494))</x:f>
        <x:v>4</x:v>
      </x:c>
      <x:c r="AA494" s="86" t="str">
        <x:f>IF($AH494&lt;&gt;"Valid","",TEXT($C494,"mmmm"))</x:f>
        <x:v>June</x:v>
      </x:c>
      <x:c r="AB494" s="82" t="n">
        <x:f>IF($AH494&lt;&gt;"Valid","",YEAR($C494))</x:f>
        <x:v>2025</x:v>
      </x:c>
      <x:c r="AC494" s="80" t="str">
        <x:v>Consistent</x:v>
      </x:c>
      <x:c r="AD494" s="80" t="str">
        <x:v>Eligible</x:v>
      </x:c>
      <x:c r="AE494" s="80" t="str">
        <x:f>IF(OR($AH494&lt;&gt;"Valid",$AI494&lt;&gt;"Valid",$AJ494&lt;&gt;"Valid",LEFT($AM494,7)="Invalid",IFERROR(ABS($AQ494)&gt;0.01,FALSE),IFERROR(ABS($AR494)&gt;0.01,FALSE),COUNTIF($AS494,"*Conflicting duplicate*")&gt;0,COUNTIF($AS494,"*Completed order not paid*")&gt;0),"Invalid",IF(OR($H494="Unknown",$N494="Unknown",$AM494="Missing discount imputed as 0"),"Warning","Clean"))</x:f>
        <x:v>Clean</x:v>
      </x:c>
      <x:c r="AF494" s="80" t="str">
        <x:v>Pass</x:v>
      </x:c>
      <x:c r="AG494" s="80" t="str">
        <x:v>No text cleanup required</x:v>
      </x:c>
      <x:c r="AH494" s="12" t="str">
        <x:f>IF(C494="","Missing date",IF(ISNUMBER(C494),"Valid","Unrecognized/invalid date"))</x:f>
        <x:v>Valid</x:v>
      </x:c>
      <x:c r="AI494" s="12" t="str">
        <x:f>IF(D494="","Missing date",IF(ISNUMBER(D494),"Valid","Unrecognized/invalid date"))</x:f>
        <x:v>Valid</x:v>
      </x:c>
      <x:c r="AJ494" s="12" t="str">
        <x:v>Valid</x:v>
      </x:c>
      <x:c r="AK494" s="12" t="str">
        <x:v>Pass</x:v>
      </x:c>
      <x:c r="AL494" s="12" t="str">
        <x:v>None</x:v>
      </x:c>
      <x:c r="AM494" s="12" t="str">
        <x:v>Valid</x:v>
      </x:c>
      <x:c r="AN494" s="12" t="str">
        <x:v>Include in completed sales</x:v>
      </x:c>
      <x:c r="AO494" s="12" t="str">
        <x:v>Not a refunded record</x:v>
      </x:c>
      <x:c r="AP494" s="37" t="n">
        <x:f>IF(LEFT($AM494,7)="Invalid","",IF($AM494="Missing discount imputed as 0",IF(AND(COUNT($O494,$P494,$R494,$S494)=4,$O494&gt;0,$P494&gt;=0,$R494&gt;=0,$S494&gt;=0),0,""),IF(AND(ISNUMBER($Q494),$Q494&gt;=0,$Q494&lt;=0.5),$Q494,"")))</x:f>
        <x:v>0.25</x:v>
      </x:c>
      <x:c r="AQ494" s="152" t="n">
        <x:f>IF(OR($W494="",NOT(ISNUMBER($R494))),"",ROUND($R494-$W494,2))</x:f>
        <x:v>0</x:v>
      </x:c>
      <x:c r="AR494" s="152" t="n">
        <x:f>IF(OR($X494="",NOT(ISNUMBER($T494))),"",ROUND($T494-$X494,2))</x:f>
        <x:v>0</x:v>
      </x:c>
      <x:c r="AS494" s="14" t="str">
        <x:v>OK</x:v>
      </x:c>
    </x:row>
    <x:row r="495">
      <x:c r="A495" s="80" t="n">
        <x:v>495</x:v>
      </x:c>
      <x:c r="B495" s="80" t="str">
        <x:v>ORD-2025-10494</x:v>
      </x:c>
      <x:c r="C495" s="81" t="n">
        <x:v>45701</x:v>
      </x:c>
      <x:c r="D495" s="81" t="n">
        <x:v>45701</x:v>
      </x:c>
      <x:c r="E495" s="80" t="str">
        <x:v>CUST-3765</x:v>
      </x:c>
      <x:c r="F495" s="80" t="str">
        <x:v>Kabir Singh</x:v>
      </x:c>
      <x:c r="G495" s="80" t="str">
        <x:v>Corporate</x:v>
      </x:c>
      <x:c r="H495" s="80" t="str">
        <x:v>East</x:v>
      </x:c>
      <x:c r="I495" s="80" t="str">
        <x:v>Odisha</x:v>
      </x:c>
      <x:c r="J495" s="80" t="str">
        <x:v>Bhubaneswar</x:v>
      </x:c>
      <x:c r="K495" s="80" t="str">
        <x:v>Office Supplies</x:v>
      </x:c>
      <x:c r="L495" s="80" t="str">
        <x:v>Paper</x:v>
      </x:c>
      <x:c r="M495" s="80" t="str">
        <x:v>Prime Paper 996</x:v>
      </x:c>
      <x:c r="N495" s="80" t="str">
        <x:v>Second Class</x:v>
      </x:c>
      <x:c r="O495" s="82" t="n">
        <x:v>7</x:v>
      </x:c>
      <x:c r="P495" s="83" t="n">
        <x:v>2296.7</x:v>
      </x:c>
      <x:c r="Q495" s="84" t="n">
        <x:v>0.05</x:v>
      </x:c>
      <x:c r="R495" s="83" t="n">
        <x:v>15273.05</x:v>
      </x:c>
      <x:c r="S495" s="83" t="n">
        <x:v>11088.76</x:v>
      </x:c>
      <x:c r="T495" s="83" t="n">
        <x:v>4184.29</x:v>
      </x:c>
      <x:c r="U495" s="83" t="str">
        <x:v>Paid</x:v>
      </x:c>
      <x:c r="V495" s="83" t="str">
        <x:v>Completed</x:v>
      </x:c>
      <x:c r="W495" s="151" t="n">
        <x:f>IF(OR(NOT(ISNUMBER($AP495)),COUNT($O495,$P495)&lt;2,$O495&lt;=0,$P495&lt;0),"",ROUND($O495*$P495*(1-$AP495),2))</x:f>
        <x:v>15273.05</x:v>
      </x:c>
      <x:c r="X495" s="151" t="n">
        <x:f>IF(OR(NOT(ISNUMBER($W495)),NOT(ISNUMBER($S495))),"",ROUND($W495-$S495,2))</x:f>
        <x:v>4184.29</x:v>
      </x:c>
      <x:c r="Y495" s="85" t="n">
        <x:f>IF(OR(NOT(ISNUMBER($W495)),NOT(ISNUMBER($X495)),$W495=0),"",ROUND($X495/$W495,4))</x:f>
        <x:v>0.274</x:v>
      </x:c>
      <x:c r="Z495" s="82" t="n">
        <x:f>IF(OR($AH495&lt;&gt;"Valid",$AI495&lt;&gt;"Valid"),"",INT($D495-$C495))</x:f>
        <x:v>0</x:v>
      </x:c>
      <x:c r="AA495" s="86" t="str">
        <x:f>IF($AH495&lt;&gt;"Valid","",TEXT($C495,"mmmm"))</x:f>
        <x:v>February</x:v>
      </x:c>
      <x:c r="AB495" s="82" t="n">
        <x:f>IF($AH495&lt;&gt;"Valid","",YEAR($C495))</x:f>
        <x:v>2025</x:v>
      </x:c>
      <x:c r="AC495" s="80" t="str">
        <x:v>Consistent</x:v>
      </x:c>
      <x:c r="AD495" s="80" t="str">
        <x:v>Eligible</x:v>
      </x:c>
      <x:c r="AE495" s="80" t="str">
        <x:f>IF(OR($AH495&lt;&gt;"Valid",$AI495&lt;&gt;"Valid",$AJ495&lt;&gt;"Valid",LEFT($AM495,7)="Invalid",IFERROR(ABS($AQ495)&gt;0.01,FALSE),IFERROR(ABS($AR495)&gt;0.01,FALSE),COUNTIF($AS495,"*Conflicting duplicate*")&gt;0,COUNTIF($AS495,"*Completed order not paid*")&gt;0),"Invalid",IF(OR($H495="Unknown",$N495="Unknown",$AM495="Missing discount imputed as 0"),"Warning","Clean"))</x:f>
        <x:v>Clean</x:v>
      </x:c>
      <x:c r="AF495" s="80" t="str">
        <x:v>Cleaned</x:v>
      </x:c>
      <x:c r="AG495" s="80" t="str">
        <x:v>order_status: Case standardization</x:v>
      </x:c>
      <x:c r="AH495" s="12" t="str">
        <x:f>IF(C495="","Missing date",IF(ISNUMBER(C495),"Valid","Unrecognized/invalid date"))</x:f>
        <x:v>Valid</x:v>
      </x:c>
      <x:c r="AI495" s="12" t="str">
        <x:f>IF(D495="","Missing date",IF(ISNUMBER(D495),"Valid","Unrecognized/invalid date"))</x:f>
        <x:v>Valid</x:v>
      </x:c>
      <x:c r="AJ495" s="12" t="str">
        <x:v>Valid</x:v>
      </x:c>
      <x:c r="AK495" s="12" t="str">
        <x:v>Pass</x:v>
      </x:c>
      <x:c r="AL495" s="12" t="str">
        <x:v>None</x:v>
      </x:c>
      <x:c r="AM495" s="12" t="str">
        <x:v>Valid</x:v>
      </x:c>
      <x:c r="AN495" s="12" t="str">
        <x:v>Include in completed sales</x:v>
      </x:c>
      <x:c r="AO495" s="12" t="str">
        <x:v>Not a refunded record</x:v>
      </x:c>
      <x:c r="AP495" s="37" t="n">
        <x:f>IF(LEFT($AM495,7)="Invalid","",IF($AM495="Missing discount imputed as 0",IF(AND(COUNT($O495,$P495,$R495,$S495)=4,$O495&gt;0,$P495&gt;=0,$R495&gt;=0,$S495&gt;=0),0,""),IF(AND(ISNUMBER($Q495),$Q495&gt;=0,$Q495&lt;=0.5),$Q495,"")))</x:f>
        <x:v>0.05</x:v>
      </x:c>
      <x:c r="AQ495" s="152" t="n">
        <x:f>IF(OR($W495="",NOT(ISNUMBER($R495))),"",ROUND($R495-$W495,2))</x:f>
        <x:v>0</x:v>
      </x:c>
      <x:c r="AR495" s="152" t="n">
        <x:f>IF(OR($X495="",NOT(ISNUMBER($T495))),"",ROUND($T495-$X495,2))</x:f>
        <x:v>0</x:v>
      </x:c>
      <x:c r="AS495" s="14" t="str">
        <x:v>OK</x:v>
      </x:c>
    </x:row>
    <x:row r="496">
      <x:c r="A496" s="80" t="n">
        <x:v>496</x:v>
      </x:c>
      <x:c r="B496" s="80" t="str">
        <x:v>ORD-2024-10495</x:v>
      </x:c>
      <x:c r="C496" s="81" t="n">
        <x:v>45610</x:v>
      </x:c>
      <x:c r="D496" s="81" t="n">
        <x:v>45618</x:v>
      </x:c>
      <x:c r="E496" s="80" t="str">
        <x:v>CUST-9056</x:v>
      </x:c>
      <x:c r="F496" s="80" t="str">
        <x:v>Isha Nair</x:v>
      </x:c>
      <x:c r="G496" s="80" t="str">
        <x:v>Consumer</x:v>
      </x:c>
      <x:c r="H496" s="80" t="str">
        <x:v>West</x:v>
      </x:c>
      <x:c r="I496" s="80" t="str">
        <x:v>Madhya Pradesh</x:v>
      </x:c>
      <x:c r="J496" s="80" t="str">
        <x:v>Indore</x:v>
      </x:c>
      <x:c r="K496" s="80" t="str">
        <x:v>Technology</x:v>
      </x:c>
      <x:c r="L496" s="80" t="str">
        <x:v>Phones</x:v>
      </x:c>
      <x:c r="M496" s="80" t="str">
        <x:v>Smart Phones 125</x:v>
      </x:c>
      <x:c r="N496" s="80" t="str">
        <x:v>Standard Class</x:v>
      </x:c>
      <x:c r="O496" s="82" t="n">
        <x:v>3</x:v>
      </x:c>
      <x:c r="P496" s="83" t="n">
        <x:v>671.68</x:v>
      </x:c>
      <x:c r="Q496" s="84" t="n">
        <x:v>-0.13</x:v>
      </x:c>
      <x:c r="R496" s="83" t="n">
        <x:v>1712.78</x:v>
      </x:c>
      <x:c r="S496" s="83" t="n">
        <x:v>1569.38</x:v>
      </x:c>
      <x:c r="T496" s="83" t="n">
        <x:v>360.66</x:v>
      </x:c>
      <x:c r="U496" s="83" t="str">
        <x:v>Failed</x:v>
      </x:c>
      <x:c r="V496" s="83" t="str">
        <x:v>Cancelled</x:v>
      </x:c>
      <x:c r="W496" s="151" t="str">
        <x:f>IF(OR(NOT(ISNUMBER($AP496)),COUNT($O496,$P496)&lt;2,$O496&lt;=0,$P496&lt;0),"",ROUND($O496*$P496*(1-$AP496),2))</x:f>
      </x:c>
      <x:c r="X496" s="151" t="str">
        <x:f>IF(OR(NOT(ISNUMBER($W496)),NOT(ISNUMBER($S496))),"",ROUND($W496-$S496,2))</x:f>
      </x:c>
      <x:c r="Y496" s="85" t="str">
        <x:f>IF(OR(NOT(ISNUMBER($W496)),NOT(ISNUMBER($X496)),$W496=0),"",ROUND($X496/$W496,4))</x:f>
      </x:c>
      <x:c r="Z496" s="82" t="n">
        <x:f>IF(OR($AH496&lt;&gt;"Valid",$AI496&lt;&gt;"Valid"),"",INT($D496-$C496))</x:f>
        <x:v>8</x:v>
      </x:c>
      <x:c r="AA496" s="86" t="str">
        <x:f>IF($AH496&lt;&gt;"Valid","",TEXT($C496,"mmmm"))</x:f>
        <x:v>November</x:v>
      </x:c>
      <x:c r="AB496" s="82" t="n">
        <x:f>IF($AH496&lt;&gt;"Valid","",YEAR($C496))</x:f>
        <x:v>2024</x:v>
      </x:c>
      <x:c r="AC496" s="80" t="str">
        <x:v>Cancelled (excluded from completed-sales summary)</x:v>
      </x:c>
      <x:c r="AD496" s="80" t="str">
        <x:v>Excluded</x:v>
      </x:c>
      <x:c r="AE496" s="80" t="str">
        <x:f>IF(OR($AH496&lt;&gt;"Valid",$AI496&lt;&gt;"Valid",$AJ496&lt;&gt;"Valid",LEFT($AM496,7)="Invalid",IFERROR(ABS($AQ496)&gt;0.01,FALSE),IFERROR(ABS($AR496)&gt;0.01,FALSE),COUNTIF($AS496,"*Conflicting duplicate*")&gt;0,COUNTIF($AS496,"*Completed order not paid*")&gt;0),"Invalid",IF(OR($H496="Unknown",$N496="Unknown",$AM496="Missing discount imputed as 0"),"Warning","Clean"))</x:f>
        <x:v>Invalid</x:v>
      </x:c>
      <x:c r="AF496" s="80" t="str">
        <x:v>Review</x:v>
      </x:c>
      <x:c r="AG496" s="80" t="str">
        <x:v>No text cleanup required</x:v>
      </x:c>
      <x:c r="AH496" s="12" t="str">
        <x:f>IF(C496="","Missing date",IF(ISNUMBER(C496),"Valid","Unrecognized/invalid date"))</x:f>
        <x:v>Valid</x:v>
      </x:c>
      <x:c r="AI496" s="12" t="str">
        <x:f>IF(D496="","Missing date",IF(ISNUMBER(D496),"Valid","Unrecognized/invalid date"))</x:f>
        <x:v>Valid</x:v>
      </x:c>
      <x:c r="AJ496" s="12" t="str">
        <x:v>Valid</x:v>
      </x:c>
      <x:c r="AK496" s="12" t="str">
        <x:v>Pass</x:v>
      </x:c>
      <x:c r="AL496" s="12" t="str">
        <x:v>Cancelled order – excluded from completed sales; Failed payment – excluded from completed sales</x:v>
      </x:c>
      <x:c r="AM496" s="12" t="str">
        <x:v>Invalid discount – negative</x:v>
      </x:c>
      <x:c r="AN496" s="12" t="str">
        <x:v>Exclude from completed sales</x:v>
      </x:c>
      <x:c r="AO496" s="12" t="str">
        <x:v>Not a refunded record</x:v>
      </x:c>
      <x:c r="AP496" s="37" t="str">
        <x:f>IF(LEFT($AM496,7)="Invalid","",IF($AM496="Missing discount imputed as 0",IF(AND(COUNT($O496,$P496,$R496,$S496)=4,$O496&gt;0,$P496&gt;=0,$R496&gt;=0,$S496&gt;=0),0,""),IF(AND(ISNUMBER($Q496),$Q496&gt;=0,$Q496&lt;=0.5),$Q496,"")))</x:f>
      </x:c>
      <x:c r="AQ496" s="152" t="str">
        <x:f>IF(OR($W496="",NOT(ISNUMBER($R496))),"",ROUND($R496-$W496,2))</x:f>
      </x:c>
      <x:c r="AR496" s="152" t="str">
        <x:f>IF(OR($X496="",NOT(ISNUMBER($T496))),"",ROUND($T496-$X496,2))</x:f>
      </x:c>
      <x:c r="AS496" s="14" t="str">
        <x:v>Negative discount; Profit calculation mismatch</x:v>
      </x:c>
    </x:row>
    <x:row r="497">
      <x:c r="A497" s="80" t="n">
        <x:v>497</x:v>
      </x:c>
      <x:c r="B497" s="80" t="str">
        <x:v>ORD-2024-10496</x:v>
      </x:c>
      <x:c r="C497" s="81" t="n">
        <x:v>45421</x:v>
      </x:c>
      <x:c r="D497" s="81" t="n">
        <x:v>45427</x:v>
      </x:c>
      <x:c r="E497" s="80" t="str">
        <x:v>CUST-9801</x:v>
      </x:c>
      <x:c r="F497" s="80" t="str">
        <x:v>Mira Das</x:v>
      </x:c>
      <x:c r="G497" s="80" t="str">
        <x:v>Small Business</x:v>
      </x:c>
      <x:c r="H497" s="80" t="str">
        <x:v>East</x:v>
      </x:c>
      <x:c r="I497" s="80" t="str">
        <x:v>Assam</x:v>
      </x:c>
      <x:c r="J497" s="80" t="str">
        <x:v>Guwahati</x:v>
      </x:c>
      <x:c r="K497" s="80" t="str">
        <x:v>Technology</x:v>
      </x:c>
      <x:c r="L497" s="80" t="str">
        <x:v>Phones</x:v>
      </x:c>
      <x:c r="M497" s="80" t="str">
        <x:v>Eco Phones 220</x:v>
      </x:c>
      <x:c r="N497" s="80" t="str">
        <x:v>Second Class</x:v>
      </x:c>
      <x:c r="O497" s="82" t="n">
        <x:v>4</x:v>
      </x:c>
      <x:c r="P497" s="83" t="n">
        <x:v>995.98</x:v>
      </x:c>
      <x:c r="Q497" s="84" t="n">
        <x:v>0.05</x:v>
      </x:c>
      <x:c r="R497" s="83" t="n">
        <x:v>3784.72</x:v>
      </x:c>
      <x:c r="S497" s="83" t="n">
        <x:v>2419.24</x:v>
      </x:c>
      <x:c r="T497" s="83" t="n">
        <x:v>1365.48</x:v>
      </x:c>
      <x:c r="U497" s="83" t="str">
        <x:v>Refunded</x:v>
      </x:c>
      <x:c r="V497" s="83" t="str">
        <x:v>Returned</x:v>
      </x:c>
      <x:c r="W497" s="151" t="n">
        <x:f>IF(OR(NOT(ISNUMBER($AP497)),COUNT($O497,$P497)&lt;2,$O497&lt;=0,$P497&lt;0),"",ROUND($O497*$P497*(1-$AP497),2))</x:f>
        <x:v>3784.72</x:v>
      </x:c>
      <x:c r="X497" s="151" t="n">
        <x:f>IF(OR(NOT(ISNUMBER($W497)),NOT(ISNUMBER($S497))),"",ROUND($W497-$S497,2))</x:f>
        <x:v>1365.48</x:v>
      </x:c>
      <x:c r="Y497" s="85" t="n">
        <x:f>IF(OR(NOT(ISNUMBER($W497)),NOT(ISNUMBER($X497)),$W497=0),"",ROUND($X497/$W497,4))</x:f>
        <x:v>0.3608</x:v>
      </x:c>
      <x:c r="Z497" s="82" t="n">
        <x:f>IF(OR($AH497&lt;&gt;"Valid",$AI497&lt;&gt;"Valid"),"",INT($D497-$C497))</x:f>
        <x:v>6</x:v>
      </x:c>
      <x:c r="AA497" s="86" t="str">
        <x:f>IF($AH497&lt;&gt;"Valid","",TEXT($C497,"mmmm"))</x:f>
        <x:v>May</x:v>
      </x:c>
      <x:c r="AB497" s="82" t="n">
        <x:f>IF($AH497&lt;&gt;"Valid","",YEAR($C497))</x:f>
        <x:v>2024</x:v>
      </x:c>
      <x:c r="AC497" s="80" t="str">
        <x:v>Refunded (separately summarized)</x:v>
      </x:c>
      <x:c r="AD497" s="80" t="str">
        <x:v>Excluded</x:v>
      </x:c>
      <x:c r="AE497" s="80" t="str">
        <x:f>IF(OR($AH497&lt;&gt;"Valid",$AI497&lt;&gt;"Valid",$AJ497&lt;&gt;"Valid",LEFT($AM497,7)="Invalid",IFERROR(ABS($AQ497)&gt;0.01,FALSE),IFERROR(ABS($AR497)&gt;0.01,FALSE),COUNTIF($AS497,"*Conflicting duplicate*")&gt;0,COUNTIF($AS497,"*Completed order not paid*")&gt;0),"Invalid",IF(OR($H497="Unknown",$N497="Unknown",$AM497="Missing discount imputed as 0"),"Warning","Clean"))</x:f>
        <x:v>Clean</x:v>
      </x:c>
      <x:c r="AF497" s="80" t="str">
        <x:v>Pass</x:v>
      </x:c>
      <x:c r="AG497" s="80" t="str">
        <x:v>No text cleanup required</x:v>
      </x:c>
      <x:c r="AH497" s="12" t="str">
        <x:f>IF(C497="","Missing date",IF(ISNUMBER(C497),"Valid","Unrecognized/invalid date"))</x:f>
        <x:v>Valid</x:v>
      </x:c>
      <x:c r="AI497" s="12" t="str">
        <x:f>IF(D497="","Missing date",IF(ISNUMBER(D497),"Valid","Unrecognized/invalid date"))</x:f>
        <x:v>Valid</x:v>
      </x:c>
      <x:c r="AJ497" s="12" t="str">
        <x:v>Valid</x:v>
      </x:c>
      <x:c r="AK497" s="12" t="str">
        <x:v>Pass</x:v>
      </x:c>
      <x:c r="AL497" s="12" t="str">
        <x:v>Refunded payment – separately summarized</x:v>
      </x:c>
      <x:c r="AM497" s="12" t="str">
        <x:v>Valid</x:v>
      </x:c>
      <x:c r="AN497" s="12" t="str">
        <x:v>Exclude from completed sales</x:v>
      </x:c>
      <x:c r="AO497" s="12" t="str">
        <x:v>Include in refunded summary</x:v>
      </x:c>
      <x:c r="AP497" s="37" t="n">
        <x:f>IF(LEFT($AM497,7)="Invalid","",IF($AM497="Missing discount imputed as 0",IF(AND(COUNT($O497,$P497,$R497,$S497)=4,$O497&gt;0,$P497&gt;=0,$R497&gt;=0,$S497&gt;=0),0,""),IF(AND(ISNUMBER($Q497),$Q497&gt;=0,$Q497&lt;=0.5),$Q497,"")))</x:f>
        <x:v>0.05</x:v>
      </x:c>
      <x:c r="AQ497" s="152" t="n">
        <x:f>IF(OR($W497="",NOT(ISNUMBER($R497))),"",ROUND($R497-$W497,2))</x:f>
        <x:v>0</x:v>
      </x:c>
      <x:c r="AR497" s="152" t="n">
        <x:f>IF(OR($X497="",NOT(ISNUMBER($T497))),"",ROUND($T497-$X497,2))</x:f>
        <x:v>0</x:v>
      </x:c>
      <x:c r="AS497" s="14" t="str">
        <x:v>OK</x:v>
      </x:c>
    </x:row>
    <x:row r="498">
      <x:c r="A498" s="80" t="n">
        <x:v>498</x:v>
      </x:c>
      <x:c r="B498" s="80" t="str">
        <x:v>ORD-2025-10497</x:v>
      </x:c>
      <x:c r="C498" s="81" t="n">
        <x:v>45842</x:v>
      </x:c>
      <x:c r="D498" s="81" t="n">
        <x:v>45844</x:v>
      </x:c>
      <x:c r="E498" s="80" t="str">
        <x:v>CUST-2038</x:v>
      </x:c>
      <x:c r="F498" s="80" t="str">
        <x:v>Kabir Singh</x:v>
      </x:c>
      <x:c r="G498" s="80" t="str">
        <x:v>Small Business</x:v>
      </x:c>
      <x:c r="H498" s="80" t="str">
        <x:v>East</x:v>
      </x:c>
      <x:c r="I498" s="80" t="str">
        <x:v>Jharkhand</x:v>
      </x:c>
      <x:c r="J498" s="80" t="str">
        <x:v>Ranchi</x:v>
      </x:c>
      <x:c r="K498" s="80" t="str">
        <x:v>Furniture</x:v>
      </x:c>
      <x:c r="L498" s="80" t="str">
        <x:v>Chairs</x:v>
      </x:c>
      <x:c r="M498" s="80" t="str">
        <x:v>Eco Chairs 795</x:v>
      </x:c>
      <x:c r="N498" s="80" t="str">
        <x:v>Second Class</x:v>
      </x:c>
      <x:c r="O498" s="82" t="n">
        <x:v>2</x:v>
      </x:c>
      <x:c r="P498" s="83" t="n">
        <x:v>3686.42</x:v>
      </x:c>
      <x:c r="Q498" s="84" t="n">
        <x:v>0.1</x:v>
      </x:c>
      <x:c r="R498" s="83" t="n">
        <x:v>6635.56</x:v>
      </x:c>
      <x:c r="S498" s="83" t="n">
        <x:v>3652.91</x:v>
      </x:c>
      <x:c r="T498" s="83" t="n">
        <x:v>2982.65</x:v>
      </x:c>
      <x:c r="U498" s="83" t="str">
        <x:v>Paid</x:v>
      </x:c>
      <x:c r="V498" s="83" t="str">
        <x:v>Completed</x:v>
      </x:c>
      <x:c r="W498" s="151" t="n">
        <x:f>IF(OR(NOT(ISNUMBER($AP498)),COUNT($O498,$P498)&lt;2,$O498&lt;=0,$P498&lt;0),"",ROUND($O498*$P498*(1-$AP498),2))</x:f>
        <x:v>6635.56</x:v>
      </x:c>
      <x:c r="X498" s="151" t="n">
        <x:f>IF(OR(NOT(ISNUMBER($W498)),NOT(ISNUMBER($S498))),"",ROUND($W498-$S498,2))</x:f>
        <x:v>2982.65</x:v>
      </x:c>
      <x:c r="Y498" s="85" t="n">
        <x:f>IF(OR(NOT(ISNUMBER($W498)),NOT(ISNUMBER($X498)),$W498=0),"",ROUND($X498/$W498,4))</x:f>
        <x:v>0.4495</x:v>
      </x:c>
      <x:c r="Z498" s="82" t="n">
        <x:f>IF(OR($AH498&lt;&gt;"Valid",$AI498&lt;&gt;"Valid"),"",INT($D498-$C498))</x:f>
        <x:v>2</x:v>
      </x:c>
      <x:c r="AA498" s="86" t="str">
        <x:f>IF($AH498&lt;&gt;"Valid","",TEXT($C498,"mmmm"))</x:f>
        <x:v>July</x:v>
      </x:c>
      <x:c r="AB498" s="82" t="n">
        <x:f>IF($AH498&lt;&gt;"Valid","",YEAR($C498))</x:f>
        <x:v>2025</x:v>
      </x:c>
      <x:c r="AC498" s="80" t="str">
        <x:v>Consistent</x:v>
      </x:c>
      <x:c r="AD498" s="80" t="str">
        <x:v>Eligible</x:v>
      </x:c>
      <x:c r="AE498" s="80" t="str">
        <x:f>IF(OR($AH498&lt;&gt;"Valid",$AI498&lt;&gt;"Valid",$AJ498&lt;&gt;"Valid",LEFT($AM498,7)="Invalid",IFERROR(ABS($AQ498)&gt;0.01,FALSE),IFERROR(ABS($AR498)&gt;0.01,FALSE),COUNTIF($AS498,"*Conflicting duplicate*")&gt;0,COUNTIF($AS498,"*Completed order not paid*")&gt;0),"Invalid",IF(OR($H498="Unknown",$N498="Unknown",$AM498="Missing discount imputed as 0"),"Warning","Clean"))</x:f>
        <x:v>Clean</x:v>
      </x:c>
      <x:c r="AF498" s="80" t="str">
        <x:v>Pass</x:v>
      </x:c>
      <x:c r="AG498" s="80" t="str">
        <x:v>No text cleanup required</x:v>
      </x:c>
      <x:c r="AH498" s="12" t="str">
        <x:f>IF(C498="","Missing date",IF(ISNUMBER(C498),"Valid","Unrecognized/invalid date"))</x:f>
        <x:v>Valid</x:v>
      </x:c>
      <x:c r="AI498" s="12" t="str">
        <x:f>IF(D498="","Missing date",IF(ISNUMBER(D498),"Valid","Unrecognized/invalid date"))</x:f>
        <x:v>Valid</x:v>
      </x:c>
      <x:c r="AJ498" s="12" t="str">
        <x:v>Valid</x:v>
      </x:c>
      <x:c r="AK498" s="12" t="str">
        <x:v>Pass</x:v>
      </x:c>
      <x:c r="AL498" s="12" t="str">
        <x:v>None</x:v>
      </x:c>
      <x:c r="AM498" s="12" t="str">
        <x:v>Valid</x:v>
      </x:c>
      <x:c r="AN498" s="12" t="str">
        <x:v>Include in completed sales</x:v>
      </x:c>
      <x:c r="AO498" s="12" t="str">
        <x:v>Not a refunded record</x:v>
      </x:c>
      <x:c r="AP498" s="37" t="n">
        <x:f>IF(LEFT($AM498,7)="Invalid","",IF($AM498="Missing discount imputed as 0",IF(AND(COUNT($O498,$P498,$R498,$S498)=4,$O498&gt;0,$P498&gt;=0,$R498&gt;=0,$S498&gt;=0),0,""),IF(AND(ISNUMBER($Q498),$Q498&gt;=0,$Q498&lt;=0.5),$Q498,"")))</x:f>
        <x:v>0.1</x:v>
      </x:c>
      <x:c r="AQ498" s="152" t="n">
        <x:f>IF(OR($W498="",NOT(ISNUMBER($R498))),"",ROUND($R498-$W498,2))</x:f>
        <x:v>0</x:v>
      </x:c>
      <x:c r="AR498" s="152" t="n">
        <x:f>IF(OR($X498="",NOT(ISNUMBER($T498))),"",ROUND($T498-$X498,2))</x:f>
        <x:v>0</x:v>
      </x:c>
      <x:c r="AS498" s="14" t="str">
        <x:v>OK</x:v>
      </x:c>
    </x:row>
    <x:row r="499">
      <x:c r="A499" s="80" t="n">
        <x:v>499</x:v>
      </x:c>
      <x:c r="B499" s="80" t="str">
        <x:v>ORD-2024-10498</x:v>
      </x:c>
      <x:c r="C499" s="81" t="n">
        <x:v>45533</x:v>
      </x:c>
      <x:c r="D499" s="81" t="n">
        <x:v>45533</x:v>
      </x:c>
      <x:c r="E499" s="80" t="str">
        <x:v>CUST-1567</x:v>
      </x:c>
      <x:c r="F499" s="80" t="str">
        <x:v>Sneha Kapoor</x:v>
      </x:c>
      <x:c r="G499" s="80" t="str">
        <x:v>Small Business</x:v>
      </x:c>
      <x:c r="H499" s="80" t="str">
        <x:v>North</x:v>
      </x:c>
      <x:c r="I499" s="80" t="str">
        <x:v>Uttar Pradesh</x:v>
      </x:c>
      <x:c r="J499" s="80" t="str">
        <x:v>Noida</x:v>
      </x:c>
      <x:c r="K499" s="80" t="str">
        <x:v>Technology</x:v>
      </x:c>
      <x:c r="L499" s="80" t="str">
        <x:v>Accessories</x:v>
      </x:c>
      <x:c r="M499" s="80" t="str">
        <x:v>Smart Accessories 896</x:v>
      </x:c>
      <x:c r="N499" s="80" t="str">
        <x:v>Second Class</x:v>
      </x:c>
      <x:c r="O499" s="82" t="n">
        <x:v>1</x:v>
      </x:c>
      <x:c r="P499" s="83" t="n">
        <x:v>3106.88</x:v>
      </x:c>
      <x:c r="Q499" s="84" t="n">
        <x:v>0.2</x:v>
      </x:c>
      <x:c r="R499" s="83" t="n">
        <x:v>2485.5</x:v>
      </x:c>
      <x:c r="S499" s="83" t="n">
        <x:v>2028.43</x:v>
      </x:c>
      <x:c r="T499" s="83" t="n">
        <x:v>457.07</x:v>
      </x:c>
      <x:c r="U499" s="83" t="str">
        <x:v>Paid</x:v>
      </x:c>
      <x:c r="V499" s="83" t="str">
        <x:v>Cancelled</x:v>
      </x:c>
      <x:c r="W499" s="151" t="n">
        <x:f>IF(OR(NOT(ISNUMBER($AP499)),COUNT($O499,$P499)&lt;2,$O499&lt;=0,$P499&lt;0),"",ROUND($O499*$P499*(1-$AP499),2))</x:f>
        <x:v>2485.5</x:v>
      </x:c>
      <x:c r="X499" s="151" t="n">
        <x:f>IF(OR(NOT(ISNUMBER($W499)),NOT(ISNUMBER($S499))),"",ROUND($W499-$S499,2))</x:f>
        <x:v>457.07</x:v>
      </x:c>
      <x:c r="Y499" s="85" t="n">
        <x:f>IF(OR(NOT(ISNUMBER($W499)),NOT(ISNUMBER($X499)),$W499=0),"",ROUND($X499/$W499,4))</x:f>
        <x:v>0.1839</x:v>
      </x:c>
      <x:c r="Z499" s="82" t="n">
        <x:f>IF(OR($AH499&lt;&gt;"Valid",$AI499&lt;&gt;"Valid"),"",INT($D499-$C499))</x:f>
        <x:v>0</x:v>
      </x:c>
      <x:c r="AA499" s="86" t="str">
        <x:f>IF($AH499&lt;&gt;"Valid","",TEXT($C499,"mmmm"))</x:f>
        <x:v>August</x:v>
      </x:c>
      <x:c r="AB499" s="82" t="n">
        <x:f>IF($AH499&lt;&gt;"Valid","",YEAR($C499))</x:f>
        <x:v>2024</x:v>
      </x:c>
      <x:c r="AC499" s="80" t="str">
        <x:v>Cancelled (excluded from completed-sales summary)</x:v>
      </x:c>
      <x:c r="AD499" s="80" t="str">
        <x:v>Excluded</x:v>
      </x:c>
      <x:c r="AE499" s="80" t="str">
        <x:f>IF(OR($AH499&lt;&gt;"Valid",$AI499&lt;&gt;"Valid",$AJ499&lt;&gt;"Valid",LEFT($AM499,7)="Invalid",IFERROR(ABS($AQ499)&gt;0.01,FALSE),IFERROR(ABS($AR499)&gt;0.01,FALSE),COUNTIF($AS499,"*Conflicting duplicate*")&gt;0,COUNTIF($AS499,"*Completed order not paid*")&gt;0),"Invalid",IF(OR($H499="Unknown",$N499="Unknown",$AM499="Missing discount imputed as 0"),"Warning","Clean"))</x:f>
        <x:v>Clean</x:v>
      </x:c>
      <x:c r="AF499" s="80" t="str">
        <x:v>Cleaned</x:v>
      </x:c>
      <x:c r="AG499" s="80" t="str">
        <x:v>region: Case standardization</x:v>
      </x:c>
      <x:c r="AH499" s="12" t="str">
        <x:f>IF(C499="","Missing date",IF(ISNUMBER(C499),"Valid","Unrecognized/invalid date"))</x:f>
        <x:v>Valid</x:v>
      </x:c>
      <x:c r="AI499" s="12" t="str">
        <x:f>IF(D499="","Missing date",IF(ISNUMBER(D499),"Valid","Unrecognized/invalid date"))</x:f>
        <x:v>Valid</x:v>
      </x:c>
      <x:c r="AJ499" s="12" t="str">
        <x:v>Valid</x:v>
      </x:c>
      <x:c r="AK499" s="12" t="str">
        <x:v>Pass</x:v>
      </x:c>
      <x:c r="AL499" s="12" t="str">
        <x:v>Cancelled order – excluded from completed sales</x:v>
      </x:c>
      <x:c r="AM499" s="12" t="str">
        <x:v>Valid</x:v>
      </x:c>
      <x:c r="AN499" s="12" t="str">
        <x:v>Exclude from completed sales</x:v>
      </x:c>
      <x:c r="AO499" s="12" t="str">
        <x:v>Not a refunded record</x:v>
      </x:c>
      <x:c r="AP499" s="37" t="n">
        <x:f>IF(LEFT($AM499,7)="Invalid","",IF($AM499="Missing discount imputed as 0",IF(AND(COUNT($O499,$P499,$R499,$S499)=4,$O499&gt;0,$P499&gt;=0,$R499&gt;=0,$S499&gt;=0),0,""),IF(AND(ISNUMBER($Q499),$Q499&gt;=0,$Q499&lt;=0.5),$Q499,"")))</x:f>
        <x:v>0.2</x:v>
      </x:c>
      <x:c r="AQ499" s="152" t="n">
        <x:f>IF(OR($W499="",NOT(ISNUMBER($R499))),"",ROUND($R499-$W499,2))</x:f>
        <x:v>0</x:v>
      </x:c>
      <x:c r="AR499" s="152" t="n">
        <x:f>IF(OR($X499="",NOT(ISNUMBER($T499))),"",ROUND($T499-$X499,2))</x:f>
        <x:v>0</x:v>
      </x:c>
      <x:c r="AS499" s="14" t="str">
        <x:v>OK</x:v>
      </x:c>
    </x:row>
    <x:row r="500">
      <x:c r="A500" s="80" t="n">
        <x:v>500</x:v>
      </x:c>
      <x:c r="B500" s="80" t="str">
        <x:v>ORD-2025-10499</x:v>
      </x:c>
      <x:c r="C500" s="81" t="n">
        <x:v>45907</x:v>
      </x:c>
      <x:c r="D500" s="81" t="n">
        <x:v>45910</x:v>
      </x:c>
      <x:c r="E500" s="80" t="str">
        <x:v>CUST-1190</x:v>
      </x:c>
      <x:c r="F500" s="80" t="str">
        <x:v>Karan Malhotra</x:v>
      </x:c>
      <x:c r="G500" s="80" t="str">
        <x:v>Consumer</x:v>
      </x:c>
      <x:c r="H500" s="80" t="str">
        <x:v>North</x:v>
      </x:c>
      <x:c r="I500" s="80" t="str">
        <x:v>Punjab</x:v>
      </x:c>
      <x:c r="J500" s="80" t="str">
        <x:v>Ludhiana</x:v>
      </x:c>
      <x:c r="K500" s="80" t="str">
        <x:v>Furniture</x:v>
      </x:c>
      <x:c r="L500" s="80" t="str">
        <x:v>Chairs</x:v>
      </x:c>
      <x:c r="M500" s="80" t="str">
        <x:v>Basic Chairs 255</x:v>
      </x:c>
      <x:c r="N500" s="80" t="str">
        <x:v>Same Day</x:v>
      </x:c>
      <x:c r="O500" s="82" t="n">
        <x:v>2</x:v>
      </x:c>
      <x:c r="P500" s="83" t="n">
        <x:v>447.55</x:v>
      </x:c>
      <x:c r="Q500" s="84" t="n">
        <x:v>0.05</x:v>
      </x:c>
      <x:c r="R500" s="83" t="n">
        <x:v>850.35</x:v>
      </x:c>
      <x:c r="S500" s="83" t="n">
        <x:v>600.98</x:v>
      </x:c>
      <x:c r="T500" s="83" t="n">
        <x:v>249.37</x:v>
      </x:c>
      <x:c r="U500" s="83" t="str">
        <x:v>Refunded</x:v>
      </x:c>
      <x:c r="V500" s="83" t="str">
        <x:v>Cancelled</x:v>
      </x:c>
      <x:c r="W500" s="151" t="n">
        <x:f>IF(OR(NOT(ISNUMBER($AP500)),COUNT($O500,$P500)&lt;2,$O500&lt;=0,$P500&lt;0),"",ROUND($O500*$P500*(1-$AP500),2))</x:f>
        <x:v>850.35</x:v>
      </x:c>
      <x:c r="X500" s="151" t="n">
        <x:f>IF(OR(NOT(ISNUMBER($W500)),NOT(ISNUMBER($S500))),"",ROUND($W500-$S500,2))</x:f>
        <x:v>249.37</x:v>
      </x:c>
      <x:c r="Y500" s="85" t="n">
        <x:f>IF(OR(NOT(ISNUMBER($W500)),NOT(ISNUMBER($X500)),$W500=0),"",ROUND($X500/$W500,4))</x:f>
        <x:v>0.2933</x:v>
      </x:c>
      <x:c r="Z500" s="82" t="n">
        <x:f>IF(OR($AH500&lt;&gt;"Valid",$AI500&lt;&gt;"Valid"),"",INT($D500-$C500))</x:f>
        <x:v>3</x:v>
      </x:c>
      <x:c r="AA500" s="86" t="str">
        <x:f>IF($AH500&lt;&gt;"Valid","",TEXT($C500,"mmmm"))</x:f>
        <x:v>September</x:v>
      </x:c>
      <x:c r="AB500" s="82" t="n">
        <x:f>IF($AH500&lt;&gt;"Valid","",YEAR($C500))</x:f>
        <x:v>2025</x:v>
      </x:c>
      <x:c r="AC500" s="80" t="str">
        <x:v>Cancelled (excluded from completed-sales summary)</x:v>
      </x:c>
      <x:c r="AD500" s="80" t="str">
        <x:v>Excluded</x:v>
      </x:c>
      <x:c r="AE500" s="80" t="str">
        <x:f>IF(OR($AH500&lt;&gt;"Valid",$AI500&lt;&gt;"Valid",$AJ500&lt;&gt;"Valid",LEFT($AM500,7)="Invalid",IFERROR(ABS($AQ500)&gt;0.01,FALSE),IFERROR(ABS($AR500)&gt;0.01,FALSE),COUNTIF($AS500,"*Conflicting duplicate*")&gt;0,COUNTIF($AS500,"*Completed order not paid*")&gt;0),"Invalid",IF(OR($H500="Unknown",$N500="Unknown",$AM500="Missing discount imputed as 0"),"Warning","Clean"))</x:f>
        <x:v>Clean</x:v>
      </x:c>
      <x:c r="AF500" s="80" t="str">
        <x:v>Cleaned</x:v>
      </x:c>
      <x:c r="AG500" s="80" t="str">
        <x:v>order_status: Case standardization</x:v>
      </x:c>
      <x:c r="AH500" s="12" t="str">
        <x:f>IF(C500="","Missing date",IF(ISNUMBER(C500),"Valid","Unrecognized/invalid date"))</x:f>
        <x:v>Valid</x:v>
      </x:c>
      <x:c r="AI500" s="12" t="str">
        <x:f>IF(D500="","Missing date",IF(ISNUMBER(D500),"Valid","Unrecognized/invalid date"))</x:f>
        <x:v>Valid</x:v>
      </x:c>
      <x:c r="AJ500" s="12" t="str">
        <x:v>Valid</x:v>
      </x:c>
      <x:c r="AK500" s="12" t="str">
        <x:v>Pass</x:v>
      </x:c>
      <x:c r="AL500" s="12" t="str">
        <x:v>Cancelled order – excluded from completed sales; Refunded payment – separately summarized</x:v>
      </x:c>
      <x:c r="AM500" s="12" t="str">
        <x:v>Valid</x:v>
      </x:c>
      <x:c r="AN500" s="12" t="str">
        <x:v>Exclude from completed sales</x:v>
      </x:c>
      <x:c r="AO500" s="12" t="str">
        <x:v>Include in refunded summary</x:v>
      </x:c>
      <x:c r="AP500" s="37" t="n">
        <x:f>IF(LEFT($AM500,7)="Invalid","",IF($AM500="Missing discount imputed as 0",IF(AND(COUNT($O500,$P500,$R500,$S500)=4,$O500&gt;0,$P500&gt;=0,$R500&gt;=0,$S500&gt;=0),0,""),IF(AND(ISNUMBER($Q500),$Q500&gt;=0,$Q500&lt;=0.5),$Q500,"")))</x:f>
        <x:v>0.05</x:v>
      </x:c>
      <x:c r="AQ500" s="152" t="n">
        <x:f>IF(OR($W500="",NOT(ISNUMBER($R500))),"",ROUND($R500-$W500,2))</x:f>
        <x:v>0</x:v>
      </x:c>
      <x:c r="AR500" s="152" t="n">
        <x:f>IF(OR($X500="",NOT(ISNUMBER($T500))),"",ROUND($T500-$X500,2))</x:f>
        <x:v>0</x:v>
      </x:c>
      <x:c r="AS500" s="14" t="str">
        <x:v>OK</x:v>
      </x:c>
    </x:row>
    <x:row r="501">
      <x:c r="A501" s="80" t="n">
        <x:v>501</x:v>
      </x:c>
      <x:c r="B501" s="80" t="str">
        <x:v>ORD-2024-10500</x:v>
      </x:c>
      <x:c r="C501" s="81" t="n">
        <x:v>45648</x:v>
      </x:c>
      <x:c r="D501" s="81" t="n">
        <x:v>45652</x:v>
      </x:c>
      <x:c r="E501" s="80" t="str">
        <x:v>CUST-5604</x:v>
      </x:c>
      <x:c r="F501" s="80" t="str">
        <x:v>Rahul Verma</x:v>
      </x:c>
      <x:c r="G501" s="80" t="str">
        <x:v>Home Office</x:v>
      </x:c>
      <x:c r="H501" s="80" t="str">
        <x:v>North</x:v>
      </x:c>
      <x:c r="I501" s="80" t="str">
        <x:v>Uttar Pradesh</x:v>
      </x:c>
      <x:c r="J501" s="80" t="str">
        <x:v>Noida</x:v>
      </x:c>
      <x:c r="K501" s="80" t="str">
        <x:v>Furniture</x:v>
      </x:c>
      <x:c r="L501" s="80" t="str">
        <x:v>Chairs</x:v>
      </x:c>
      <x:c r="M501" s="80" t="str">
        <x:v>Eco Chairs 210</x:v>
      </x:c>
      <x:c r="N501" s="80" t="str">
        <x:v>Standard Class</x:v>
      </x:c>
      <x:c r="O501" s="82" t="n">
        <x:v>9</x:v>
      </x:c>
      <x:c r="P501" s="83" t="n">
        <x:v>1110.87</x:v>
      </x:c>
      <x:c r="Q501" s="84" t="n">
        <x:v>0</x:v>
      </x:c>
      <x:c r="R501" s="83" t="n">
        <x:v>7498.37</x:v>
      </x:c>
      <x:c r="S501" s="83" t="n">
        <x:v>6059.07</x:v>
      </x:c>
      <x:c r="T501" s="83" t="n">
        <x:v>1439.3</x:v>
      </x:c>
      <x:c r="U501" s="83" t="str">
        <x:v>Paid</x:v>
      </x:c>
      <x:c r="V501" s="83" t="str">
        <x:v>Cancelled</x:v>
      </x:c>
      <x:c r="W501" s="151" t="n">
        <x:f>IF(OR(NOT(ISNUMBER($AP501)),COUNT($O501,$P501)&lt;2,$O501&lt;=0,$P501&lt;0),"",ROUND($O501*$P501*(1-$AP501),2))</x:f>
        <x:v>9997.83</x:v>
      </x:c>
      <x:c r="X501" s="151" t="n">
        <x:f>IF(OR(NOT(ISNUMBER($W501)),NOT(ISNUMBER($S501))),"",ROUND($W501-$S501,2))</x:f>
        <x:v>3938.76</x:v>
      </x:c>
      <x:c r="Y501" s="85" t="n">
        <x:f>IF(OR(NOT(ISNUMBER($W501)),NOT(ISNUMBER($X501)),$W501=0),"",ROUND($X501/$W501,4))</x:f>
        <x:v>0.394</x:v>
      </x:c>
      <x:c r="Z501" s="82" t="n">
        <x:f>IF(OR($AH501&lt;&gt;"Valid",$AI501&lt;&gt;"Valid"),"",INT($D501-$C501))</x:f>
        <x:v>4</x:v>
      </x:c>
      <x:c r="AA501" s="86" t="str">
        <x:f>IF($AH501&lt;&gt;"Valid","",TEXT($C501,"mmmm"))</x:f>
        <x:v>December</x:v>
      </x:c>
      <x:c r="AB501" s="82" t="n">
        <x:f>IF($AH501&lt;&gt;"Valid","",YEAR($C501))</x:f>
        <x:v>2024</x:v>
      </x:c>
      <x:c r="AC501" s="80" t="str">
        <x:v>Cancelled (excluded from completed-sales summary)</x:v>
      </x:c>
      <x:c r="AD501" s="80" t="str">
        <x:v>Excluded</x:v>
      </x:c>
      <x:c r="AE501" s="80" t="str">
        <x:f>IF(OR($AH501&lt;&gt;"Valid",$AI501&lt;&gt;"Valid",$AJ501&lt;&gt;"Valid",LEFT($AM501,7)="Invalid",IFERROR(ABS($AQ501)&gt;0.01,FALSE),IFERROR(ABS($AR501)&gt;0.01,FALSE),COUNTIF($AS501,"*Conflicting duplicate*")&gt;0,COUNTIF($AS501,"*Completed order not paid*")&gt;0),"Invalid",IF(OR($H501="Unknown",$N501="Unknown",$AM501="Missing discount imputed as 0"),"Warning","Clean"))</x:f>
        <x:v>Invalid</x:v>
      </x:c>
      <x:c r="AF501" s="80" t="str">
        <x:v>Review</x:v>
      </x:c>
      <x:c r="AG501" s="80" t="str">
        <x:v>discount: Imputed 0; discount: Missing value set to 0 after sales-field validation</x:v>
      </x:c>
      <x:c r="AH501" s="12" t="str">
        <x:f>IF(C501="","Missing date",IF(ISNUMBER(C501),"Valid","Unrecognized/invalid date"))</x:f>
        <x:v>Valid</x:v>
      </x:c>
      <x:c r="AI501" s="12" t="str">
        <x:f>IF(D501="","Missing date",IF(ISNUMBER(D501),"Valid","Unrecognized/invalid date"))</x:f>
        <x:v>Valid</x:v>
      </x:c>
      <x:c r="AJ501" s="12" t="str">
        <x:v>Valid</x:v>
      </x:c>
      <x:c r="AK501" s="12" t="str">
        <x:v>Pass</x:v>
      </x:c>
      <x:c r="AL501" s="12" t="str">
        <x:v>Missing discount imputed as 0; Cancelled order – excluded from completed sales</x:v>
      </x:c>
      <x:c r="AM501" s="12" t="str">
        <x:v>Missing discount imputed as 0</x:v>
      </x:c>
      <x:c r="AN501" s="12" t="str">
        <x:v>Exclude from completed sales</x:v>
      </x:c>
      <x:c r="AO501" s="12" t="str">
        <x:v>Not a refunded record</x:v>
      </x:c>
      <x:c r="AP501" s="37" t="n">
        <x:f>IF(LEFT($AM501,7)="Invalid","",IF($AM501="Missing discount imputed as 0",IF(AND(COUNT($O501,$P501,$R501,$S501)=4,$O501&gt;0,$P501&gt;=0,$R501&gt;=0,$S501&gt;=0),0,""),IF(AND(ISNUMBER($Q501),$Q501&gt;=0,$Q501&lt;=0.5),$Q501,"")))</x:f>
        <x:v>0</x:v>
      </x:c>
      <x:c r="AQ501" s="152" t="n">
        <x:f>IF(OR($W501="",NOT(ISNUMBER($R501))),"",ROUND($R501-$W501,2))</x:f>
        <x:v>-2499.46</x:v>
      </x:c>
      <x:c r="AR501" s="152" t="n">
        <x:f>IF(OR($X501="",NOT(ISNUMBER($T501))),"",ROUND($T501-$X501,2))</x:f>
        <x:v>-2499.46</x:v>
      </x:c>
      <x:c r="AS501" s="14" t="str">
        <x:v>Sales calculation mismatch</x:v>
      </x:c>
    </x:row>
    <x:row r="502">
      <x:c r="A502" s="80" t="n">
        <x:v>502</x:v>
      </x:c>
      <x:c r="B502" s="80" t="str">
        <x:v>ORD-2024-10501</x:v>
      </x:c>
      <x:c r="C502" s="81" t="n">
        <x:v>45429</x:v>
      </x:c>
      <x:c r="D502" s="81" t="n">
        <x:v>45434</x:v>
      </x:c>
      <x:c r="E502" s="80" t="str">
        <x:v>CUST-7661</x:v>
      </x:c>
      <x:c r="F502" s="80" t="str">
        <x:v>Sneha Kapoor</x:v>
      </x:c>
      <x:c r="G502" s="80" t="str">
        <x:v>Consumer</x:v>
      </x:c>
      <x:c r="H502" s="80" t="str">
        <x:v>South</x:v>
      </x:c>
      <x:c r="I502" s="80" t="str">
        <x:v>Kerala</x:v>
      </x:c>
      <x:c r="J502" s="80" t="str">
        <x:v>Kochi</x:v>
      </x:c>
      <x:c r="K502" s="80" t="str">
        <x:v>Technology</x:v>
      </x:c>
      <x:c r="L502" s="80" t="str">
        <x:v>Phones</x:v>
      </x:c>
      <x:c r="M502" s="80" t="str">
        <x:v>Prime Phones 533</x:v>
      </x:c>
      <x:c r="N502" s="80" t="str">
        <x:v>Same Day</x:v>
      </x:c>
      <x:c r="O502" s="82" t="n">
        <x:v>9</x:v>
      </x:c>
      <x:c r="P502" s="83" t="n">
        <x:v>3795.99</x:v>
      </x:c>
      <x:c r="Q502" s="84" t="n">
        <x:v>0.85</x:v>
      </x:c>
      <x:c r="R502" s="83" t="n">
        <x:v>34163.91</x:v>
      </x:c>
      <x:c r="S502" s="83" t="n">
        <x:v>28577.15</x:v>
      </x:c>
      <x:c r="T502" s="83" t="n">
        <x:v>5586.76</x:v>
      </x:c>
      <x:c r="U502" s="83" t="str">
        <x:v>Paid</x:v>
      </x:c>
      <x:c r="V502" s="83" t="str">
        <x:v>Completed</x:v>
      </x:c>
      <x:c r="W502" s="151" t="str">
        <x:f>IF(OR(NOT(ISNUMBER($AP502)),COUNT($O502,$P502)&lt;2,$O502&lt;=0,$P502&lt;0),"",ROUND($O502*$P502*(1-$AP502),2))</x:f>
      </x:c>
      <x:c r="X502" s="151" t="str">
        <x:f>IF(OR(NOT(ISNUMBER($W502)),NOT(ISNUMBER($S502))),"",ROUND($W502-$S502,2))</x:f>
      </x:c>
      <x:c r="Y502" s="85" t="str">
        <x:f>IF(OR(NOT(ISNUMBER($W502)),NOT(ISNUMBER($X502)),$W502=0),"",ROUND($X502/$W502,4))</x:f>
      </x:c>
      <x:c r="Z502" s="82" t="n">
        <x:f>IF(OR($AH502&lt;&gt;"Valid",$AI502&lt;&gt;"Valid"),"",INT($D502-$C502))</x:f>
        <x:v>5</x:v>
      </x:c>
      <x:c r="AA502" s="86" t="str">
        <x:f>IF($AH502&lt;&gt;"Valid","",TEXT($C502,"mmmm"))</x:f>
        <x:v>May</x:v>
      </x:c>
      <x:c r="AB502" s="82" t="n">
        <x:f>IF($AH502&lt;&gt;"Valid","",YEAR($C502))</x:f>
        <x:v>2024</x:v>
      </x:c>
      <x:c r="AC502" s="80" t="str">
        <x:v>Consistent</x:v>
      </x:c>
      <x:c r="AD502" s="80" t="str">
        <x:v>Excluded</x:v>
      </x:c>
      <x:c r="AE502" s="80" t="str">
        <x:f>IF(OR($AH502&lt;&gt;"Valid",$AI502&lt;&gt;"Valid",$AJ502&lt;&gt;"Valid",LEFT($AM502,7)="Invalid",IFERROR(ABS($AQ502)&gt;0.01,FALSE),IFERROR(ABS($AR502)&gt;0.01,FALSE),COUNTIF($AS502,"*Conflicting duplicate*")&gt;0,COUNTIF($AS502,"*Completed order not paid*")&gt;0),"Invalid",IF(OR($H502="Unknown",$N502="Unknown",$AM502="Missing discount imputed as 0"),"Warning","Clean"))</x:f>
        <x:v>Invalid</x:v>
      </x:c>
      <x:c r="AF502" s="80" t="str">
        <x:v>Review</x:v>
      </x:c>
      <x:c r="AG502" s="80" t="str">
        <x:v>discount: Percent text converted</x:v>
      </x:c>
      <x:c r="AH502" s="12" t="str">
        <x:f>IF(C502="","Missing date",IF(ISNUMBER(C502),"Valid","Unrecognized/invalid date"))</x:f>
        <x:v>Valid</x:v>
      </x:c>
      <x:c r="AI502" s="12" t="str">
        <x:f>IF(D502="","Missing date",IF(ISNUMBER(D502),"Valid","Unrecognized/invalid date"))</x:f>
        <x:v>Valid</x:v>
      </x:c>
      <x:c r="AJ502" s="12" t="str">
        <x:v>Valid</x:v>
      </x:c>
      <x:c r="AK502" s="12" t="str">
        <x:v>Pass</x:v>
      </x:c>
      <x:c r="AL502" s="12" t="str">
        <x:v>None</x:v>
      </x:c>
      <x:c r="AM502" s="12" t="str">
        <x:v>Invalid discount – above 50% allowed range</x:v>
      </x:c>
      <x:c r="AN502" s="12" t="str">
        <x:v>Exclude from completed sales</x:v>
      </x:c>
      <x:c r="AO502" s="12" t="str">
        <x:v>Not a refunded record</x:v>
      </x:c>
      <x:c r="AP502" s="37" t="str">
        <x:f>IF(LEFT($AM502,7)="Invalid","",IF($AM502="Missing discount imputed as 0",IF(AND(COUNT($O502,$P502,$R502,$S502)=4,$O502&gt;0,$P502&gt;=0,$R502&gt;=0,$S502&gt;=0),0,""),IF(AND(ISNUMBER($Q502),$Q502&gt;=0,$Q502&lt;=0.5),$Q502,"")))</x:f>
      </x:c>
      <x:c r="AQ502" s="152" t="str">
        <x:f>IF(OR($W502="",NOT(ISNUMBER($R502))),"",ROUND($R502-$W502,2))</x:f>
      </x:c>
      <x:c r="AR502" s="152" t="str">
        <x:f>IF(OR($X502="",NOT(ISNUMBER($T502))),"",ROUND($T502-$X502,2))</x:f>
      </x:c>
      <x:c r="AS502" s="14" t="str">
        <x:v>Discount above allowed range (&gt;50%)</x:v>
      </x:c>
    </x:row>
    <x:row r="503">
      <x:c r="A503" s="80" t="n">
        <x:v>503</x:v>
      </x:c>
      <x:c r="B503" s="80" t="str">
        <x:v>ORD-2024-10502</x:v>
      </x:c>
      <x:c r="C503" s="81" t="n">
        <x:v>45515</x:v>
      </x:c>
      <x:c r="D503" s="81" t="n">
        <x:v>45521</x:v>
      </x:c>
      <x:c r="E503" s="80" t="str">
        <x:v>CUST-3710</x:v>
      </x:c>
      <x:c r="F503" s="80" t="str">
        <x:v>Neha Gupta</x:v>
      </x:c>
      <x:c r="G503" s="80" t="str">
        <x:v>Consumer</x:v>
      </x:c>
      <x:c r="H503" s="80" t="str">
        <x:v>East</x:v>
      </x:c>
      <x:c r="I503" s="80" t="str">
        <x:v>Jharkhand</x:v>
      </x:c>
      <x:c r="J503" s="80" t="str">
        <x:v>Ranchi</x:v>
      </x:c>
      <x:c r="K503" s="80" t="str">
        <x:v>Office Supplies</x:v>
      </x:c>
      <x:c r="L503" s="80" t="str">
        <x:v>Art</x:v>
      </x:c>
      <x:c r="M503" s="80" t="str">
        <x:v>Elite Art 325</x:v>
      </x:c>
      <x:c r="N503" s="80" t="str">
        <x:v>Second Class</x:v>
      </x:c>
      <x:c r="O503" s="82" t="n">
        <x:v>6</x:v>
      </x:c>
      <x:c r="P503" s="83" t="n">
        <x:v>3497.54</x:v>
      </x:c>
      <x:c r="Q503" s="84" t="n">
        <x:v>0.15</x:v>
      </x:c>
      <x:c r="R503" s="83" t="n">
        <x:v>17837.45</x:v>
      </x:c>
      <x:c r="S503" s="83" t="n">
        <x:v>13627.02</x:v>
      </x:c>
      <x:c r="T503" s="83" t="n">
        <x:v>4210.43</x:v>
      </x:c>
      <x:c r="U503" s="83" t="str">
        <x:v>Paid</x:v>
      </x:c>
      <x:c r="V503" s="83" t="str">
        <x:v>Completed</x:v>
      </x:c>
      <x:c r="W503" s="151" t="n">
        <x:f>IF(OR(NOT(ISNUMBER($AP503)),COUNT($O503,$P503)&lt;2,$O503&lt;=0,$P503&lt;0),"",ROUND($O503*$P503*(1-$AP503),2))</x:f>
        <x:v>17837.45</x:v>
      </x:c>
      <x:c r="X503" s="151" t="n">
        <x:f>IF(OR(NOT(ISNUMBER($W503)),NOT(ISNUMBER($S503))),"",ROUND($W503-$S503,2))</x:f>
        <x:v>4210.43</x:v>
      </x:c>
      <x:c r="Y503" s="85" t="n">
        <x:f>IF(OR(NOT(ISNUMBER($W503)),NOT(ISNUMBER($X503)),$W503=0),"",ROUND($X503/$W503,4))</x:f>
        <x:v>0.236</x:v>
      </x:c>
      <x:c r="Z503" s="82" t="n">
        <x:f>IF(OR($AH503&lt;&gt;"Valid",$AI503&lt;&gt;"Valid"),"",INT($D503-$C503))</x:f>
        <x:v>6</x:v>
      </x:c>
      <x:c r="AA503" s="86" t="str">
        <x:f>IF($AH503&lt;&gt;"Valid","",TEXT($C503,"mmmm"))</x:f>
        <x:v>August</x:v>
      </x:c>
      <x:c r="AB503" s="82" t="n">
        <x:f>IF($AH503&lt;&gt;"Valid","",YEAR($C503))</x:f>
        <x:v>2024</x:v>
      </x:c>
      <x:c r="AC503" s="80" t="str">
        <x:v>Consistent</x:v>
      </x:c>
      <x:c r="AD503" s="80" t="str">
        <x:v>Eligible</x:v>
      </x:c>
      <x:c r="AE503" s="80" t="str">
        <x:f>IF(OR($AH503&lt;&gt;"Valid",$AI503&lt;&gt;"Valid",$AJ503&lt;&gt;"Valid",LEFT($AM503,7)="Invalid",IFERROR(ABS($AQ503)&gt;0.01,FALSE),IFERROR(ABS($AR503)&gt;0.01,FALSE),COUNTIF($AS503,"*Conflicting duplicate*")&gt;0,COUNTIF($AS503,"*Completed order not paid*")&gt;0),"Invalid",IF(OR($H503="Unknown",$N503="Unknown",$AM503="Missing discount imputed as 0"),"Warning","Clean"))</x:f>
        <x:v>Clean</x:v>
      </x:c>
      <x:c r="AF503" s="80" t="str">
        <x:v>Pass</x:v>
      </x:c>
      <x:c r="AG503" s="80" t="str">
        <x:v>No text cleanup required</x:v>
      </x:c>
      <x:c r="AH503" s="12" t="str">
        <x:f>IF(C503="","Missing date",IF(ISNUMBER(C503),"Valid","Unrecognized/invalid date"))</x:f>
        <x:v>Valid</x:v>
      </x:c>
      <x:c r="AI503" s="12" t="str">
        <x:f>IF(D503="","Missing date",IF(ISNUMBER(D503),"Valid","Unrecognized/invalid date"))</x:f>
        <x:v>Valid</x:v>
      </x:c>
      <x:c r="AJ503" s="12" t="str">
        <x:v>Valid</x:v>
      </x:c>
      <x:c r="AK503" s="12" t="str">
        <x:v>Pass</x:v>
      </x:c>
      <x:c r="AL503" s="12" t="str">
        <x:v>None</x:v>
      </x:c>
      <x:c r="AM503" s="12" t="str">
        <x:v>Valid</x:v>
      </x:c>
      <x:c r="AN503" s="12" t="str">
        <x:v>Include in completed sales</x:v>
      </x:c>
      <x:c r="AO503" s="12" t="str">
        <x:v>Not a refunded record</x:v>
      </x:c>
      <x:c r="AP503" s="37" t="n">
        <x:f>IF(LEFT($AM503,7)="Invalid","",IF($AM503="Missing discount imputed as 0",IF(AND(COUNT($O503,$P503,$R503,$S503)=4,$O503&gt;0,$P503&gt;=0,$R503&gt;=0,$S503&gt;=0),0,""),IF(AND(ISNUMBER($Q503),$Q503&gt;=0,$Q503&lt;=0.5),$Q503,"")))</x:f>
        <x:v>0.15</x:v>
      </x:c>
      <x:c r="AQ503" s="152" t="n">
        <x:f>IF(OR($W503="",NOT(ISNUMBER($R503))),"",ROUND($R503-$W503,2))</x:f>
        <x:v>0</x:v>
      </x:c>
      <x:c r="AR503" s="152" t="n">
        <x:f>IF(OR($X503="",NOT(ISNUMBER($T503))),"",ROUND($T503-$X503,2))</x:f>
        <x:v>0</x:v>
      </x:c>
      <x:c r="AS503" s="14" t="str">
        <x:v>OK</x:v>
      </x:c>
    </x:row>
    <x:row r="504">
      <x:c r="A504" s="80" t="n">
        <x:v>504</x:v>
      </x:c>
      <x:c r="B504" s="80" t="str">
        <x:v>ORD-2024-10503</x:v>
      </x:c>
      <x:c r="C504" s="81" t="n">
        <x:v>45383</x:v>
      </x:c>
      <x:c r="D504" s="81" t="n">
        <x:v>45391</x:v>
      </x:c>
      <x:c r="E504" s="80" t="str">
        <x:v>CUST-1534</x:v>
      </x:c>
      <x:c r="F504" s="80" t="str">
        <x:v>Priya Menon</x:v>
      </x:c>
      <x:c r="G504" s="80" t="str">
        <x:v>Small Business</x:v>
      </x:c>
      <x:c r="H504" s="80" t="str">
        <x:v>East</x:v>
      </x:c>
      <x:c r="I504" s="80" t="str">
        <x:v>Odisha</x:v>
      </x:c>
      <x:c r="J504" s="80" t="str">
        <x:v>Bhubaneswar</x:v>
      </x:c>
      <x:c r="K504" s="80" t="str">
        <x:v>Technology</x:v>
      </x:c>
      <x:c r="L504" s="80" t="str">
        <x:v>Copiers</x:v>
      </x:c>
      <x:c r="M504" s="80" t="str">
        <x:v>Prime Copiers 557</x:v>
      </x:c>
      <x:c r="N504" s="80" t="str">
        <x:v>Second Class</x:v>
      </x:c>
      <x:c r="O504" s="82" t="n">
        <x:v>6</x:v>
      </x:c>
      <x:c r="P504" s="83" t="n">
        <x:v>826.93</x:v>
      </x:c>
      <x:c r="Q504" s="84" t="n">
        <x:v>0.1</x:v>
      </x:c>
      <x:c r="R504" s="83" t="n">
        <x:v>4465.42</x:v>
      </x:c>
      <x:c r="S504" s="83" t="n">
        <x:v>3377.1</x:v>
      </x:c>
      <x:c r="T504" s="83" t="n">
        <x:v>1088.32</x:v>
      </x:c>
      <x:c r="U504" s="83" t="str">
        <x:v>Paid</x:v>
      </x:c>
      <x:c r="V504" s="83" t="str">
        <x:v>Completed</x:v>
      </x:c>
      <x:c r="W504" s="151" t="n">
        <x:f>IF(OR(NOT(ISNUMBER($AP504)),COUNT($O504,$P504)&lt;2,$O504&lt;=0,$P504&lt;0),"",ROUND($O504*$P504*(1-$AP504),2))</x:f>
        <x:v>4465.42</x:v>
      </x:c>
      <x:c r="X504" s="151" t="n">
        <x:f>IF(OR(NOT(ISNUMBER($W504)),NOT(ISNUMBER($S504))),"",ROUND($W504-$S504,2))</x:f>
        <x:v>1088.32</x:v>
      </x:c>
      <x:c r="Y504" s="85" t="n">
        <x:f>IF(OR(NOT(ISNUMBER($W504)),NOT(ISNUMBER($X504)),$W504=0),"",ROUND($X504/$W504,4))</x:f>
        <x:v>0.2437</x:v>
      </x:c>
      <x:c r="Z504" s="82" t="n">
        <x:f>IF(OR($AH504&lt;&gt;"Valid",$AI504&lt;&gt;"Valid"),"",INT($D504-$C504))</x:f>
        <x:v>8</x:v>
      </x:c>
      <x:c r="AA504" s="86" t="str">
        <x:f>IF($AH504&lt;&gt;"Valid","",TEXT($C504,"mmmm"))</x:f>
        <x:v>April</x:v>
      </x:c>
      <x:c r="AB504" s="82" t="n">
        <x:f>IF($AH504&lt;&gt;"Valid","",YEAR($C504))</x:f>
        <x:v>2024</x:v>
      </x:c>
      <x:c r="AC504" s="80" t="str">
        <x:v>Consistent</x:v>
      </x:c>
      <x:c r="AD504" s="80" t="str">
        <x:v>Eligible</x:v>
      </x:c>
      <x:c r="AE504" s="80" t="str">
        <x:f>IF(OR($AH504&lt;&gt;"Valid",$AI504&lt;&gt;"Valid",$AJ504&lt;&gt;"Valid",LEFT($AM504,7)="Invalid",IFERROR(ABS($AQ504)&gt;0.01,FALSE),IFERROR(ABS($AR504)&gt;0.01,FALSE),COUNTIF($AS504,"*Conflicting duplicate*")&gt;0,COUNTIF($AS504,"*Completed order not paid*")&gt;0),"Invalid",IF(OR($H504="Unknown",$N504="Unknown",$AM504="Missing discount imputed as 0"),"Warning","Clean"))</x:f>
        <x:v>Clean</x:v>
      </x:c>
      <x:c r="AF504" s="80" t="str">
        <x:v>Cleaned</x:v>
      </x:c>
      <x:c r="AG504" s="80" t="str">
        <x:v>region: TRIM/SUBSTITUTE whitespace cleanup</x:v>
      </x:c>
      <x:c r="AH504" s="12" t="str">
        <x:f>IF(C504="","Missing date",IF(ISNUMBER(C504),"Valid","Unrecognized/invalid date"))</x:f>
        <x:v>Valid</x:v>
      </x:c>
      <x:c r="AI504" s="12" t="str">
        <x:f>IF(D504="","Missing date",IF(ISNUMBER(D504),"Valid","Unrecognized/invalid date"))</x:f>
        <x:v>Valid</x:v>
      </x:c>
      <x:c r="AJ504" s="12" t="str">
        <x:v>Valid</x:v>
      </x:c>
      <x:c r="AK504" s="12" t="str">
        <x:v>Pass</x:v>
      </x:c>
      <x:c r="AL504" s="12" t="str">
        <x:v>None</x:v>
      </x:c>
      <x:c r="AM504" s="12" t="str">
        <x:v>Valid</x:v>
      </x:c>
      <x:c r="AN504" s="12" t="str">
        <x:v>Include in completed sales</x:v>
      </x:c>
      <x:c r="AO504" s="12" t="str">
        <x:v>Not a refunded record</x:v>
      </x:c>
      <x:c r="AP504" s="37" t="n">
        <x:f>IF(LEFT($AM504,7)="Invalid","",IF($AM504="Missing discount imputed as 0",IF(AND(COUNT($O504,$P504,$R504,$S504)=4,$O504&gt;0,$P504&gt;=0,$R504&gt;=0,$S504&gt;=0),0,""),IF(AND(ISNUMBER($Q504),$Q504&gt;=0,$Q504&lt;=0.5),$Q504,"")))</x:f>
        <x:v>0.1</x:v>
      </x:c>
      <x:c r="AQ504" s="152" t="n">
        <x:f>IF(OR($W504="",NOT(ISNUMBER($R504))),"",ROUND($R504-$W504,2))</x:f>
        <x:v>0</x:v>
      </x:c>
      <x:c r="AR504" s="152" t="n">
        <x:f>IF(OR($X504="",NOT(ISNUMBER($T504))),"",ROUND($T504-$X504,2))</x:f>
        <x:v>0</x:v>
      </x:c>
      <x:c r="AS504" s="14" t="str">
        <x:v>OK</x:v>
      </x:c>
    </x:row>
    <x:row r="505">
      <x:c r="A505" s="80" t="n">
        <x:v>505</x:v>
      </x:c>
      <x:c r="B505" s="80" t="str">
        <x:v>ORD-2024-10504</x:v>
      </x:c>
      <x:c r="C505" s="81" t="n">
        <x:v>45563</x:v>
      </x:c>
      <x:c r="D505" s="81" t="n">
        <x:v>45570</x:v>
      </x:c>
      <x:c r="E505" s="80" t="str">
        <x:v>CUST-7422</x:v>
      </x:c>
      <x:c r="F505" s="80" t="str">
        <x:v>Aarav Sharma</x:v>
      </x:c>
      <x:c r="G505" s="80" t="str">
        <x:v>Consumer</x:v>
      </x:c>
      <x:c r="H505" s="80" t="str">
        <x:v>South</x:v>
      </x:c>
      <x:c r="I505" s="80" t="str">
        <x:v>Tamil Nadu</x:v>
      </x:c>
      <x:c r="J505" s="80" t="str">
        <x:v>Chennai</x:v>
      </x:c>
      <x:c r="K505" s="80" t="str">
        <x:v>Technology</x:v>
      </x:c>
      <x:c r="L505" s="80" t="str">
        <x:v>Phones</x:v>
      </x:c>
      <x:c r="M505" s="80" t="str">
        <x:v>Smart Phones 674</x:v>
      </x:c>
      <x:c r="N505" s="80" t="str">
        <x:v>Standard Class</x:v>
      </x:c>
      <x:c r="O505" s="82" t="n">
        <x:v>7</x:v>
      </x:c>
      <x:c r="P505" s="83" t="n">
        <x:v>1681.6</x:v>
      </x:c>
      <x:c r="Q505" s="84" t="n">
        <x:v>0.1</x:v>
      </x:c>
      <x:c r="R505" s="83" t="n">
        <x:v>10594.08</x:v>
      </x:c>
      <x:c r="S505" s="83" t="n">
        <x:v>7160.31</x:v>
      </x:c>
      <x:c r="T505" s="83" t="n">
        <x:v>3433.77</x:v>
      </x:c>
      <x:c r="U505" s="83" t="str">
        <x:v>Paid</x:v>
      </x:c>
      <x:c r="V505" s="83" t="str">
        <x:v>Completed</x:v>
      </x:c>
      <x:c r="W505" s="151" t="n">
        <x:f>IF(OR(NOT(ISNUMBER($AP505)),COUNT($O505,$P505)&lt;2,$O505&lt;=0,$P505&lt;0),"",ROUND($O505*$P505*(1-$AP505),2))</x:f>
        <x:v>10594.08</x:v>
      </x:c>
      <x:c r="X505" s="151" t="n">
        <x:f>IF(OR(NOT(ISNUMBER($W505)),NOT(ISNUMBER($S505))),"",ROUND($W505-$S505,2))</x:f>
        <x:v>3433.77</x:v>
      </x:c>
      <x:c r="Y505" s="85" t="n">
        <x:f>IF(OR(NOT(ISNUMBER($W505)),NOT(ISNUMBER($X505)),$W505=0),"",ROUND($X505/$W505,4))</x:f>
        <x:v>0.3241</x:v>
      </x:c>
      <x:c r="Z505" s="82" t="n">
        <x:f>IF(OR($AH505&lt;&gt;"Valid",$AI505&lt;&gt;"Valid"),"",INT($D505-$C505))</x:f>
        <x:v>7</x:v>
      </x:c>
      <x:c r="AA505" s="86" t="str">
        <x:f>IF($AH505&lt;&gt;"Valid","",TEXT($C505,"mmmm"))</x:f>
        <x:v>September</x:v>
      </x:c>
      <x:c r="AB505" s="82" t="n">
        <x:f>IF($AH505&lt;&gt;"Valid","",YEAR($C505))</x:f>
        <x:v>2024</x:v>
      </x:c>
      <x:c r="AC505" s="80" t="str">
        <x:v>Consistent</x:v>
      </x:c>
      <x:c r="AD505" s="80" t="str">
        <x:v>Eligible</x:v>
      </x:c>
      <x:c r="AE505" s="80" t="str">
        <x:f>IF(OR($AH505&lt;&gt;"Valid",$AI505&lt;&gt;"Valid",$AJ505&lt;&gt;"Valid",LEFT($AM505,7)="Invalid",IFERROR(ABS($AQ505)&gt;0.01,FALSE),IFERROR(ABS($AR505)&gt;0.01,FALSE),COUNTIF($AS505,"*Conflicting duplicate*")&gt;0,COUNTIF($AS505,"*Completed order not paid*")&gt;0),"Invalid",IF(OR($H505="Unknown",$N505="Unknown",$AM505="Missing discount imputed as 0"),"Warning","Clean"))</x:f>
        <x:v>Clean</x:v>
      </x:c>
      <x:c r="AF505" s="80" t="str">
        <x:v>Pass</x:v>
      </x:c>
      <x:c r="AG505" s="80" t="str">
        <x:v>No text cleanup required</x:v>
      </x:c>
      <x:c r="AH505" s="12" t="str">
        <x:f>IF(C505="","Missing date",IF(ISNUMBER(C505),"Valid","Unrecognized/invalid date"))</x:f>
        <x:v>Valid</x:v>
      </x:c>
      <x:c r="AI505" s="12" t="str">
        <x:f>IF(D505="","Missing date",IF(ISNUMBER(D505),"Valid","Unrecognized/invalid date"))</x:f>
        <x:v>Valid</x:v>
      </x:c>
      <x:c r="AJ505" s="12" t="str">
        <x:v>Valid</x:v>
      </x:c>
      <x:c r="AK505" s="12" t="str">
        <x:v>Pass</x:v>
      </x:c>
      <x:c r="AL505" s="12" t="str">
        <x:v>None</x:v>
      </x:c>
      <x:c r="AM505" s="12" t="str">
        <x:v>Valid</x:v>
      </x:c>
      <x:c r="AN505" s="12" t="str">
        <x:v>Include in completed sales</x:v>
      </x:c>
      <x:c r="AO505" s="12" t="str">
        <x:v>Not a refunded record</x:v>
      </x:c>
      <x:c r="AP505" s="37" t="n">
        <x:f>IF(LEFT($AM505,7)="Invalid","",IF($AM505="Missing discount imputed as 0",IF(AND(COUNT($O505,$P505,$R505,$S505)=4,$O505&gt;0,$P505&gt;=0,$R505&gt;=0,$S505&gt;=0),0,""),IF(AND(ISNUMBER($Q505),$Q505&gt;=0,$Q505&lt;=0.5),$Q505,"")))</x:f>
        <x:v>0.1</x:v>
      </x:c>
      <x:c r="AQ505" s="152" t="n">
        <x:f>IF(OR($W505="",NOT(ISNUMBER($R505))),"",ROUND($R505-$W505,2))</x:f>
        <x:v>0</x:v>
      </x:c>
      <x:c r="AR505" s="152" t="n">
        <x:f>IF(OR($X505="",NOT(ISNUMBER($T505))),"",ROUND($T505-$X505,2))</x:f>
        <x:v>0</x:v>
      </x:c>
      <x:c r="AS505" s="14" t="str">
        <x:v>OK</x:v>
      </x:c>
    </x:row>
    <x:row r="506">
      <x:c r="A506" s="80" t="n">
        <x:v>506</x:v>
      </x:c>
      <x:c r="B506" s="80" t="str">
        <x:v>ORD-2025-10505</x:v>
      </x:c>
      <x:c r="C506" s="81" t="n">
        <x:v>45700</x:v>
      </x:c>
      <x:c r="D506" s="81" t="n">
        <x:v>45705</x:v>
      </x:c>
      <x:c r="E506" s="80" t="str">
        <x:v>CUST-9693</x:v>
      </x:c>
      <x:c r="F506" s="80" t="str">
        <x:v>Arjun Bose</x:v>
      </x:c>
      <x:c r="G506" s="80" t="str">
        <x:v>Corporate</x:v>
      </x:c>
      <x:c r="H506" s="80" t="str">
        <x:v>West</x:v>
      </x:c>
      <x:c r="I506" s="80" t="str">
        <x:v>Gujarat</x:v>
      </x:c>
      <x:c r="J506" s="80" t="str">
        <x:v>Ahmedabad</x:v>
      </x:c>
      <x:c r="K506" s="80" t="str">
        <x:v>Office Supplies</x:v>
      </x:c>
      <x:c r="L506" s="80" t="str">
        <x:v>Art</x:v>
      </x:c>
      <x:c r="M506" s="80" t="str">
        <x:v>Elite Art 553</x:v>
      </x:c>
      <x:c r="N506" s="80" t="str">
        <x:v>Standard Class</x:v>
      </x:c>
      <x:c r="O506" s="82" t="n">
        <x:v>4</x:v>
      </x:c>
      <x:c r="P506" s="83" t="n">
        <x:v>4328.12</x:v>
      </x:c>
      <x:c r="Q506" s="84" t="n">
        <x:v>0</x:v>
      </x:c>
      <x:c r="R506" s="83" t="n">
        <x:v>17312.48</x:v>
      </x:c>
      <x:c r="S506" s="83" t="n">
        <x:v>14424.22</x:v>
      </x:c>
      <x:c r="T506" s="83" t="n">
        <x:v>2888.26</x:v>
      </x:c>
      <x:c r="U506" s="83" t="str">
        <x:v>Paid</x:v>
      </x:c>
      <x:c r="V506" s="83" t="str">
        <x:v>Completed</x:v>
      </x:c>
      <x:c r="W506" s="151" t="n">
        <x:f>IF(OR(NOT(ISNUMBER($AP506)),COUNT($O506,$P506)&lt;2,$O506&lt;=0,$P506&lt;0),"",ROUND($O506*$P506*(1-$AP506),2))</x:f>
        <x:v>17312.48</x:v>
      </x:c>
      <x:c r="X506" s="151" t="n">
        <x:f>IF(OR(NOT(ISNUMBER($W506)),NOT(ISNUMBER($S506))),"",ROUND($W506-$S506,2))</x:f>
        <x:v>2888.26</x:v>
      </x:c>
      <x:c r="Y506" s="85" t="n">
        <x:f>IF(OR(NOT(ISNUMBER($W506)),NOT(ISNUMBER($X506)),$W506=0),"",ROUND($X506/$W506,4))</x:f>
        <x:v>0.1668</x:v>
      </x:c>
      <x:c r="Z506" s="82" t="n">
        <x:f>IF(OR($AH506&lt;&gt;"Valid",$AI506&lt;&gt;"Valid"),"",INT($D506-$C506))</x:f>
        <x:v>5</x:v>
      </x:c>
      <x:c r="AA506" s="86" t="str">
        <x:f>IF($AH506&lt;&gt;"Valid","",TEXT($C506,"mmmm"))</x:f>
        <x:v>February</x:v>
      </x:c>
      <x:c r="AB506" s="82" t="n">
        <x:f>IF($AH506&lt;&gt;"Valid","",YEAR($C506))</x:f>
        <x:v>2025</x:v>
      </x:c>
      <x:c r="AC506" s="80" t="str">
        <x:v>Consistent</x:v>
      </x:c>
      <x:c r="AD506" s="80" t="str">
        <x:v>Eligible</x:v>
      </x:c>
      <x:c r="AE506" s="80" t="str">
        <x:f>IF(OR($AH506&lt;&gt;"Valid",$AI506&lt;&gt;"Valid",$AJ506&lt;&gt;"Valid",LEFT($AM506,7)="Invalid",IFERROR(ABS($AQ506)&gt;0.01,FALSE),IFERROR(ABS($AR506)&gt;0.01,FALSE),COUNTIF($AS506,"*Conflicting duplicate*")&gt;0,COUNTIF($AS506,"*Completed order not paid*")&gt;0),"Invalid",IF(OR($H506="Unknown",$N506="Unknown",$AM506="Missing discount imputed as 0"),"Warning","Clean"))</x:f>
        <x:v>Clean</x:v>
      </x:c>
      <x:c r="AF506" s="80" t="str">
        <x:v>Pass</x:v>
      </x:c>
      <x:c r="AG506" s="80" t="str">
        <x:v>No text cleanup required</x:v>
      </x:c>
      <x:c r="AH506" s="12" t="str">
        <x:f>IF(C506="","Missing date",IF(ISNUMBER(C506),"Valid","Unrecognized/invalid date"))</x:f>
        <x:v>Valid</x:v>
      </x:c>
      <x:c r="AI506" s="12" t="str">
        <x:f>IF(D506="","Missing date",IF(ISNUMBER(D506),"Valid","Unrecognized/invalid date"))</x:f>
        <x:v>Valid</x:v>
      </x:c>
      <x:c r="AJ506" s="12" t="str">
        <x:v>Valid</x:v>
      </x:c>
      <x:c r="AK506" s="12" t="str">
        <x:v>Pass</x:v>
      </x:c>
      <x:c r="AL506" s="12" t="str">
        <x:v>None</x:v>
      </x:c>
      <x:c r="AM506" s="12" t="str">
        <x:v>Valid</x:v>
      </x:c>
      <x:c r="AN506" s="12" t="str">
        <x:v>Include in completed sales</x:v>
      </x:c>
      <x:c r="AO506" s="12" t="str">
        <x:v>Not a refunded record</x:v>
      </x:c>
      <x:c r="AP506" s="37" t="n">
        <x:f>IF(LEFT($AM506,7)="Invalid","",IF($AM506="Missing discount imputed as 0",IF(AND(COUNT($O506,$P506,$R506,$S506)=4,$O506&gt;0,$P506&gt;=0,$R506&gt;=0,$S506&gt;=0),0,""),IF(AND(ISNUMBER($Q506),$Q506&gt;=0,$Q506&lt;=0.5),$Q506,"")))</x:f>
        <x:v>0</x:v>
      </x:c>
      <x:c r="AQ506" s="152" t="n">
        <x:f>IF(OR($W506="",NOT(ISNUMBER($R506))),"",ROUND($R506-$W506,2))</x:f>
        <x:v>0</x:v>
      </x:c>
      <x:c r="AR506" s="152" t="n">
        <x:f>IF(OR($X506="",NOT(ISNUMBER($T506))),"",ROUND($T506-$X506,2))</x:f>
        <x:v>0</x:v>
      </x:c>
      <x:c r="AS506" s="14" t="str">
        <x:v>OK</x:v>
      </x:c>
    </x:row>
    <x:row r="507">
      <x:c r="A507" s="80" t="n">
        <x:v>507</x:v>
      </x:c>
      <x:c r="B507" s="80" t="str">
        <x:v>ORD-2024-10506</x:v>
      </x:c>
      <x:c r="C507" s="81" t="n">
        <x:v>45605</x:v>
      </x:c>
      <x:c r="D507" s="81" t="n">
        <x:v>45610</x:v>
      </x:c>
      <x:c r="E507" s="80" t="str">
        <x:v>CUST-5458</x:v>
      </x:c>
      <x:c r="F507" s="80" t="str">
        <x:v>Neha Gupta</x:v>
      </x:c>
      <x:c r="G507" s="80" t="str">
        <x:v>Corporate</x:v>
      </x:c>
      <x:c r="H507" s="80" t="str">
        <x:v>West</x:v>
      </x:c>
      <x:c r="I507" s="80" t="str">
        <x:v>Madhya Pradesh</x:v>
      </x:c>
      <x:c r="J507" s="80" t="str">
        <x:v>Indore</x:v>
      </x:c>
      <x:c r="K507" s="80" t="str">
        <x:v>Office Supplies</x:v>
      </x:c>
      <x:c r="L507" s="80" t="str">
        <x:v>Art</x:v>
      </x:c>
      <x:c r="M507" s="80" t="str">
        <x:v>Classic Art 339</x:v>
      </x:c>
      <x:c r="N507" s="80" t="str">
        <x:v>First Class</x:v>
      </x:c>
      <x:c r="O507" s="82" t="n">
        <x:v>9</x:v>
      </x:c>
      <x:c r="P507" s="83" t="n">
        <x:v>2438.29</x:v>
      </x:c>
      <x:c r="Q507" s="84" t="n">
        <x:v>0.2</x:v>
      </x:c>
      <x:c r="R507" s="83" t="n">
        <x:v>17555.69</x:v>
      </x:c>
      <x:c r="S507" s="83" t="n">
        <x:v>13293.2</x:v>
      </x:c>
      <x:c r="T507" s="83" t="n">
        <x:v>4262.49</x:v>
      </x:c>
      <x:c r="U507" s="83" t="str">
        <x:v>Paid</x:v>
      </x:c>
      <x:c r="V507" s="83" t="str">
        <x:v>Cancelled</x:v>
      </x:c>
      <x:c r="W507" s="151" t="n">
        <x:f>IF(OR(NOT(ISNUMBER($AP507)),COUNT($O507,$P507)&lt;2,$O507&lt;=0,$P507&lt;0),"",ROUND($O507*$P507*(1-$AP507),2))</x:f>
        <x:v>17555.69</x:v>
      </x:c>
      <x:c r="X507" s="151" t="n">
        <x:f>IF(OR(NOT(ISNUMBER($W507)),NOT(ISNUMBER($S507))),"",ROUND($W507-$S507,2))</x:f>
        <x:v>4262.49</x:v>
      </x:c>
      <x:c r="Y507" s="85" t="n">
        <x:f>IF(OR(NOT(ISNUMBER($W507)),NOT(ISNUMBER($X507)),$W507=0),"",ROUND($X507/$W507,4))</x:f>
        <x:v>0.2428</x:v>
      </x:c>
      <x:c r="Z507" s="82" t="n">
        <x:f>IF(OR($AH507&lt;&gt;"Valid",$AI507&lt;&gt;"Valid"),"",INT($D507-$C507))</x:f>
        <x:v>5</x:v>
      </x:c>
      <x:c r="AA507" s="86" t="str">
        <x:f>IF($AH507&lt;&gt;"Valid","",TEXT($C507,"mmmm"))</x:f>
        <x:v>November</x:v>
      </x:c>
      <x:c r="AB507" s="82" t="n">
        <x:f>IF($AH507&lt;&gt;"Valid","",YEAR($C507))</x:f>
        <x:v>2024</x:v>
      </x:c>
      <x:c r="AC507" s="80" t="str">
        <x:v>Cancelled (excluded from completed-sales summary)</x:v>
      </x:c>
      <x:c r="AD507" s="80" t="str">
        <x:v>Excluded</x:v>
      </x:c>
      <x:c r="AE507" s="80" t="str">
        <x:f>IF(OR($AH507&lt;&gt;"Valid",$AI507&lt;&gt;"Valid",$AJ507&lt;&gt;"Valid",LEFT($AM507,7)="Invalid",IFERROR(ABS($AQ507)&gt;0.01,FALSE),IFERROR(ABS($AR507)&gt;0.01,FALSE),COUNTIF($AS507,"*Conflicting duplicate*")&gt;0,COUNTIF($AS507,"*Completed order not paid*")&gt;0),"Invalid",IF(OR($H507="Unknown",$N507="Unknown",$AM507="Missing discount imputed as 0"),"Warning","Clean"))</x:f>
        <x:v>Clean</x:v>
      </x:c>
      <x:c r="AF507" s="80" t="str">
        <x:v>Pass</x:v>
      </x:c>
      <x:c r="AG507" s="80" t="str">
        <x:v>No text cleanup required</x:v>
      </x:c>
      <x:c r="AH507" s="12" t="str">
        <x:f>IF(C507="","Missing date",IF(ISNUMBER(C507),"Valid","Unrecognized/invalid date"))</x:f>
        <x:v>Valid</x:v>
      </x:c>
      <x:c r="AI507" s="12" t="str">
        <x:f>IF(D507="","Missing date",IF(ISNUMBER(D507),"Valid","Unrecognized/invalid date"))</x:f>
        <x:v>Valid</x:v>
      </x:c>
      <x:c r="AJ507" s="12" t="str">
        <x:v>Valid</x:v>
      </x:c>
      <x:c r="AK507" s="12" t="str">
        <x:v>Pass</x:v>
      </x:c>
      <x:c r="AL507" s="12" t="str">
        <x:v>Cancelled order – excluded from completed sales</x:v>
      </x:c>
      <x:c r="AM507" s="12" t="str">
        <x:v>Valid</x:v>
      </x:c>
      <x:c r="AN507" s="12" t="str">
        <x:v>Exclude from completed sales</x:v>
      </x:c>
      <x:c r="AO507" s="12" t="str">
        <x:v>Not a refunded record</x:v>
      </x:c>
      <x:c r="AP507" s="37" t="n">
        <x:f>IF(LEFT($AM507,7)="Invalid","",IF($AM507="Missing discount imputed as 0",IF(AND(COUNT($O507,$P507,$R507,$S507)=4,$O507&gt;0,$P507&gt;=0,$R507&gt;=0,$S507&gt;=0),0,""),IF(AND(ISNUMBER($Q507),$Q507&gt;=0,$Q507&lt;=0.5),$Q507,"")))</x:f>
        <x:v>0.2</x:v>
      </x:c>
      <x:c r="AQ507" s="152" t="n">
        <x:f>IF(OR($W507="",NOT(ISNUMBER($R507))),"",ROUND($R507-$W507,2))</x:f>
        <x:v>0</x:v>
      </x:c>
      <x:c r="AR507" s="152" t="n">
        <x:f>IF(OR($X507="",NOT(ISNUMBER($T507))),"",ROUND($T507-$X507,2))</x:f>
        <x:v>0</x:v>
      </x:c>
      <x:c r="AS507" s="14" t="str">
        <x:v>OK</x:v>
      </x:c>
    </x:row>
    <x:row r="508">
      <x:c r="A508" s="80" t="n">
        <x:v>508</x:v>
      </x:c>
      <x:c r="B508" s="80" t="str">
        <x:v>ORD-2024-10507</x:v>
      </x:c>
      <x:c r="C508" s="81" t="n">
        <x:v>45641</x:v>
      </x:c>
      <x:c r="D508" s="81" t="n">
        <x:v>45641</x:v>
      </x:c>
      <x:c r="E508" s="80" t="str">
        <x:v>CUST-3011</x:v>
      </x:c>
      <x:c r="F508" s="80" t="str">
        <x:v>Aarav Sharma</x:v>
      </x:c>
      <x:c r="G508" s="80" t="str">
        <x:v>Small Business</x:v>
      </x:c>
      <x:c r="H508" s="80" t="str">
        <x:v>North</x:v>
      </x:c>
      <x:c r="I508" s="80" t="str">
        <x:v>Punjab</x:v>
      </x:c>
      <x:c r="J508" s="80" t="str">
        <x:v>Ludhiana</x:v>
      </x:c>
      <x:c r="K508" s="80" t="str">
        <x:v>Furniture</x:v>
      </x:c>
      <x:c r="L508" s="80" t="str">
        <x:v>Furnishings</x:v>
      </x:c>
      <x:c r="M508" s="80" t="str">
        <x:v>Smart Furnishings 352</x:v>
      </x:c>
      <x:c r="N508" s="80" t="str">
        <x:v>First Class</x:v>
      </x:c>
      <x:c r="O508" s="82" t="n">
        <x:v>2</x:v>
      </x:c>
      <x:c r="P508" s="83" t="n">
        <x:v>669.8</x:v>
      </x:c>
      <x:c r="Q508" s="84" t="n">
        <x:v>0.1</x:v>
      </x:c>
      <x:c r="R508" s="83" t="n">
        <x:v>1205.64</x:v>
      </x:c>
      <x:c r="S508" s="83" t="n">
        <x:v>842.07</x:v>
      </x:c>
      <x:c r="T508" s="83" t="n">
        <x:v>363.57</x:v>
      </x:c>
      <x:c r="U508" s="83" t="str">
        <x:v>Refunded</x:v>
      </x:c>
      <x:c r="V508" s="83" t="str">
        <x:v>Returned</x:v>
      </x:c>
      <x:c r="W508" s="151" t="n">
        <x:f>IF(OR(NOT(ISNUMBER($AP508)),COUNT($O508,$P508)&lt;2,$O508&lt;=0,$P508&lt;0),"",ROUND($O508*$P508*(1-$AP508),2))</x:f>
        <x:v>1205.64</x:v>
      </x:c>
      <x:c r="X508" s="151" t="n">
        <x:f>IF(OR(NOT(ISNUMBER($W508)),NOT(ISNUMBER($S508))),"",ROUND($W508-$S508,2))</x:f>
        <x:v>363.57</x:v>
      </x:c>
      <x:c r="Y508" s="85" t="n">
        <x:f>IF(OR(NOT(ISNUMBER($W508)),NOT(ISNUMBER($X508)),$W508=0),"",ROUND($X508/$W508,4))</x:f>
        <x:v>0.3016</x:v>
      </x:c>
      <x:c r="Z508" s="82" t="n">
        <x:f>IF(OR($AH508&lt;&gt;"Valid",$AI508&lt;&gt;"Valid"),"",INT($D508-$C508))</x:f>
        <x:v>0</x:v>
      </x:c>
      <x:c r="AA508" s="86" t="str">
        <x:f>IF($AH508&lt;&gt;"Valid","",TEXT($C508,"mmmm"))</x:f>
        <x:v>December</x:v>
      </x:c>
      <x:c r="AB508" s="82" t="n">
        <x:f>IF($AH508&lt;&gt;"Valid","",YEAR($C508))</x:f>
        <x:v>2024</x:v>
      </x:c>
      <x:c r="AC508" s="80" t="str">
        <x:v>Refunded (separately summarized)</x:v>
      </x:c>
      <x:c r="AD508" s="80" t="str">
        <x:v>Excluded</x:v>
      </x:c>
      <x:c r="AE508" s="80" t="str">
        <x:f>IF(OR($AH508&lt;&gt;"Valid",$AI508&lt;&gt;"Valid",$AJ508&lt;&gt;"Valid",LEFT($AM508,7)="Invalid",IFERROR(ABS($AQ508)&gt;0.01,FALSE),IFERROR(ABS($AR508)&gt;0.01,FALSE),COUNTIF($AS508,"*Conflicting duplicate*")&gt;0,COUNTIF($AS508,"*Completed order not paid*")&gt;0),"Invalid",IF(OR($H508="Unknown",$N508="Unknown",$AM508="Missing discount imputed as 0"),"Warning","Clean"))</x:f>
        <x:v>Clean</x:v>
      </x:c>
      <x:c r="AF508" s="80" t="str">
        <x:v>Pass</x:v>
      </x:c>
      <x:c r="AG508" s="80" t="str">
        <x:v>No text cleanup required</x:v>
      </x:c>
      <x:c r="AH508" s="12" t="str">
        <x:f>IF(C508="","Missing date",IF(ISNUMBER(C508),"Valid","Unrecognized/invalid date"))</x:f>
        <x:v>Valid</x:v>
      </x:c>
      <x:c r="AI508" s="12" t="str">
        <x:f>IF(D508="","Missing date",IF(ISNUMBER(D508),"Valid","Unrecognized/invalid date"))</x:f>
        <x:v>Valid</x:v>
      </x:c>
      <x:c r="AJ508" s="12" t="str">
        <x:v>Valid</x:v>
      </x:c>
      <x:c r="AK508" s="12" t="str">
        <x:v>Pass</x:v>
      </x:c>
      <x:c r="AL508" s="12" t="str">
        <x:v>Refunded payment – separately summarized</x:v>
      </x:c>
      <x:c r="AM508" s="12" t="str">
        <x:v>Valid</x:v>
      </x:c>
      <x:c r="AN508" s="12" t="str">
        <x:v>Exclude from completed sales</x:v>
      </x:c>
      <x:c r="AO508" s="12" t="str">
        <x:v>Include in refunded summary</x:v>
      </x:c>
      <x:c r="AP508" s="37" t="n">
        <x:f>IF(LEFT($AM508,7)="Invalid","",IF($AM508="Missing discount imputed as 0",IF(AND(COUNT($O508,$P508,$R508,$S508)=4,$O508&gt;0,$P508&gt;=0,$R508&gt;=0,$S508&gt;=0),0,""),IF(AND(ISNUMBER($Q508),$Q508&gt;=0,$Q508&lt;=0.5),$Q508,"")))</x:f>
        <x:v>0.1</x:v>
      </x:c>
      <x:c r="AQ508" s="152" t="n">
        <x:f>IF(OR($W508="",NOT(ISNUMBER($R508))),"",ROUND($R508-$W508,2))</x:f>
        <x:v>0</x:v>
      </x:c>
      <x:c r="AR508" s="152" t="n">
        <x:f>IF(OR($X508="",NOT(ISNUMBER($T508))),"",ROUND($T508-$X508,2))</x:f>
        <x:v>0</x:v>
      </x:c>
      <x:c r="AS508" s="14" t="str">
        <x:v>OK</x:v>
      </x:c>
    </x:row>
    <x:row r="509">
      <x:c r="A509" s="80" t="n">
        <x:v>509</x:v>
      </x:c>
      <x:c r="B509" s="80" t="str">
        <x:v>ORD-2025-10508</x:v>
      </x:c>
      <x:c r="C509" s="81" t="n">
        <x:v>45762</x:v>
      </x:c>
      <x:c r="D509" s="81" t="n">
        <x:v>45769</x:v>
      </x:c>
      <x:c r="E509" s="80" t="str">
        <x:v>CUST-1826</x:v>
      </x:c>
      <x:c r="F509" s="80" t="str">
        <x:v>Isha Nair</x:v>
      </x:c>
      <x:c r="G509" s="80" t="str">
        <x:v>Small Business</x:v>
      </x:c>
      <x:c r="H509" s="80" t="str">
        <x:v>North</x:v>
      </x:c>
      <x:c r="I509" s="80" t="str">
        <x:v>Haryana</x:v>
      </x:c>
      <x:c r="J509" s="80" t="str">
        <x:v>Gurugram</x:v>
      </x:c>
      <x:c r="K509" s="80" t="str">
        <x:v>Office Supplies</x:v>
      </x:c>
      <x:c r="L509" s="80" t="str">
        <x:v>Binders</x:v>
      </x:c>
      <x:c r="M509" s="80" t="str">
        <x:v>Classic Binders 602</x:v>
      </x:c>
      <x:c r="N509" s="80" t="str">
        <x:v>Same Day</x:v>
      </x:c>
      <x:c r="O509" s="82" t="n">
        <x:v>4</x:v>
      </x:c>
      <x:c r="P509" s="83" t="n">
        <x:v>2990.42</x:v>
      </x:c>
      <x:c r="Q509" s="84" t="n">
        <x:v>0.25</x:v>
      </x:c>
      <x:c r="R509" s="83" t="n">
        <x:v>8971.26</x:v>
      </x:c>
      <x:c r="S509" s="83" t="n">
        <x:v>6814.35</x:v>
      </x:c>
      <x:c r="T509" s="83" t="n">
        <x:v>2156.91</x:v>
      </x:c>
      <x:c r="U509" s="83" t="str">
        <x:v>Paid</x:v>
      </x:c>
      <x:c r="V509" s="83" t="str">
        <x:v>Completed</x:v>
      </x:c>
      <x:c r="W509" s="151" t="n">
        <x:f>IF(OR(NOT(ISNUMBER($AP509)),COUNT($O509,$P509)&lt;2,$O509&lt;=0,$P509&lt;0),"",ROUND($O509*$P509*(1-$AP509),2))</x:f>
        <x:v>8971.26</x:v>
      </x:c>
      <x:c r="X509" s="151" t="n">
        <x:f>IF(OR(NOT(ISNUMBER($W509)),NOT(ISNUMBER($S509))),"",ROUND($W509-$S509,2))</x:f>
        <x:v>2156.91</x:v>
      </x:c>
      <x:c r="Y509" s="85" t="n">
        <x:f>IF(OR(NOT(ISNUMBER($W509)),NOT(ISNUMBER($X509)),$W509=0),"",ROUND($X509/$W509,4))</x:f>
        <x:v>0.2404</x:v>
      </x:c>
      <x:c r="Z509" s="82" t="n">
        <x:f>IF(OR($AH509&lt;&gt;"Valid",$AI509&lt;&gt;"Valid"),"",INT($D509-$C509))</x:f>
        <x:v>7</x:v>
      </x:c>
      <x:c r="AA509" s="86" t="str">
        <x:f>IF($AH509&lt;&gt;"Valid","",TEXT($C509,"mmmm"))</x:f>
        <x:v>April</x:v>
      </x:c>
      <x:c r="AB509" s="82" t="n">
        <x:f>IF($AH509&lt;&gt;"Valid","",YEAR($C509))</x:f>
        <x:v>2025</x:v>
      </x:c>
      <x:c r="AC509" s="80" t="str">
        <x:v>Consistent</x:v>
      </x:c>
      <x:c r="AD509" s="80" t="str">
        <x:v>Eligible</x:v>
      </x:c>
      <x:c r="AE509" s="80" t="str">
        <x:f>IF(OR($AH509&lt;&gt;"Valid",$AI509&lt;&gt;"Valid",$AJ509&lt;&gt;"Valid",LEFT($AM509,7)="Invalid",IFERROR(ABS($AQ509)&gt;0.01,FALSE),IFERROR(ABS($AR509)&gt;0.01,FALSE),COUNTIF($AS509,"*Conflicting duplicate*")&gt;0,COUNTIF($AS509,"*Completed order not paid*")&gt;0),"Invalid",IF(OR($H509="Unknown",$N509="Unknown",$AM509="Missing discount imputed as 0"),"Warning","Clean"))</x:f>
        <x:v>Clean</x:v>
      </x:c>
      <x:c r="AF509" s="80" t="str">
        <x:v>Pass</x:v>
      </x:c>
      <x:c r="AG509" s="80" t="str">
        <x:v>No text cleanup required</x:v>
      </x:c>
      <x:c r="AH509" s="12" t="str">
        <x:f>IF(C509="","Missing date",IF(ISNUMBER(C509),"Valid","Unrecognized/invalid date"))</x:f>
        <x:v>Valid</x:v>
      </x:c>
      <x:c r="AI509" s="12" t="str">
        <x:f>IF(D509="","Missing date",IF(ISNUMBER(D509),"Valid","Unrecognized/invalid date"))</x:f>
        <x:v>Valid</x:v>
      </x:c>
      <x:c r="AJ509" s="12" t="str">
        <x:v>Valid</x:v>
      </x:c>
      <x:c r="AK509" s="12" t="str">
        <x:v>Pass</x:v>
      </x:c>
      <x:c r="AL509" s="12" t="str">
        <x:v>None</x:v>
      </x:c>
      <x:c r="AM509" s="12" t="str">
        <x:v>Valid</x:v>
      </x:c>
      <x:c r="AN509" s="12" t="str">
        <x:v>Include in completed sales</x:v>
      </x:c>
      <x:c r="AO509" s="12" t="str">
        <x:v>Not a refunded record</x:v>
      </x:c>
      <x:c r="AP509" s="37" t="n">
        <x:f>IF(LEFT($AM509,7)="Invalid","",IF($AM509="Missing discount imputed as 0",IF(AND(COUNT($O509,$P509,$R509,$S509)=4,$O509&gt;0,$P509&gt;=0,$R509&gt;=0,$S509&gt;=0),0,""),IF(AND(ISNUMBER($Q509),$Q509&gt;=0,$Q509&lt;=0.5),$Q509,"")))</x:f>
        <x:v>0.25</x:v>
      </x:c>
      <x:c r="AQ509" s="152" t="n">
        <x:f>IF(OR($W509="",NOT(ISNUMBER($R509))),"",ROUND($R509-$W509,2))</x:f>
        <x:v>0</x:v>
      </x:c>
      <x:c r="AR509" s="152" t="n">
        <x:f>IF(OR($X509="",NOT(ISNUMBER($T509))),"",ROUND($T509-$X509,2))</x:f>
        <x:v>0</x:v>
      </x:c>
      <x:c r="AS509" s="14" t="str">
        <x:v>OK</x:v>
      </x:c>
    </x:row>
    <x:row r="510">
      <x:c r="A510" s="80" t="n">
        <x:v>510</x:v>
      </x:c>
      <x:c r="B510" s="80" t="str">
        <x:v>ORD-2024-10509</x:v>
      </x:c>
      <x:c r="C510" s="81" t="n">
        <x:v>45382</x:v>
      </x:c>
      <x:c r="D510" s="81" t="n">
        <x:v>45389</x:v>
      </x:c>
      <x:c r="E510" s="80" t="str">
        <x:v>CUST-3333</x:v>
      </x:c>
      <x:c r="F510" s="80" t="str">
        <x:v>Isha Nair</x:v>
      </x:c>
      <x:c r="G510" s="80" t="str">
        <x:v>Small Business</x:v>
      </x:c>
      <x:c r="H510" s="80" t="str">
        <x:v>North</x:v>
      </x:c>
      <x:c r="I510" s="80" t="str">
        <x:v>Haryana</x:v>
      </x:c>
      <x:c r="J510" s="80" t="str">
        <x:v>Gurugram</x:v>
      </x:c>
      <x:c r="K510" s="80" t="str">
        <x:v>Technology</x:v>
      </x:c>
      <x:c r="L510" s="80" t="str">
        <x:v>Machines</x:v>
      </x:c>
      <x:c r="M510" s="80" t="str">
        <x:v>Smart Machines 853</x:v>
      </x:c>
      <x:c r="N510" s="80" t="str">
        <x:v>Second Class</x:v>
      </x:c>
      <x:c r="O510" s="82" t="n">
        <x:v>4</x:v>
      </x:c>
      <x:c r="P510" s="83" t="n">
        <x:v>1831</x:v>
      </x:c>
      <x:c r="Q510" s="84" t="n">
        <x:v>0</x:v>
      </x:c>
      <x:c r="R510" s="83" t="n">
        <x:v>7324</x:v>
      </x:c>
      <x:c r="S510" s="83" t="n">
        <x:v>4179.63</x:v>
      </x:c>
      <x:c r="T510" s="83" t="n">
        <x:v>3144.37</x:v>
      </x:c>
      <x:c r="U510" s="83" t="str">
        <x:v>Paid</x:v>
      </x:c>
      <x:c r="V510" s="83" t="str">
        <x:v>Completed</x:v>
      </x:c>
      <x:c r="W510" s="151" t="n">
        <x:f>IF(OR(NOT(ISNUMBER($AP510)),COUNT($O510,$P510)&lt;2,$O510&lt;=0,$P510&lt;0),"",ROUND($O510*$P510*(1-$AP510),2))</x:f>
        <x:v>7324</x:v>
      </x:c>
      <x:c r="X510" s="151" t="n">
        <x:f>IF(OR(NOT(ISNUMBER($W510)),NOT(ISNUMBER($S510))),"",ROUND($W510-$S510,2))</x:f>
        <x:v>3144.37</x:v>
      </x:c>
      <x:c r="Y510" s="85" t="n">
        <x:f>IF(OR(NOT(ISNUMBER($W510)),NOT(ISNUMBER($X510)),$W510=0),"",ROUND($X510/$W510,4))</x:f>
        <x:v>0.4293</x:v>
      </x:c>
      <x:c r="Z510" s="82" t="n">
        <x:f>IF(OR($AH510&lt;&gt;"Valid",$AI510&lt;&gt;"Valid"),"",INT($D510-$C510))</x:f>
        <x:v>7</x:v>
      </x:c>
      <x:c r="AA510" s="86" t="str">
        <x:f>IF($AH510&lt;&gt;"Valid","",TEXT($C510,"mmmm"))</x:f>
        <x:v>March</x:v>
      </x:c>
      <x:c r="AB510" s="82" t="n">
        <x:f>IF($AH510&lt;&gt;"Valid","",YEAR($C510))</x:f>
        <x:v>2024</x:v>
      </x:c>
      <x:c r="AC510" s="80" t="str">
        <x:v>Consistent</x:v>
      </x:c>
      <x:c r="AD510" s="80" t="str">
        <x:v>Eligible</x:v>
      </x:c>
      <x:c r="AE510" s="80" t="str">
        <x:f>IF(OR($AH510&lt;&gt;"Valid",$AI510&lt;&gt;"Valid",$AJ510&lt;&gt;"Valid",LEFT($AM510,7)="Invalid",IFERROR(ABS($AQ510)&gt;0.01,FALSE),IFERROR(ABS($AR510)&gt;0.01,FALSE),COUNTIF($AS510,"*Conflicting duplicate*")&gt;0,COUNTIF($AS510,"*Completed order not paid*")&gt;0),"Invalid",IF(OR($H510="Unknown",$N510="Unknown",$AM510="Missing discount imputed as 0"),"Warning","Clean"))</x:f>
        <x:v>Clean</x:v>
      </x:c>
      <x:c r="AF510" s="80" t="str">
        <x:v>Pass</x:v>
      </x:c>
      <x:c r="AG510" s="80" t="str">
        <x:v>No text cleanup required</x:v>
      </x:c>
      <x:c r="AH510" s="12" t="str">
        <x:f>IF(C510="","Missing date",IF(ISNUMBER(C510),"Valid","Unrecognized/invalid date"))</x:f>
        <x:v>Valid</x:v>
      </x:c>
      <x:c r="AI510" s="12" t="str">
        <x:f>IF(D510="","Missing date",IF(ISNUMBER(D510),"Valid","Unrecognized/invalid date"))</x:f>
        <x:v>Valid</x:v>
      </x:c>
      <x:c r="AJ510" s="12" t="str">
        <x:v>Valid</x:v>
      </x:c>
      <x:c r="AK510" s="12" t="str">
        <x:v>Pass</x:v>
      </x:c>
      <x:c r="AL510" s="12" t="str">
        <x:v>None</x:v>
      </x:c>
      <x:c r="AM510" s="12" t="str">
        <x:v>Valid</x:v>
      </x:c>
      <x:c r="AN510" s="12" t="str">
        <x:v>Include in completed sales</x:v>
      </x:c>
      <x:c r="AO510" s="12" t="str">
        <x:v>Not a refunded record</x:v>
      </x:c>
      <x:c r="AP510" s="37" t="n">
        <x:f>IF(LEFT($AM510,7)="Invalid","",IF($AM510="Missing discount imputed as 0",IF(AND(COUNT($O510,$P510,$R510,$S510)=4,$O510&gt;0,$P510&gt;=0,$R510&gt;=0,$S510&gt;=0),0,""),IF(AND(ISNUMBER($Q510),$Q510&gt;=0,$Q510&lt;=0.5),$Q510,"")))</x:f>
        <x:v>0</x:v>
      </x:c>
      <x:c r="AQ510" s="152" t="n">
        <x:f>IF(OR($W510="",NOT(ISNUMBER($R510))),"",ROUND($R510-$W510,2))</x:f>
        <x:v>0</x:v>
      </x:c>
      <x:c r="AR510" s="152" t="n">
        <x:f>IF(OR($X510="",NOT(ISNUMBER($T510))),"",ROUND($T510-$X510,2))</x:f>
        <x:v>0</x:v>
      </x:c>
      <x:c r="AS510" s="14" t="str">
        <x:v>OK</x:v>
      </x:c>
    </x:row>
    <x:row r="511">
      <x:c r="A511" s="80" t="n">
        <x:v>511</x:v>
      </x:c>
      <x:c r="B511" s="80" t="str">
        <x:v>ORD-2025-10510</x:v>
      </x:c>
      <x:c r="C511" s="81" t="n">
        <x:v>45789</x:v>
      </x:c>
      <x:c r="D511" s="81" t="n">
        <x:v>45791</x:v>
      </x:c>
      <x:c r="E511" s="80" t="str">
        <x:v>CUST-7901</x:v>
      </x:c>
      <x:c r="F511" s="80" t="str">
        <x:v>Neha Gupta</x:v>
      </x:c>
      <x:c r="G511" s="80" t="str">
        <x:v>Consumer</x:v>
      </x:c>
      <x:c r="H511" s="80" t="str">
        <x:v>West</x:v>
      </x:c>
      <x:c r="I511" s="80" t="str">
        <x:v>Gujarat</x:v>
      </x:c>
      <x:c r="J511" s="80" t="str">
        <x:v>Ahmedabad</x:v>
      </x:c>
      <x:c r="K511" s="80" t="str">
        <x:v>Technology</x:v>
      </x:c>
      <x:c r="L511" s="80" t="str">
        <x:v>Machines</x:v>
      </x:c>
      <x:c r="M511" s="80" t="str">
        <x:v>Classic Machines 599</x:v>
      </x:c>
      <x:c r="N511" s="80" t="str">
        <x:v>Same Day</x:v>
      </x:c>
      <x:c r="O511" s="82" t="n">
        <x:v>8</x:v>
      </x:c>
      <x:c r="P511" s="83" t="n">
        <x:v>3631.44</x:v>
      </x:c>
      <x:c r="Q511" s="84" t="n">
        <x:v>0.2</x:v>
      </x:c>
      <x:c r="R511" s="83" t="n">
        <x:v>23241.22</x:v>
      </x:c>
      <x:c r="S511" s="83" t="n">
        <x:v>17220.9</x:v>
      </x:c>
      <x:c r="T511" s="83" t="n">
        <x:v>6020.32</x:v>
      </x:c>
      <x:c r="U511" s="83" t="str">
        <x:v>Paid</x:v>
      </x:c>
      <x:c r="V511" s="83" t="str">
        <x:v>Completed</x:v>
      </x:c>
      <x:c r="W511" s="151" t="n">
        <x:f>IF(OR(NOT(ISNUMBER($AP511)),COUNT($O511,$P511)&lt;2,$O511&lt;=0,$P511&lt;0),"",ROUND($O511*$P511*(1-$AP511),2))</x:f>
        <x:v>23241.22</x:v>
      </x:c>
      <x:c r="X511" s="151" t="n">
        <x:f>IF(OR(NOT(ISNUMBER($W511)),NOT(ISNUMBER($S511))),"",ROUND($W511-$S511,2))</x:f>
        <x:v>6020.32</x:v>
      </x:c>
      <x:c r="Y511" s="85" t="n">
        <x:f>IF(OR(NOT(ISNUMBER($W511)),NOT(ISNUMBER($X511)),$W511=0),"",ROUND($X511/$W511,4))</x:f>
        <x:v>0.259</x:v>
      </x:c>
      <x:c r="Z511" s="82" t="n">
        <x:f>IF(OR($AH511&lt;&gt;"Valid",$AI511&lt;&gt;"Valid"),"",INT($D511-$C511))</x:f>
        <x:v>2</x:v>
      </x:c>
      <x:c r="AA511" s="86" t="str">
        <x:f>IF($AH511&lt;&gt;"Valid","",TEXT($C511,"mmmm"))</x:f>
        <x:v>May</x:v>
      </x:c>
      <x:c r="AB511" s="82" t="n">
        <x:f>IF($AH511&lt;&gt;"Valid","",YEAR($C511))</x:f>
        <x:v>2025</x:v>
      </x:c>
      <x:c r="AC511" s="80" t="str">
        <x:v>Consistent</x:v>
      </x:c>
      <x:c r="AD511" s="80" t="str">
        <x:v>Eligible</x:v>
      </x:c>
      <x:c r="AE511" s="80" t="str">
        <x:f>IF(OR($AH511&lt;&gt;"Valid",$AI511&lt;&gt;"Valid",$AJ511&lt;&gt;"Valid",LEFT($AM511,7)="Invalid",IFERROR(ABS($AQ511)&gt;0.01,FALSE),IFERROR(ABS($AR511)&gt;0.01,FALSE),COUNTIF($AS511,"*Conflicting duplicate*")&gt;0,COUNTIF($AS511,"*Completed order not paid*")&gt;0),"Invalid",IF(OR($H511="Unknown",$N511="Unknown",$AM511="Missing discount imputed as 0"),"Warning","Clean"))</x:f>
        <x:v>Clean</x:v>
      </x:c>
      <x:c r="AF511" s="80" t="str">
        <x:v>Pass</x:v>
      </x:c>
      <x:c r="AG511" s="80" t="str">
        <x:v>No text cleanup required</x:v>
      </x:c>
      <x:c r="AH511" s="12" t="str">
        <x:f>IF(C511="","Missing date",IF(ISNUMBER(C511),"Valid","Unrecognized/invalid date"))</x:f>
        <x:v>Valid</x:v>
      </x:c>
      <x:c r="AI511" s="12" t="str">
        <x:f>IF(D511="","Missing date",IF(ISNUMBER(D511),"Valid","Unrecognized/invalid date"))</x:f>
        <x:v>Valid</x:v>
      </x:c>
      <x:c r="AJ511" s="12" t="str">
        <x:v>Valid</x:v>
      </x:c>
      <x:c r="AK511" s="12" t="str">
        <x:v>Pass</x:v>
      </x:c>
      <x:c r="AL511" s="12" t="str">
        <x:v>None</x:v>
      </x:c>
      <x:c r="AM511" s="12" t="str">
        <x:v>Valid</x:v>
      </x:c>
      <x:c r="AN511" s="12" t="str">
        <x:v>Include in completed sales</x:v>
      </x:c>
      <x:c r="AO511" s="12" t="str">
        <x:v>Not a refunded record</x:v>
      </x:c>
      <x:c r="AP511" s="37" t="n">
        <x:f>IF(LEFT($AM511,7)="Invalid","",IF($AM511="Missing discount imputed as 0",IF(AND(COUNT($O511,$P511,$R511,$S511)=4,$O511&gt;0,$P511&gt;=0,$R511&gt;=0,$S511&gt;=0),0,""),IF(AND(ISNUMBER($Q511),$Q511&gt;=0,$Q511&lt;=0.5),$Q511,"")))</x:f>
        <x:v>0.2</x:v>
      </x:c>
      <x:c r="AQ511" s="152" t="n">
        <x:f>IF(OR($W511="",NOT(ISNUMBER($R511))),"",ROUND($R511-$W511,2))</x:f>
        <x:v>0</x:v>
      </x:c>
      <x:c r="AR511" s="152" t="n">
        <x:f>IF(OR($X511="",NOT(ISNUMBER($T511))),"",ROUND($T511-$X511,2))</x:f>
        <x:v>0</x:v>
      </x:c>
      <x:c r="AS511" s="14" t="str">
        <x:v>OK</x:v>
      </x:c>
    </x:row>
    <x:row r="512">
      <x:c r="A512" s="80" t="n">
        <x:v>512</x:v>
      </x:c>
      <x:c r="B512" s="80" t="str">
        <x:v>ORD-2024-10511</x:v>
      </x:c>
      <x:c r="C512" s="81" t="n">
        <x:v>45583</x:v>
      </x:c>
      <x:c r="D512" s="81" t="n">
        <x:v>45586</x:v>
      </x:c>
      <x:c r="E512" s="80" t="str">
        <x:v>CUST-9759</x:v>
      </x:c>
      <x:c r="F512" s="80" t="str">
        <x:v>Aarav Sharma</x:v>
      </x:c>
      <x:c r="G512" s="80" t="str">
        <x:v>Consumer</x:v>
      </x:c>
      <x:c r="H512" s="80" t="str">
        <x:v>South</x:v>
      </x:c>
      <x:c r="I512" s="80" t="str">
        <x:v>Karnataka</x:v>
      </x:c>
      <x:c r="J512" s="80" t="str">
        <x:v>Bengaluru</x:v>
      </x:c>
      <x:c r="K512" s="80" t="str">
        <x:v>Office Supplies</x:v>
      </x:c>
      <x:c r="L512" s="80" t="str">
        <x:v>Storage</x:v>
      </x:c>
      <x:c r="M512" s="80" t="str">
        <x:v>Pro Storage 373</x:v>
      </x:c>
      <x:c r="N512" s="80" t="str">
        <x:v>Second Class</x:v>
      </x:c>
      <x:c r="O512" s="82" t="n">
        <x:v>2</x:v>
      </x:c>
      <x:c r="P512" s="83" t="n">
        <x:v>4238.51</x:v>
      </x:c>
      <x:c r="Q512" s="84" t="n">
        <x:v>0</x:v>
      </x:c>
      <x:c r="R512" s="83" t="n">
        <x:v>8477.02</x:v>
      </x:c>
      <x:c r="S512" s="83" t="n">
        <x:v>6884.96</x:v>
      </x:c>
      <x:c r="T512" s="83" t="n">
        <x:v>1592.06</x:v>
      </x:c>
      <x:c r="U512" s="83" t="str">
        <x:v>Paid</x:v>
      </x:c>
      <x:c r="V512" s="83" t="str">
        <x:v>Completed</x:v>
      </x:c>
      <x:c r="W512" s="151" t="n">
        <x:f>IF(OR(NOT(ISNUMBER($AP512)),COUNT($O512,$P512)&lt;2,$O512&lt;=0,$P512&lt;0),"",ROUND($O512*$P512*(1-$AP512),2))</x:f>
        <x:v>8477.02</x:v>
      </x:c>
      <x:c r="X512" s="151" t="n">
        <x:f>IF(OR(NOT(ISNUMBER($W512)),NOT(ISNUMBER($S512))),"",ROUND($W512-$S512,2))</x:f>
        <x:v>1592.06</x:v>
      </x:c>
      <x:c r="Y512" s="85" t="n">
        <x:f>IF(OR(NOT(ISNUMBER($W512)),NOT(ISNUMBER($X512)),$W512=0),"",ROUND($X512/$W512,4))</x:f>
        <x:v>0.1878</x:v>
      </x:c>
      <x:c r="Z512" s="82" t="n">
        <x:f>IF(OR($AH512&lt;&gt;"Valid",$AI512&lt;&gt;"Valid"),"",INT($D512-$C512))</x:f>
        <x:v>3</x:v>
      </x:c>
      <x:c r="AA512" s="86" t="str">
        <x:f>IF($AH512&lt;&gt;"Valid","",TEXT($C512,"mmmm"))</x:f>
        <x:v>October</x:v>
      </x:c>
      <x:c r="AB512" s="82" t="n">
        <x:f>IF($AH512&lt;&gt;"Valid","",YEAR($C512))</x:f>
        <x:v>2024</x:v>
      </x:c>
      <x:c r="AC512" s="80" t="str">
        <x:v>Consistent</x:v>
      </x:c>
      <x:c r="AD512" s="80" t="str">
        <x:v>Eligible</x:v>
      </x:c>
      <x:c r="AE512" s="80" t="str">
        <x:f>IF(OR($AH512&lt;&gt;"Valid",$AI512&lt;&gt;"Valid",$AJ512&lt;&gt;"Valid",LEFT($AM512,7)="Invalid",IFERROR(ABS($AQ512)&gt;0.01,FALSE),IFERROR(ABS($AR512)&gt;0.01,FALSE),COUNTIF($AS512,"*Conflicting duplicate*")&gt;0,COUNTIF($AS512,"*Completed order not paid*")&gt;0),"Invalid",IF(OR($H512="Unknown",$N512="Unknown",$AM512="Missing discount imputed as 0"),"Warning","Clean"))</x:f>
        <x:v>Clean</x:v>
      </x:c>
      <x:c r="AF512" s="80" t="str">
        <x:v>Cleaned</x:v>
      </x:c>
      <x:c r="AG512" s="80" t="str">
        <x:v>customer_name: TRIM/SUBSTITUTE whitespace cleanup</x:v>
      </x:c>
      <x:c r="AH512" s="12" t="str">
        <x:f>IF(C512="","Missing date",IF(ISNUMBER(C512),"Valid","Unrecognized/invalid date"))</x:f>
        <x:v>Valid</x:v>
      </x:c>
      <x:c r="AI512" s="12" t="str">
        <x:f>IF(D512="","Missing date",IF(ISNUMBER(D512),"Valid","Unrecognized/invalid date"))</x:f>
        <x:v>Valid</x:v>
      </x:c>
      <x:c r="AJ512" s="12" t="str">
        <x:v>Valid</x:v>
      </x:c>
      <x:c r="AK512" s="12" t="str">
        <x:v>Pass</x:v>
      </x:c>
      <x:c r="AL512" s="12" t="str">
        <x:v>None</x:v>
      </x:c>
      <x:c r="AM512" s="12" t="str">
        <x:v>Valid</x:v>
      </x:c>
      <x:c r="AN512" s="12" t="str">
        <x:v>Include in completed sales</x:v>
      </x:c>
      <x:c r="AO512" s="12" t="str">
        <x:v>Not a refunded record</x:v>
      </x:c>
      <x:c r="AP512" s="37" t="n">
        <x:f>IF(LEFT($AM512,7)="Invalid","",IF($AM512="Missing discount imputed as 0",IF(AND(COUNT($O512,$P512,$R512,$S512)=4,$O512&gt;0,$P512&gt;=0,$R512&gt;=0,$S512&gt;=0),0,""),IF(AND(ISNUMBER($Q512),$Q512&gt;=0,$Q512&lt;=0.5),$Q512,"")))</x:f>
        <x:v>0</x:v>
      </x:c>
      <x:c r="AQ512" s="152" t="n">
        <x:f>IF(OR($W512="",NOT(ISNUMBER($R512))),"",ROUND($R512-$W512,2))</x:f>
        <x:v>0</x:v>
      </x:c>
      <x:c r="AR512" s="152" t="n">
        <x:f>IF(OR($X512="",NOT(ISNUMBER($T512))),"",ROUND($T512-$X512,2))</x:f>
        <x:v>0</x:v>
      </x:c>
      <x:c r="AS512" s="14" t="str">
        <x:v>OK</x:v>
      </x:c>
    </x:row>
    <x:row r="513">
      <x:c r="A513" s="80" t="n">
        <x:v>513</x:v>
      </x:c>
      <x:c r="B513" s="80" t="str">
        <x:v>ORD-2024-10512</x:v>
      </x:c>
      <x:c r="C513" s="81" t="n">
        <x:v>45588</x:v>
      </x:c>
      <x:c r="D513" s="81" t="n">
        <x:v>45591</x:v>
      </x:c>
      <x:c r="E513" s="80" t="str">
        <x:v>CUST-7232</x:v>
      </x:c>
      <x:c r="F513" s="80" t="str">
        <x:v>Sneha Kapoor</x:v>
      </x:c>
      <x:c r="G513" s="80" t="str">
        <x:v>Consumer</x:v>
      </x:c>
      <x:c r="H513" s="80" t="str">
        <x:v>West</x:v>
      </x:c>
      <x:c r="I513" s="80" t="str">
        <x:v>Madhya Pradesh</x:v>
      </x:c>
      <x:c r="J513" s="80" t="str">
        <x:v>Indore</x:v>
      </x:c>
      <x:c r="K513" s="80" t="str">
        <x:v>Furniture</x:v>
      </x:c>
      <x:c r="L513" s="80" t="str">
        <x:v>Bookcases</x:v>
      </x:c>
      <x:c r="M513" s="80" t="str">
        <x:v>Smart Bookcases 920</x:v>
      </x:c>
      <x:c r="N513" s="80" t="str">
        <x:v>Standard Class</x:v>
      </x:c>
      <x:c r="O513" s="82" t="n">
        <x:v>9</x:v>
      </x:c>
      <x:c r="P513" s="83" t="n">
        <x:v>544.27</x:v>
      </x:c>
      <x:c r="Q513" s="84" t="n">
        <x:v>0.25</x:v>
      </x:c>
      <x:c r="R513" s="83" t="n">
        <x:v>3673.82</x:v>
      </x:c>
      <x:c r="S513" s="83" t="n">
        <x:v>2088.15</x:v>
      </x:c>
      <x:c r="T513" s="83" t="n">
        <x:v>1585.67</x:v>
      </x:c>
      <x:c r="U513" s="83" t="str">
        <x:v>Paid</x:v>
      </x:c>
      <x:c r="V513" s="83" t="str">
        <x:v>Completed</x:v>
      </x:c>
      <x:c r="W513" s="151" t="n">
        <x:f>IF(OR(NOT(ISNUMBER($AP513)),COUNT($O513,$P513)&lt;2,$O513&lt;=0,$P513&lt;0),"",ROUND($O513*$P513*(1-$AP513),2))</x:f>
        <x:v>3673.82</x:v>
      </x:c>
      <x:c r="X513" s="151" t="n">
        <x:f>IF(OR(NOT(ISNUMBER($W513)),NOT(ISNUMBER($S513))),"",ROUND($W513-$S513,2))</x:f>
        <x:v>1585.67</x:v>
      </x:c>
      <x:c r="Y513" s="85" t="n">
        <x:f>IF(OR(NOT(ISNUMBER($W513)),NOT(ISNUMBER($X513)),$W513=0),"",ROUND($X513/$W513,4))</x:f>
        <x:v>0.4316</x:v>
      </x:c>
      <x:c r="Z513" s="82" t="n">
        <x:f>IF(OR($AH513&lt;&gt;"Valid",$AI513&lt;&gt;"Valid"),"",INT($D513-$C513))</x:f>
        <x:v>3</x:v>
      </x:c>
      <x:c r="AA513" s="86" t="str">
        <x:f>IF($AH513&lt;&gt;"Valid","",TEXT($C513,"mmmm"))</x:f>
        <x:v>October</x:v>
      </x:c>
      <x:c r="AB513" s="82" t="n">
        <x:f>IF($AH513&lt;&gt;"Valid","",YEAR($C513))</x:f>
        <x:v>2024</x:v>
      </x:c>
      <x:c r="AC513" s="80" t="str">
        <x:v>Consistent</x:v>
      </x:c>
      <x:c r="AD513" s="80" t="str">
        <x:v>Eligible</x:v>
      </x:c>
      <x:c r="AE513" s="80" t="str">
        <x:f>IF(OR($AH513&lt;&gt;"Valid",$AI513&lt;&gt;"Valid",$AJ513&lt;&gt;"Valid",LEFT($AM513,7)="Invalid",IFERROR(ABS($AQ513)&gt;0.01,FALSE),IFERROR(ABS($AR513)&gt;0.01,FALSE),COUNTIF($AS513,"*Conflicting duplicate*")&gt;0,COUNTIF($AS513,"*Completed order not paid*")&gt;0),"Invalid",IF(OR($H513="Unknown",$N513="Unknown",$AM513="Missing discount imputed as 0"),"Warning","Clean"))</x:f>
        <x:v>Clean</x:v>
      </x:c>
      <x:c r="AF513" s="80" t="str">
        <x:v>Pass</x:v>
      </x:c>
      <x:c r="AG513" s="80" t="str">
        <x:v>No text cleanup required</x:v>
      </x:c>
      <x:c r="AH513" s="12" t="str">
        <x:f>IF(C513="","Missing date",IF(ISNUMBER(C513),"Valid","Unrecognized/invalid date"))</x:f>
        <x:v>Valid</x:v>
      </x:c>
      <x:c r="AI513" s="12" t="str">
        <x:f>IF(D513="","Missing date",IF(ISNUMBER(D513),"Valid","Unrecognized/invalid date"))</x:f>
        <x:v>Valid</x:v>
      </x:c>
      <x:c r="AJ513" s="12" t="str">
        <x:v>Valid</x:v>
      </x:c>
      <x:c r="AK513" s="12" t="str">
        <x:v>Pass</x:v>
      </x:c>
      <x:c r="AL513" s="12" t="str">
        <x:v>None</x:v>
      </x:c>
      <x:c r="AM513" s="12" t="str">
        <x:v>Valid</x:v>
      </x:c>
      <x:c r="AN513" s="12" t="str">
        <x:v>Include in completed sales</x:v>
      </x:c>
      <x:c r="AO513" s="12" t="str">
        <x:v>Not a refunded record</x:v>
      </x:c>
      <x:c r="AP513" s="37" t="n">
        <x:f>IF(LEFT($AM513,7)="Invalid","",IF($AM513="Missing discount imputed as 0",IF(AND(COUNT($O513,$P513,$R513,$S513)=4,$O513&gt;0,$P513&gt;=0,$R513&gt;=0,$S513&gt;=0),0,""),IF(AND(ISNUMBER($Q513),$Q513&gt;=0,$Q513&lt;=0.5),$Q513,"")))</x:f>
        <x:v>0.25</x:v>
      </x:c>
      <x:c r="AQ513" s="152" t="n">
        <x:f>IF(OR($W513="",NOT(ISNUMBER($R513))),"",ROUND($R513-$W513,2))</x:f>
        <x:v>0</x:v>
      </x:c>
      <x:c r="AR513" s="152" t="n">
        <x:f>IF(OR($X513="",NOT(ISNUMBER($T513))),"",ROUND($T513-$X513,2))</x:f>
        <x:v>0</x:v>
      </x:c>
      <x:c r="AS513" s="14" t="str">
        <x:v>OK</x:v>
      </x:c>
    </x:row>
    <x:row r="514">
      <x:c r="A514" s="80" t="n">
        <x:v>514</x:v>
      </x:c>
      <x:c r="B514" s="80" t="str">
        <x:v>ORD-2025-10513</x:v>
      </x:c>
      <x:c r="C514" s="81" t="n">
        <x:v>45718</x:v>
      </x:c>
      <x:c r="D514" s="81" t="n">
        <x:v>45719</x:v>
      </x:c>
      <x:c r="E514" s="80" t="str">
        <x:v>CUST-9943</x:v>
      </x:c>
      <x:c r="F514" s="80" t="str">
        <x:v>Isha Nair</x:v>
      </x:c>
      <x:c r="G514" s="80" t="str">
        <x:v>Corporate</x:v>
      </x:c>
      <x:c r="H514" s="80" t="str">
        <x:v>South</x:v>
      </x:c>
      <x:c r="I514" s="80" t="str">
        <x:v>Kerala</x:v>
      </x:c>
      <x:c r="J514" s="80" t="str">
        <x:v>Kochi</x:v>
      </x:c>
      <x:c r="K514" s="80" t="str">
        <x:v>Office Supplies</x:v>
      </x:c>
      <x:c r="L514" s="80" t="str">
        <x:v>Labels</x:v>
      </x:c>
      <x:c r="M514" s="80" t="str">
        <x:v>Pro Labels 849</x:v>
      </x:c>
      <x:c r="N514" s="80" t="str">
        <x:v>Second Class</x:v>
      </x:c>
      <x:c r="O514" s="82" t="n">
        <x:v>2</x:v>
      </x:c>
      <x:c r="P514" s="83" t="n">
        <x:v>4031.45</x:v>
      </x:c>
      <x:c r="Q514" s="84" t="n">
        <x:v>0.25</x:v>
      </x:c>
      <x:c r="R514" s="83" t="n">
        <x:v>6047.17</x:v>
      </x:c>
      <x:c r="S514" s="83" t="n">
        <x:v>3368.79</x:v>
      </x:c>
      <x:c r="T514" s="83" t="n">
        <x:v>2678.38</x:v>
      </x:c>
      <x:c r="U514" s="83" t="str">
        <x:v>Paid</x:v>
      </x:c>
      <x:c r="V514" s="83" t="str">
        <x:v>Completed</x:v>
      </x:c>
      <x:c r="W514" s="151" t="n">
        <x:f>IF(OR(NOT(ISNUMBER($AP514)),COUNT($O514,$P514)&lt;2,$O514&lt;=0,$P514&lt;0),"",ROUND($O514*$P514*(1-$AP514),2))</x:f>
        <x:v>6047.17</x:v>
      </x:c>
      <x:c r="X514" s="151" t="n">
        <x:f>IF(OR(NOT(ISNUMBER($W514)),NOT(ISNUMBER($S514))),"",ROUND($W514-$S514,2))</x:f>
        <x:v>2678.38</x:v>
      </x:c>
      <x:c r="Y514" s="85" t="n">
        <x:f>IF(OR(NOT(ISNUMBER($W514)),NOT(ISNUMBER($X514)),$W514=0),"",ROUND($X514/$W514,4))</x:f>
        <x:v>0.4429</x:v>
      </x:c>
      <x:c r="Z514" s="82" t="n">
        <x:f>IF(OR($AH514&lt;&gt;"Valid",$AI514&lt;&gt;"Valid"),"",INT($D514-$C514))</x:f>
        <x:v>1</x:v>
      </x:c>
      <x:c r="AA514" s="86" t="str">
        <x:f>IF($AH514&lt;&gt;"Valid","",TEXT($C514,"mmmm"))</x:f>
        <x:v>March</x:v>
      </x:c>
      <x:c r="AB514" s="82" t="n">
        <x:f>IF($AH514&lt;&gt;"Valid","",YEAR($C514))</x:f>
        <x:v>2025</x:v>
      </x:c>
      <x:c r="AC514" s="80" t="str">
        <x:v>Consistent</x:v>
      </x:c>
      <x:c r="AD514" s="80" t="str">
        <x:v>Eligible</x:v>
      </x:c>
      <x:c r="AE514" s="80" t="str">
        <x:f>IF(OR($AH514&lt;&gt;"Valid",$AI514&lt;&gt;"Valid",$AJ514&lt;&gt;"Valid",LEFT($AM514,7)="Invalid",IFERROR(ABS($AQ514)&gt;0.01,FALSE),IFERROR(ABS($AR514)&gt;0.01,FALSE),COUNTIF($AS514,"*Conflicting duplicate*")&gt;0,COUNTIF($AS514,"*Completed order not paid*")&gt;0),"Invalid",IF(OR($H514="Unknown",$N514="Unknown",$AM514="Missing discount imputed as 0"),"Warning","Clean"))</x:f>
        <x:v>Clean</x:v>
      </x:c>
      <x:c r="AF514" s="80" t="str">
        <x:v>Pass</x:v>
      </x:c>
      <x:c r="AG514" s="80" t="str">
        <x:v>No text cleanup required</x:v>
      </x:c>
      <x:c r="AH514" s="12" t="str">
        <x:f>IF(C514="","Missing date",IF(ISNUMBER(C514),"Valid","Unrecognized/invalid date"))</x:f>
        <x:v>Valid</x:v>
      </x:c>
      <x:c r="AI514" s="12" t="str">
        <x:f>IF(D514="","Missing date",IF(ISNUMBER(D514),"Valid","Unrecognized/invalid date"))</x:f>
        <x:v>Valid</x:v>
      </x:c>
      <x:c r="AJ514" s="12" t="str">
        <x:v>Valid</x:v>
      </x:c>
      <x:c r="AK514" s="12" t="str">
        <x:v>Pass</x:v>
      </x:c>
      <x:c r="AL514" s="12" t="str">
        <x:v>None</x:v>
      </x:c>
      <x:c r="AM514" s="12" t="str">
        <x:v>Valid</x:v>
      </x:c>
      <x:c r="AN514" s="12" t="str">
        <x:v>Include in completed sales</x:v>
      </x:c>
      <x:c r="AO514" s="12" t="str">
        <x:v>Not a refunded record</x:v>
      </x:c>
      <x:c r="AP514" s="37" t="n">
        <x:f>IF(LEFT($AM514,7)="Invalid","",IF($AM514="Missing discount imputed as 0",IF(AND(COUNT($O514,$P514,$R514,$S514)=4,$O514&gt;0,$P514&gt;=0,$R514&gt;=0,$S514&gt;=0),0,""),IF(AND(ISNUMBER($Q514),$Q514&gt;=0,$Q514&lt;=0.5),$Q514,"")))</x:f>
        <x:v>0.25</x:v>
      </x:c>
      <x:c r="AQ514" s="152" t="n">
        <x:f>IF(OR($W514="",NOT(ISNUMBER($R514))),"",ROUND($R514-$W514,2))</x:f>
        <x:v>0</x:v>
      </x:c>
      <x:c r="AR514" s="152" t="n">
        <x:f>IF(OR($X514="",NOT(ISNUMBER($T514))),"",ROUND($T514-$X514,2))</x:f>
        <x:v>0</x:v>
      </x:c>
      <x:c r="AS514" s="14" t="str">
        <x:v>OK</x:v>
      </x:c>
    </x:row>
    <x:row r="515">
      <x:c r="A515" s="80" t="n">
        <x:v>515</x:v>
      </x:c>
      <x:c r="B515" s="80" t="str">
        <x:v>ORD-2025-10514</x:v>
      </x:c>
      <x:c r="C515" s="81" t="n">
        <x:v>45835</x:v>
      </x:c>
      <x:c r="D515" s="81" t="n">
        <x:v>45840</x:v>
      </x:c>
      <x:c r="E515" s="80" t="str">
        <x:v>CUST-8993</x:v>
      </x:c>
      <x:c r="F515" s="80" t="str">
        <x:v>Aarav Sharma</x:v>
      </x:c>
      <x:c r="G515" s="80" t="str">
        <x:v>Corporate</x:v>
      </x:c>
      <x:c r="H515" s="80" t="str">
        <x:v>South</x:v>
      </x:c>
      <x:c r="I515" s="80" t="str">
        <x:v>Kerala</x:v>
      </x:c>
      <x:c r="J515" s="80" t="str">
        <x:v>Kochi</x:v>
      </x:c>
      <x:c r="K515" s="80" t="str">
        <x:v>Technology</x:v>
      </x:c>
      <x:c r="L515" s="80" t="str">
        <x:v>Accessories</x:v>
      </x:c>
      <x:c r="M515" s="80" t="str">
        <x:v>Prime Accessories 849</x:v>
      </x:c>
      <x:c r="N515" s="80" t="str">
        <x:v>First Class</x:v>
      </x:c>
      <x:c r="O515" s="82" t="n">
        <x:v>6</x:v>
      </x:c>
      <x:c r="P515" s="83" t="n">
        <x:v>1099.49</x:v>
      </x:c>
      <x:c r="Q515" s="84" t="n">
        <x:v>0.1</x:v>
      </x:c>
      <x:c r="R515" s="83" t="n">
        <x:v>6212.38</x:v>
      </x:c>
      <x:c r="S515" s="83" t="n">
        <x:v>4088.46</x:v>
      </x:c>
      <x:c r="T515" s="83" t="n">
        <x:v>1848.79</x:v>
      </x:c>
      <x:c r="U515" s="83" t="str">
        <x:v>Paid</x:v>
      </x:c>
      <x:c r="V515" s="83" t="str">
        <x:v>Completed</x:v>
      </x:c>
      <x:c r="W515" s="151" t="n">
        <x:f>IF(OR(NOT(ISNUMBER($AP515)),COUNT($O515,$P515)&lt;2,$O515&lt;=0,$P515&lt;0),"",ROUND($O515*$P515*(1-$AP515),2))</x:f>
        <x:v>5937.25</x:v>
      </x:c>
      <x:c r="X515" s="151" t="n">
        <x:f>IF(OR(NOT(ISNUMBER($W515)),NOT(ISNUMBER($S515))),"",ROUND($W515-$S515,2))</x:f>
        <x:v>1848.79</x:v>
      </x:c>
      <x:c r="Y515" s="85" t="n">
        <x:f>IF(OR(NOT(ISNUMBER($W515)),NOT(ISNUMBER($X515)),$W515=0),"",ROUND($X515/$W515,4))</x:f>
        <x:v>0.3114</x:v>
      </x:c>
      <x:c r="Z515" s="82" t="n">
        <x:f>IF(OR($AH515&lt;&gt;"Valid",$AI515&lt;&gt;"Valid"),"",INT($D515-$C515))</x:f>
        <x:v>5</x:v>
      </x:c>
      <x:c r="AA515" s="86" t="str">
        <x:f>IF($AH515&lt;&gt;"Valid","",TEXT($C515,"mmmm"))</x:f>
        <x:v>June</x:v>
      </x:c>
      <x:c r="AB515" s="82" t="n">
        <x:f>IF($AH515&lt;&gt;"Valid","",YEAR($C515))</x:f>
        <x:v>2025</x:v>
      </x:c>
      <x:c r="AC515" s="80" t="str">
        <x:v>Consistent</x:v>
      </x:c>
      <x:c r="AD515" s="80" t="str">
        <x:v>Excluded</x:v>
      </x:c>
      <x:c r="AE515" s="80" t="str">
        <x:f>IF(OR($AH515&lt;&gt;"Valid",$AI515&lt;&gt;"Valid",$AJ515&lt;&gt;"Valid",LEFT($AM515,7)="Invalid",IFERROR(ABS($AQ515)&gt;0.01,FALSE),IFERROR(ABS($AR515)&gt;0.01,FALSE),COUNTIF($AS515,"*Conflicting duplicate*")&gt;0,COUNTIF($AS515,"*Completed order not paid*")&gt;0),"Invalid",IF(OR($H515="Unknown",$N515="Unknown",$AM515="Missing discount imputed as 0"),"Warning","Clean"))</x:f>
        <x:v>Invalid</x:v>
      </x:c>
      <x:c r="AF515" s="80" t="str">
        <x:v>Review</x:v>
      </x:c>
      <x:c r="AG515" s="80" t="str">
        <x:v>sub_category: TRIM/SUBSTITUTE whitespace cleanup</x:v>
      </x:c>
      <x:c r="AH515" s="12" t="str">
        <x:f>IF(C515="","Missing date",IF(ISNUMBER(C515),"Valid","Unrecognized/invalid date"))</x:f>
        <x:v>Valid</x:v>
      </x:c>
      <x:c r="AI515" s="12" t="str">
        <x:f>IF(D515="","Missing date",IF(ISNUMBER(D515),"Valid","Unrecognized/invalid date"))</x:f>
        <x:v>Valid</x:v>
      </x:c>
      <x:c r="AJ515" s="12" t="str">
        <x:v>Valid</x:v>
      </x:c>
      <x:c r="AK515" s="12" t="str">
        <x:v>Pass</x:v>
      </x:c>
      <x:c r="AL515" s="12" t="str">
        <x:v>None</x:v>
      </x:c>
      <x:c r="AM515" s="12" t="str">
        <x:v>Valid</x:v>
      </x:c>
      <x:c r="AN515" s="12" t="str">
        <x:v>Exclude from completed sales</x:v>
      </x:c>
      <x:c r="AO515" s="12" t="str">
        <x:v>Not a refunded record</x:v>
      </x:c>
      <x:c r="AP515" s="37" t="n">
        <x:f>IF(LEFT($AM515,7)="Invalid","",IF($AM515="Missing discount imputed as 0",IF(AND(COUNT($O515,$P515,$R515,$S515)=4,$O515&gt;0,$P515&gt;=0,$R515&gt;=0,$S515&gt;=0),0,""),IF(AND(ISNUMBER($Q515),$Q515&gt;=0,$Q515&lt;=0.5),$Q515,"")))</x:f>
        <x:v>0.1</x:v>
      </x:c>
      <x:c r="AQ515" s="152" t="n">
        <x:f>IF(OR($W515="",NOT(ISNUMBER($R515))),"",ROUND($R515-$W515,2))</x:f>
        <x:v>275.13</x:v>
      </x:c>
      <x:c r="AR515" s="152" t="n">
        <x:f>IF(OR($X515="",NOT(ISNUMBER($T515))),"",ROUND($T515-$X515,2))</x:f>
        <x:v>0</x:v>
      </x:c>
      <x:c r="AS515" s="14" t="str">
        <x:v>Sales calculation mismatch; Profit calculation mismatch</x:v>
      </x:c>
    </x:row>
    <x:row r="516">
      <x:c r="A516" s="80" t="n">
        <x:v>516</x:v>
      </x:c>
      <x:c r="B516" s="80" t="str">
        <x:v>ORD-2024-10515</x:v>
      </x:c>
      <x:c r="C516" s="81" t="n">
        <x:v>45614</x:v>
      </x:c>
      <x:c r="D516" s="81" t="n">
        <x:v>45618</x:v>
      </x:c>
      <x:c r="E516" s="80" t="str">
        <x:v>CUST-7729</x:v>
      </x:c>
      <x:c r="F516" s="80" t="str">
        <x:v>Karan Malhotra</x:v>
      </x:c>
      <x:c r="G516" s="80" t="str">
        <x:v>Home Office</x:v>
      </x:c>
      <x:c r="H516" s="80" t="str">
        <x:v>South</x:v>
      </x:c>
      <x:c r="I516" s="80" t="str">
        <x:v>Kerala</x:v>
      </x:c>
      <x:c r="J516" s="80" t="str">
        <x:v>Kochi</x:v>
      </x:c>
      <x:c r="K516" s="80" t="str">
        <x:v>Technology</x:v>
      </x:c>
      <x:c r="L516" s="80" t="str">
        <x:v>Accessories</x:v>
      </x:c>
      <x:c r="M516" s="80" t="str">
        <x:v>Smart Accessories 388</x:v>
      </x:c>
      <x:c r="N516" s="80" t="str">
        <x:v>Standard Class</x:v>
      </x:c>
      <x:c r="O516" s="82" t="n">
        <x:v>6</x:v>
      </x:c>
      <x:c r="P516" s="83" t="n">
        <x:v>3872.94</x:v>
      </x:c>
      <x:c r="Q516" s="84" t="n">
        <x:v>0.1</x:v>
      </x:c>
      <x:c r="R516" s="83" t="n">
        <x:v>20913.88</x:v>
      </x:c>
      <x:c r="S516" s="83" t="n">
        <x:v>11684.68</x:v>
      </x:c>
      <x:c r="T516" s="83" t="n">
        <x:v>9229.2</x:v>
      </x:c>
      <x:c r="U516" s="83" t="str">
        <x:v>Paid</x:v>
      </x:c>
      <x:c r="V516" s="83" t="str">
        <x:v>Completed</x:v>
      </x:c>
      <x:c r="W516" s="151" t="n">
        <x:f>IF(OR(NOT(ISNUMBER($AP516)),COUNT($O516,$P516)&lt;2,$O516&lt;=0,$P516&lt;0),"",ROUND($O516*$P516*(1-$AP516),2))</x:f>
        <x:v>20913.88</x:v>
      </x:c>
      <x:c r="X516" s="151" t="n">
        <x:f>IF(OR(NOT(ISNUMBER($W516)),NOT(ISNUMBER($S516))),"",ROUND($W516-$S516,2))</x:f>
        <x:v>9229.2</x:v>
      </x:c>
      <x:c r="Y516" s="85" t="n">
        <x:f>IF(OR(NOT(ISNUMBER($W516)),NOT(ISNUMBER($X516)),$W516=0),"",ROUND($X516/$W516,4))</x:f>
        <x:v>0.4413</x:v>
      </x:c>
      <x:c r="Z516" s="82" t="n">
        <x:f>IF(OR($AH516&lt;&gt;"Valid",$AI516&lt;&gt;"Valid"),"",INT($D516-$C516))</x:f>
        <x:v>4</x:v>
      </x:c>
      <x:c r="AA516" s="86" t="str">
        <x:f>IF($AH516&lt;&gt;"Valid","",TEXT($C516,"mmmm"))</x:f>
        <x:v>November</x:v>
      </x:c>
      <x:c r="AB516" s="82" t="n">
        <x:f>IF($AH516&lt;&gt;"Valid","",YEAR($C516))</x:f>
        <x:v>2024</x:v>
      </x:c>
      <x:c r="AC516" s="80" t="str">
        <x:v>Consistent</x:v>
      </x:c>
      <x:c r="AD516" s="80" t="str">
        <x:v>Eligible</x:v>
      </x:c>
      <x:c r="AE516" s="80" t="str">
        <x:f>IF(OR($AH516&lt;&gt;"Valid",$AI516&lt;&gt;"Valid",$AJ516&lt;&gt;"Valid",LEFT($AM516,7)="Invalid",IFERROR(ABS($AQ516)&gt;0.01,FALSE),IFERROR(ABS($AR516)&gt;0.01,FALSE),COUNTIF($AS516,"*Conflicting duplicate*")&gt;0,COUNTIF($AS516,"*Completed order not paid*")&gt;0),"Invalid",IF(OR($H516="Unknown",$N516="Unknown",$AM516="Missing discount imputed as 0"),"Warning","Clean"))</x:f>
        <x:v>Clean</x:v>
      </x:c>
      <x:c r="AF516" s="80" t="str">
        <x:v>Pass</x:v>
      </x:c>
      <x:c r="AG516" s="80" t="str">
        <x:v>No text cleanup required</x:v>
      </x:c>
      <x:c r="AH516" s="12" t="str">
        <x:f>IF(C516="","Missing date",IF(ISNUMBER(C516),"Valid","Unrecognized/invalid date"))</x:f>
        <x:v>Valid</x:v>
      </x:c>
      <x:c r="AI516" s="12" t="str">
        <x:f>IF(D516="","Missing date",IF(ISNUMBER(D516),"Valid","Unrecognized/invalid date"))</x:f>
        <x:v>Valid</x:v>
      </x:c>
      <x:c r="AJ516" s="12" t="str">
        <x:v>Valid</x:v>
      </x:c>
      <x:c r="AK516" s="12" t="str">
        <x:v>Pass</x:v>
      </x:c>
      <x:c r="AL516" s="12" t="str">
        <x:v>None</x:v>
      </x:c>
      <x:c r="AM516" s="12" t="str">
        <x:v>Valid</x:v>
      </x:c>
      <x:c r="AN516" s="12" t="str">
        <x:v>Include in completed sales</x:v>
      </x:c>
      <x:c r="AO516" s="12" t="str">
        <x:v>Not a refunded record</x:v>
      </x:c>
      <x:c r="AP516" s="37" t="n">
        <x:f>IF(LEFT($AM516,7)="Invalid","",IF($AM516="Missing discount imputed as 0",IF(AND(COUNT($O516,$P516,$R516,$S516)=4,$O516&gt;0,$P516&gt;=0,$R516&gt;=0,$S516&gt;=0),0,""),IF(AND(ISNUMBER($Q516),$Q516&gt;=0,$Q516&lt;=0.5),$Q516,"")))</x:f>
        <x:v>0.1</x:v>
      </x:c>
      <x:c r="AQ516" s="152" t="n">
        <x:f>IF(OR($W516="",NOT(ISNUMBER($R516))),"",ROUND($R516-$W516,2))</x:f>
        <x:v>0</x:v>
      </x:c>
      <x:c r="AR516" s="152" t="n">
        <x:f>IF(OR($X516="",NOT(ISNUMBER($T516))),"",ROUND($T516-$X516,2))</x:f>
        <x:v>0</x:v>
      </x:c>
      <x:c r="AS516" s="14" t="str">
        <x:v>OK</x:v>
      </x:c>
    </x:row>
    <x:row r="517">
      <x:c r="A517" s="80" t="n">
        <x:v>517</x:v>
      </x:c>
      <x:c r="B517" s="80" t="str">
        <x:v>ORD-2025-10516</x:v>
      </x:c>
      <x:c r="C517" s="81" t="n">
        <x:v>45758</x:v>
      </x:c>
      <x:c r="D517" s="81" t="n">
        <x:v>45758</x:v>
      </x:c>
      <x:c r="E517" s="80" t="str">
        <x:v>CUST-9986</x:v>
      </x:c>
      <x:c r="F517" s="80" t="str">
        <x:v>Rahul Verma</x:v>
      </x:c>
      <x:c r="G517" s="80" t="str">
        <x:v>Corporate</x:v>
      </x:c>
      <x:c r="H517" s="80" t="str">
        <x:v>North</x:v>
      </x:c>
      <x:c r="I517" s="80" t="str">
        <x:v>Delhi</x:v>
      </x:c>
      <x:c r="J517" s="80" t="str">
        <x:v>New Delhi</x:v>
      </x:c>
      <x:c r="K517" s="80" t="str">
        <x:v>Office Supplies</x:v>
      </x:c>
      <x:c r="L517" s="80" t="str">
        <x:v>Paper</x:v>
      </x:c>
      <x:c r="M517" s="80" t="str">
        <x:v>Classic Paper 752</x:v>
      </x:c>
      <x:c r="N517" s="80" t="str">
        <x:v>Standard Class</x:v>
      </x:c>
      <x:c r="O517" s="82" t="n">
        <x:v>1</x:v>
      </x:c>
      <x:c r="P517" s="83" t="n">
        <x:v>4458.49</x:v>
      </x:c>
      <x:c r="Q517" s="84" t="n">
        <x:v>-0.07</x:v>
      </x:c>
      <x:c r="R517" s="83" t="n">
        <x:v>3566.79</x:v>
      </x:c>
      <x:c r="S517" s="83" t="n">
        <x:v>2083.41</x:v>
      </x:c>
      <x:c r="T517" s="83" t="n">
        <x:v>1483.38</x:v>
      </x:c>
      <x:c r="U517" s="83" t="str">
        <x:v>Paid</x:v>
      </x:c>
      <x:c r="V517" s="83" t="str">
        <x:v>Completed</x:v>
      </x:c>
      <x:c r="W517" s="151" t="str">
        <x:f>IF(OR(NOT(ISNUMBER($AP517)),COUNT($O517,$P517)&lt;2,$O517&lt;=0,$P517&lt;0),"",ROUND($O517*$P517*(1-$AP517),2))</x:f>
      </x:c>
      <x:c r="X517" s="151" t="str">
        <x:f>IF(OR(NOT(ISNUMBER($W517)),NOT(ISNUMBER($S517))),"",ROUND($W517-$S517,2))</x:f>
      </x:c>
      <x:c r="Y517" s="85" t="str">
        <x:f>IF(OR(NOT(ISNUMBER($W517)),NOT(ISNUMBER($X517)),$W517=0),"",ROUND($X517/$W517,4))</x:f>
      </x:c>
      <x:c r="Z517" s="82" t="n">
        <x:f>IF(OR($AH517&lt;&gt;"Valid",$AI517&lt;&gt;"Valid"),"",INT($D517-$C517))</x:f>
        <x:v>0</x:v>
      </x:c>
      <x:c r="AA517" s="86" t="str">
        <x:f>IF($AH517&lt;&gt;"Valid","",TEXT($C517,"mmmm"))</x:f>
        <x:v>April</x:v>
      </x:c>
      <x:c r="AB517" s="82" t="n">
        <x:f>IF($AH517&lt;&gt;"Valid","",YEAR($C517))</x:f>
        <x:v>2025</x:v>
      </x:c>
      <x:c r="AC517" s="80" t="str">
        <x:v>Consistent</x:v>
      </x:c>
      <x:c r="AD517" s="80" t="str">
        <x:v>Excluded</x:v>
      </x:c>
      <x:c r="AE517" s="80" t="str">
        <x:f>IF(OR($AH517&lt;&gt;"Valid",$AI517&lt;&gt;"Valid",$AJ517&lt;&gt;"Valid",LEFT($AM517,7)="Invalid",IFERROR(ABS($AQ517)&gt;0.01,FALSE),IFERROR(ABS($AR517)&gt;0.01,FALSE),COUNTIF($AS517,"*Conflicting duplicate*")&gt;0,COUNTIF($AS517,"*Completed order not paid*")&gt;0),"Invalid",IF(OR($H517="Unknown",$N517="Unknown",$AM517="Missing discount imputed as 0"),"Warning","Clean"))</x:f>
        <x:v>Invalid</x:v>
      </x:c>
      <x:c r="AF517" s="80" t="str">
        <x:v>Review</x:v>
      </x:c>
      <x:c r="AG517" s="80" t="str">
        <x:v>No text cleanup required</x:v>
      </x:c>
      <x:c r="AH517" s="12" t="str">
        <x:f>IF(C517="","Missing date",IF(ISNUMBER(C517),"Valid","Unrecognized/invalid date"))</x:f>
        <x:v>Valid</x:v>
      </x:c>
      <x:c r="AI517" s="12" t="str">
        <x:f>IF(D517="","Missing date",IF(ISNUMBER(D517),"Valid","Unrecognized/invalid date"))</x:f>
        <x:v>Valid</x:v>
      </x:c>
      <x:c r="AJ517" s="12" t="str">
        <x:v>Valid</x:v>
      </x:c>
      <x:c r="AK517" s="12" t="str">
        <x:v>Pass</x:v>
      </x:c>
      <x:c r="AL517" s="12" t="str">
        <x:v>None</x:v>
      </x:c>
      <x:c r="AM517" s="12" t="str">
        <x:v>Invalid discount – negative</x:v>
      </x:c>
      <x:c r="AN517" s="12" t="str">
        <x:v>Exclude from completed sales</x:v>
      </x:c>
      <x:c r="AO517" s="12" t="str">
        <x:v>Not a refunded record</x:v>
      </x:c>
      <x:c r="AP517" s="37" t="str">
        <x:f>IF(LEFT($AM517,7)="Invalid","",IF($AM517="Missing discount imputed as 0",IF(AND(COUNT($O517,$P517,$R517,$S517)=4,$O517&gt;0,$P517&gt;=0,$R517&gt;=0,$S517&gt;=0),0,""),IF(AND(ISNUMBER($Q517),$Q517&gt;=0,$Q517&lt;=0.5),$Q517,"")))</x:f>
      </x:c>
      <x:c r="AQ517" s="152" t="str">
        <x:f>IF(OR($W517="",NOT(ISNUMBER($R517))),"",ROUND($R517-$W517,2))</x:f>
      </x:c>
      <x:c r="AR517" s="152" t="str">
        <x:f>IF(OR($X517="",NOT(ISNUMBER($T517))),"",ROUND($T517-$X517,2))</x:f>
      </x:c>
      <x:c r="AS517" s="14" t="str">
        <x:v>Negative discount</x:v>
      </x:c>
    </x:row>
    <x:row r="518">
      <x:c r="A518" s="80" t="n">
        <x:v>518</x:v>
      </x:c>
      <x:c r="B518" s="80" t="str">
        <x:v>ORD-2024-10517</x:v>
      </x:c>
      <x:c r="C518" s="81" t="n">
        <x:v>45563</x:v>
      </x:c>
      <x:c r="D518" s="81" t="n">
        <x:v>45569</x:v>
      </x:c>
      <x:c r="E518" s="80" t="str">
        <x:v>CUST-2731</x:v>
      </x:c>
      <x:c r="F518" s="80" t="str">
        <x:v>Kabir Singh</x:v>
      </x:c>
      <x:c r="G518" s="80" t="str">
        <x:v>Home Office</x:v>
      </x:c>
      <x:c r="H518" s="80" t="str">
        <x:v>North</x:v>
      </x:c>
      <x:c r="I518" s="80" t="str">
        <x:v>Delhi</x:v>
      </x:c>
      <x:c r="J518" s="80" t="str">
        <x:v>New Delhi</x:v>
      </x:c>
      <x:c r="K518" s="80" t="str">
        <x:v>Technology</x:v>
      </x:c>
      <x:c r="L518" s="80" t="str">
        <x:v>Copiers</x:v>
      </x:c>
      <x:c r="M518" s="80" t="str">
        <x:v>Classic Copiers 143</x:v>
      </x:c>
      <x:c r="N518" s="80" t="str">
        <x:v>Standard Class</x:v>
      </x:c>
      <x:c r="O518" s="82" t="n">
        <x:v>1</x:v>
      </x:c>
      <x:c r="P518" s="83" t="n">
        <x:v>2233.18</x:v>
      </x:c>
      <x:c r="Q518" s="84" t="n">
        <x:v>0</x:v>
      </x:c>
      <x:c r="R518" s="83" t="n">
        <x:v>2233.18</x:v>
      </x:c>
      <x:c r="S518" s="83" t="n">
        <x:v>1585.82</x:v>
      </x:c>
      <x:c r="T518" s="83" t="n">
        <x:v>647.36</x:v>
      </x:c>
      <x:c r="U518" s="83" t="str">
        <x:v>Failed</x:v>
      </x:c>
      <x:c r="V518" s="83" t="str">
        <x:v>Returned</x:v>
      </x:c>
      <x:c r="W518" s="151" t="n">
        <x:f>IF(OR(NOT(ISNUMBER($AP518)),COUNT($O518,$P518)&lt;2,$O518&lt;=0,$P518&lt;0),"",ROUND($O518*$P518*(1-$AP518),2))</x:f>
        <x:v>2233.18</x:v>
      </x:c>
      <x:c r="X518" s="151" t="n">
        <x:f>IF(OR(NOT(ISNUMBER($W518)),NOT(ISNUMBER($S518))),"",ROUND($W518-$S518,2))</x:f>
        <x:v>647.36</x:v>
      </x:c>
      <x:c r="Y518" s="85" t="n">
        <x:f>IF(OR(NOT(ISNUMBER($W518)),NOT(ISNUMBER($X518)),$W518=0),"",ROUND($X518/$W518,4))</x:f>
        <x:v>0.2899</x:v>
      </x:c>
      <x:c r="Z518" s="82" t="n">
        <x:f>IF(OR($AH518&lt;&gt;"Valid",$AI518&lt;&gt;"Valid"),"",INT($D518-$C518))</x:f>
        <x:v>6</x:v>
      </x:c>
      <x:c r="AA518" s="86" t="str">
        <x:f>IF($AH518&lt;&gt;"Valid","",TEXT($C518,"mmmm"))</x:f>
        <x:v>September</x:v>
      </x:c>
      <x:c r="AB518" s="82" t="n">
        <x:f>IF($AH518&lt;&gt;"Valid","",YEAR($C518))</x:f>
        <x:v>2024</x:v>
      </x:c>
      <x:c r="AC518" s="80" t="str">
        <x:v>Failed payment (excluded from completed-sales summary)</x:v>
      </x:c>
      <x:c r="AD518" s="80" t="str">
        <x:v>Excluded</x:v>
      </x:c>
      <x:c r="AE518" s="80" t="str">
        <x:f>IF(OR($AH518&lt;&gt;"Valid",$AI518&lt;&gt;"Valid",$AJ518&lt;&gt;"Valid",LEFT($AM518,7)="Invalid",IFERROR(ABS($AQ518)&gt;0.01,FALSE),IFERROR(ABS($AR518)&gt;0.01,FALSE),COUNTIF($AS518,"*Conflicting duplicate*")&gt;0,COUNTIF($AS518,"*Completed order not paid*")&gt;0),"Invalid",IF(OR($H518="Unknown",$N518="Unknown",$AM518="Missing discount imputed as 0"),"Warning","Clean"))</x:f>
        <x:v>Clean</x:v>
      </x:c>
      <x:c r="AF518" s="80" t="str">
        <x:v>Pass</x:v>
      </x:c>
      <x:c r="AG518" s="80" t="str">
        <x:v>No text cleanup required</x:v>
      </x:c>
      <x:c r="AH518" s="12" t="str">
        <x:f>IF(C518="","Missing date",IF(ISNUMBER(C518),"Valid","Unrecognized/invalid date"))</x:f>
        <x:v>Valid</x:v>
      </x:c>
      <x:c r="AI518" s="12" t="str">
        <x:f>IF(D518="","Missing date",IF(ISNUMBER(D518),"Valid","Unrecognized/invalid date"))</x:f>
        <x:v>Valid</x:v>
      </x:c>
      <x:c r="AJ518" s="12" t="str">
        <x:v>Valid</x:v>
      </x:c>
      <x:c r="AK518" s="12" t="str">
        <x:v>Pass</x:v>
      </x:c>
      <x:c r="AL518" s="12" t="str">
        <x:v>Failed payment – excluded from completed sales</x:v>
      </x:c>
      <x:c r="AM518" s="12" t="str">
        <x:v>Valid</x:v>
      </x:c>
      <x:c r="AN518" s="12" t="str">
        <x:v>Exclude from completed sales</x:v>
      </x:c>
      <x:c r="AO518" s="12" t="str">
        <x:v>Not a refunded record</x:v>
      </x:c>
      <x:c r="AP518" s="37" t="n">
        <x:f>IF(LEFT($AM518,7)="Invalid","",IF($AM518="Missing discount imputed as 0",IF(AND(COUNT($O518,$P518,$R518,$S518)=4,$O518&gt;0,$P518&gt;=0,$R518&gt;=0,$S518&gt;=0),0,""),IF(AND(ISNUMBER($Q518),$Q518&gt;=0,$Q518&lt;=0.5),$Q518,"")))</x:f>
        <x:v>0</x:v>
      </x:c>
      <x:c r="AQ518" s="152" t="n">
        <x:f>IF(OR($W518="",NOT(ISNUMBER($R518))),"",ROUND($R518-$W518,2))</x:f>
        <x:v>0</x:v>
      </x:c>
      <x:c r="AR518" s="152" t="n">
        <x:f>IF(OR($X518="",NOT(ISNUMBER($T518))),"",ROUND($T518-$X518,2))</x:f>
        <x:v>0</x:v>
      </x:c>
      <x:c r="AS518" s="14" t="str">
        <x:v>OK</x:v>
      </x:c>
    </x:row>
    <x:row r="519">
      <x:c r="A519" s="80" t="n">
        <x:v>519</x:v>
      </x:c>
      <x:c r="B519" s="80" t="str">
        <x:v>ORD-2025-10518</x:v>
      </x:c>
      <x:c r="C519" s="81" t="n">
        <x:v>45802</x:v>
      </x:c>
      <x:c r="D519" s="81" t="n">
        <x:v>45804</x:v>
      </x:c>
      <x:c r="E519" s="80" t="str">
        <x:v>CUST-4235</x:v>
      </x:c>
      <x:c r="F519" s="80" t="str">
        <x:v>Rahul Verma</x:v>
      </x:c>
      <x:c r="G519" s="80" t="str">
        <x:v>Consumer</x:v>
      </x:c>
      <x:c r="H519" s="80" t="str">
        <x:v>East</x:v>
      </x:c>
      <x:c r="I519" s="80" t="str">
        <x:v>Odisha</x:v>
      </x:c>
      <x:c r="J519" s="80" t="str">
        <x:v>Bhubaneswar</x:v>
      </x:c>
      <x:c r="K519" s="80" t="str">
        <x:v>Furniture</x:v>
      </x:c>
      <x:c r="L519" s="80" t="str">
        <x:v>Furnishings</x:v>
      </x:c>
      <x:c r="M519" s="80" t="str">
        <x:v>Basic Furnishings 386</x:v>
      </x:c>
      <x:c r="N519" s="80" t="str">
        <x:v>Second Class</x:v>
      </x:c>
      <x:c r="O519" s="82" t="n">
        <x:v>7</x:v>
      </x:c>
      <x:c r="P519" s="83" t="n">
        <x:v>2123.28</x:v>
      </x:c>
      <x:c r="Q519" s="84" t="n">
        <x:v>0.2</x:v>
      </x:c>
      <x:c r="R519" s="83" t="n">
        <x:v>11890.37</x:v>
      </x:c>
      <x:c r="S519" s="83" t="n">
        <x:v>9234.53</x:v>
      </x:c>
      <x:c r="T519" s="83" t="n">
        <x:v>2655.84</x:v>
      </x:c>
      <x:c r="U519" s="83" t="str">
        <x:v>Refunded</x:v>
      </x:c>
      <x:c r="V519" s="83" t="str">
        <x:v>Returned</x:v>
      </x:c>
      <x:c r="W519" s="151" t="n">
        <x:f>IF(OR(NOT(ISNUMBER($AP519)),COUNT($O519,$P519)&lt;2,$O519&lt;=0,$P519&lt;0),"",ROUND($O519*$P519*(1-$AP519),2))</x:f>
        <x:v>11890.37</x:v>
      </x:c>
      <x:c r="X519" s="151" t="n">
        <x:f>IF(OR(NOT(ISNUMBER($W519)),NOT(ISNUMBER($S519))),"",ROUND($W519-$S519,2))</x:f>
        <x:v>2655.84</x:v>
      </x:c>
      <x:c r="Y519" s="85" t="n">
        <x:f>IF(OR(NOT(ISNUMBER($W519)),NOT(ISNUMBER($X519)),$W519=0),"",ROUND($X519/$W519,4))</x:f>
        <x:v>0.2234</x:v>
      </x:c>
      <x:c r="Z519" s="82" t="n">
        <x:f>IF(OR($AH519&lt;&gt;"Valid",$AI519&lt;&gt;"Valid"),"",INT($D519-$C519))</x:f>
        <x:v>2</x:v>
      </x:c>
      <x:c r="AA519" s="86" t="str">
        <x:f>IF($AH519&lt;&gt;"Valid","",TEXT($C519,"mmmm"))</x:f>
        <x:v>May</x:v>
      </x:c>
      <x:c r="AB519" s="82" t="n">
        <x:f>IF($AH519&lt;&gt;"Valid","",YEAR($C519))</x:f>
        <x:v>2025</x:v>
      </x:c>
      <x:c r="AC519" s="80" t="str">
        <x:v>Refunded (separately summarized)</x:v>
      </x:c>
      <x:c r="AD519" s="80" t="str">
        <x:v>Excluded</x:v>
      </x:c>
      <x:c r="AE519" s="80" t="str">
        <x:f>IF(OR($AH519&lt;&gt;"Valid",$AI519&lt;&gt;"Valid",$AJ519&lt;&gt;"Valid",LEFT($AM519,7)="Invalid",IFERROR(ABS($AQ519)&gt;0.01,FALSE),IFERROR(ABS($AR519)&gt;0.01,FALSE),COUNTIF($AS519,"*Conflicting duplicate*")&gt;0,COUNTIF($AS519,"*Completed order not paid*")&gt;0),"Invalid",IF(OR($H519="Unknown",$N519="Unknown",$AM519="Missing discount imputed as 0"),"Warning","Clean"))</x:f>
        <x:v>Clean</x:v>
      </x:c>
      <x:c r="AF519" s="80" t="str">
        <x:v>Pass</x:v>
      </x:c>
      <x:c r="AG519" s="80" t="str">
        <x:v>No text cleanup required</x:v>
      </x:c>
      <x:c r="AH519" s="12" t="str">
        <x:f>IF(C519="","Missing date",IF(ISNUMBER(C519),"Valid","Unrecognized/invalid date"))</x:f>
        <x:v>Valid</x:v>
      </x:c>
      <x:c r="AI519" s="12" t="str">
        <x:f>IF(D519="","Missing date",IF(ISNUMBER(D519),"Valid","Unrecognized/invalid date"))</x:f>
        <x:v>Valid</x:v>
      </x:c>
      <x:c r="AJ519" s="12" t="str">
        <x:v>Valid</x:v>
      </x:c>
      <x:c r="AK519" s="12" t="str">
        <x:v>Pass</x:v>
      </x:c>
      <x:c r="AL519" s="12" t="str">
        <x:v>Refunded payment – separately summarized</x:v>
      </x:c>
      <x:c r="AM519" s="12" t="str">
        <x:v>Valid</x:v>
      </x:c>
      <x:c r="AN519" s="12" t="str">
        <x:v>Exclude from completed sales</x:v>
      </x:c>
      <x:c r="AO519" s="12" t="str">
        <x:v>Include in refunded summary</x:v>
      </x:c>
      <x:c r="AP519" s="37" t="n">
        <x:f>IF(LEFT($AM519,7)="Invalid","",IF($AM519="Missing discount imputed as 0",IF(AND(COUNT($O519,$P519,$R519,$S519)=4,$O519&gt;0,$P519&gt;=0,$R519&gt;=0,$S519&gt;=0),0,""),IF(AND(ISNUMBER($Q519),$Q519&gt;=0,$Q519&lt;=0.5),$Q519,"")))</x:f>
        <x:v>0.2</x:v>
      </x:c>
      <x:c r="AQ519" s="152" t="n">
        <x:f>IF(OR($W519="",NOT(ISNUMBER($R519))),"",ROUND($R519-$W519,2))</x:f>
        <x:v>0</x:v>
      </x:c>
      <x:c r="AR519" s="152" t="n">
        <x:f>IF(OR($X519="",NOT(ISNUMBER($T519))),"",ROUND($T519-$X519,2))</x:f>
        <x:v>0</x:v>
      </x:c>
      <x:c r="AS519" s="14" t="str">
        <x:v>OK</x:v>
      </x:c>
    </x:row>
    <x:row r="520">
      <x:c r="A520" s="80" t="n">
        <x:v>520</x:v>
      </x:c>
      <x:c r="B520" s="80" t="str">
        <x:v>ORD-2025-10519</x:v>
      </x:c>
      <x:c r="C520" s="81" t="n">
        <x:v>45777</x:v>
      </x:c>
      <x:c r="D520" s="81" t="n">
        <x:v>45773</x:v>
      </x:c>
      <x:c r="E520" s="80" t="str">
        <x:v>CUST-3377</x:v>
      </x:c>
      <x:c r="F520" s="80" t="str">
        <x:v>Diya Patel</x:v>
      </x:c>
      <x:c r="G520" s="80" t="str">
        <x:v>Corporate</x:v>
      </x:c>
      <x:c r="H520" s="80" t="str">
        <x:v>East</x:v>
      </x:c>
      <x:c r="I520" s="80" t="str">
        <x:v>Odisha</x:v>
      </x:c>
      <x:c r="J520" s="80" t="str">
        <x:v>Bhubaneswar</x:v>
      </x:c>
      <x:c r="K520" s="80" t="str">
        <x:v>Furniture</x:v>
      </x:c>
      <x:c r="L520" s="80" t="str">
        <x:v>Tables</x:v>
      </x:c>
      <x:c r="M520" s="80" t="str">
        <x:v>Classic Tables 592</x:v>
      </x:c>
      <x:c r="N520" s="80" t="str">
        <x:v>First Class</x:v>
      </x:c>
      <x:c r="O520" s="82" t="n">
        <x:v>7</x:v>
      </x:c>
      <x:c r="P520" s="83" t="n">
        <x:v>1604.13</x:v>
      </x:c>
      <x:c r="Q520" s="84" t="n">
        <x:v>0.25</x:v>
      </x:c>
      <x:c r="R520" s="83" t="n">
        <x:v>8421.68</x:v>
      </x:c>
      <x:c r="S520" s="83" t="n">
        <x:v>6534.47</x:v>
      </x:c>
      <x:c r="T520" s="83" t="n">
        <x:v>1887.21</x:v>
      </x:c>
      <x:c r="U520" s="83" t="str">
        <x:v>Paid</x:v>
      </x:c>
      <x:c r="V520" s="83" t="str">
        <x:v>Cancelled</x:v>
      </x:c>
      <x:c r="W520" s="151" t="n">
        <x:f>IF(OR(NOT(ISNUMBER($AP520)),COUNT($O520,$P520)&lt;2,$O520&lt;=0,$P520&lt;0),"",ROUND($O520*$P520*(1-$AP520),2))</x:f>
        <x:v>8421.68</x:v>
      </x:c>
      <x:c r="X520" s="151" t="n">
        <x:f>IF(OR(NOT(ISNUMBER($W520)),NOT(ISNUMBER($S520))),"",ROUND($W520-$S520,2))</x:f>
        <x:v>1887.21</x:v>
      </x:c>
      <x:c r="Y520" s="85" t="n">
        <x:f>IF(OR(NOT(ISNUMBER($W520)),NOT(ISNUMBER($X520)),$W520=0),"",ROUND($X520/$W520,4))</x:f>
        <x:v>0.2241</x:v>
      </x:c>
      <x:c r="Z520" s="82" t="n">
        <x:f>IF(OR($AH520&lt;&gt;"Valid",$AI520&lt;&gt;"Valid"),"",INT($D520-$C520))</x:f>
        <x:v>-4</x:v>
      </x:c>
      <x:c r="AA520" s="86" t="str">
        <x:f>IF($AH520&lt;&gt;"Valid","",TEXT($C520,"mmmm"))</x:f>
        <x:v>April</x:v>
      </x:c>
      <x:c r="AB520" s="82" t="n">
        <x:f>IF($AH520&lt;&gt;"Valid","",YEAR($C520))</x:f>
        <x:v>2025</x:v>
      </x:c>
      <x:c r="AC520" s="80" t="str">
        <x:v>Cancelled (excluded from completed-sales summary)</x:v>
      </x:c>
      <x:c r="AD520" s="80" t="str">
        <x:v>Excluded</x:v>
      </x:c>
      <x:c r="AE520" s="80" t="str">
        <x:f>IF(OR($AH520&lt;&gt;"Valid",$AI520&lt;&gt;"Valid",$AJ520&lt;&gt;"Valid",LEFT($AM520,7)="Invalid",IFERROR(ABS($AQ520)&gt;0.01,FALSE),IFERROR(ABS($AR520)&gt;0.01,FALSE),COUNTIF($AS520,"*Conflicting duplicate*")&gt;0,COUNTIF($AS520,"*Completed order not paid*")&gt;0),"Invalid",IF(OR($H520="Unknown",$N520="Unknown",$AM520="Missing discount imputed as 0"),"Warning","Clean"))</x:f>
        <x:v>Invalid</x:v>
      </x:c>
      <x:c r="AF520" s="80" t="str">
        <x:v>Review</x:v>
      </x:c>
      <x:c r="AG520" s="80" t="str">
        <x:v>No text cleanup required</x:v>
      </x:c>
      <x:c r="AH520" s="12" t="str">
        <x:f>IF(C520="","Missing date",IF(ISNUMBER(C520),"Valid","Unrecognized/invalid date"))</x:f>
        <x:v>Valid</x:v>
      </x:c>
      <x:c r="AI520" s="12" t="str">
        <x:f>IF(D520="","Missing date",IF(ISNUMBER(D520),"Valid","Unrecognized/invalid date"))</x:f>
        <x:v>Valid</x:v>
      </x:c>
      <x:c r="AJ520" s="12" t="str">
        <x:v>Invalid</x:v>
      </x:c>
      <x:c r="AK520" s="12" t="str">
        <x:v>Ship date is earlier than order date</x:v>
      </x:c>
      <x:c r="AL520" s="12" t="str">
        <x:v>Cancelled order – excluded from completed sales</x:v>
      </x:c>
      <x:c r="AM520" s="12" t="str">
        <x:v>Valid</x:v>
      </x:c>
      <x:c r="AN520" s="12" t="str">
        <x:v>Exclude from completed sales</x:v>
      </x:c>
      <x:c r="AO520" s="12" t="str">
        <x:v>Not a refunded record</x:v>
      </x:c>
      <x:c r="AP520" s="37" t="n">
        <x:f>IF(LEFT($AM520,7)="Invalid","",IF($AM520="Missing discount imputed as 0",IF(AND(COUNT($O520,$P520,$R520,$S520)=4,$O520&gt;0,$P520&gt;=0,$R520&gt;=0,$S520&gt;=0),0,""),IF(AND(ISNUMBER($Q520),$Q520&gt;=0,$Q520&lt;=0.5),$Q520,"")))</x:f>
        <x:v>0.25</x:v>
      </x:c>
      <x:c r="AQ520" s="152" t="n">
        <x:f>IF(OR($W520="",NOT(ISNUMBER($R520))),"",ROUND($R520-$W520,2))</x:f>
        <x:v>0</x:v>
      </x:c>
      <x:c r="AR520" s="152" t="n">
        <x:f>IF(OR($X520="",NOT(ISNUMBER($T520))),"",ROUND($T520-$X520,2))</x:f>
        <x:v>0</x:v>
      </x:c>
      <x:c r="AS520" s="14" t="str">
        <x:v>Ship date earlier than order date</x:v>
      </x:c>
    </x:row>
    <x:row r="521">
      <x:c r="A521" s="80" t="n">
        <x:v>521</x:v>
      </x:c>
      <x:c r="B521" s="80" t="str">
        <x:v>ORD-2025-10520</x:v>
      </x:c>
      <x:c r="C521" s="81" t="n">
        <x:v>45841</x:v>
      </x:c>
      <x:c r="D521" s="81" t="n">
        <x:v>45845</x:v>
      </x:c>
      <x:c r="E521" s="80" t="str">
        <x:v>CUST-3258</x:v>
      </x:c>
      <x:c r="F521" s="80" t="str">
        <x:v>Priya Menon</x:v>
      </x:c>
      <x:c r="G521" s="80" t="str">
        <x:v>Consumer</x:v>
      </x:c>
      <x:c r="H521" s="80" t="str">
        <x:v>North</x:v>
      </x:c>
      <x:c r="I521" s="80" t="str">
        <x:v>Uttar Pradesh</x:v>
      </x:c>
      <x:c r="J521" s="80" t="str">
        <x:v>Noida</x:v>
      </x:c>
      <x:c r="K521" s="80" t="str">
        <x:v>Furniture</x:v>
      </x:c>
      <x:c r="L521" s="80" t="str">
        <x:v>Tables</x:v>
      </x:c>
      <x:c r="M521" s="80" t="str">
        <x:v>Pro Tables 412</x:v>
      </x:c>
      <x:c r="N521" s="80" t="str">
        <x:v>Standard Class</x:v>
      </x:c>
      <x:c r="O521" s="82" t="n">
        <x:v>4</x:v>
      </x:c>
      <x:c r="P521" s="83" t="n">
        <x:v>4365.21</x:v>
      </x:c>
      <x:c r="Q521" s="84" t="n">
        <x:v>0.2</x:v>
      </x:c>
      <x:c r="R521" s="83" t="n">
        <x:v>13968.67</x:v>
      </x:c>
      <x:c r="S521" s="83" t="n">
        <x:v>8857.58</x:v>
      </x:c>
      <x:c r="T521" s="83" t="n">
        <x:v>5111.09</x:v>
      </x:c>
      <x:c r="U521" s="83" t="str">
        <x:v>Pending</x:v>
      </x:c>
      <x:c r="V521" s="83" t="str">
        <x:v>Cancelled</x:v>
      </x:c>
      <x:c r="W521" s="151" t="n">
        <x:f>IF(OR(NOT(ISNUMBER($AP521)),COUNT($O521,$P521)&lt;2,$O521&lt;=0,$P521&lt;0),"",ROUND($O521*$P521*(1-$AP521),2))</x:f>
        <x:v>13968.67</x:v>
      </x:c>
      <x:c r="X521" s="151" t="n">
        <x:f>IF(OR(NOT(ISNUMBER($W521)),NOT(ISNUMBER($S521))),"",ROUND($W521-$S521,2))</x:f>
        <x:v>5111.09</x:v>
      </x:c>
      <x:c r="Y521" s="85" t="n">
        <x:f>IF(OR(NOT(ISNUMBER($W521)),NOT(ISNUMBER($X521)),$W521=0),"",ROUND($X521/$W521,4))</x:f>
        <x:v>0.3659</x:v>
      </x:c>
      <x:c r="Z521" s="82" t="n">
        <x:f>IF(OR($AH521&lt;&gt;"Valid",$AI521&lt;&gt;"Valid"),"",INT($D521-$C521))</x:f>
        <x:v>4</x:v>
      </x:c>
      <x:c r="AA521" s="86" t="str">
        <x:f>IF($AH521&lt;&gt;"Valid","",TEXT($C521,"mmmm"))</x:f>
        <x:v>July</x:v>
      </x:c>
      <x:c r="AB521" s="82" t="n">
        <x:f>IF($AH521&lt;&gt;"Valid","",YEAR($C521))</x:f>
        <x:v>2025</x:v>
      </x:c>
      <x:c r="AC521" s="80" t="str">
        <x:v>Cancelled (excluded from completed-sales summary)</x:v>
      </x:c>
      <x:c r="AD521" s="80" t="str">
        <x:v>Excluded</x:v>
      </x:c>
      <x:c r="AE521" s="80" t="str">
        <x:f>IF(OR($AH521&lt;&gt;"Valid",$AI521&lt;&gt;"Valid",$AJ521&lt;&gt;"Valid",LEFT($AM521,7)="Invalid",IFERROR(ABS($AQ521)&gt;0.01,FALSE),IFERROR(ABS($AR521)&gt;0.01,FALSE),COUNTIF($AS521,"*Conflicting duplicate*")&gt;0,COUNTIF($AS521,"*Completed order not paid*")&gt;0),"Invalid",IF(OR($H521="Unknown",$N521="Unknown",$AM521="Missing discount imputed as 0"),"Warning","Clean"))</x:f>
        <x:v>Clean</x:v>
      </x:c>
      <x:c r="AF521" s="80" t="str">
        <x:v>Pass</x:v>
      </x:c>
      <x:c r="AG521" s="80" t="str">
        <x:v>No text cleanup required</x:v>
      </x:c>
      <x:c r="AH521" s="12" t="str">
        <x:f>IF(C521="","Missing date",IF(ISNUMBER(C521),"Valid","Unrecognized/invalid date"))</x:f>
        <x:v>Valid</x:v>
      </x:c>
      <x:c r="AI521" s="12" t="str">
        <x:f>IF(D521="","Missing date",IF(ISNUMBER(D521),"Valid","Unrecognized/invalid date"))</x:f>
        <x:v>Valid</x:v>
      </x:c>
      <x:c r="AJ521" s="12" t="str">
        <x:v>Valid</x:v>
      </x:c>
      <x:c r="AK521" s="12" t="str">
        <x:v>Pass</x:v>
      </x:c>
      <x:c r="AL521" s="12" t="str">
        <x:v>Cancelled order – excluded from completed sales</x:v>
      </x:c>
      <x:c r="AM521" s="12" t="str">
        <x:v>Valid</x:v>
      </x:c>
      <x:c r="AN521" s="12" t="str">
        <x:v>Exclude from completed sales</x:v>
      </x:c>
      <x:c r="AO521" s="12" t="str">
        <x:v>Not a refunded record</x:v>
      </x:c>
      <x:c r="AP521" s="37" t="n">
        <x:f>IF(LEFT($AM521,7)="Invalid","",IF($AM521="Missing discount imputed as 0",IF(AND(COUNT($O521,$P521,$R521,$S521)=4,$O521&gt;0,$P521&gt;=0,$R521&gt;=0,$S521&gt;=0),0,""),IF(AND(ISNUMBER($Q521),$Q521&gt;=0,$Q521&lt;=0.5),$Q521,"")))</x:f>
        <x:v>0.2</x:v>
      </x:c>
      <x:c r="AQ521" s="152" t="n">
        <x:f>IF(OR($W521="",NOT(ISNUMBER($R521))),"",ROUND($R521-$W521,2))</x:f>
        <x:v>0</x:v>
      </x:c>
      <x:c r="AR521" s="152" t="n">
        <x:f>IF(OR($X521="",NOT(ISNUMBER($T521))),"",ROUND($T521-$X521,2))</x:f>
        <x:v>0</x:v>
      </x:c>
      <x:c r="AS521" s="14" t="str">
        <x:v>OK</x:v>
      </x:c>
    </x:row>
    <x:row r="522">
      <x:c r="A522" s="80" t="n">
        <x:v>522</x:v>
      </x:c>
      <x:c r="B522" s="80" t="str">
        <x:v>ORD-2024-10521</x:v>
      </x:c>
      <x:c r="C522" s="81" t="n">
        <x:v>45489</x:v>
      </x:c>
      <x:c r="D522" s="81" t="n">
        <x:v>45496</x:v>
      </x:c>
      <x:c r="E522" s="80" t="str">
        <x:v>CUST-2155</x:v>
      </x:c>
      <x:c r="F522" s="80" t="str">
        <x:v>Aarav Sharma</x:v>
      </x:c>
      <x:c r="G522" s="80" t="str">
        <x:v>Home Office</x:v>
      </x:c>
      <x:c r="H522" s="80" t="str">
        <x:v>South</x:v>
      </x:c>
      <x:c r="I522" s="80" t="str">
        <x:v>Karnataka</x:v>
      </x:c>
      <x:c r="J522" s="80" t="str">
        <x:v>Bengaluru</x:v>
      </x:c>
      <x:c r="K522" s="80" t="str">
        <x:v>Technology</x:v>
      </x:c>
      <x:c r="L522" s="80" t="str">
        <x:v>Machines</x:v>
      </x:c>
      <x:c r="M522" s="80" t="str">
        <x:v>Prime Machines 393</x:v>
      </x:c>
      <x:c r="N522" s="80" t="str">
        <x:v>Same Day</x:v>
      </x:c>
      <x:c r="O522" s="82" t="n">
        <x:v>1</x:v>
      </x:c>
      <x:c r="P522" s="83" t="n">
        <x:v>1695.91</x:v>
      </x:c>
      <x:c r="Q522" s="84" t="n">
        <x:v>0.05</x:v>
      </x:c>
      <x:c r="R522" s="83" t="n">
        <x:v>1611.11</x:v>
      </x:c>
      <x:c r="S522" s="83" t="n">
        <x:v>895.15</x:v>
      </x:c>
      <x:c r="T522" s="83" t="n">
        <x:v>715.96</x:v>
      </x:c>
      <x:c r="U522" s="83" t="str">
        <x:v>Paid</x:v>
      </x:c>
      <x:c r="V522" s="83" t="str">
        <x:v>Completed</x:v>
      </x:c>
      <x:c r="W522" s="151" t="n">
        <x:f>IF(OR(NOT(ISNUMBER($AP522)),COUNT($O522,$P522)&lt;2,$O522&lt;=0,$P522&lt;0),"",ROUND($O522*$P522*(1-$AP522),2))</x:f>
        <x:v>1611.11</x:v>
      </x:c>
      <x:c r="X522" s="151" t="n">
        <x:f>IF(OR(NOT(ISNUMBER($W522)),NOT(ISNUMBER($S522))),"",ROUND($W522-$S522,2))</x:f>
        <x:v>715.96</x:v>
      </x:c>
      <x:c r="Y522" s="85" t="n">
        <x:f>IF(OR(NOT(ISNUMBER($W522)),NOT(ISNUMBER($X522)),$W522=0),"",ROUND($X522/$W522,4))</x:f>
        <x:v>0.4444</x:v>
      </x:c>
      <x:c r="Z522" s="82" t="n">
        <x:f>IF(OR($AH522&lt;&gt;"Valid",$AI522&lt;&gt;"Valid"),"",INT($D522-$C522))</x:f>
        <x:v>7</x:v>
      </x:c>
      <x:c r="AA522" s="86" t="str">
        <x:f>IF($AH522&lt;&gt;"Valid","",TEXT($C522,"mmmm"))</x:f>
        <x:v>July</x:v>
      </x:c>
      <x:c r="AB522" s="82" t="n">
        <x:f>IF($AH522&lt;&gt;"Valid","",YEAR($C522))</x:f>
        <x:v>2024</x:v>
      </x:c>
      <x:c r="AC522" s="80" t="str">
        <x:v>Consistent</x:v>
      </x:c>
      <x:c r="AD522" s="80" t="str">
        <x:v>Eligible</x:v>
      </x:c>
      <x:c r="AE522" s="80" t="str">
        <x:f>IF(OR($AH522&lt;&gt;"Valid",$AI522&lt;&gt;"Valid",$AJ522&lt;&gt;"Valid",LEFT($AM522,7)="Invalid",IFERROR(ABS($AQ522)&gt;0.01,FALSE),IFERROR(ABS($AR522)&gt;0.01,FALSE),COUNTIF($AS522,"*Conflicting duplicate*")&gt;0,COUNTIF($AS522,"*Completed order not paid*")&gt;0),"Invalid",IF(OR($H522="Unknown",$N522="Unknown",$AM522="Missing discount imputed as 0"),"Warning","Clean"))</x:f>
        <x:v>Clean</x:v>
      </x:c>
      <x:c r="AF522" s="80" t="str">
        <x:v>Pass</x:v>
      </x:c>
      <x:c r="AG522" s="80" t="str">
        <x:v>No text cleanup required</x:v>
      </x:c>
      <x:c r="AH522" s="12" t="str">
        <x:f>IF(C522="","Missing date",IF(ISNUMBER(C522),"Valid","Unrecognized/invalid date"))</x:f>
        <x:v>Valid</x:v>
      </x:c>
      <x:c r="AI522" s="12" t="str">
        <x:f>IF(D522="","Missing date",IF(ISNUMBER(D522),"Valid","Unrecognized/invalid date"))</x:f>
        <x:v>Valid</x:v>
      </x:c>
      <x:c r="AJ522" s="12" t="str">
        <x:v>Valid</x:v>
      </x:c>
      <x:c r="AK522" s="12" t="str">
        <x:v>Pass</x:v>
      </x:c>
      <x:c r="AL522" s="12" t="str">
        <x:v>None</x:v>
      </x:c>
      <x:c r="AM522" s="12" t="str">
        <x:v>Valid</x:v>
      </x:c>
      <x:c r="AN522" s="12" t="str">
        <x:v>Include in completed sales</x:v>
      </x:c>
      <x:c r="AO522" s="12" t="str">
        <x:v>Not a refunded record</x:v>
      </x:c>
      <x:c r="AP522" s="37" t="n">
        <x:f>IF(LEFT($AM522,7)="Invalid","",IF($AM522="Missing discount imputed as 0",IF(AND(COUNT($O522,$P522,$R522,$S522)=4,$O522&gt;0,$P522&gt;=0,$R522&gt;=0,$S522&gt;=0),0,""),IF(AND(ISNUMBER($Q522),$Q522&gt;=0,$Q522&lt;=0.5),$Q522,"")))</x:f>
        <x:v>0.05</x:v>
      </x:c>
      <x:c r="AQ522" s="152" t="n">
        <x:f>IF(OR($W522="",NOT(ISNUMBER($R522))),"",ROUND($R522-$W522,2))</x:f>
        <x:v>0</x:v>
      </x:c>
      <x:c r="AR522" s="152" t="n">
        <x:f>IF(OR($X522="",NOT(ISNUMBER($T522))),"",ROUND($T522-$X522,2))</x:f>
        <x:v>0</x:v>
      </x:c>
      <x:c r="AS522" s="14" t="str">
        <x:v>OK</x:v>
      </x:c>
    </x:row>
    <x:row r="523">
      <x:c r="A523" s="80" t="n">
        <x:v>523</x:v>
      </x:c>
      <x:c r="B523" s="80" t="str">
        <x:v>ORD-2025-10522</x:v>
      </x:c>
      <x:c r="C523" s="81" t="n">
        <x:v>45741</x:v>
      </x:c>
      <x:c r="D523" s="81" t="n">
        <x:v>45748</x:v>
      </x:c>
      <x:c r="E523" s="80" t="str">
        <x:v>CUST-8012</x:v>
      </x:c>
      <x:c r="F523" s="80" t="str">
        <x:v>Diya Patel</x:v>
      </x:c>
      <x:c r="G523" s="80" t="str">
        <x:v>Consumer</x:v>
      </x:c>
      <x:c r="H523" s="80" t="str">
        <x:v>North</x:v>
      </x:c>
      <x:c r="I523" s="80" t="str">
        <x:v>Punjab</x:v>
      </x:c>
      <x:c r="J523" s="80" t="str">
        <x:v>Ludhiana</x:v>
      </x:c>
      <x:c r="K523" s="80" t="str">
        <x:v>Office Supplies</x:v>
      </x:c>
      <x:c r="L523" s="80" t="str">
        <x:v>Labels</x:v>
      </x:c>
      <x:c r="M523" s="80" t="str">
        <x:v>Classic Labels 776</x:v>
      </x:c>
      <x:c r="N523" s="80" t="str">
        <x:v>Second Class</x:v>
      </x:c>
      <x:c r="O523" s="82" t="n">
        <x:v>6</x:v>
      </x:c>
      <x:c r="P523" s="83" t="n">
        <x:v>2192.11</x:v>
      </x:c>
      <x:c r="Q523" s="84" t="n">
        <x:v>0.05</x:v>
      </x:c>
      <x:c r="R523" s="83" t="n">
        <x:v>12495.03</x:v>
      </x:c>
      <x:c r="S523" s="83" t="n">
        <x:v>9184.52</x:v>
      </x:c>
      <x:c r="T523" s="83" t="n">
        <x:v>3310.51</x:v>
      </x:c>
      <x:c r="U523" s="83" t="str">
        <x:v>Paid</x:v>
      </x:c>
      <x:c r="V523" s="83" t="str">
        <x:v>Completed</x:v>
      </x:c>
      <x:c r="W523" s="151" t="n">
        <x:f>IF(OR(NOT(ISNUMBER($AP523)),COUNT($O523,$P523)&lt;2,$O523&lt;=0,$P523&lt;0),"",ROUND($O523*$P523*(1-$AP523),2))</x:f>
        <x:v>12495.03</x:v>
      </x:c>
      <x:c r="X523" s="151" t="n">
        <x:f>IF(OR(NOT(ISNUMBER($W523)),NOT(ISNUMBER($S523))),"",ROUND($W523-$S523,2))</x:f>
        <x:v>3310.51</x:v>
      </x:c>
      <x:c r="Y523" s="85" t="n">
        <x:f>IF(OR(NOT(ISNUMBER($W523)),NOT(ISNUMBER($X523)),$W523=0),"",ROUND($X523/$W523,4))</x:f>
        <x:v>0.2649</x:v>
      </x:c>
      <x:c r="Z523" s="82" t="n">
        <x:f>IF(OR($AH523&lt;&gt;"Valid",$AI523&lt;&gt;"Valid"),"",INT($D523-$C523))</x:f>
        <x:v>7</x:v>
      </x:c>
      <x:c r="AA523" s="86" t="str">
        <x:f>IF($AH523&lt;&gt;"Valid","",TEXT($C523,"mmmm"))</x:f>
        <x:v>March</x:v>
      </x:c>
      <x:c r="AB523" s="82" t="n">
        <x:f>IF($AH523&lt;&gt;"Valid","",YEAR($C523))</x:f>
        <x:v>2025</x:v>
      </x:c>
      <x:c r="AC523" s="80" t="str">
        <x:v>Consistent</x:v>
      </x:c>
      <x:c r="AD523" s="80" t="str">
        <x:v>Eligible</x:v>
      </x:c>
      <x:c r="AE523" s="80" t="str">
        <x:f>IF(OR($AH523&lt;&gt;"Valid",$AI523&lt;&gt;"Valid",$AJ523&lt;&gt;"Valid",LEFT($AM523,7)="Invalid",IFERROR(ABS($AQ523)&gt;0.01,FALSE),IFERROR(ABS($AR523)&gt;0.01,FALSE),COUNTIF($AS523,"*Conflicting duplicate*")&gt;0,COUNTIF($AS523,"*Completed order not paid*")&gt;0),"Invalid",IF(OR($H523="Unknown",$N523="Unknown",$AM523="Missing discount imputed as 0"),"Warning","Clean"))</x:f>
        <x:v>Clean</x:v>
      </x:c>
      <x:c r="AF523" s="80" t="str">
        <x:v>Pass</x:v>
      </x:c>
      <x:c r="AG523" s="80" t="str">
        <x:v>No text cleanup required</x:v>
      </x:c>
      <x:c r="AH523" s="12" t="str">
        <x:f>IF(C523="","Missing date",IF(ISNUMBER(C523),"Valid","Unrecognized/invalid date"))</x:f>
        <x:v>Valid</x:v>
      </x:c>
      <x:c r="AI523" s="12" t="str">
        <x:f>IF(D523="","Missing date",IF(ISNUMBER(D523),"Valid","Unrecognized/invalid date"))</x:f>
        <x:v>Valid</x:v>
      </x:c>
      <x:c r="AJ523" s="12" t="str">
        <x:v>Valid</x:v>
      </x:c>
      <x:c r="AK523" s="12" t="str">
        <x:v>Pass</x:v>
      </x:c>
      <x:c r="AL523" s="12" t="str">
        <x:v>None</x:v>
      </x:c>
      <x:c r="AM523" s="12" t="str">
        <x:v>Valid</x:v>
      </x:c>
      <x:c r="AN523" s="12" t="str">
        <x:v>Include in completed sales</x:v>
      </x:c>
      <x:c r="AO523" s="12" t="str">
        <x:v>Not a refunded record</x:v>
      </x:c>
      <x:c r="AP523" s="37" t="n">
        <x:f>IF(LEFT($AM523,7)="Invalid","",IF($AM523="Missing discount imputed as 0",IF(AND(COUNT($O523,$P523,$R523,$S523)=4,$O523&gt;0,$P523&gt;=0,$R523&gt;=0,$S523&gt;=0),0,""),IF(AND(ISNUMBER($Q523),$Q523&gt;=0,$Q523&lt;=0.5),$Q523,"")))</x:f>
        <x:v>0.05</x:v>
      </x:c>
      <x:c r="AQ523" s="152" t="n">
        <x:f>IF(OR($W523="",NOT(ISNUMBER($R523))),"",ROUND($R523-$W523,2))</x:f>
        <x:v>0</x:v>
      </x:c>
      <x:c r="AR523" s="152" t="n">
        <x:f>IF(OR($X523="",NOT(ISNUMBER($T523))),"",ROUND($T523-$X523,2))</x:f>
        <x:v>0</x:v>
      </x:c>
      <x:c r="AS523" s="14" t="str">
        <x:v>OK</x:v>
      </x:c>
    </x:row>
    <x:row r="524">
      <x:c r="A524" s="80" t="n">
        <x:v>524</x:v>
      </x:c>
      <x:c r="B524" s="80" t="str">
        <x:v>ORD-2025-10523</x:v>
      </x:c>
      <x:c r="C524" s="81" t="n">
        <x:v>45716</x:v>
      </x:c>
      <x:c r="D524" s="81" t="n">
        <x:v>45724</x:v>
      </x:c>
      <x:c r="E524" s="80" t="str">
        <x:v>CUST-2917</x:v>
      </x:c>
      <x:c r="F524" s="80" t="str">
        <x:v>Neha Gupta</x:v>
      </x:c>
      <x:c r="G524" s="80" t="str">
        <x:v>Small Business</x:v>
      </x:c>
      <x:c r="H524" s="80" t="str">
        <x:v>East</x:v>
      </x:c>
      <x:c r="I524" s="80" t="str">
        <x:v>Jharkhand</x:v>
      </x:c>
      <x:c r="J524" s="80" t="str">
        <x:v>Ranchi</x:v>
      </x:c>
      <x:c r="K524" s="80" t="str">
        <x:v>Technology</x:v>
      </x:c>
      <x:c r="L524" s="80" t="str">
        <x:v>Phones</x:v>
      </x:c>
      <x:c r="M524" s="80" t="str">
        <x:v>Max Phones 612</x:v>
      </x:c>
      <x:c r="N524" s="80" t="str">
        <x:v>First Class</x:v>
      </x:c>
      <x:c r="O524" s="82" t="n">
        <x:v>9</x:v>
      </x:c>
      <x:c r="P524" s="83" t="n">
        <x:v>3670.54</x:v>
      </x:c>
      <x:c r="Q524" s="84" t="n">
        <x:v>0</x:v>
      </x:c>
      <x:c r="R524" s="83" t="n">
        <x:v>33034.86</x:v>
      </x:c>
      <x:c r="S524" s="83" t="n">
        <x:v>24539.83</x:v>
      </x:c>
      <x:c r="T524" s="83" t="n">
        <x:v>8495.03</x:v>
      </x:c>
      <x:c r="U524" s="83" t="str">
        <x:v>Paid</x:v>
      </x:c>
      <x:c r="V524" s="83" t="str">
        <x:v>Completed</x:v>
      </x:c>
      <x:c r="W524" s="151" t="n">
        <x:f>IF(OR(NOT(ISNUMBER($AP524)),COUNT($O524,$P524)&lt;2,$O524&lt;=0,$P524&lt;0),"",ROUND($O524*$P524*(1-$AP524),2))</x:f>
        <x:v>33034.86</x:v>
      </x:c>
      <x:c r="X524" s="151" t="n">
        <x:f>IF(OR(NOT(ISNUMBER($W524)),NOT(ISNUMBER($S524))),"",ROUND($W524-$S524,2))</x:f>
        <x:v>8495.03</x:v>
      </x:c>
      <x:c r="Y524" s="85" t="n">
        <x:f>IF(OR(NOT(ISNUMBER($W524)),NOT(ISNUMBER($X524)),$W524=0),"",ROUND($X524/$W524,4))</x:f>
        <x:v>0.2572</x:v>
      </x:c>
      <x:c r="Z524" s="82" t="n">
        <x:f>IF(OR($AH524&lt;&gt;"Valid",$AI524&lt;&gt;"Valid"),"",INT($D524-$C524))</x:f>
        <x:v>8</x:v>
      </x:c>
      <x:c r="AA524" s="86" t="str">
        <x:f>IF($AH524&lt;&gt;"Valid","",TEXT($C524,"mmmm"))</x:f>
        <x:v>February</x:v>
      </x:c>
      <x:c r="AB524" s="82" t="n">
        <x:f>IF($AH524&lt;&gt;"Valid","",YEAR($C524))</x:f>
        <x:v>2025</x:v>
      </x:c>
      <x:c r="AC524" s="80" t="str">
        <x:v>Consistent</x:v>
      </x:c>
      <x:c r="AD524" s="80" t="str">
        <x:v>Eligible</x:v>
      </x:c>
      <x:c r="AE524" s="80" t="str">
        <x:f>IF(OR($AH524&lt;&gt;"Valid",$AI524&lt;&gt;"Valid",$AJ524&lt;&gt;"Valid",LEFT($AM524,7)="Invalid",IFERROR(ABS($AQ524)&gt;0.01,FALSE),IFERROR(ABS($AR524)&gt;0.01,FALSE),COUNTIF($AS524,"*Conflicting duplicate*")&gt;0,COUNTIF($AS524,"*Completed order not paid*")&gt;0),"Invalid",IF(OR($H524="Unknown",$N524="Unknown",$AM524="Missing discount imputed as 0"),"Warning","Clean"))</x:f>
        <x:v>Clean</x:v>
      </x:c>
      <x:c r="AF524" s="80" t="str">
        <x:v>Pass</x:v>
      </x:c>
      <x:c r="AG524" s="80" t="str">
        <x:v>No text cleanup required</x:v>
      </x:c>
      <x:c r="AH524" s="12" t="str">
        <x:f>IF(C524="","Missing date",IF(ISNUMBER(C524),"Valid","Unrecognized/invalid date"))</x:f>
        <x:v>Valid</x:v>
      </x:c>
      <x:c r="AI524" s="12" t="str">
        <x:f>IF(D524="","Missing date",IF(ISNUMBER(D524),"Valid","Unrecognized/invalid date"))</x:f>
        <x:v>Valid</x:v>
      </x:c>
      <x:c r="AJ524" s="12" t="str">
        <x:v>Valid</x:v>
      </x:c>
      <x:c r="AK524" s="12" t="str">
        <x:v>Pass</x:v>
      </x:c>
      <x:c r="AL524" s="12" t="str">
        <x:v>None</x:v>
      </x:c>
      <x:c r="AM524" s="12" t="str">
        <x:v>Valid</x:v>
      </x:c>
      <x:c r="AN524" s="12" t="str">
        <x:v>Include in completed sales</x:v>
      </x:c>
      <x:c r="AO524" s="12" t="str">
        <x:v>Not a refunded record</x:v>
      </x:c>
      <x:c r="AP524" s="37" t="n">
        <x:f>IF(LEFT($AM524,7)="Invalid","",IF($AM524="Missing discount imputed as 0",IF(AND(COUNT($O524,$P524,$R524,$S524)=4,$O524&gt;0,$P524&gt;=0,$R524&gt;=0,$S524&gt;=0),0,""),IF(AND(ISNUMBER($Q524),$Q524&gt;=0,$Q524&lt;=0.5),$Q524,"")))</x:f>
        <x:v>0</x:v>
      </x:c>
      <x:c r="AQ524" s="152" t="n">
        <x:f>IF(OR($W524="",NOT(ISNUMBER($R524))),"",ROUND($R524-$W524,2))</x:f>
        <x:v>0</x:v>
      </x:c>
      <x:c r="AR524" s="152" t="n">
        <x:f>IF(OR($X524="",NOT(ISNUMBER($T524))),"",ROUND($T524-$X524,2))</x:f>
        <x:v>0</x:v>
      </x:c>
      <x:c r="AS524" s="14" t="str">
        <x:v>OK</x:v>
      </x:c>
    </x:row>
    <x:row r="525">
      <x:c r="A525" s="80" t="n">
        <x:v>525</x:v>
      </x:c>
      <x:c r="B525" s="80" t="str">
        <x:v>ORD-2024-10524</x:v>
      </x:c>
      <x:c r="C525" s="81" t="n">
        <x:v>45384</x:v>
      </x:c>
      <x:c r="D525" s="81" t="n">
        <x:v>45385</x:v>
      </x:c>
      <x:c r="E525" s="80" t="str">
        <x:v>CUST-4653</x:v>
      </x:c>
      <x:c r="F525" s="80" t="str">
        <x:v>Kabir Singh</x:v>
      </x:c>
      <x:c r="G525" s="80" t="str">
        <x:v>Home Office</x:v>
      </x:c>
      <x:c r="H525" s="80" t="str">
        <x:v>West</x:v>
      </x:c>
      <x:c r="I525" s="80" t="str">
        <x:v>Goa</x:v>
      </x:c>
      <x:c r="J525" s="80" t="str">
        <x:v>Panaji</x:v>
      </x:c>
      <x:c r="K525" s="80" t="str">
        <x:v>Office Supplies</x:v>
      </x:c>
      <x:c r="L525" s="80" t="str">
        <x:v>Paper</x:v>
      </x:c>
      <x:c r="M525" s="80" t="str">
        <x:v>Basic Paper 315</x:v>
      </x:c>
      <x:c r="N525" s="80" t="str">
        <x:v>Second Class</x:v>
      </x:c>
      <x:c r="O525" s="82" t="n">
        <x:v>2</x:v>
      </x:c>
      <x:c r="P525" s="83" t="n">
        <x:v>2902.63</x:v>
      </x:c>
      <x:c r="Q525" s="84" t="n">
        <x:v>0</x:v>
      </x:c>
      <x:c r="R525" s="83" t="n">
        <x:v>5805.26</x:v>
      </x:c>
      <x:c r="S525" s="83" t="n">
        <x:v>4654.36</x:v>
      </x:c>
      <x:c r="T525" s="83" t="n">
        <x:v>1150.9</x:v>
      </x:c>
      <x:c r="U525" s="83" t="str">
        <x:v>Paid</x:v>
      </x:c>
      <x:c r="V525" s="83" t="str">
        <x:v>Returned</x:v>
      </x:c>
      <x:c r="W525" s="151" t="n">
        <x:f>IF(OR(NOT(ISNUMBER($AP525)),COUNT($O525,$P525)&lt;2,$O525&lt;=0,$P525&lt;0),"",ROUND($O525*$P525*(1-$AP525),2))</x:f>
        <x:v>5805.26</x:v>
      </x:c>
      <x:c r="X525" s="151" t="n">
        <x:f>IF(OR(NOT(ISNUMBER($W525)),NOT(ISNUMBER($S525))),"",ROUND($W525-$S525,2))</x:f>
        <x:v>1150.9</x:v>
      </x:c>
      <x:c r="Y525" s="85" t="n">
        <x:f>IF(OR(NOT(ISNUMBER($W525)),NOT(ISNUMBER($X525)),$W525=0),"",ROUND($X525/$W525,4))</x:f>
        <x:v>0.1983</x:v>
      </x:c>
      <x:c r="Z525" s="82" t="n">
        <x:f>IF(OR($AH525&lt;&gt;"Valid",$AI525&lt;&gt;"Valid"),"",INT($D525-$C525))</x:f>
        <x:v>1</x:v>
      </x:c>
      <x:c r="AA525" s="86" t="str">
        <x:f>IF($AH525&lt;&gt;"Valid","",TEXT($C525,"mmmm"))</x:f>
        <x:v>April</x:v>
      </x:c>
      <x:c r="AB525" s="82" t="n">
        <x:f>IF($AH525&lt;&gt;"Valid","",YEAR($C525))</x:f>
        <x:v>2024</x:v>
      </x:c>
      <x:c r="AC525" s="80" t="str">
        <x:v>Consistent</x:v>
      </x:c>
      <x:c r="AD525" s="80" t="str">
        <x:v>Excluded</x:v>
      </x:c>
      <x:c r="AE525" s="80" t="str">
        <x:f>IF(OR($AH525&lt;&gt;"Valid",$AI525&lt;&gt;"Valid",$AJ525&lt;&gt;"Valid",LEFT($AM525,7)="Invalid",IFERROR(ABS($AQ525)&gt;0.01,FALSE),IFERROR(ABS($AR525)&gt;0.01,FALSE),COUNTIF($AS525,"*Conflicting duplicate*")&gt;0,COUNTIF($AS525,"*Completed order not paid*")&gt;0),"Invalid",IF(OR($H525="Unknown",$N525="Unknown",$AM525="Missing discount imputed as 0"),"Warning","Clean"))</x:f>
        <x:v>Clean</x:v>
      </x:c>
      <x:c r="AF525" s="80" t="str">
        <x:v>Pass</x:v>
      </x:c>
      <x:c r="AG525" s="80" t="str">
        <x:v>No text cleanup required</x:v>
      </x:c>
      <x:c r="AH525" s="12" t="str">
        <x:f>IF(C525="","Missing date",IF(ISNUMBER(C525),"Valid","Unrecognized/invalid date"))</x:f>
        <x:v>Valid</x:v>
      </x:c>
      <x:c r="AI525" s="12" t="str">
        <x:f>IF(D525="","Missing date",IF(ISNUMBER(D525),"Valid","Unrecognized/invalid date"))</x:f>
        <x:v>Valid</x:v>
      </x:c>
      <x:c r="AJ525" s="12" t="str">
        <x:v>Valid</x:v>
      </x:c>
      <x:c r="AK525" s="12" t="str">
        <x:v>Pass</x:v>
      </x:c>
      <x:c r="AL525" s="12" t="str">
        <x:v>None</x:v>
      </x:c>
      <x:c r="AM525" s="12" t="str">
        <x:v>Valid</x:v>
      </x:c>
      <x:c r="AN525" s="12" t="str">
        <x:v>Exclude from completed sales</x:v>
      </x:c>
      <x:c r="AO525" s="12" t="str">
        <x:v>Not a refunded record</x:v>
      </x:c>
      <x:c r="AP525" s="37" t="n">
        <x:f>IF(LEFT($AM525,7)="Invalid","",IF($AM525="Missing discount imputed as 0",IF(AND(COUNT($O525,$P525,$R525,$S525)=4,$O525&gt;0,$P525&gt;=0,$R525&gt;=0,$S525&gt;=0),0,""),IF(AND(ISNUMBER($Q525),$Q525&gt;=0,$Q525&lt;=0.5),$Q525,"")))</x:f>
        <x:v>0</x:v>
      </x:c>
      <x:c r="AQ525" s="152" t="n">
        <x:f>IF(OR($W525="",NOT(ISNUMBER($R525))),"",ROUND($R525-$W525,2))</x:f>
        <x:v>0</x:v>
      </x:c>
      <x:c r="AR525" s="152" t="n">
        <x:f>IF(OR($X525="",NOT(ISNUMBER($T525))),"",ROUND($T525-$X525,2))</x:f>
        <x:v>0</x:v>
      </x:c>
      <x:c r="AS525" s="14" t="str">
        <x:v>OK</x:v>
      </x:c>
    </x:row>
    <x:row r="526">
      <x:c r="A526" s="80" t="n">
        <x:v>526</x:v>
      </x:c>
      <x:c r="B526" s="80" t="str">
        <x:v>ORD-2024-10525</x:v>
      </x:c>
      <x:c r="C526" s="81" t="n">
        <x:v>45626</x:v>
      </x:c>
      <x:c r="D526" s="81" t="n">
        <x:v>45627</x:v>
      </x:c>
      <x:c r="E526" s="80" t="str">
        <x:v>CUST-3311</x:v>
      </x:c>
      <x:c r="F526" s="80" t="str">
        <x:v>Ananya Rao</x:v>
      </x:c>
      <x:c r="G526" s="80" t="str">
        <x:v>Corporate</x:v>
      </x:c>
      <x:c r="H526" s="80" t="str">
        <x:v>West</x:v>
      </x:c>
      <x:c r="I526" s="80" t="str">
        <x:v>Gujarat</x:v>
      </x:c>
      <x:c r="J526" s="80" t="str">
        <x:v>Ahmedabad</x:v>
      </x:c>
      <x:c r="K526" s="80" t="str">
        <x:v>Furniture</x:v>
      </x:c>
      <x:c r="L526" s="80" t="str">
        <x:v>Chairs</x:v>
      </x:c>
      <x:c r="M526" s="80" t="str">
        <x:v>Basic Chairs 333</x:v>
      </x:c>
      <x:c r="N526" s="80" t="str">
        <x:v>First Class</x:v>
      </x:c>
      <x:c r="O526" s="82" t="n">
        <x:v>9</x:v>
      </x:c>
      <x:c r="P526" s="83" t="n">
        <x:v>4207.36</x:v>
      </x:c>
      <x:c r="Q526" s="84" t="n">
        <x:v>0.1</x:v>
      </x:c>
      <x:c r="R526" s="83" t="n">
        <x:v>34079.62</x:v>
      </x:c>
      <x:c r="S526" s="83" t="n">
        <x:v>21871.39</x:v>
      </x:c>
      <x:c r="T526" s="83" t="n">
        <x:v>12208.23</x:v>
      </x:c>
      <x:c r="U526" s="83" t="str">
        <x:v>Paid</x:v>
      </x:c>
      <x:c r="V526" s="83" t="str">
        <x:v>Completed</x:v>
      </x:c>
      <x:c r="W526" s="151" t="n">
        <x:f>IF(OR(NOT(ISNUMBER($AP526)),COUNT($O526,$P526)&lt;2,$O526&lt;=0,$P526&lt;0),"",ROUND($O526*$P526*(1-$AP526),2))</x:f>
        <x:v>34079.62</x:v>
      </x:c>
      <x:c r="X526" s="151" t="n">
        <x:f>IF(OR(NOT(ISNUMBER($W526)),NOT(ISNUMBER($S526))),"",ROUND($W526-$S526,2))</x:f>
        <x:v>12208.23</x:v>
      </x:c>
      <x:c r="Y526" s="85" t="n">
        <x:f>IF(OR(NOT(ISNUMBER($W526)),NOT(ISNUMBER($X526)),$W526=0),"",ROUND($X526/$W526,4))</x:f>
        <x:v>0.3582</x:v>
      </x:c>
      <x:c r="Z526" s="82" t="n">
        <x:f>IF(OR($AH526&lt;&gt;"Valid",$AI526&lt;&gt;"Valid"),"",INT($D526-$C526))</x:f>
        <x:v>1</x:v>
      </x:c>
      <x:c r="AA526" s="86" t="str">
        <x:f>IF($AH526&lt;&gt;"Valid","",TEXT($C526,"mmmm"))</x:f>
        <x:v>November</x:v>
      </x:c>
      <x:c r="AB526" s="82" t="n">
        <x:f>IF($AH526&lt;&gt;"Valid","",YEAR($C526))</x:f>
        <x:v>2024</x:v>
      </x:c>
      <x:c r="AC526" s="80" t="str">
        <x:v>Consistent</x:v>
      </x:c>
      <x:c r="AD526" s="80" t="str">
        <x:v>Eligible</x:v>
      </x:c>
      <x:c r="AE526" s="80" t="str">
        <x:f>IF(OR($AH526&lt;&gt;"Valid",$AI526&lt;&gt;"Valid",$AJ526&lt;&gt;"Valid",LEFT($AM526,7)="Invalid",IFERROR(ABS($AQ526)&gt;0.01,FALSE),IFERROR(ABS($AR526)&gt;0.01,FALSE),COUNTIF($AS526,"*Conflicting duplicate*")&gt;0,COUNTIF($AS526,"*Completed order not paid*")&gt;0),"Invalid",IF(OR($H526="Unknown",$N526="Unknown",$AM526="Missing discount imputed as 0"),"Warning","Clean"))</x:f>
        <x:v>Clean</x:v>
      </x:c>
      <x:c r="AF526" s="80" t="str">
        <x:v>Pass</x:v>
      </x:c>
      <x:c r="AG526" s="80" t="str">
        <x:v>No text cleanup required</x:v>
      </x:c>
      <x:c r="AH526" s="12" t="str">
        <x:f>IF(C526="","Missing date",IF(ISNUMBER(C526),"Valid","Unrecognized/invalid date"))</x:f>
        <x:v>Valid</x:v>
      </x:c>
      <x:c r="AI526" s="12" t="str">
        <x:f>IF(D526="","Missing date",IF(ISNUMBER(D526),"Valid","Unrecognized/invalid date"))</x:f>
        <x:v>Valid</x:v>
      </x:c>
      <x:c r="AJ526" s="12" t="str">
        <x:v>Valid</x:v>
      </x:c>
      <x:c r="AK526" s="12" t="str">
        <x:v>Pass</x:v>
      </x:c>
      <x:c r="AL526" s="12" t="str">
        <x:v>None</x:v>
      </x:c>
      <x:c r="AM526" s="12" t="str">
        <x:v>Valid</x:v>
      </x:c>
      <x:c r="AN526" s="12" t="str">
        <x:v>Include in completed sales</x:v>
      </x:c>
      <x:c r="AO526" s="12" t="str">
        <x:v>Not a refunded record</x:v>
      </x:c>
      <x:c r="AP526" s="37" t="n">
        <x:f>IF(LEFT($AM526,7)="Invalid","",IF($AM526="Missing discount imputed as 0",IF(AND(COUNT($O526,$P526,$R526,$S526)=4,$O526&gt;0,$P526&gt;=0,$R526&gt;=0,$S526&gt;=0),0,""),IF(AND(ISNUMBER($Q526),$Q526&gt;=0,$Q526&lt;=0.5),$Q526,"")))</x:f>
        <x:v>0.1</x:v>
      </x:c>
      <x:c r="AQ526" s="152" t="n">
        <x:f>IF(OR($W526="",NOT(ISNUMBER($R526))),"",ROUND($R526-$W526,2))</x:f>
        <x:v>0</x:v>
      </x:c>
      <x:c r="AR526" s="152" t="n">
        <x:f>IF(OR($X526="",NOT(ISNUMBER($T526))),"",ROUND($T526-$X526,2))</x:f>
        <x:v>0</x:v>
      </x:c>
      <x:c r="AS526" s="14" t="str">
        <x:v>OK</x:v>
      </x:c>
    </x:row>
    <x:row r="527">
      <x:c r="A527" s="80" t="n">
        <x:v>527</x:v>
      </x:c>
      <x:c r="B527" s="80" t="str">
        <x:v>ORD-2024-10526</x:v>
      </x:c>
      <x:c r="C527" s="81" t="n">
        <x:v>45582</x:v>
      </x:c>
      <x:c r="D527" s="81" t="n">
        <x:v>45582</x:v>
      </x:c>
      <x:c r="E527" s="80" t="str">
        <x:v>CUST-2924</x:v>
      </x:c>
      <x:c r="F527" s="80" t="str">
        <x:v>Priya Menon</x:v>
      </x:c>
      <x:c r="G527" s="80" t="str">
        <x:v>Home Office</x:v>
      </x:c>
      <x:c r="H527" s="80" t="str">
        <x:v>East</x:v>
      </x:c>
      <x:c r="I527" s="80" t="str">
        <x:v>West Bengal</x:v>
      </x:c>
      <x:c r="J527" s="80" t="str">
        <x:v>Kolkata</x:v>
      </x:c>
      <x:c r="K527" s="80" t="str">
        <x:v>Furniture</x:v>
      </x:c>
      <x:c r="L527" s="80" t="str">
        <x:v>Chairs</x:v>
      </x:c>
      <x:c r="M527" s="80" t="str">
        <x:v>Prime Chairs 215</x:v>
      </x:c>
      <x:c r="N527" s="80" t="str">
        <x:v>Standard Class</x:v>
      </x:c>
      <x:c r="O527" s="82" t="n">
        <x:v>5</x:v>
      </x:c>
      <x:c r="P527" s="83" t="n">
        <x:v>2524.4</x:v>
      </x:c>
      <x:c r="Q527" s="84" t="n">
        <x:v>0.1</x:v>
      </x:c>
      <x:c r="R527" s="83" t="n">
        <x:v>11359.8</x:v>
      </x:c>
      <x:c r="S527" s="83" t="n">
        <x:v>7062.44</x:v>
      </x:c>
      <x:c r="T527" s="83" t="n">
        <x:v>4297.36</x:v>
      </x:c>
      <x:c r="U527" s="83" t="str">
        <x:v>Paid</x:v>
      </x:c>
      <x:c r="V527" s="83" t="str">
        <x:v>Completed</x:v>
      </x:c>
      <x:c r="W527" s="151" t="n">
        <x:f>IF(OR(NOT(ISNUMBER($AP527)),COUNT($O527,$P527)&lt;2,$O527&lt;=0,$P527&lt;0),"",ROUND($O527*$P527*(1-$AP527),2))</x:f>
        <x:v>11359.8</x:v>
      </x:c>
      <x:c r="X527" s="151" t="n">
        <x:f>IF(OR(NOT(ISNUMBER($W527)),NOT(ISNUMBER($S527))),"",ROUND($W527-$S527,2))</x:f>
        <x:v>4297.36</x:v>
      </x:c>
      <x:c r="Y527" s="85" t="n">
        <x:f>IF(OR(NOT(ISNUMBER($W527)),NOT(ISNUMBER($X527)),$W527=0),"",ROUND($X527/$W527,4))</x:f>
        <x:v>0.3783</x:v>
      </x:c>
      <x:c r="Z527" s="82" t="n">
        <x:f>IF(OR($AH527&lt;&gt;"Valid",$AI527&lt;&gt;"Valid"),"",INT($D527-$C527))</x:f>
        <x:v>0</x:v>
      </x:c>
      <x:c r="AA527" s="86" t="str">
        <x:f>IF($AH527&lt;&gt;"Valid","",TEXT($C527,"mmmm"))</x:f>
        <x:v>October</x:v>
      </x:c>
      <x:c r="AB527" s="82" t="n">
        <x:f>IF($AH527&lt;&gt;"Valid","",YEAR($C527))</x:f>
        <x:v>2024</x:v>
      </x:c>
      <x:c r="AC527" s="80" t="str">
        <x:v>Consistent</x:v>
      </x:c>
      <x:c r="AD527" s="80" t="str">
        <x:v>Eligible</x:v>
      </x:c>
      <x:c r="AE527" s="80" t="str">
        <x:f>IF(OR($AH527&lt;&gt;"Valid",$AI527&lt;&gt;"Valid",$AJ527&lt;&gt;"Valid",LEFT($AM527,7)="Invalid",IFERROR(ABS($AQ527)&gt;0.01,FALSE),IFERROR(ABS($AR527)&gt;0.01,FALSE),COUNTIF($AS527,"*Conflicting duplicate*")&gt;0,COUNTIF($AS527,"*Completed order not paid*")&gt;0),"Invalid",IF(OR($H527="Unknown",$N527="Unknown",$AM527="Missing discount imputed as 0"),"Warning","Clean"))</x:f>
        <x:v>Clean</x:v>
      </x:c>
      <x:c r="AF527" s="80" t="str">
        <x:v>Pass</x:v>
      </x:c>
      <x:c r="AG527" s="80" t="str">
        <x:v>No text cleanup required</x:v>
      </x:c>
      <x:c r="AH527" s="12" t="str">
        <x:f>IF(C527="","Missing date",IF(ISNUMBER(C527),"Valid","Unrecognized/invalid date"))</x:f>
        <x:v>Valid</x:v>
      </x:c>
      <x:c r="AI527" s="12" t="str">
        <x:f>IF(D527="","Missing date",IF(ISNUMBER(D527),"Valid","Unrecognized/invalid date"))</x:f>
        <x:v>Valid</x:v>
      </x:c>
      <x:c r="AJ527" s="12" t="str">
        <x:v>Valid</x:v>
      </x:c>
      <x:c r="AK527" s="12" t="str">
        <x:v>Pass</x:v>
      </x:c>
      <x:c r="AL527" s="12" t="str">
        <x:v>None</x:v>
      </x:c>
      <x:c r="AM527" s="12" t="str">
        <x:v>Valid</x:v>
      </x:c>
      <x:c r="AN527" s="12" t="str">
        <x:v>Include in completed sales</x:v>
      </x:c>
      <x:c r="AO527" s="12" t="str">
        <x:v>Not a refunded record</x:v>
      </x:c>
      <x:c r="AP527" s="37" t="n">
        <x:f>IF(LEFT($AM527,7)="Invalid","",IF($AM527="Missing discount imputed as 0",IF(AND(COUNT($O527,$P527,$R527,$S527)=4,$O527&gt;0,$P527&gt;=0,$R527&gt;=0,$S527&gt;=0),0,""),IF(AND(ISNUMBER($Q527),$Q527&gt;=0,$Q527&lt;=0.5),$Q527,"")))</x:f>
        <x:v>0.1</x:v>
      </x:c>
      <x:c r="AQ527" s="152" t="n">
        <x:f>IF(OR($W527="",NOT(ISNUMBER($R527))),"",ROUND($R527-$W527,2))</x:f>
        <x:v>0</x:v>
      </x:c>
      <x:c r="AR527" s="152" t="n">
        <x:f>IF(OR($X527="",NOT(ISNUMBER($T527))),"",ROUND($T527-$X527,2))</x:f>
        <x:v>0</x:v>
      </x:c>
      <x:c r="AS527" s="14" t="str">
        <x:v>OK</x:v>
      </x:c>
    </x:row>
    <x:row r="528">
      <x:c r="A528" s="80" t="n">
        <x:v>528</x:v>
      </x:c>
      <x:c r="B528" s="80" t="str">
        <x:v>ORD-2025-10527</x:v>
      </x:c>
      <x:c r="C528" s="81" t="n">
        <x:v>45856</x:v>
      </x:c>
      <x:c r="D528" s="81" t="n">
        <x:v>45859</x:v>
      </x:c>
      <x:c r="E528" s="80" t="str">
        <x:v>CUST-7198</x:v>
      </x:c>
      <x:c r="F528" s="80" t="str">
        <x:v>Priya Menon</x:v>
      </x:c>
      <x:c r="G528" s="80" t="str">
        <x:v>Consumer</x:v>
      </x:c>
      <x:c r="H528" s="80" t="str">
        <x:v>East</x:v>
      </x:c>
      <x:c r="I528" s="80" t="str">
        <x:v>Odisha</x:v>
      </x:c>
      <x:c r="J528" s="80" t="str">
        <x:v>Bhubaneswar</x:v>
      </x:c>
      <x:c r="K528" s="80" t="str">
        <x:v>Furniture</x:v>
      </x:c>
      <x:c r="L528" s="80" t="str">
        <x:v>Tables</x:v>
      </x:c>
      <x:c r="M528" s="80" t="str">
        <x:v>Elite Tables 815</x:v>
      </x:c>
      <x:c r="N528" s="80" t="str">
        <x:v>Second Class</x:v>
      </x:c>
      <x:c r="O528" s="82" t="n">
        <x:v>4</x:v>
      </x:c>
      <x:c r="P528" s="83" t="n">
        <x:v>284.04</x:v>
      </x:c>
      <x:c r="Q528" s="84" t="n">
        <x:v>0</x:v>
      </x:c>
      <x:c r="R528" s="83" t="n">
        <x:v>908.93</x:v>
      </x:c>
      <x:c r="S528" s="83" t="n">
        <x:v>572.08</x:v>
      </x:c>
      <x:c r="T528" s="83" t="n">
        <x:v>336.85</x:v>
      </x:c>
      <x:c r="U528" s="83" t="str">
        <x:v>Paid</x:v>
      </x:c>
      <x:c r="V528" s="83" t="str">
        <x:v>Completed</x:v>
      </x:c>
      <x:c r="W528" s="151" t="n">
        <x:f>IF(OR(NOT(ISNUMBER($AP528)),COUNT($O528,$P528)&lt;2,$O528&lt;=0,$P528&lt;0),"",ROUND($O528*$P528*(1-$AP528),2))</x:f>
        <x:v>1136.16</x:v>
      </x:c>
      <x:c r="X528" s="151" t="n">
        <x:f>IF(OR(NOT(ISNUMBER($W528)),NOT(ISNUMBER($S528))),"",ROUND($W528-$S528,2))</x:f>
        <x:v>564.08</x:v>
      </x:c>
      <x:c r="Y528" s="85" t="n">
        <x:f>IF(OR(NOT(ISNUMBER($W528)),NOT(ISNUMBER($X528)),$W528=0),"",ROUND($X528/$W528,4))</x:f>
        <x:v>0.4965</x:v>
      </x:c>
      <x:c r="Z528" s="82" t="n">
        <x:f>IF(OR($AH528&lt;&gt;"Valid",$AI528&lt;&gt;"Valid"),"",INT($D528-$C528))</x:f>
        <x:v>3</x:v>
      </x:c>
      <x:c r="AA528" s="86" t="str">
        <x:f>IF($AH528&lt;&gt;"Valid","",TEXT($C528,"mmmm"))</x:f>
        <x:v>July</x:v>
      </x:c>
      <x:c r="AB528" s="82" t="n">
        <x:f>IF($AH528&lt;&gt;"Valid","",YEAR($C528))</x:f>
        <x:v>2025</x:v>
      </x:c>
      <x:c r="AC528" s="80" t="str">
        <x:v>Consistent</x:v>
      </x:c>
      <x:c r="AD528" s="80" t="str">
        <x:v>Excluded</x:v>
      </x:c>
      <x:c r="AE528" s="80" t="str">
        <x:f>IF(OR($AH528&lt;&gt;"Valid",$AI528&lt;&gt;"Valid",$AJ528&lt;&gt;"Valid",LEFT($AM528,7)="Invalid",IFERROR(ABS($AQ528)&gt;0.01,FALSE),IFERROR(ABS($AR528)&gt;0.01,FALSE),COUNTIF($AS528,"*Conflicting duplicate*")&gt;0,COUNTIF($AS528,"*Completed order not paid*")&gt;0),"Invalid",IF(OR($H528="Unknown",$N528="Unknown",$AM528="Missing discount imputed as 0"),"Warning","Clean"))</x:f>
        <x:v>Invalid</x:v>
      </x:c>
      <x:c r="AF528" s="80" t="str">
        <x:v>Review</x:v>
      </x:c>
      <x:c r="AG528" s="80" t="str">
        <x:v>discount: Imputed 0; discount: Missing value set to 0 after sales-field validation</x:v>
      </x:c>
      <x:c r="AH528" s="12" t="str">
        <x:f>IF(C528="","Missing date",IF(ISNUMBER(C528),"Valid","Unrecognized/invalid date"))</x:f>
        <x:v>Valid</x:v>
      </x:c>
      <x:c r="AI528" s="12" t="str">
        <x:f>IF(D528="","Missing date",IF(ISNUMBER(D528),"Valid","Unrecognized/invalid date"))</x:f>
        <x:v>Valid</x:v>
      </x:c>
      <x:c r="AJ528" s="12" t="str">
        <x:v>Valid</x:v>
      </x:c>
      <x:c r="AK528" s="12" t="str">
        <x:v>Pass</x:v>
      </x:c>
      <x:c r="AL528" s="12" t="str">
        <x:v>Missing discount imputed as 0</x:v>
      </x:c>
      <x:c r="AM528" s="12" t="str">
        <x:v>Missing discount imputed as 0</x:v>
      </x:c>
      <x:c r="AN528" s="12" t="str">
        <x:v>Exclude from completed sales</x:v>
      </x:c>
      <x:c r="AO528" s="12" t="str">
        <x:v>Not a refunded record</x:v>
      </x:c>
      <x:c r="AP528" s="37" t="n">
        <x:f>IF(LEFT($AM528,7)="Invalid","",IF($AM528="Missing discount imputed as 0",IF(AND(COUNT($O528,$P528,$R528,$S528)=4,$O528&gt;0,$P528&gt;=0,$R528&gt;=0,$S528&gt;=0),0,""),IF(AND(ISNUMBER($Q528),$Q528&gt;=0,$Q528&lt;=0.5),$Q528,"")))</x:f>
        <x:v>0</x:v>
      </x:c>
      <x:c r="AQ528" s="152" t="n">
        <x:f>IF(OR($W528="",NOT(ISNUMBER($R528))),"",ROUND($R528-$W528,2))</x:f>
        <x:v>-227.23</x:v>
      </x:c>
      <x:c r="AR528" s="152" t="n">
        <x:f>IF(OR($X528="",NOT(ISNUMBER($T528))),"",ROUND($T528-$X528,2))</x:f>
        <x:v>-227.23</x:v>
      </x:c>
      <x:c r="AS528" s="14" t="str">
        <x:v>Sales calculation mismatch</x:v>
      </x:c>
    </x:row>
    <x:row r="529">
      <x:c r="A529" s="80" t="n">
        <x:v>529</x:v>
      </x:c>
      <x:c r="B529" s="80" t="str">
        <x:v>ORD-2025-10528</x:v>
      </x:c>
      <x:c r="C529" s="81" t="n">
        <x:v>45931</x:v>
      </x:c>
      <x:c r="D529" s="81" t="n">
        <x:v>45935</x:v>
      </x:c>
      <x:c r="E529" s="80" t="str">
        <x:v>CUST-3419</x:v>
      </x:c>
      <x:c r="F529" s="80" t="str">
        <x:v>Aditi Sen</x:v>
      </x:c>
      <x:c r="G529" s="80" t="str">
        <x:v>Home Office</x:v>
      </x:c>
      <x:c r="H529" s="80" t="str">
        <x:v>North</x:v>
      </x:c>
      <x:c r="I529" s="80" t="str">
        <x:v>Haryana</x:v>
      </x:c>
      <x:c r="J529" s="80" t="str">
        <x:v>Gurugram</x:v>
      </x:c>
      <x:c r="K529" s="80" t="str">
        <x:v>Office Supplies</x:v>
      </x:c>
      <x:c r="L529" s="80" t="str">
        <x:v>Paper</x:v>
      </x:c>
      <x:c r="M529" s="80" t="str">
        <x:v>Basic Paper 388</x:v>
      </x:c>
      <x:c r="N529" s="80" t="str">
        <x:v>First Class</x:v>
      </x:c>
      <x:c r="O529" s="82" t="n">
        <x:v>5</x:v>
      </x:c>
      <x:c r="P529" s="83" t="n">
        <x:v>3247.56</x:v>
      </x:c>
      <x:c r="Q529" s="84" t="n">
        <x:v>0.15</x:v>
      </x:c>
      <x:c r="R529" s="83" t="n">
        <x:v>13802.13</x:v>
      </x:c>
      <x:c r="S529" s="83" t="n">
        <x:v>10075.93</x:v>
      </x:c>
      <x:c r="T529" s="83" t="n">
        <x:v>3726.2</x:v>
      </x:c>
      <x:c r="U529" s="83" t="str">
        <x:v>Paid</x:v>
      </x:c>
      <x:c r="V529" s="83" t="str">
        <x:v>Completed</x:v>
      </x:c>
      <x:c r="W529" s="151" t="n">
        <x:f>IF(OR(NOT(ISNUMBER($AP529)),COUNT($O529,$P529)&lt;2,$O529&lt;=0,$P529&lt;0),"",ROUND($O529*$P529*(1-$AP529),2))</x:f>
        <x:v>13802.13</x:v>
      </x:c>
      <x:c r="X529" s="151" t="n">
        <x:f>IF(OR(NOT(ISNUMBER($W529)),NOT(ISNUMBER($S529))),"",ROUND($W529-$S529,2))</x:f>
        <x:v>3726.2</x:v>
      </x:c>
      <x:c r="Y529" s="85" t="n">
        <x:f>IF(OR(NOT(ISNUMBER($W529)),NOT(ISNUMBER($X529)),$W529=0),"",ROUND($X529/$W529,4))</x:f>
        <x:v>0.27</x:v>
      </x:c>
      <x:c r="Z529" s="82" t="n">
        <x:f>IF(OR($AH529&lt;&gt;"Valid",$AI529&lt;&gt;"Valid"),"",INT($D529-$C529))</x:f>
        <x:v>4</x:v>
      </x:c>
      <x:c r="AA529" s="86" t="str">
        <x:f>IF($AH529&lt;&gt;"Valid","",TEXT($C529,"mmmm"))</x:f>
        <x:v>October</x:v>
      </x:c>
      <x:c r="AB529" s="82" t="n">
        <x:f>IF($AH529&lt;&gt;"Valid","",YEAR($C529))</x:f>
        <x:v>2025</x:v>
      </x:c>
      <x:c r="AC529" s="80" t="str">
        <x:v>Consistent</x:v>
      </x:c>
      <x:c r="AD529" s="80" t="str">
        <x:v>Eligible</x:v>
      </x:c>
      <x:c r="AE529" s="80" t="str">
        <x:f>IF(OR($AH529&lt;&gt;"Valid",$AI529&lt;&gt;"Valid",$AJ529&lt;&gt;"Valid",LEFT($AM529,7)="Invalid",IFERROR(ABS($AQ529)&gt;0.01,FALSE),IFERROR(ABS($AR529)&gt;0.01,FALSE),COUNTIF($AS529,"*Conflicting duplicate*")&gt;0,COUNTIF($AS529,"*Completed order not paid*")&gt;0),"Invalid",IF(OR($H529="Unknown",$N529="Unknown",$AM529="Missing discount imputed as 0"),"Warning","Clean"))</x:f>
        <x:v>Clean</x:v>
      </x:c>
      <x:c r="AF529" s="80" t="str">
        <x:v>Pass</x:v>
      </x:c>
      <x:c r="AG529" s="80" t="str">
        <x:v>No text cleanup required</x:v>
      </x:c>
      <x:c r="AH529" s="12" t="str">
        <x:f>IF(C529="","Missing date",IF(ISNUMBER(C529),"Valid","Unrecognized/invalid date"))</x:f>
        <x:v>Valid</x:v>
      </x:c>
      <x:c r="AI529" s="12" t="str">
        <x:f>IF(D529="","Missing date",IF(ISNUMBER(D529),"Valid","Unrecognized/invalid date"))</x:f>
        <x:v>Valid</x:v>
      </x:c>
      <x:c r="AJ529" s="12" t="str">
        <x:v>Valid</x:v>
      </x:c>
      <x:c r="AK529" s="12" t="str">
        <x:v>Pass</x:v>
      </x:c>
      <x:c r="AL529" s="12" t="str">
        <x:v>None</x:v>
      </x:c>
      <x:c r="AM529" s="12" t="str">
        <x:v>Valid</x:v>
      </x:c>
      <x:c r="AN529" s="12" t="str">
        <x:v>Include in completed sales</x:v>
      </x:c>
      <x:c r="AO529" s="12" t="str">
        <x:v>Not a refunded record</x:v>
      </x:c>
      <x:c r="AP529" s="37" t="n">
        <x:f>IF(LEFT($AM529,7)="Invalid","",IF($AM529="Missing discount imputed as 0",IF(AND(COUNT($O529,$P529,$R529,$S529)=4,$O529&gt;0,$P529&gt;=0,$R529&gt;=0,$S529&gt;=0),0,""),IF(AND(ISNUMBER($Q529),$Q529&gt;=0,$Q529&lt;=0.5),$Q529,"")))</x:f>
        <x:v>0.15</x:v>
      </x:c>
      <x:c r="AQ529" s="152" t="n">
        <x:f>IF(OR($W529="",NOT(ISNUMBER($R529))),"",ROUND($R529-$W529,2))</x:f>
        <x:v>0</x:v>
      </x:c>
      <x:c r="AR529" s="152" t="n">
        <x:f>IF(OR($X529="",NOT(ISNUMBER($T529))),"",ROUND($T529-$X529,2))</x:f>
        <x:v>0</x:v>
      </x:c>
      <x:c r="AS529" s="14" t="str">
        <x:v>OK</x:v>
      </x:c>
    </x:row>
    <x:row r="530">
      <x:c r="A530" s="80" t="n">
        <x:v>530</x:v>
      </x:c>
      <x:c r="B530" s="80" t="str">
        <x:v>ORD-2024-10529</x:v>
      </x:c>
      <x:c r="C530" s="81" t="n">
        <x:v>45572</x:v>
      </x:c>
      <x:c r="D530" s="81" t="n">
        <x:v>45574</x:v>
      </x:c>
      <x:c r="E530" s="80" t="str">
        <x:v>CUST-2390</x:v>
      </x:c>
      <x:c r="F530" s="80" t="str">
        <x:v>Diya Patel</x:v>
      </x:c>
      <x:c r="G530" s="80" t="str">
        <x:v>Consumer</x:v>
      </x:c>
      <x:c r="H530" s="80" t="str">
        <x:v>South</x:v>
      </x:c>
      <x:c r="I530" s="80" t="str">
        <x:v>Tamil Nadu</x:v>
      </x:c>
      <x:c r="J530" s="80" t="str">
        <x:v>Chennai</x:v>
      </x:c>
      <x:c r="K530" s="80" t="str">
        <x:v>Office Supplies</x:v>
      </x:c>
      <x:c r="L530" s="80" t="str">
        <x:v>Binders</x:v>
      </x:c>
      <x:c r="M530" s="80" t="str">
        <x:v>Eco Binders 855</x:v>
      </x:c>
      <x:c r="N530" s="80" t="str">
        <x:v>Standard Class</x:v>
      </x:c>
      <x:c r="O530" s="82" t="n">
        <x:v>9</x:v>
      </x:c>
      <x:c r="P530" s="83" t="n">
        <x:v>3457.09</x:v>
      </x:c>
      <x:c r="Q530" s="84" t="n">
        <x:v>0.05</x:v>
      </x:c>
      <x:c r="R530" s="83" t="n">
        <x:v>29558.12</x:v>
      </x:c>
      <x:c r="S530" s="83" t="n">
        <x:v>21302.13</x:v>
      </x:c>
      <x:c r="T530" s="83" t="n">
        <x:v>8255.99</x:v>
      </x:c>
      <x:c r="U530" s="83" t="str">
        <x:v>Pending</x:v>
      </x:c>
      <x:c r="V530" s="83" t="str">
        <x:v>Returned</x:v>
      </x:c>
      <x:c r="W530" s="151" t="n">
        <x:f>IF(OR(NOT(ISNUMBER($AP530)),COUNT($O530,$P530)&lt;2,$O530&lt;=0,$P530&lt;0),"",ROUND($O530*$P530*(1-$AP530),2))</x:f>
        <x:v>29558.12</x:v>
      </x:c>
      <x:c r="X530" s="151" t="n">
        <x:f>IF(OR(NOT(ISNUMBER($W530)),NOT(ISNUMBER($S530))),"",ROUND($W530-$S530,2))</x:f>
        <x:v>8255.99</x:v>
      </x:c>
      <x:c r="Y530" s="85" t="n">
        <x:f>IF(OR(NOT(ISNUMBER($W530)),NOT(ISNUMBER($X530)),$W530=0),"",ROUND($X530/$W530,4))</x:f>
        <x:v>0.2793</x:v>
      </x:c>
      <x:c r="Z530" s="82" t="n">
        <x:f>IF(OR($AH530&lt;&gt;"Valid",$AI530&lt;&gt;"Valid"),"",INT($D530-$C530))</x:f>
        <x:v>2</x:v>
      </x:c>
      <x:c r="AA530" s="86" t="str">
        <x:f>IF($AH530&lt;&gt;"Valid","",TEXT($C530,"mmmm"))</x:f>
        <x:v>October</x:v>
      </x:c>
      <x:c r="AB530" s="82" t="n">
        <x:f>IF($AH530&lt;&gt;"Valid","",YEAR($C530))</x:f>
        <x:v>2024</x:v>
      </x:c>
      <x:c r="AC530" s="80" t="str">
        <x:v>Consistent</x:v>
      </x:c>
      <x:c r="AD530" s="80" t="str">
        <x:v>Excluded</x:v>
      </x:c>
      <x:c r="AE530" s="80" t="str">
        <x:f>IF(OR($AH530&lt;&gt;"Valid",$AI530&lt;&gt;"Valid",$AJ530&lt;&gt;"Valid",LEFT($AM530,7)="Invalid",IFERROR(ABS($AQ530)&gt;0.01,FALSE),IFERROR(ABS($AR530)&gt;0.01,FALSE),COUNTIF($AS530,"*Conflicting duplicate*")&gt;0,COUNTIF($AS530,"*Completed order not paid*")&gt;0),"Invalid",IF(OR($H530="Unknown",$N530="Unknown",$AM530="Missing discount imputed as 0"),"Warning","Clean"))</x:f>
        <x:v>Clean</x:v>
      </x:c>
      <x:c r="AF530" s="80" t="str">
        <x:v>Pass</x:v>
      </x:c>
      <x:c r="AG530" s="80" t="str">
        <x:v>No text cleanup required</x:v>
      </x:c>
      <x:c r="AH530" s="12" t="str">
        <x:f>IF(C530="","Missing date",IF(ISNUMBER(C530),"Valid","Unrecognized/invalid date"))</x:f>
        <x:v>Valid</x:v>
      </x:c>
      <x:c r="AI530" s="12" t="str">
        <x:f>IF(D530="","Missing date",IF(ISNUMBER(D530),"Valid","Unrecognized/invalid date"))</x:f>
        <x:v>Valid</x:v>
      </x:c>
      <x:c r="AJ530" s="12" t="str">
        <x:v>Valid</x:v>
      </x:c>
      <x:c r="AK530" s="12" t="str">
        <x:v>Pass</x:v>
      </x:c>
      <x:c r="AL530" s="12" t="str">
        <x:v>None</x:v>
      </x:c>
      <x:c r="AM530" s="12" t="str">
        <x:v>Valid</x:v>
      </x:c>
      <x:c r="AN530" s="12" t="str">
        <x:v>Exclude from completed sales</x:v>
      </x:c>
      <x:c r="AO530" s="12" t="str">
        <x:v>Not a refunded record</x:v>
      </x:c>
      <x:c r="AP530" s="37" t="n">
        <x:f>IF(LEFT($AM530,7)="Invalid","",IF($AM530="Missing discount imputed as 0",IF(AND(COUNT($O530,$P530,$R530,$S530)=4,$O530&gt;0,$P530&gt;=0,$R530&gt;=0,$S530&gt;=0),0,""),IF(AND(ISNUMBER($Q530),$Q530&gt;=0,$Q530&lt;=0.5),$Q530,"")))</x:f>
        <x:v>0.05</x:v>
      </x:c>
      <x:c r="AQ530" s="152" t="n">
        <x:f>IF(OR($W530="",NOT(ISNUMBER($R530))),"",ROUND($R530-$W530,2))</x:f>
        <x:v>0</x:v>
      </x:c>
      <x:c r="AR530" s="152" t="n">
        <x:f>IF(OR($X530="",NOT(ISNUMBER($T530))),"",ROUND($T530-$X530,2))</x:f>
        <x:v>0</x:v>
      </x:c>
      <x:c r="AS530" s="14" t="str">
        <x:v>OK</x:v>
      </x:c>
    </x:row>
    <x:row r="531">
      <x:c r="A531" s="80" t="n">
        <x:v>531</x:v>
      </x:c>
      <x:c r="B531" s="80" t="str">
        <x:v>ORD-2024-10530</x:v>
      </x:c>
      <x:c r="C531" s="81" t="n">
        <x:v>45328</x:v>
      </x:c>
      <x:c r="D531" s="81" t="n">
        <x:v>45330</x:v>
      </x:c>
      <x:c r="E531" s="80" t="str">
        <x:v>CUST-3362</x:v>
      </x:c>
      <x:c r="F531" s="80" t="str">
        <x:v>Karan Malhotra</x:v>
      </x:c>
      <x:c r="G531" s="80" t="str">
        <x:v>Consumer</x:v>
      </x:c>
      <x:c r="H531" s="80" t="str">
        <x:v>East</x:v>
      </x:c>
      <x:c r="I531" s="80" t="str">
        <x:v>Jharkhand</x:v>
      </x:c>
      <x:c r="J531" s="80" t="str">
        <x:v>Ranchi</x:v>
      </x:c>
      <x:c r="K531" s="80" t="str">
        <x:v>Furniture</x:v>
      </x:c>
      <x:c r="L531" s="80" t="str">
        <x:v>Bookcases</x:v>
      </x:c>
      <x:c r="M531" s="80" t="str">
        <x:v>Classic Bookcases 947</x:v>
      </x:c>
      <x:c r="N531" s="80" t="str">
        <x:v>Second Class</x:v>
      </x:c>
      <x:c r="O531" s="82" t="n">
        <x:v>9</x:v>
      </x:c>
      <x:c r="P531" s="83" t="n">
        <x:v>1822.25</x:v>
      </x:c>
      <x:c r="Q531" s="84" t="n">
        <x:v>0</x:v>
      </x:c>
      <x:c r="R531" s="83" t="n">
        <x:v>16400.25</x:v>
      </x:c>
      <x:c r="S531" s="83" t="n">
        <x:v>12146.96</x:v>
      </x:c>
      <x:c r="T531" s="83" t="n">
        <x:v>4253.29</x:v>
      </x:c>
      <x:c r="U531" s="83" t="str">
        <x:v>Paid</x:v>
      </x:c>
      <x:c r="V531" s="83" t="str">
        <x:v>Completed</x:v>
      </x:c>
      <x:c r="W531" s="151" t="n">
        <x:f>IF(OR(NOT(ISNUMBER($AP531)),COUNT($O531,$P531)&lt;2,$O531&lt;=0,$P531&lt;0),"",ROUND($O531*$P531*(1-$AP531),2))</x:f>
        <x:v>16400.25</x:v>
      </x:c>
      <x:c r="X531" s="151" t="n">
        <x:f>IF(OR(NOT(ISNUMBER($W531)),NOT(ISNUMBER($S531))),"",ROUND($W531-$S531,2))</x:f>
        <x:v>4253.29</x:v>
      </x:c>
      <x:c r="Y531" s="85" t="n">
        <x:f>IF(OR(NOT(ISNUMBER($W531)),NOT(ISNUMBER($X531)),$W531=0),"",ROUND($X531/$W531,4))</x:f>
        <x:v>0.2593</x:v>
      </x:c>
      <x:c r="Z531" s="82" t="n">
        <x:f>IF(OR($AH531&lt;&gt;"Valid",$AI531&lt;&gt;"Valid"),"",INT($D531-$C531))</x:f>
        <x:v>2</x:v>
      </x:c>
      <x:c r="AA531" s="86" t="str">
        <x:f>IF($AH531&lt;&gt;"Valid","",TEXT($C531,"mmmm"))</x:f>
        <x:v>February</x:v>
      </x:c>
      <x:c r="AB531" s="82" t="n">
        <x:f>IF($AH531&lt;&gt;"Valid","",YEAR($C531))</x:f>
        <x:v>2024</x:v>
      </x:c>
      <x:c r="AC531" s="80" t="str">
        <x:v>Consistent</x:v>
      </x:c>
      <x:c r="AD531" s="80" t="str">
        <x:v>Eligible</x:v>
      </x:c>
      <x:c r="AE531" s="80" t="str">
        <x:f>IF(OR($AH531&lt;&gt;"Valid",$AI531&lt;&gt;"Valid",$AJ531&lt;&gt;"Valid",LEFT($AM531,7)="Invalid",IFERROR(ABS($AQ531)&gt;0.01,FALSE),IFERROR(ABS($AR531)&gt;0.01,FALSE),COUNTIF($AS531,"*Conflicting duplicate*")&gt;0,COUNTIF($AS531,"*Completed order not paid*")&gt;0),"Invalid",IF(OR($H531="Unknown",$N531="Unknown",$AM531="Missing discount imputed as 0"),"Warning","Clean"))</x:f>
        <x:v>Clean</x:v>
      </x:c>
      <x:c r="AF531" s="80" t="str">
        <x:v>Pass</x:v>
      </x:c>
      <x:c r="AG531" s="80" t="str">
        <x:v>No text cleanup required</x:v>
      </x:c>
      <x:c r="AH531" s="12" t="str">
        <x:f>IF(C531="","Missing date",IF(ISNUMBER(C531),"Valid","Unrecognized/invalid date"))</x:f>
        <x:v>Valid</x:v>
      </x:c>
      <x:c r="AI531" s="12" t="str">
        <x:f>IF(D531="","Missing date",IF(ISNUMBER(D531),"Valid","Unrecognized/invalid date"))</x:f>
        <x:v>Valid</x:v>
      </x:c>
      <x:c r="AJ531" s="12" t="str">
        <x:v>Valid</x:v>
      </x:c>
      <x:c r="AK531" s="12" t="str">
        <x:v>Pass</x:v>
      </x:c>
      <x:c r="AL531" s="12" t="str">
        <x:v>None</x:v>
      </x:c>
      <x:c r="AM531" s="12" t="str">
        <x:v>Valid</x:v>
      </x:c>
      <x:c r="AN531" s="12" t="str">
        <x:v>Include in completed sales</x:v>
      </x:c>
      <x:c r="AO531" s="12" t="str">
        <x:v>Not a refunded record</x:v>
      </x:c>
      <x:c r="AP531" s="37" t="n">
        <x:f>IF(LEFT($AM531,7)="Invalid","",IF($AM531="Missing discount imputed as 0",IF(AND(COUNT($O531,$P531,$R531,$S531)=4,$O531&gt;0,$P531&gt;=0,$R531&gt;=0,$S531&gt;=0),0,""),IF(AND(ISNUMBER($Q531),$Q531&gt;=0,$Q531&lt;=0.5),$Q531,"")))</x:f>
        <x:v>0</x:v>
      </x:c>
      <x:c r="AQ531" s="152" t="n">
        <x:f>IF(OR($W531="",NOT(ISNUMBER($R531))),"",ROUND($R531-$W531,2))</x:f>
        <x:v>0</x:v>
      </x:c>
      <x:c r="AR531" s="152" t="n">
        <x:f>IF(OR($X531="",NOT(ISNUMBER($T531))),"",ROUND($T531-$X531,2))</x:f>
        <x:v>0</x:v>
      </x:c>
      <x:c r="AS531" s="14" t="str">
        <x:v>OK</x:v>
      </x:c>
    </x:row>
    <x:row r="532">
      <x:c r="A532" s="80" t="n">
        <x:v>532</x:v>
      </x:c>
      <x:c r="B532" s="80" t="str">
        <x:v>ORD-2025-10531</x:v>
      </x:c>
      <x:c r="C532" s="81" t="n">
        <x:v>45807</x:v>
      </x:c>
      <x:c r="D532" s="81" t="n">
        <x:v>45809</x:v>
      </x:c>
      <x:c r="E532" s="80" t="str">
        <x:v>CUST-8177</x:v>
      </x:c>
      <x:c r="F532" s="80" t="str">
        <x:v>Rahul Verma</x:v>
      </x:c>
      <x:c r="G532" s="80" t="str">
        <x:v>Home Office</x:v>
      </x:c>
      <x:c r="H532" s="80" t="str">
        <x:v>South</x:v>
      </x:c>
      <x:c r="I532" s="80" t="str">
        <x:v>Tamil Nadu</x:v>
      </x:c>
      <x:c r="J532" s="80" t="str">
        <x:v>Chennai</x:v>
      </x:c>
      <x:c r="K532" s="80" t="str">
        <x:v>Office Supplies</x:v>
      </x:c>
      <x:c r="L532" s="80" t="str">
        <x:v>Binders</x:v>
      </x:c>
      <x:c r="M532" s="80" t="str">
        <x:v>Eco Binders 352</x:v>
      </x:c>
      <x:c r="N532" s="80" t="str">
        <x:v>Standard Class</x:v>
      </x:c>
      <x:c r="O532" s="82" t="n">
        <x:v>9</x:v>
      </x:c>
      <x:c r="P532" s="83" t="n">
        <x:v>1994.51</x:v>
      </x:c>
      <x:c r="Q532" s="84" t="n">
        <x:v>0.05</x:v>
      </x:c>
      <x:c r="R532" s="83" t="n">
        <x:v>17053.06</x:v>
      </x:c>
      <x:c r="S532" s="83" t="n">
        <x:v>10742.38</x:v>
      </x:c>
      <x:c r="T532" s="83" t="n">
        <x:v>6310.68</x:v>
      </x:c>
      <x:c r="U532" s="83" t="str">
        <x:v>Paid</x:v>
      </x:c>
      <x:c r="V532" s="83" t="str">
        <x:v>Completed</x:v>
      </x:c>
      <x:c r="W532" s="151" t="n">
        <x:f>IF(OR(NOT(ISNUMBER($AP532)),COUNT($O532,$P532)&lt;2,$O532&lt;=0,$P532&lt;0),"",ROUND($O532*$P532*(1-$AP532),2))</x:f>
        <x:v>17053.06</x:v>
      </x:c>
      <x:c r="X532" s="151" t="n">
        <x:f>IF(OR(NOT(ISNUMBER($W532)),NOT(ISNUMBER($S532))),"",ROUND($W532-$S532,2))</x:f>
        <x:v>6310.68</x:v>
      </x:c>
      <x:c r="Y532" s="85" t="n">
        <x:f>IF(OR(NOT(ISNUMBER($W532)),NOT(ISNUMBER($X532)),$W532=0),"",ROUND($X532/$W532,4))</x:f>
        <x:v>0.3701</x:v>
      </x:c>
      <x:c r="Z532" s="82" t="n">
        <x:f>IF(OR($AH532&lt;&gt;"Valid",$AI532&lt;&gt;"Valid"),"",INT($D532-$C532))</x:f>
        <x:v>2</x:v>
      </x:c>
      <x:c r="AA532" s="86" t="str">
        <x:f>IF($AH532&lt;&gt;"Valid","",TEXT($C532,"mmmm"))</x:f>
        <x:v>May</x:v>
      </x:c>
      <x:c r="AB532" s="82" t="n">
        <x:f>IF($AH532&lt;&gt;"Valid","",YEAR($C532))</x:f>
        <x:v>2025</x:v>
      </x:c>
      <x:c r="AC532" s="80" t="str">
        <x:v>Consistent</x:v>
      </x:c>
      <x:c r="AD532" s="80" t="str">
        <x:v>Eligible</x:v>
      </x:c>
      <x:c r="AE532" s="80" t="str">
        <x:f>IF(OR($AH532&lt;&gt;"Valid",$AI532&lt;&gt;"Valid",$AJ532&lt;&gt;"Valid",LEFT($AM532,7)="Invalid",IFERROR(ABS($AQ532)&gt;0.01,FALSE),IFERROR(ABS($AR532)&gt;0.01,FALSE),COUNTIF($AS532,"*Conflicting duplicate*")&gt;0,COUNTIF($AS532,"*Completed order not paid*")&gt;0),"Invalid",IF(OR($H532="Unknown",$N532="Unknown",$AM532="Missing discount imputed as 0"),"Warning","Clean"))</x:f>
        <x:v>Clean</x:v>
      </x:c>
      <x:c r="AF532" s="80" t="str">
        <x:v>Pass</x:v>
      </x:c>
      <x:c r="AG532" s="80" t="str">
        <x:v>No text cleanup required</x:v>
      </x:c>
      <x:c r="AH532" s="12" t="str">
        <x:f>IF(C532="","Missing date",IF(ISNUMBER(C532),"Valid","Unrecognized/invalid date"))</x:f>
        <x:v>Valid</x:v>
      </x:c>
      <x:c r="AI532" s="12" t="str">
        <x:f>IF(D532="","Missing date",IF(ISNUMBER(D532),"Valid","Unrecognized/invalid date"))</x:f>
        <x:v>Valid</x:v>
      </x:c>
      <x:c r="AJ532" s="12" t="str">
        <x:v>Valid</x:v>
      </x:c>
      <x:c r="AK532" s="12" t="str">
        <x:v>Pass</x:v>
      </x:c>
      <x:c r="AL532" s="12" t="str">
        <x:v>None</x:v>
      </x:c>
      <x:c r="AM532" s="12" t="str">
        <x:v>Valid</x:v>
      </x:c>
      <x:c r="AN532" s="12" t="str">
        <x:v>Include in completed sales</x:v>
      </x:c>
      <x:c r="AO532" s="12" t="str">
        <x:v>Not a refunded record</x:v>
      </x:c>
      <x:c r="AP532" s="37" t="n">
        <x:f>IF(LEFT($AM532,7)="Invalid","",IF($AM532="Missing discount imputed as 0",IF(AND(COUNT($O532,$P532,$R532,$S532)=4,$O532&gt;0,$P532&gt;=0,$R532&gt;=0,$S532&gt;=0),0,""),IF(AND(ISNUMBER($Q532),$Q532&gt;=0,$Q532&lt;=0.5),$Q532,"")))</x:f>
        <x:v>0.05</x:v>
      </x:c>
      <x:c r="AQ532" s="152" t="n">
        <x:f>IF(OR($W532="",NOT(ISNUMBER($R532))),"",ROUND($R532-$W532,2))</x:f>
        <x:v>0</x:v>
      </x:c>
      <x:c r="AR532" s="152" t="n">
        <x:f>IF(OR($X532="",NOT(ISNUMBER($T532))),"",ROUND($T532-$X532,2))</x:f>
        <x:v>0</x:v>
      </x:c>
      <x:c r="AS532" s="14" t="str">
        <x:v>OK</x:v>
      </x:c>
    </x:row>
    <x:row r="533">
      <x:c r="A533" s="80" t="n">
        <x:v>533</x:v>
      </x:c>
      <x:c r="B533" s="80" t="str">
        <x:v>ORD-2024-10532</x:v>
      </x:c>
      <x:c r="C533" s="81" t="n">
        <x:v>45505</x:v>
      </x:c>
      <x:c r="D533" s="81" t="n">
        <x:v>45512</x:v>
      </x:c>
      <x:c r="E533" s="80" t="str">
        <x:v>CUST-6357</x:v>
      </x:c>
      <x:c r="F533" s="80" t="str">
        <x:v>Diya Patel</x:v>
      </x:c>
      <x:c r="G533" s="80" t="str">
        <x:v>Small Business</x:v>
      </x:c>
      <x:c r="H533" s="80" t="str">
        <x:v>West</x:v>
      </x:c>
      <x:c r="I533" s="80" t="str">
        <x:v>Maharashtra</x:v>
      </x:c>
      <x:c r="J533" s="80" t="str">
        <x:v>Mumbai</x:v>
      </x:c>
      <x:c r="K533" s="80" t="str">
        <x:v>Office Supplies</x:v>
      </x:c>
      <x:c r="L533" s="80" t="str">
        <x:v>Storage</x:v>
      </x:c>
      <x:c r="M533" s="80" t="str">
        <x:v>Pro Storage 364</x:v>
      </x:c>
      <x:c r="N533" s="80" t="str">
        <x:v>Unknown</x:v>
      </x:c>
      <x:c r="O533" s="82" t="n">
        <x:v>1</x:v>
      </x:c>
      <x:c r="P533" s="83" t="n">
        <x:v>442.97</x:v>
      </x:c>
      <x:c r="Q533" s="84" t="n">
        <x:v>0.1</x:v>
      </x:c>
      <x:c r="R533" s="83" t="n">
        <x:v>398.67</x:v>
      </x:c>
      <x:c r="S533" s="83" t="n">
        <x:v>311.66</x:v>
      </x:c>
      <x:c r="T533" s="83" t="n">
        <x:v>87.01</x:v>
      </x:c>
      <x:c r="U533" s="83" t="str">
        <x:v>Paid</x:v>
      </x:c>
      <x:c r="V533" s="83" t="str">
        <x:v>Completed</x:v>
      </x:c>
      <x:c r="W533" s="151" t="n">
        <x:f>IF(OR(NOT(ISNUMBER($AP533)),COUNT($O533,$P533)&lt;2,$O533&lt;=0,$P533&lt;0),"",ROUND($O533*$P533*(1-$AP533),2))</x:f>
        <x:v>398.67</x:v>
      </x:c>
      <x:c r="X533" s="151" t="n">
        <x:f>IF(OR(NOT(ISNUMBER($W533)),NOT(ISNUMBER($S533))),"",ROUND($W533-$S533,2))</x:f>
        <x:v>87.01</x:v>
      </x:c>
      <x:c r="Y533" s="85" t="n">
        <x:f>IF(OR(NOT(ISNUMBER($W533)),NOT(ISNUMBER($X533)),$W533=0),"",ROUND($X533/$W533,4))</x:f>
        <x:v>0.2183</x:v>
      </x:c>
      <x:c r="Z533" s="82" t="n">
        <x:f>IF(OR($AH533&lt;&gt;"Valid",$AI533&lt;&gt;"Valid"),"",INT($D533-$C533))</x:f>
        <x:v>7</x:v>
      </x:c>
      <x:c r="AA533" s="86" t="str">
        <x:f>IF($AH533&lt;&gt;"Valid","",TEXT($C533,"mmmm"))</x:f>
        <x:v>August</x:v>
      </x:c>
      <x:c r="AB533" s="82" t="n">
        <x:f>IF($AH533&lt;&gt;"Valid","",YEAR($C533))</x:f>
        <x:v>2024</x:v>
      </x:c>
      <x:c r="AC533" s="80" t="str">
        <x:v>Consistent</x:v>
      </x:c>
      <x:c r="AD533" s="80" t="str">
        <x:v>Eligible</x:v>
      </x:c>
      <x:c r="AE533" s="80" t="str">
        <x:f>IF(OR($AH533&lt;&gt;"Valid",$AI533&lt;&gt;"Valid",$AJ533&lt;&gt;"Valid",LEFT($AM533,7)="Invalid",IFERROR(ABS($AQ533)&gt;0.01,FALSE),IFERROR(ABS($AR533)&gt;0.01,FALSE),COUNTIF($AS533,"*Conflicting duplicate*")&gt;0,COUNTIF($AS533,"*Completed order not paid*")&gt;0),"Invalid",IF(OR($H533="Unknown",$N533="Unknown",$AM533="Missing discount imputed as 0"),"Warning","Clean"))</x:f>
        <x:v>Warning</x:v>
      </x:c>
      <x:c r="AF533" s="80" t="str">
        <x:v>Cleaned</x:v>
      </x:c>
      <x:c r="AG533" s="80" t="str">
        <x:v>ship_mode: Missing value filled as Unknown</x:v>
      </x:c>
      <x:c r="AH533" s="12" t="str">
        <x:f>IF(C533="","Missing date",IF(ISNUMBER(C533),"Valid","Unrecognized/invalid date"))</x:f>
        <x:v>Valid</x:v>
      </x:c>
      <x:c r="AI533" s="12" t="str">
        <x:f>IF(D533="","Missing date",IF(ISNUMBER(D533),"Valid","Unrecognized/invalid date"))</x:f>
        <x:v>Valid</x:v>
      </x:c>
      <x:c r="AJ533" s="12" t="str">
        <x:v>Valid</x:v>
      </x:c>
      <x:c r="AK533" s="12" t="str">
        <x:v>Pass</x:v>
      </x:c>
      <x:c r="AL533" s="12" t="str">
        <x:v>Missing ship_mode filled as Unknown</x:v>
      </x:c>
      <x:c r="AM533" s="12" t="str">
        <x:v>Valid</x:v>
      </x:c>
      <x:c r="AN533" s="12" t="str">
        <x:v>Include in completed sales</x:v>
      </x:c>
      <x:c r="AO533" s="12" t="str">
        <x:v>Not a refunded record</x:v>
      </x:c>
      <x:c r="AP533" s="37" t="n">
        <x:f>IF(LEFT($AM533,7)="Invalid","",IF($AM533="Missing discount imputed as 0",IF(AND(COUNT($O533,$P533,$R533,$S533)=4,$O533&gt;0,$P533&gt;=0,$R533&gt;=0,$S533&gt;=0),0,""),IF(AND(ISNUMBER($Q533),$Q533&gt;=0,$Q533&lt;=0.5),$Q533,"")))</x:f>
        <x:v>0.1</x:v>
      </x:c>
      <x:c r="AQ533" s="152" t="n">
        <x:f>IF(OR($W533="",NOT(ISNUMBER($R533))),"",ROUND($R533-$W533,2))</x:f>
        <x:v>0</x:v>
      </x:c>
      <x:c r="AR533" s="152" t="n">
        <x:f>IF(OR($X533="",NOT(ISNUMBER($T533))),"",ROUND($T533-$X533,2))</x:f>
        <x:v>0</x:v>
      </x:c>
      <x:c r="AS533" s="14" t="str">
        <x:v>OK</x:v>
      </x:c>
    </x:row>
    <x:row r="534">
      <x:c r="A534" s="80" t="n">
        <x:v>534</x:v>
      </x:c>
      <x:c r="B534" s="80" t="str">
        <x:v>ORD-2025-10533</x:v>
      </x:c>
      <x:c r="C534" s="81" t="n">
        <x:v>45935</x:v>
      </x:c>
      <x:c r="D534" s="81" t="n">
        <x:v>45940</x:v>
      </x:c>
      <x:c r="E534" s="80" t="str">
        <x:v>CUST-7690</x:v>
      </x:c>
      <x:c r="F534" s="80" t="str">
        <x:v>Priya Menon</x:v>
      </x:c>
      <x:c r="G534" s="80" t="str">
        <x:v>Corporate</x:v>
      </x:c>
      <x:c r="H534" s="80" t="str">
        <x:v>East</x:v>
      </x:c>
      <x:c r="I534" s="80" t="str">
        <x:v>Assam</x:v>
      </x:c>
      <x:c r="J534" s="80" t="str">
        <x:v>Guwahati</x:v>
      </x:c>
      <x:c r="K534" s="80" t="str">
        <x:v>Furniture</x:v>
      </x:c>
      <x:c r="L534" s="80" t="str">
        <x:v>Tables</x:v>
      </x:c>
      <x:c r="M534" s="80" t="str">
        <x:v>Classic Tables 213</x:v>
      </x:c>
      <x:c r="N534" s="80" t="str">
        <x:v>Second Class</x:v>
      </x:c>
      <x:c r="O534" s="82" t="n">
        <x:v>9</x:v>
      </x:c>
      <x:c r="P534" s="83" t="n">
        <x:v>2089.14</x:v>
      </x:c>
      <x:c r="Q534" s="84" t="n">
        <x:v>0.05</x:v>
      </x:c>
      <x:c r="R534" s="83" t="n">
        <x:v>17862.15</x:v>
      </x:c>
      <x:c r="S534" s="83" t="n">
        <x:v>9892.21</x:v>
      </x:c>
      <x:c r="T534" s="83" t="n">
        <x:v>7969.94</x:v>
      </x:c>
      <x:c r="U534" s="83" t="str">
        <x:v>Failed</x:v>
      </x:c>
      <x:c r="V534" s="83" t="str">
        <x:v>Cancelled</x:v>
      </x:c>
      <x:c r="W534" s="151" t="n">
        <x:f>IF(OR(NOT(ISNUMBER($AP534)),COUNT($O534,$P534)&lt;2,$O534&lt;=0,$P534&lt;0),"",ROUND($O534*$P534*(1-$AP534),2))</x:f>
        <x:v>17862.15</x:v>
      </x:c>
      <x:c r="X534" s="151" t="n">
        <x:f>IF(OR(NOT(ISNUMBER($W534)),NOT(ISNUMBER($S534))),"",ROUND($W534-$S534,2))</x:f>
        <x:v>7969.94</x:v>
      </x:c>
      <x:c r="Y534" s="85" t="n">
        <x:f>IF(OR(NOT(ISNUMBER($W534)),NOT(ISNUMBER($X534)),$W534=0),"",ROUND($X534/$W534,4))</x:f>
        <x:v>0.4462</x:v>
      </x:c>
      <x:c r="Z534" s="82" t="n">
        <x:f>IF(OR($AH534&lt;&gt;"Valid",$AI534&lt;&gt;"Valid"),"",INT($D534-$C534))</x:f>
        <x:v>5</x:v>
      </x:c>
      <x:c r="AA534" s="86" t="str">
        <x:f>IF($AH534&lt;&gt;"Valid","",TEXT($C534,"mmmm"))</x:f>
        <x:v>October</x:v>
      </x:c>
      <x:c r="AB534" s="82" t="n">
        <x:f>IF($AH534&lt;&gt;"Valid","",YEAR($C534))</x:f>
        <x:v>2025</x:v>
      </x:c>
      <x:c r="AC534" s="80" t="str">
        <x:v>Cancelled (excluded from completed-sales summary)</x:v>
      </x:c>
      <x:c r="AD534" s="80" t="str">
        <x:v>Excluded</x:v>
      </x:c>
      <x:c r="AE534" s="80" t="str">
        <x:f>IF(OR($AH534&lt;&gt;"Valid",$AI534&lt;&gt;"Valid",$AJ534&lt;&gt;"Valid",LEFT($AM534,7)="Invalid",IFERROR(ABS($AQ534)&gt;0.01,FALSE),IFERROR(ABS($AR534)&gt;0.01,FALSE),COUNTIF($AS534,"*Conflicting duplicate*")&gt;0,COUNTIF($AS534,"*Completed order not paid*")&gt;0),"Invalid",IF(OR($H534="Unknown",$N534="Unknown",$AM534="Missing discount imputed as 0"),"Warning","Clean"))</x:f>
        <x:v>Clean</x:v>
      </x:c>
      <x:c r="AF534" s="80" t="str">
        <x:v>Pass</x:v>
      </x:c>
      <x:c r="AG534" s="80" t="str">
        <x:v>No text cleanup required</x:v>
      </x:c>
      <x:c r="AH534" s="12" t="str">
        <x:f>IF(C534="","Missing date",IF(ISNUMBER(C534),"Valid","Unrecognized/invalid date"))</x:f>
        <x:v>Valid</x:v>
      </x:c>
      <x:c r="AI534" s="12" t="str">
        <x:f>IF(D534="","Missing date",IF(ISNUMBER(D534),"Valid","Unrecognized/invalid date"))</x:f>
        <x:v>Valid</x:v>
      </x:c>
      <x:c r="AJ534" s="12" t="str">
        <x:v>Valid</x:v>
      </x:c>
      <x:c r="AK534" s="12" t="str">
        <x:v>Pass</x:v>
      </x:c>
      <x:c r="AL534" s="12" t="str">
        <x:v>Cancelled order – excluded from completed sales; Failed payment – excluded from completed sales</x:v>
      </x:c>
      <x:c r="AM534" s="12" t="str">
        <x:v>Valid</x:v>
      </x:c>
      <x:c r="AN534" s="12" t="str">
        <x:v>Exclude from completed sales</x:v>
      </x:c>
      <x:c r="AO534" s="12" t="str">
        <x:v>Not a refunded record</x:v>
      </x:c>
      <x:c r="AP534" s="37" t="n">
        <x:f>IF(LEFT($AM534,7)="Invalid","",IF($AM534="Missing discount imputed as 0",IF(AND(COUNT($O534,$P534,$R534,$S534)=4,$O534&gt;0,$P534&gt;=0,$R534&gt;=0,$S534&gt;=0),0,""),IF(AND(ISNUMBER($Q534),$Q534&gt;=0,$Q534&lt;=0.5),$Q534,"")))</x:f>
        <x:v>0.05</x:v>
      </x:c>
      <x:c r="AQ534" s="152" t="n">
        <x:f>IF(OR($W534="",NOT(ISNUMBER($R534))),"",ROUND($R534-$W534,2))</x:f>
        <x:v>0</x:v>
      </x:c>
      <x:c r="AR534" s="152" t="n">
        <x:f>IF(OR($X534="",NOT(ISNUMBER($T534))),"",ROUND($T534-$X534,2))</x:f>
        <x:v>0</x:v>
      </x:c>
      <x:c r="AS534" s="14" t="str">
        <x:v>OK</x:v>
      </x:c>
    </x:row>
    <x:row r="535">
      <x:c r="A535" s="80" t="n">
        <x:v>535</x:v>
      </x:c>
      <x:c r="B535" s="80" t="str">
        <x:v>ORD-2024-10534</x:v>
      </x:c>
      <x:c r="C535" s="81" t="n">
        <x:v>45529</x:v>
      </x:c>
      <x:c r="D535" s="81" t="n">
        <x:v>45536</x:v>
      </x:c>
      <x:c r="E535" s="80" t="str">
        <x:v>CUST-4487</x:v>
      </x:c>
      <x:c r="F535" s="80" t="str">
        <x:v>Isha Nair</x:v>
      </x:c>
      <x:c r="G535" s="80" t="str">
        <x:v>Home Office</x:v>
      </x:c>
      <x:c r="H535" s="80" t="str">
        <x:v>North</x:v>
      </x:c>
      <x:c r="I535" s="80" t="str">
        <x:v>Rajasthan</x:v>
      </x:c>
      <x:c r="J535" s="80" t="str">
        <x:v>Jaipur</x:v>
      </x:c>
      <x:c r="K535" s="80" t="str">
        <x:v>Furniture</x:v>
      </x:c>
      <x:c r="L535" s="80" t="str">
        <x:v>Tables</x:v>
      </x:c>
      <x:c r="M535" s="80" t="str">
        <x:v>Smart Tables 659</x:v>
      </x:c>
      <x:c r="N535" s="80" t="str">
        <x:v>Same Day</x:v>
      </x:c>
      <x:c r="O535" s="82" t="n">
        <x:v>6</x:v>
      </x:c>
      <x:c r="P535" s="83" t="n">
        <x:v>481.3</x:v>
      </x:c>
      <x:c r="Q535" s="84" t="n">
        <x:v>0.25</x:v>
      </x:c>
      <x:c r="R535" s="83" t="n">
        <x:v>2165.85</x:v>
      </x:c>
      <x:c r="S535" s="83" t="n">
        <x:v>2124.48</x:v>
      </x:c>
      <x:c r="T535" s="83" t="n">
        <x:v>430.45</x:v>
      </x:c>
      <x:c r="U535" s="83" t="str">
        <x:v>Paid</x:v>
      </x:c>
      <x:c r="V535" s="83" t="str">
        <x:v>Completed</x:v>
      </x:c>
      <x:c r="W535" s="151" t="n">
        <x:f>IF(OR(NOT(ISNUMBER($AP535)),COUNT($O535,$P535)&lt;2,$O535&lt;=0,$P535&lt;0),"",ROUND($O535*$P535*(1-$AP535),2))</x:f>
        <x:v>2165.85</x:v>
      </x:c>
      <x:c r="X535" s="151" t="n">
        <x:f>IF(OR(NOT(ISNUMBER($W535)),NOT(ISNUMBER($S535))),"",ROUND($W535-$S535,2))</x:f>
        <x:v>41.37</x:v>
      </x:c>
      <x:c r="Y535" s="85" t="n">
        <x:f>IF(OR(NOT(ISNUMBER($W535)),NOT(ISNUMBER($X535)),$W535=0),"",ROUND($X535/$W535,4))</x:f>
        <x:v>0.0191</x:v>
      </x:c>
      <x:c r="Z535" s="82" t="n">
        <x:f>IF(OR($AH535&lt;&gt;"Valid",$AI535&lt;&gt;"Valid"),"",INT($D535-$C535))</x:f>
        <x:v>7</x:v>
      </x:c>
      <x:c r="AA535" s="86" t="str">
        <x:f>IF($AH535&lt;&gt;"Valid","",TEXT($C535,"mmmm"))</x:f>
        <x:v>August</x:v>
      </x:c>
      <x:c r="AB535" s="82" t="n">
        <x:f>IF($AH535&lt;&gt;"Valid","",YEAR($C535))</x:f>
        <x:v>2024</x:v>
      </x:c>
      <x:c r="AC535" s="80" t="str">
        <x:v>Consistent</x:v>
      </x:c>
      <x:c r="AD535" s="80" t="str">
        <x:v>Excluded</x:v>
      </x:c>
      <x:c r="AE535" s="80" t="str">
        <x:f>IF(OR($AH535&lt;&gt;"Valid",$AI535&lt;&gt;"Valid",$AJ535&lt;&gt;"Valid",LEFT($AM535,7)="Invalid",IFERROR(ABS($AQ535)&gt;0.01,FALSE),IFERROR(ABS($AR535)&gt;0.01,FALSE),COUNTIF($AS535,"*Conflicting duplicate*")&gt;0,COUNTIF($AS535,"*Completed order not paid*")&gt;0),"Invalid",IF(OR($H535="Unknown",$N535="Unknown",$AM535="Missing discount imputed as 0"),"Warning","Clean"))</x:f>
        <x:v>Invalid</x:v>
      </x:c>
      <x:c r="AF535" s="80" t="str">
        <x:v>Review</x:v>
      </x:c>
      <x:c r="AG535" s="80" t="str">
        <x:v>No text cleanup required</x:v>
      </x:c>
      <x:c r="AH535" s="12" t="str">
        <x:f>IF(C535="","Missing date",IF(ISNUMBER(C535),"Valid","Unrecognized/invalid date"))</x:f>
        <x:v>Valid</x:v>
      </x:c>
      <x:c r="AI535" s="12" t="str">
        <x:f>IF(D535="","Missing date",IF(ISNUMBER(D535),"Valid","Unrecognized/invalid date"))</x:f>
        <x:v>Valid</x:v>
      </x:c>
      <x:c r="AJ535" s="12" t="str">
        <x:v>Valid</x:v>
      </x:c>
      <x:c r="AK535" s="12" t="str">
        <x:v>Pass</x:v>
      </x:c>
      <x:c r="AL535" s="12" t="str">
        <x:v>None</x:v>
      </x:c>
      <x:c r="AM535" s="12" t="str">
        <x:v>Valid</x:v>
      </x:c>
      <x:c r="AN535" s="12" t="str">
        <x:v>Exclude from completed sales</x:v>
      </x:c>
      <x:c r="AO535" s="12" t="str">
        <x:v>Not a refunded record</x:v>
      </x:c>
      <x:c r="AP535" s="37" t="n">
        <x:f>IF(LEFT($AM535,7)="Invalid","",IF($AM535="Missing discount imputed as 0",IF(AND(COUNT($O535,$P535,$R535,$S535)=4,$O535&gt;0,$P535&gt;=0,$R535&gt;=0,$S535&gt;=0),0,""),IF(AND(ISNUMBER($Q535),$Q535&gt;=0,$Q535&lt;=0.5),$Q535,"")))</x:f>
        <x:v>0.25</x:v>
      </x:c>
      <x:c r="AQ535" s="152" t="n">
        <x:f>IF(OR($W535="",NOT(ISNUMBER($R535))),"",ROUND($R535-$W535,2))</x:f>
        <x:v>0</x:v>
      </x:c>
      <x:c r="AR535" s="152" t="n">
        <x:f>IF(OR($X535="",NOT(ISNUMBER($T535))),"",ROUND($T535-$X535,2))</x:f>
        <x:v>389.08</x:v>
      </x:c>
      <x:c r="AS535" s="14" t="str">
        <x:v>Profit calculation mismatch</x:v>
      </x:c>
    </x:row>
    <x:row r="536">
      <x:c r="A536" s="80" t="n">
        <x:v>536</x:v>
      </x:c>
      <x:c r="B536" s="80" t="str">
        <x:v>ORD-2025-10535</x:v>
      </x:c>
      <x:c r="C536" s="81" t="n">
        <x:v>45774</x:v>
      </x:c>
      <x:c r="D536" s="81" t="n">
        <x:v>45782</x:v>
      </x:c>
      <x:c r="E536" s="80" t="str">
        <x:v>CUST-8204</x:v>
      </x:c>
      <x:c r="F536" s="80" t="str">
        <x:v>Rohan Mehta</x:v>
      </x:c>
      <x:c r="G536" s="80" t="str">
        <x:v>Home Office</x:v>
      </x:c>
      <x:c r="H536" s="80" t="str">
        <x:v>East</x:v>
      </x:c>
      <x:c r="I536" s="80" t="str">
        <x:v>Bihar</x:v>
      </x:c>
      <x:c r="J536" s="80" t="str">
        <x:v>Patna</x:v>
      </x:c>
      <x:c r="K536" s="80" t="str">
        <x:v>Technology</x:v>
      </x:c>
      <x:c r="L536" s="80" t="str">
        <x:v>Accessories</x:v>
      </x:c>
      <x:c r="M536" s="80" t="str">
        <x:v>Classic Accessories 325</x:v>
      </x:c>
      <x:c r="N536" s="80" t="str">
        <x:v>Second Class</x:v>
      </x:c>
      <x:c r="O536" s="82" t="n">
        <x:v>4</x:v>
      </x:c>
      <x:c r="P536" s="83" t="n">
        <x:v>3963.39</x:v>
      </x:c>
      <x:c r="Q536" s="84" t="n">
        <x:v>0.1</x:v>
      </x:c>
      <x:c r="R536" s="83" t="n">
        <x:v>14268.2</x:v>
      </x:c>
      <x:c r="S536" s="83" t="n">
        <x:v>11705.3</x:v>
      </x:c>
      <x:c r="T536" s="83" t="n">
        <x:v>2562.9</x:v>
      </x:c>
      <x:c r="U536" s="83" t="str">
        <x:v>Pending</x:v>
      </x:c>
      <x:c r="V536" s="83" t="str">
        <x:v>Returned</x:v>
      </x:c>
      <x:c r="W536" s="151" t="n">
        <x:f>IF(OR(NOT(ISNUMBER($AP536)),COUNT($O536,$P536)&lt;2,$O536&lt;=0,$P536&lt;0),"",ROUND($O536*$P536*(1-$AP536),2))</x:f>
        <x:v>14268.2</x:v>
      </x:c>
      <x:c r="X536" s="151" t="n">
        <x:f>IF(OR(NOT(ISNUMBER($W536)),NOT(ISNUMBER($S536))),"",ROUND($W536-$S536,2))</x:f>
        <x:v>2562.9</x:v>
      </x:c>
      <x:c r="Y536" s="85" t="n">
        <x:f>IF(OR(NOT(ISNUMBER($W536)),NOT(ISNUMBER($X536)),$W536=0),"",ROUND($X536/$W536,4))</x:f>
        <x:v>0.1796</x:v>
      </x:c>
      <x:c r="Z536" s="82" t="n">
        <x:f>IF(OR($AH536&lt;&gt;"Valid",$AI536&lt;&gt;"Valid"),"",INT($D536-$C536))</x:f>
        <x:v>8</x:v>
      </x:c>
      <x:c r="AA536" s="86" t="str">
        <x:f>IF($AH536&lt;&gt;"Valid","",TEXT($C536,"mmmm"))</x:f>
        <x:v>April</x:v>
      </x:c>
      <x:c r="AB536" s="82" t="n">
        <x:f>IF($AH536&lt;&gt;"Valid","",YEAR($C536))</x:f>
        <x:v>2025</x:v>
      </x:c>
      <x:c r="AC536" s="80" t="str">
        <x:v>Consistent</x:v>
      </x:c>
      <x:c r="AD536" s="80" t="str">
        <x:v>Excluded</x:v>
      </x:c>
      <x:c r="AE536" s="80" t="str">
        <x:f>IF(OR($AH536&lt;&gt;"Valid",$AI536&lt;&gt;"Valid",$AJ536&lt;&gt;"Valid",LEFT($AM536,7)="Invalid",IFERROR(ABS($AQ536)&gt;0.01,FALSE),IFERROR(ABS($AR536)&gt;0.01,FALSE),COUNTIF($AS536,"*Conflicting duplicate*")&gt;0,COUNTIF($AS536,"*Completed order not paid*")&gt;0),"Invalid",IF(OR($H536="Unknown",$N536="Unknown",$AM536="Missing discount imputed as 0"),"Warning","Clean"))</x:f>
        <x:v>Clean</x:v>
      </x:c>
      <x:c r="AF536" s="80" t="str">
        <x:v>Pass</x:v>
      </x:c>
      <x:c r="AG536" s="80" t="str">
        <x:v>No text cleanup required</x:v>
      </x:c>
      <x:c r="AH536" s="12" t="str">
        <x:f>IF(C536="","Missing date",IF(ISNUMBER(C536),"Valid","Unrecognized/invalid date"))</x:f>
        <x:v>Valid</x:v>
      </x:c>
      <x:c r="AI536" s="12" t="str">
        <x:f>IF(D536="","Missing date",IF(ISNUMBER(D536),"Valid","Unrecognized/invalid date"))</x:f>
        <x:v>Valid</x:v>
      </x:c>
      <x:c r="AJ536" s="12" t="str">
        <x:v>Valid</x:v>
      </x:c>
      <x:c r="AK536" s="12" t="str">
        <x:v>Pass</x:v>
      </x:c>
      <x:c r="AL536" s="12" t="str">
        <x:v>None</x:v>
      </x:c>
      <x:c r="AM536" s="12" t="str">
        <x:v>Valid</x:v>
      </x:c>
      <x:c r="AN536" s="12" t="str">
        <x:v>Exclude from completed sales</x:v>
      </x:c>
      <x:c r="AO536" s="12" t="str">
        <x:v>Not a refunded record</x:v>
      </x:c>
      <x:c r="AP536" s="37" t="n">
        <x:f>IF(LEFT($AM536,7)="Invalid","",IF($AM536="Missing discount imputed as 0",IF(AND(COUNT($O536,$P536,$R536,$S536)=4,$O536&gt;0,$P536&gt;=0,$R536&gt;=0,$S536&gt;=0),0,""),IF(AND(ISNUMBER($Q536),$Q536&gt;=0,$Q536&lt;=0.5),$Q536,"")))</x:f>
        <x:v>0.1</x:v>
      </x:c>
      <x:c r="AQ536" s="152" t="n">
        <x:f>IF(OR($W536="",NOT(ISNUMBER($R536))),"",ROUND($R536-$W536,2))</x:f>
        <x:v>0</x:v>
      </x:c>
      <x:c r="AR536" s="152" t="n">
        <x:f>IF(OR($X536="",NOT(ISNUMBER($T536))),"",ROUND($T536-$X536,2))</x:f>
        <x:v>0</x:v>
      </x:c>
      <x:c r="AS536" s="14" t="str">
        <x:v>OK</x:v>
      </x:c>
    </x:row>
    <x:row r="537">
      <x:c r="A537" s="80" t="n">
        <x:v>537</x:v>
      </x:c>
      <x:c r="B537" s="80" t="str">
        <x:v>ORD-2024-10536</x:v>
      </x:c>
      <x:c r="C537" s="81" t="n">
        <x:v>45431</x:v>
      </x:c>
      <x:c r="D537" s="81" t="n">
        <x:v>45433</x:v>
      </x:c>
      <x:c r="E537" s="80" t="str">
        <x:v>CUST-1729</x:v>
      </x:c>
      <x:c r="F537" s="80" t="str">
        <x:v>Diya Patel</x:v>
      </x:c>
      <x:c r="G537" s="80" t="str">
        <x:v>Small Business</x:v>
      </x:c>
      <x:c r="H537" s="80" t="str">
        <x:v>West</x:v>
      </x:c>
      <x:c r="I537" s="80" t="str">
        <x:v>Maharashtra</x:v>
      </x:c>
      <x:c r="J537" s="80" t="str">
        <x:v>Mumbai</x:v>
      </x:c>
      <x:c r="K537" s="80" t="str">
        <x:v>Technology</x:v>
      </x:c>
      <x:c r="L537" s="80" t="str">
        <x:v>Copiers</x:v>
      </x:c>
      <x:c r="M537" s="80" t="str">
        <x:v>Eco Copiers 243</x:v>
      </x:c>
      <x:c r="N537" s="80" t="str">
        <x:v>First Class</x:v>
      </x:c>
      <x:c r="O537" s="82" t="n">
        <x:v>3</x:v>
      </x:c>
      <x:c r="P537" s="83" t="n">
        <x:v>4000.98</x:v>
      </x:c>
      <x:c r="Q537" s="84" t="n">
        <x:v>0.2</x:v>
      </x:c>
      <x:c r="R537" s="83" t="n">
        <x:v>9602.35</x:v>
      </x:c>
      <x:c r="S537" s="83" t="n">
        <x:v>7387.57</x:v>
      </x:c>
      <x:c r="T537" s="83" t="n">
        <x:v>2214.78</x:v>
      </x:c>
      <x:c r="U537" s="83" t="str">
        <x:v>Paid</x:v>
      </x:c>
      <x:c r="V537" s="83" t="str">
        <x:v>Completed</x:v>
      </x:c>
      <x:c r="W537" s="151" t="n">
        <x:f>IF(OR(NOT(ISNUMBER($AP537)),COUNT($O537,$P537)&lt;2,$O537&lt;=0,$P537&lt;0),"",ROUND($O537*$P537*(1-$AP537),2))</x:f>
        <x:v>9602.35</x:v>
      </x:c>
      <x:c r="X537" s="151" t="n">
        <x:f>IF(OR(NOT(ISNUMBER($W537)),NOT(ISNUMBER($S537))),"",ROUND($W537-$S537,2))</x:f>
        <x:v>2214.78</x:v>
      </x:c>
      <x:c r="Y537" s="85" t="n">
        <x:f>IF(OR(NOT(ISNUMBER($W537)),NOT(ISNUMBER($X537)),$W537=0),"",ROUND($X537/$W537,4))</x:f>
        <x:v>0.2306</x:v>
      </x:c>
      <x:c r="Z537" s="82" t="n">
        <x:f>IF(OR($AH537&lt;&gt;"Valid",$AI537&lt;&gt;"Valid"),"",INT($D537-$C537))</x:f>
        <x:v>2</x:v>
      </x:c>
      <x:c r="AA537" s="86" t="str">
        <x:f>IF($AH537&lt;&gt;"Valid","",TEXT($C537,"mmmm"))</x:f>
        <x:v>May</x:v>
      </x:c>
      <x:c r="AB537" s="82" t="n">
        <x:f>IF($AH537&lt;&gt;"Valid","",YEAR($C537))</x:f>
        <x:v>2024</x:v>
      </x:c>
      <x:c r="AC537" s="80" t="str">
        <x:v>Consistent</x:v>
      </x:c>
      <x:c r="AD537" s="80" t="str">
        <x:v>Eligible</x:v>
      </x:c>
      <x:c r="AE537" s="80" t="str">
        <x:f>IF(OR($AH537&lt;&gt;"Valid",$AI537&lt;&gt;"Valid",$AJ537&lt;&gt;"Valid",LEFT($AM537,7)="Invalid",IFERROR(ABS($AQ537)&gt;0.01,FALSE),IFERROR(ABS($AR537)&gt;0.01,FALSE),COUNTIF($AS537,"*Conflicting duplicate*")&gt;0,COUNTIF($AS537,"*Completed order not paid*")&gt;0),"Invalid",IF(OR($H537="Unknown",$N537="Unknown",$AM537="Missing discount imputed as 0"),"Warning","Clean"))</x:f>
        <x:v>Clean</x:v>
      </x:c>
      <x:c r="AF537" s="80" t="str">
        <x:v>Pass</x:v>
      </x:c>
      <x:c r="AG537" s="80" t="str">
        <x:v>No text cleanup required</x:v>
      </x:c>
      <x:c r="AH537" s="12" t="str">
        <x:f>IF(C537="","Missing date",IF(ISNUMBER(C537),"Valid","Unrecognized/invalid date"))</x:f>
        <x:v>Valid</x:v>
      </x:c>
      <x:c r="AI537" s="12" t="str">
        <x:f>IF(D537="","Missing date",IF(ISNUMBER(D537),"Valid","Unrecognized/invalid date"))</x:f>
        <x:v>Valid</x:v>
      </x:c>
      <x:c r="AJ537" s="12" t="str">
        <x:v>Valid</x:v>
      </x:c>
      <x:c r="AK537" s="12" t="str">
        <x:v>Pass</x:v>
      </x:c>
      <x:c r="AL537" s="12" t="str">
        <x:v>None</x:v>
      </x:c>
      <x:c r="AM537" s="12" t="str">
        <x:v>Valid</x:v>
      </x:c>
      <x:c r="AN537" s="12" t="str">
        <x:v>Include in completed sales</x:v>
      </x:c>
      <x:c r="AO537" s="12" t="str">
        <x:v>Not a refunded record</x:v>
      </x:c>
      <x:c r="AP537" s="37" t="n">
        <x:f>IF(LEFT($AM537,7)="Invalid","",IF($AM537="Missing discount imputed as 0",IF(AND(COUNT($O537,$P537,$R537,$S537)=4,$O537&gt;0,$P537&gt;=0,$R537&gt;=0,$S537&gt;=0),0,""),IF(AND(ISNUMBER($Q537),$Q537&gt;=0,$Q537&lt;=0.5),$Q537,"")))</x:f>
        <x:v>0.2</x:v>
      </x:c>
      <x:c r="AQ537" s="152" t="n">
        <x:f>IF(OR($W537="",NOT(ISNUMBER($R537))),"",ROUND($R537-$W537,2))</x:f>
        <x:v>0</x:v>
      </x:c>
      <x:c r="AR537" s="152" t="n">
        <x:f>IF(OR($X537="",NOT(ISNUMBER($T537))),"",ROUND($T537-$X537,2))</x:f>
        <x:v>0</x:v>
      </x:c>
      <x:c r="AS537" s="14" t="str">
        <x:v>OK</x:v>
      </x:c>
    </x:row>
    <x:row r="538">
      <x:c r="A538" s="80" t="n">
        <x:v>538</x:v>
      </x:c>
      <x:c r="B538" s="80" t="str">
        <x:v>ORD-2025-10537</x:v>
      </x:c>
      <x:c r="C538" s="81" t="n">
        <x:v>45757</x:v>
      </x:c>
      <x:c r="D538" s="81" t="n">
        <x:v>45764</x:v>
      </x:c>
      <x:c r="E538" s="80" t="str">
        <x:v>CUST-4269</x:v>
      </x:c>
      <x:c r="F538" s="80" t="str">
        <x:v>Ananya Rao</x:v>
      </x:c>
      <x:c r="G538" s="80" t="str">
        <x:v>Small Business</x:v>
      </x:c>
      <x:c r="H538" s="80" t="str">
        <x:v>West</x:v>
      </x:c>
      <x:c r="I538" s="80" t="str">
        <x:v>Rajasthan</x:v>
      </x:c>
      <x:c r="J538" s="80" t="str">
        <x:v>Udaipur</x:v>
      </x:c>
      <x:c r="K538" s="80" t="str">
        <x:v>Furniture</x:v>
      </x:c>
      <x:c r="L538" s="80" t="str">
        <x:v>Chairs</x:v>
      </x:c>
      <x:c r="M538" s="80" t="str">
        <x:v>Elite Chairs 777</x:v>
      </x:c>
      <x:c r="N538" s="80" t="str">
        <x:v>First Class</x:v>
      </x:c>
      <x:c r="O538" s="82" t="n">
        <x:v>7</x:v>
      </x:c>
      <x:c r="P538" s="83" t="n">
        <x:v>3788.9</x:v>
      </x:c>
      <x:c r="Q538" s="84" t="n">
        <x:v>0.25</x:v>
      </x:c>
      <x:c r="R538" s="83" t="n">
        <x:v>19891.72</x:v>
      </x:c>
      <x:c r="S538" s="83" t="n">
        <x:v>12295.76</x:v>
      </x:c>
      <x:c r="T538" s="83" t="n">
        <x:v>7595.96</x:v>
      </x:c>
      <x:c r="U538" s="83" t="str">
        <x:v>Failed</x:v>
      </x:c>
      <x:c r="V538" s="83" t="str">
        <x:v>Cancelled</x:v>
      </x:c>
      <x:c r="W538" s="151" t="n">
        <x:f>IF(OR(NOT(ISNUMBER($AP538)),COUNT($O538,$P538)&lt;2,$O538&lt;=0,$P538&lt;0),"",ROUND($O538*$P538*(1-$AP538),2))</x:f>
        <x:v>19891.72</x:v>
      </x:c>
      <x:c r="X538" s="151" t="n">
        <x:f>IF(OR(NOT(ISNUMBER($W538)),NOT(ISNUMBER($S538))),"",ROUND($W538-$S538,2))</x:f>
        <x:v>7595.96</x:v>
      </x:c>
      <x:c r="Y538" s="85" t="n">
        <x:f>IF(OR(NOT(ISNUMBER($W538)),NOT(ISNUMBER($X538)),$W538=0),"",ROUND($X538/$W538,4))</x:f>
        <x:v>0.3819</x:v>
      </x:c>
      <x:c r="Z538" s="82" t="n">
        <x:f>IF(OR($AH538&lt;&gt;"Valid",$AI538&lt;&gt;"Valid"),"",INT($D538-$C538))</x:f>
        <x:v>7</x:v>
      </x:c>
      <x:c r="AA538" s="86" t="str">
        <x:f>IF($AH538&lt;&gt;"Valid","",TEXT($C538,"mmmm"))</x:f>
        <x:v>April</x:v>
      </x:c>
      <x:c r="AB538" s="82" t="n">
        <x:f>IF($AH538&lt;&gt;"Valid","",YEAR($C538))</x:f>
        <x:v>2025</x:v>
      </x:c>
      <x:c r="AC538" s="80" t="str">
        <x:v>Cancelled (excluded from completed-sales summary)</x:v>
      </x:c>
      <x:c r="AD538" s="80" t="str">
        <x:v>Excluded</x:v>
      </x:c>
      <x:c r="AE538" s="80" t="str">
        <x:f>IF(OR($AH538&lt;&gt;"Valid",$AI538&lt;&gt;"Valid",$AJ538&lt;&gt;"Valid",LEFT($AM538,7)="Invalid",IFERROR(ABS($AQ538)&gt;0.01,FALSE),IFERROR(ABS($AR538)&gt;0.01,FALSE),COUNTIF($AS538,"*Conflicting duplicate*")&gt;0,COUNTIF($AS538,"*Completed order not paid*")&gt;0),"Invalid",IF(OR($H538="Unknown",$N538="Unknown",$AM538="Missing discount imputed as 0"),"Warning","Clean"))</x:f>
        <x:v>Clean</x:v>
      </x:c>
      <x:c r="AF538" s="80" t="str">
        <x:v>Pass</x:v>
      </x:c>
      <x:c r="AG538" s="80" t="str">
        <x:v>No text cleanup required</x:v>
      </x:c>
      <x:c r="AH538" s="12" t="str">
        <x:f>IF(C538="","Missing date",IF(ISNUMBER(C538),"Valid","Unrecognized/invalid date"))</x:f>
        <x:v>Valid</x:v>
      </x:c>
      <x:c r="AI538" s="12" t="str">
        <x:f>IF(D538="","Missing date",IF(ISNUMBER(D538),"Valid","Unrecognized/invalid date"))</x:f>
        <x:v>Valid</x:v>
      </x:c>
      <x:c r="AJ538" s="12" t="str">
        <x:v>Valid</x:v>
      </x:c>
      <x:c r="AK538" s="12" t="str">
        <x:v>Pass</x:v>
      </x:c>
      <x:c r="AL538" s="12" t="str">
        <x:v>Cancelled order – excluded from completed sales; Failed payment – excluded from completed sales</x:v>
      </x:c>
      <x:c r="AM538" s="12" t="str">
        <x:v>Valid</x:v>
      </x:c>
      <x:c r="AN538" s="12" t="str">
        <x:v>Exclude from completed sales</x:v>
      </x:c>
      <x:c r="AO538" s="12" t="str">
        <x:v>Not a refunded record</x:v>
      </x:c>
      <x:c r="AP538" s="37" t="n">
        <x:f>IF(LEFT($AM538,7)="Invalid","",IF($AM538="Missing discount imputed as 0",IF(AND(COUNT($O538,$P538,$R538,$S538)=4,$O538&gt;0,$P538&gt;=0,$R538&gt;=0,$S538&gt;=0),0,""),IF(AND(ISNUMBER($Q538),$Q538&gt;=0,$Q538&lt;=0.5),$Q538,"")))</x:f>
        <x:v>0.25</x:v>
      </x:c>
      <x:c r="AQ538" s="152" t="n">
        <x:f>IF(OR($W538="",NOT(ISNUMBER($R538))),"",ROUND($R538-$W538,2))</x:f>
        <x:v>0</x:v>
      </x:c>
      <x:c r="AR538" s="152" t="n">
        <x:f>IF(OR($X538="",NOT(ISNUMBER($T538))),"",ROUND($T538-$X538,2))</x:f>
        <x:v>0</x:v>
      </x:c>
      <x:c r="AS538" s="14" t="str">
        <x:v>OK</x:v>
      </x:c>
    </x:row>
    <x:row r="539">
      <x:c r="A539" s="80" t="n">
        <x:v>539</x:v>
      </x:c>
      <x:c r="B539" s="80" t="str">
        <x:v>ORD-2024-10538</x:v>
      </x:c>
      <x:c r="C539" s="81" t="n">
        <x:v>45313</x:v>
      </x:c>
      <x:c r="D539" s="81" t="n">
        <x:v>45321</x:v>
      </x:c>
      <x:c r="E539" s="80" t="str">
        <x:v>CUST-1370</x:v>
      </x:c>
      <x:c r="F539" s="80" t="str">
        <x:v>Ananya Rao</x:v>
      </x:c>
      <x:c r="G539" s="80" t="str">
        <x:v>Small Business</x:v>
      </x:c>
      <x:c r="H539" s="80" t="str">
        <x:v>North</x:v>
      </x:c>
      <x:c r="I539" s="80" t="str">
        <x:v>Haryana</x:v>
      </x:c>
      <x:c r="J539" s="80" t="str">
        <x:v>Gurugram</x:v>
      </x:c>
      <x:c r="K539" s="80" t="str">
        <x:v>Office Supplies</x:v>
      </x:c>
      <x:c r="L539" s="80" t="str">
        <x:v>Art</x:v>
      </x:c>
      <x:c r="M539" s="80" t="str">
        <x:v>Classic Art 772</x:v>
      </x:c>
      <x:c r="N539" s="80" t="str">
        <x:v>Same Day</x:v>
      </x:c>
      <x:c r="O539" s="82" t="n">
        <x:v>3</x:v>
      </x:c>
      <x:c r="P539" s="83" t="n">
        <x:v>676.37</x:v>
      </x:c>
      <x:c r="Q539" s="84" t="n">
        <x:v>0.05</x:v>
      </x:c>
      <x:c r="R539" s="83" t="n">
        <x:v>1927.65</x:v>
      </x:c>
      <x:c r="S539" s="83" t="n">
        <x:v>1460.6</x:v>
      </x:c>
      <x:c r="T539" s="83" t="n">
        <x:v>467.05</x:v>
      </x:c>
      <x:c r="U539" s="83" t="str">
        <x:v>Failed</x:v>
      </x:c>
      <x:c r="V539" s="83" t="str">
        <x:v>Cancelled</x:v>
      </x:c>
      <x:c r="W539" s="151" t="n">
        <x:f>IF(OR(NOT(ISNUMBER($AP539)),COUNT($O539,$P539)&lt;2,$O539&lt;=0,$P539&lt;0),"",ROUND($O539*$P539*(1-$AP539),2))</x:f>
        <x:v>1927.65</x:v>
      </x:c>
      <x:c r="X539" s="151" t="n">
        <x:f>IF(OR(NOT(ISNUMBER($W539)),NOT(ISNUMBER($S539))),"",ROUND($W539-$S539,2))</x:f>
        <x:v>467.05</x:v>
      </x:c>
      <x:c r="Y539" s="85" t="n">
        <x:f>IF(OR(NOT(ISNUMBER($W539)),NOT(ISNUMBER($X539)),$W539=0),"",ROUND($X539/$W539,4))</x:f>
        <x:v>0.2423</x:v>
      </x:c>
      <x:c r="Z539" s="82" t="n">
        <x:f>IF(OR($AH539&lt;&gt;"Valid",$AI539&lt;&gt;"Valid"),"",INT($D539-$C539))</x:f>
        <x:v>8</x:v>
      </x:c>
      <x:c r="AA539" s="86" t="str">
        <x:f>IF($AH539&lt;&gt;"Valid","",TEXT($C539,"mmmm"))</x:f>
        <x:v>January</x:v>
      </x:c>
      <x:c r="AB539" s="82" t="n">
        <x:f>IF($AH539&lt;&gt;"Valid","",YEAR($C539))</x:f>
        <x:v>2024</x:v>
      </x:c>
      <x:c r="AC539" s="80" t="str">
        <x:v>Cancelled (excluded from completed-sales summary)</x:v>
      </x:c>
      <x:c r="AD539" s="80" t="str">
        <x:v>Excluded</x:v>
      </x:c>
      <x:c r="AE539" s="80" t="str">
        <x:f>IF(OR($AH539&lt;&gt;"Valid",$AI539&lt;&gt;"Valid",$AJ539&lt;&gt;"Valid",LEFT($AM539,7)="Invalid",IFERROR(ABS($AQ539)&gt;0.01,FALSE),IFERROR(ABS($AR539)&gt;0.01,FALSE),COUNTIF($AS539,"*Conflicting duplicate*")&gt;0,COUNTIF($AS539,"*Completed order not paid*")&gt;0),"Invalid",IF(OR($H539="Unknown",$N539="Unknown",$AM539="Missing discount imputed as 0"),"Warning","Clean"))</x:f>
        <x:v>Clean</x:v>
      </x:c>
      <x:c r="AF539" s="80" t="str">
        <x:v>Pass</x:v>
      </x:c>
      <x:c r="AG539" s="80" t="str">
        <x:v>No text cleanup required</x:v>
      </x:c>
      <x:c r="AH539" s="12" t="str">
        <x:f>IF(C539="","Missing date",IF(ISNUMBER(C539),"Valid","Unrecognized/invalid date"))</x:f>
        <x:v>Valid</x:v>
      </x:c>
      <x:c r="AI539" s="12" t="str">
        <x:f>IF(D539="","Missing date",IF(ISNUMBER(D539),"Valid","Unrecognized/invalid date"))</x:f>
        <x:v>Valid</x:v>
      </x:c>
      <x:c r="AJ539" s="12" t="str">
        <x:v>Valid</x:v>
      </x:c>
      <x:c r="AK539" s="12" t="str">
        <x:v>Pass</x:v>
      </x:c>
      <x:c r="AL539" s="12" t="str">
        <x:v>Cancelled order – excluded from completed sales; Failed payment – excluded from completed sales</x:v>
      </x:c>
      <x:c r="AM539" s="12" t="str">
        <x:v>Valid</x:v>
      </x:c>
      <x:c r="AN539" s="12" t="str">
        <x:v>Exclude from completed sales</x:v>
      </x:c>
      <x:c r="AO539" s="12" t="str">
        <x:v>Not a refunded record</x:v>
      </x:c>
      <x:c r="AP539" s="37" t="n">
        <x:f>IF(LEFT($AM539,7)="Invalid","",IF($AM539="Missing discount imputed as 0",IF(AND(COUNT($O539,$P539,$R539,$S539)=4,$O539&gt;0,$P539&gt;=0,$R539&gt;=0,$S539&gt;=0),0,""),IF(AND(ISNUMBER($Q539),$Q539&gt;=0,$Q539&lt;=0.5),$Q539,"")))</x:f>
        <x:v>0.05</x:v>
      </x:c>
      <x:c r="AQ539" s="152" t="n">
        <x:f>IF(OR($W539="",NOT(ISNUMBER($R539))),"",ROUND($R539-$W539,2))</x:f>
        <x:v>0</x:v>
      </x:c>
      <x:c r="AR539" s="152" t="n">
        <x:f>IF(OR($X539="",NOT(ISNUMBER($T539))),"",ROUND($T539-$X539,2))</x:f>
        <x:v>0</x:v>
      </x:c>
      <x:c r="AS539" s="14" t="str">
        <x:v>OK</x:v>
      </x:c>
    </x:row>
    <x:row r="540">
      <x:c r="A540" s="80" t="n">
        <x:v>540</x:v>
      </x:c>
      <x:c r="B540" s="80" t="str">
        <x:v>ORD-2024-10539</x:v>
      </x:c>
      <x:c r="C540" s="81" t="n">
        <x:v>45560</x:v>
      </x:c>
      <x:c r="D540" s="81" t="n">
        <x:v>45566</x:v>
      </x:c>
      <x:c r="E540" s="80" t="str">
        <x:v>CUST-5381</x:v>
      </x:c>
      <x:c r="F540" s="80" t="str">
        <x:v>Diya Patel</x:v>
      </x:c>
      <x:c r="G540" s="80" t="str">
        <x:v>Small Business</x:v>
      </x:c>
      <x:c r="H540" s="80" t="str">
        <x:v>East</x:v>
      </x:c>
      <x:c r="I540" s="80" t="str">
        <x:v>Jharkhand</x:v>
      </x:c>
      <x:c r="J540" s="80" t="str">
        <x:v>Ranchi</x:v>
      </x:c>
      <x:c r="K540" s="80" t="str">
        <x:v>Furniture</x:v>
      </x:c>
      <x:c r="L540" s="80" t="str">
        <x:v>Tables</x:v>
      </x:c>
      <x:c r="M540" s="80" t="str">
        <x:v>Elite Tables 888</x:v>
      </x:c>
      <x:c r="N540" s="80" t="str">
        <x:v>Second Class</x:v>
      </x:c>
      <x:c r="O540" s="82" t="n">
        <x:v>9</x:v>
      </x:c>
      <x:c r="P540" s="83" t="n">
        <x:v>3908.6</x:v>
      </x:c>
      <x:c r="Q540" s="84" t="n">
        <x:v>0.15</x:v>
      </x:c>
      <x:c r="R540" s="83" t="n">
        <x:v>29900.79</x:v>
      </x:c>
      <x:c r="S540" s="83" t="n">
        <x:v>24650.67</x:v>
      </x:c>
      <x:c r="T540" s="83" t="n">
        <x:v>5250.12</x:v>
      </x:c>
      <x:c r="U540" s="83" t="str">
        <x:v>Paid</x:v>
      </x:c>
      <x:c r="V540" s="83" t="str">
        <x:v>Completed</x:v>
      </x:c>
      <x:c r="W540" s="151" t="n">
        <x:f>IF(OR(NOT(ISNUMBER($AP540)),COUNT($O540,$P540)&lt;2,$O540&lt;=0,$P540&lt;0),"",ROUND($O540*$P540*(1-$AP540),2))</x:f>
        <x:v>29900.79</x:v>
      </x:c>
      <x:c r="X540" s="151" t="n">
        <x:f>IF(OR(NOT(ISNUMBER($W540)),NOT(ISNUMBER($S540))),"",ROUND($W540-$S540,2))</x:f>
        <x:v>5250.12</x:v>
      </x:c>
      <x:c r="Y540" s="85" t="n">
        <x:f>IF(OR(NOT(ISNUMBER($W540)),NOT(ISNUMBER($X540)),$W540=0),"",ROUND($X540/$W540,4))</x:f>
        <x:v>0.1756</x:v>
      </x:c>
      <x:c r="Z540" s="82" t="n">
        <x:f>IF(OR($AH540&lt;&gt;"Valid",$AI540&lt;&gt;"Valid"),"",INT($D540-$C540))</x:f>
        <x:v>6</x:v>
      </x:c>
      <x:c r="AA540" s="86" t="str">
        <x:f>IF($AH540&lt;&gt;"Valid","",TEXT($C540,"mmmm"))</x:f>
        <x:v>September</x:v>
      </x:c>
      <x:c r="AB540" s="82" t="n">
        <x:f>IF($AH540&lt;&gt;"Valid","",YEAR($C540))</x:f>
        <x:v>2024</x:v>
      </x:c>
      <x:c r="AC540" s="80" t="str">
        <x:v>Consistent</x:v>
      </x:c>
      <x:c r="AD540" s="80" t="str">
        <x:v>Eligible</x:v>
      </x:c>
      <x:c r="AE540" s="80" t="str">
        <x:f>IF(OR($AH540&lt;&gt;"Valid",$AI540&lt;&gt;"Valid",$AJ540&lt;&gt;"Valid",LEFT($AM540,7)="Invalid",IFERROR(ABS($AQ540)&gt;0.01,FALSE),IFERROR(ABS($AR540)&gt;0.01,FALSE),COUNTIF($AS540,"*Conflicting duplicate*")&gt;0,COUNTIF($AS540,"*Completed order not paid*")&gt;0),"Invalid",IF(OR($H540="Unknown",$N540="Unknown",$AM540="Missing discount imputed as 0"),"Warning","Clean"))</x:f>
        <x:v>Clean</x:v>
      </x:c>
      <x:c r="AF540" s="80" t="str">
        <x:v>Pass</x:v>
      </x:c>
      <x:c r="AG540" s="80" t="str">
        <x:v>No text cleanup required</x:v>
      </x:c>
      <x:c r="AH540" s="12" t="str">
        <x:f>IF(C540="","Missing date",IF(ISNUMBER(C540),"Valid","Unrecognized/invalid date"))</x:f>
        <x:v>Valid</x:v>
      </x:c>
      <x:c r="AI540" s="12" t="str">
        <x:f>IF(D540="","Missing date",IF(ISNUMBER(D540),"Valid","Unrecognized/invalid date"))</x:f>
        <x:v>Valid</x:v>
      </x:c>
      <x:c r="AJ540" s="12" t="str">
        <x:v>Valid</x:v>
      </x:c>
      <x:c r="AK540" s="12" t="str">
        <x:v>Pass</x:v>
      </x:c>
      <x:c r="AL540" s="12" t="str">
        <x:v>None</x:v>
      </x:c>
      <x:c r="AM540" s="12" t="str">
        <x:v>Valid</x:v>
      </x:c>
      <x:c r="AN540" s="12" t="str">
        <x:v>Include in completed sales</x:v>
      </x:c>
      <x:c r="AO540" s="12" t="str">
        <x:v>Not a refunded record</x:v>
      </x:c>
      <x:c r="AP540" s="37" t="n">
        <x:f>IF(LEFT($AM540,7)="Invalid","",IF($AM540="Missing discount imputed as 0",IF(AND(COUNT($O540,$P540,$R540,$S540)=4,$O540&gt;0,$P540&gt;=0,$R540&gt;=0,$S540&gt;=0),0,""),IF(AND(ISNUMBER($Q540),$Q540&gt;=0,$Q540&lt;=0.5),$Q540,"")))</x:f>
        <x:v>0.15</x:v>
      </x:c>
      <x:c r="AQ540" s="152" t="n">
        <x:f>IF(OR($W540="",NOT(ISNUMBER($R540))),"",ROUND($R540-$W540,2))</x:f>
        <x:v>0</x:v>
      </x:c>
      <x:c r="AR540" s="152" t="n">
        <x:f>IF(OR($X540="",NOT(ISNUMBER($T540))),"",ROUND($T540-$X540,2))</x:f>
        <x:v>0</x:v>
      </x:c>
      <x:c r="AS540" s="14" t="str">
        <x:v>OK</x:v>
      </x:c>
    </x:row>
    <x:row r="541">
      <x:c r="A541" s="80" t="n">
        <x:v>541</x:v>
      </x:c>
      <x:c r="B541" s="80" t="str">
        <x:v>ORD-2025-10540</x:v>
      </x:c>
      <x:c r="C541" s="81" t="n">
        <x:v>45842</x:v>
      </x:c>
      <x:c r="D541" s="81" t="n">
        <x:v>45842</x:v>
      </x:c>
      <x:c r="E541" s="80" t="str">
        <x:v>CUST-3694</x:v>
      </x:c>
      <x:c r="F541" s="80" t="str">
        <x:v>Mira Das</x:v>
      </x:c>
      <x:c r="G541" s="80" t="str">
        <x:v>Small Business</x:v>
      </x:c>
      <x:c r="H541" s="80" t="str">
        <x:v>South</x:v>
      </x:c>
      <x:c r="I541" s="80" t="str">
        <x:v>Tamil Nadu</x:v>
      </x:c>
      <x:c r="J541" s="80" t="str">
        <x:v>Chennai</x:v>
      </x:c>
      <x:c r="K541" s="80" t="str">
        <x:v>Furniture</x:v>
      </x:c>
      <x:c r="L541" s="80" t="str">
        <x:v>Chairs</x:v>
      </x:c>
      <x:c r="M541" s="80" t="str">
        <x:v>Classic Chairs 666</x:v>
      </x:c>
      <x:c r="N541" s="80" t="str">
        <x:v>Standard Class</x:v>
      </x:c>
      <x:c r="O541" s="82" t="n">
        <x:v>3</x:v>
      </x:c>
      <x:c r="P541" s="83" t="n">
        <x:v>705.35</x:v>
      </x:c>
      <x:c r="Q541" s="84" t="n">
        <x:v>0.1</x:v>
      </x:c>
      <x:c r="R541" s="83" t="n">
        <x:v>1904.45</x:v>
      </x:c>
      <x:c r="S541" s="83" t="n">
        <x:v>1316.54</x:v>
      </x:c>
      <x:c r="T541" s="83" t="n">
        <x:v>587.91</x:v>
      </x:c>
      <x:c r="U541" s="83" t="str">
        <x:v>Paid</x:v>
      </x:c>
      <x:c r="V541" s="83" t="str">
        <x:v>Cancelled</x:v>
      </x:c>
      <x:c r="W541" s="151" t="n">
        <x:f>IF(OR(NOT(ISNUMBER($AP541)),COUNT($O541,$P541)&lt;2,$O541&lt;=0,$P541&lt;0),"",ROUND($O541*$P541*(1-$AP541),2))</x:f>
        <x:v>1904.45</x:v>
      </x:c>
      <x:c r="X541" s="151" t="n">
        <x:f>IF(OR(NOT(ISNUMBER($W541)),NOT(ISNUMBER($S541))),"",ROUND($W541-$S541,2))</x:f>
        <x:v>587.91</x:v>
      </x:c>
      <x:c r="Y541" s="85" t="n">
        <x:f>IF(OR(NOT(ISNUMBER($W541)),NOT(ISNUMBER($X541)),$W541=0),"",ROUND($X541/$W541,4))</x:f>
        <x:v>0.3087</x:v>
      </x:c>
      <x:c r="Z541" s="82" t="n">
        <x:f>IF(OR($AH541&lt;&gt;"Valid",$AI541&lt;&gt;"Valid"),"",INT($D541-$C541))</x:f>
        <x:v>0</x:v>
      </x:c>
      <x:c r="AA541" s="86" t="str">
        <x:f>IF($AH541&lt;&gt;"Valid","",TEXT($C541,"mmmm"))</x:f>
        <x:v>July</x:v>
      </x:c>
      <x:c r="AB541" s="82" t="n">
        <x:f>IF($AH541&lt;&gt;"Valid","",YEAR($C541))</x:f>
        <x:v>2025</x:v>
      </x:c>
      <x:c r="AC541" s="80" t="str">
        <x:v>Cancelled (excluded from completed-sales summary)</x:v>
      </x:c>
      <x:c r="AD541" s="80" t="str">
        <x:v>Excluded</x:v>
      </x:c>
      <x:c r="AE541" s="80" t="str">
        <x:f>IF(OR($AH541&lt;&gt;"Valid",$AI541&lt;&gt;"Valid",$AJ541&lt;&gt;"Valid",LEFT($AM541,7)="Invalid",IFERROR(ABS($AQ541)&gt;0.01,FALSE),IFERROR(ABS($AR541)&gt;0.01,FALSE),COUNTIF($AS541,"*Conflicting duplicate*")&gt;0,COUNTIF($AS541,"*Completed order not paid*")&gt;0),"Invalid",IF(OR($H541="Unknown",$N541="Unknown",$AM541="Missing discount imputed as 0"),"Warning","Clean"))</x:f>
        <x:v>Clean</x:v>
      </x:c>
      <x:c r="AF541" s="80" t="str">
        <x:v>Cleaned</x:v>
      </x:c>
      <x:c r="AG541" s="80" t="str">
        <x:v>customer_name: Case standardization</x:v>
      </x:c>
      <x:c r="AH541" s="12" t="str">
        <x:f>IF(C541="","Missing date",IF(ISNUMBER(C541),"Valid","Unrecognized/invalid date"))</x:f>
        <x:v>Valid</x:v>
      </x:c>
      <x:c r="AI541" s="12" t="str">
        <x:f>IF(D541="","Missing date",IF(ISNUMBER(D541),"Valid","Unrecognized/invalid date"))</x:f>
        <x:v>Valid</x:v>
      </x:c>
      <x:c r="AJ541" s="12" t="str">
        <x:v>Valid</x:v>
      </x:c>
      <x:c r="AK541" s="12" t="str">
        <x:v>Pass</x:v>
      </x:c>
      <x:c r="AL541" s="12" t="str">
        <x:v>Cancelled order – excluded from completed sales</x:v>
      </x:c>
      <x:c r="AM541" s="12" t="str">
        <x:v>Valid</x:v>
      </x:c>
      <x:c r="AN541" s="12" t="str">
        <x:v>Exclude from completed sales</x:v>
      </x:c>
      <x:c r="AO541" s="12" t="str">
        <x:v>Not a refunded record</x:v>
      </x:c>
      <x:c r="AP541" s="37" t="n">
        <x:f>IF(LEFT($AM541,7)="Invalid","",IF($AM541="Missing discount imputed as 0",IF(AND(COUNT($O541,$P541,$R541,$S541)=4,$O541&gt;0,$P541&gt;=0,$R541&gt;=0,$S541&gt;=0),0,""),IF(AND(ISNUMBER($Q541),$Q541&gt;=0,$Q541&lt;=0.5),$Q541,"")))</x:f>
        <x:v>0.1</x:v>
      </x:c>
      <x:c r="AQ541" s="152" t="n">
        <x:f>IF(OR($W541="",NOT(ISNUMBER($R541))),"",ROUND($R541-$W541,2))</x:f>
        <x:v>0</x:v>
      </x:c>
      <x:c r="AR541" s="152" t="n">
        <x:f>IF(OR($X541="",NOT(ISNUMBER($T541))),"",ROUND($T541-$X541,2))</x:f>
        <x:v>0</x:v>
      </x:c>
      <x:c r="AS541" s="14" t="str">
        <x:v>OK</x:v>
      </x:c>
    </x:row>
    <x:row r="542">
      <x:c r="A542" s="80" t="n">
        <x:v>542</x:v>
      </x:c>
      <x:c r="B542" s="80" t="str">
        <x:v>ORD-2024-10541</x:v>
      </x:c>
      <x:c r="C542" s="81" t="n">
        <x:v>45348</x:v>
      </x:c>
      <x:c r="D542" s="81" t="n">
        <x:v>45345</x:v>
      </x:c>
      <x:c r="E542" s="80" t="str">
        <x:v>CUST-7563</x:v>
      </x:c>
      <x:c r="F542" s="80" t="str">
        <x:v>Kabir Singh</x:v>
      </x:c>
      <x:c r="G542" s="80" t="str">
        <x:v>Consumer</x:v>
      </x:c>
      <x:c r="H542" s="80" t="str">
        <x:v>West</x:v>
      </x:c>
      <x:c r="I542" s="80" t="str">
        <x:v>Gujarat</x:v>
      </x:c>
      <x:c r="J542" s="80" t="str">
        <x:v>Ahmedabad</x:v>
      </x:c>
      <x:c r="K542" s="80" t="str">
        <x:v>Furniture</x:v>
      </x:c>
      <x:c r="L542" s="80" t="str">
        <x:v>Furnishings</x:v>
      </x:c>
      <x:c r="M542" s="80" t="str">
        <x:v>Basic Furnishings 350</x:v>
      </x:c>
      <x:c r="N542" s="80" t="str">
        <x:v>Standard Class</x:v>
      </x:c>
      <x:c r="O542" s="82" t="n">
        <x:v>7</x:v>
      </x:c>
      <x:c r="P542" s="83" t="n">
        <x:v>3852.07</x:v>
      </x:c>
      <x:c r="Q542" s="84" t="n">
        <x:v>0.2</x:v>
      </x:c>
      <x:c r="R542" s="83" t="n">
        <x:v>21571.59</x:v>
      </x:c>
      <x:c r="S542" s="83" t="n">
        <x:v>17118.07</x:v>
      </x:c>
      <x:c r="T542" s="83" t="n">
        <x:v>4453.52</x:v>
      </x:c>
      <x:c r="U542" s="83" t="str">
        <x:v>Paid</x:v>
      </x:c>
      <x:c r="V542" s="83" t="str">
        <x:v>Completed</x:v>
      </x:c>
      <x:c r="W542" s="151" t="n">
        <x:f>IF(OR(NOT(ISNUMBER($AP542)),COUNT($O542,$P542)&lt;2,$O542&lt;=0,$P542&lt;0),"",ROUND($O542*$P542*(1-$AP542),2))</x:f>
        <x:v>21571.59</x:v>
      </x:c>
      <x:c r="X542" s="151" t="n">
        <x:f>IF(OR(NOT(ISNUMBER($W542)),NOT(ISNUMBER($S542))),"",ROUND($W542-$S542,2))</x:f>
        <x:v>4453.52</x:v>
      </x:c>
      <x:c r="Y542" s="85" t="n">
        <x:f>IF(OR(NOT(ISNUMBER($W542)),NOT(ISNUMBER($X542)),$W542=0),"",ROUND($X542/$W542,4))</x:f>
        <x:v>0.2065</x:v>
      </x:c>
      <x:c r="Z542" s="82" t="n">
        <x:f>IF(OR($AH542&lt;&gt;"Valid",$AI542&lt;&gt;"Valid"),"",INT($D542-$C542))</x:f>
        <x:v>-3</x:v>
      </x:c>
      <x:c r="AA542" s="86" t="str">
        <x:f>IF($AH542&lt;&gt;"Valid","",TEXT($C542,"mmmm"))</x:f>
        <x:v>February</x:v>
      </x:c>
      <x:c r="AB542" s="82" t="n">
        <x:f>IF($AH542&lt;&gt;"Valid","",YEAR($C542))</x:f>
        <x:v>2024</x:v>
      </x:c>
      <x:c r="AC542" s="80" t="str">
        <x:v>Consistent</x:v>
      </x:c>
      <x:c r="AD542" s="80" t="str">
        <x:v>Excluded</x:v>
      </x:c>
      <x:c r="AE542" s="80" t="str">
        <x:f>IF(OR($AH542&lt;&gt;"Valid",$AI542&lt;&gt;"Valid",$AJ542&lt;&gt;"Valid",LEFT($AM542,7)="Invalid",IFERROR(ABS($AQ542)&gt;0.01,FALSE),IFERROR(ABS($AR542)&gt;0.01,FALSE),COUNTIF($AS542,"*Conflicting duplicate*")&gt;0,COUNTIF($AS542,"*Completed order not paid*")&gt;0),"Invalid",IF(OR($H542="Unknown",$N542="Unknown",$AM542="Missing discount imputed as 0"),"Warning","Clean"))</x:f>
        <x:v>Invalid</x:v>
      </x:c>
      <x:c r="AF542" s="80" t="str">
        <x:v>Review</x:v>
      </x:c>
      <x:c r="AG542" s="80" t="str">
        <x:v>No text cleanup required</x:v>
      </x:c>
      <x:c r="AH542" s="12" t="str">
        <x:f>IF(C542="","Missing date",IF(ISNUMBER(C542),"Valid","Unrecognized/invalid date"))</x:f>
        <x:v>Valid</x:v>
      </x:c>
      <x:c r="AI542" s="12" t="str">
        <x:f>IF(D542="","Missing date",IF(ISNUMBER(D542),"Valid","Unrecognized/invalid date"))</x:f>
        <x:v>Valid</x:v>
      </x:c>
      <x:c r="AJ542" s="12" t="str">
        <x:v>Invalid</x:v>
      </x:c>
      <x:c r="AK542" s="12" t="str">
        <x:v>Ship date is earlier than order date</x:v>
      </x:c>
      <x:c r="AL542" s="12" t="str">
        <x:v>None</x:v>
      </x:c>
      <x:c r="AM542" s="12" t="str">
        <x:v>Valid</x:v>
      </x:c>
      <x:c r="AN542" s="12" t="str">
        <x:v>Exclude from completed sales</x:v>
      </x:c>
      <x:c r="AO542" s="12" t="str">
        <x:v>Not a refunded record</x:v>
      </x:c>
      <x:c r="AP542" s="37" t="n">
        <x:f>IF(LEFT($AM542,7)="Invalid","",IF($AM542="Missing discount imputed as 0",IF(AND(COUNT($O542,$P542,$R542,$S542)=4,$O542&gt;0,$P542&gt;=0,$R542&gt;=0,$S542&gt;=0),0,""),IF(AND(ISNUMBER($Q542),$Q542&gt;=0,$Q542&lt;=0.5),$Q542,"")))</x:f>
        <x:v>0.2</x:v>
      </x:c>
      <x:c r="AQ542" s="152" t="n">
        <x:f>IF(OR($W542="",NOT(ISNUMBER($R542))),"",ROUND($R542-$W542,2))</x:f>
        <x:v>0</x:v>
      </x:c>
      <x:c r="AR542" s="152" t="n">
        <x:f>IF(OR($X542="",NOT(ISNUMBER($T542))),"",ROUND($T542-$X542,2))</x:f>
        <x:v>0</x:v>
      </x:c>
      <x:c r="AS542" s="14" t="str">
        <x:v>Ship date earlier than order date</x:v>
      </x:c>
    </x:row>
    <x:row r="543">
      <x:c r="A543" s="80" t="n">
        <x:v>543</x:v>
      </x:c>
      <x:c r="B543" s="80" t="str">
        <x:v>ORD-2025-10542</x:v>
      </x:c>
      <x:c r="C543" s="81" t="n">
        <x:v>45846</x:v>
      </x:c>
      <x:c r="D543" s="81" t="n">
        <x:v>45847</x:v>
      </x:c>
      <x:c r="E543" s="80" t="str">
        <x:v>CUST-4188</x:v>
      </x:c>
      <x:c r="F543" s="80" t="str">
        <x:v>Sneha Kapoor</x:v>
      </x:c>
      <x:c r="G543" s="80" t="str">
        <x:v>Consumer</x:v>
      </x:c>
      <x:c r="H543" s="80" t="str">
        <x:v>West</x:v>
      </x:c>
      <x:c r="I543" s="80" t="str">
        <x:v>Maharashtra</x:v>
      </x:c>
      <x:c r="J543" s="80" t="str">
        <x:v>Mumbai</x:v>
      </x:c>
      <x:c r="K543" s="80" t="str">
        <x:v>Technology</x:v>
      </x:c>
      <x:c r="L543" s="80" t="str">
        <x:v>Copiers</x:v>
      </x:c>
      <x:c r="M543" s="80" t="str">
        <x:v>Elite Copiers 831</x:v>
      </x:c>
      <x:c r="N543" s="80" t="str">
        <x:v>Same Day</x:v>
      </x:c>
      <x:c r="O543" s="82" t="n">
        <x:v>3</x:v>
      </x:c>
      <x:c r="P543" s="83" t="n">
        <x:v>2880.56</x:v>
      </x:c>
      <x:c r="Q543" s="84" t="n">
        <x:v>0</x:v>
      </x:c>
      <x:c r="R543" s="83" t="n">
        <x:v>8641.68</x:v>
      </x:c>
      <x:c r="S543" s="83" t="n">
        <x:v>5747.09</x:v>
      </x:c>
      <x:c r="T543" s="83" t="n">
        <x:v>2894.59</x:v>
      </x:c>
      <x:c r="U543" s="83" t="str">
        <x:v>Paid</x:v>
      </x:c>
      <x:c r="V543" s="83" t="str">
        <x:v>Returned</x:v>
      </x:c>
      <x:c r="W543" s="151" t="n">
        <x:f>IF(OR(NOT(ISNUMBER($AP543)),COUNT($O543,$P543)&lt;2,$O543&lt;=0,$P543&lt;0),"",ROUND($O543*$P543*(1-$AP543),2))</x:f>
        <x:v>8641.68</x:v>
      </x:c>
      <x:c r="X543" s="151" t="n">
        <x:f>IF(OR(NOT(ISNUMBER($W543)),NOT(ISNUMBER($S543))),"",ROUND($W543-$S543,2))</x:f>
        <x:v>2894.59</x:v>
      </x:c>
      <x:c r="Y543" s="85" t="n">
        <x:f>IF(OR(NOT(ISNUMBER($W543)),NOT(ISNUMBER($X543)),$W543=0),"",ROUND($X543/$W543,4))</x:f>
        <x:v>0.335</x:v>
      </x:c>
      <x:c r="Z543" s="82" t="n">
        <x:f>IF(OR($AH543&lt;&gt;"Valid",$AI543&lt;&gt;"Valid"),"",INT($D543-$C543))</x:f>
        <x:v>1</x:v>
      </x:c>
      <x:c r="AA543" s="86" t="str">
        <x:f>IF($AH543&lt;&gt;"Valid","",TEXT($C543,"mmmm"))</x:f>
        <x:v>July</x:v>
      </x:c>
      <x:c r="AB543" s="82" t="n">
        <x:f>IF($AH543&lt;&gt;"Valid","",YEAR($C543))</x:f>
        <x:v>2025</x:v>
      </x:c>
      <x:c r="AC543" s="80" t="str">
        <x:v>Consistent</x:v>
      </x:c>
      <x:c r="AD543" s="80" t="str">
        <x:v>Excluded</x:v>
      </x:c>
      <x:c r="AE543" s="80" t="str">
        <x:f>IF(OR($AH543&lt;&gt;"Valid",$AI543&lt;&gt;"Valid",$AJ543&lt;&gt;"Valid",LEFT($AM543,7)="Invalid",IFERROR(ABS($AQ543)&gt;0.01,FALSE),IFERROR(ABS($AR543)&gt;0.01,FALSE),COUNTIF($AS543,"*Conflicting duplicate*")&gt;0,COUNTIF($AS543,"*Completed order not paid*")&gt;0),"Invalid",IF(OR($H543="Unknown",$N543="Unknown",$AM543="Missing discount imputed as 0"),"Warning","Clean"))</x:f>
        <x:v>Clean</x:v>
      </x:c>
      <x:c r="AF543" s="80" t="str">
        <x:v>Pass</x:v>
      </x:c>
      <x:c r="AG543" s="80" t="str">
        <x:v>No text cleanup required</x:v>
      </x:c>
      <x:c r="AH543" s="12" t="str">
        <x:f>IF(C543="","Missing date",IF(ISNUMBER(C543),"Valid","Unrecognized/invalid date"))</x:f>
        <x:v>Valid</x:v>
      </x:c>
      <x:c r="AI543" s="12" t="str">
        <x:f>IF(D543="","Missing date",IF(ISNUMBER(D543),"Valid","Unrecognized/invalid date"))</x:f>
        <x:v>Valid</x:v>
      </x:c>
      <x:c r="AJ543" s="12" t="str">
        <x:v>Valid</x:v>
      </x:c>
      <x:c r="AK543" s="12" t="str">
        <x:v>Pass</x:v>
      </x:c>
      <x:c r="AL543" s="12" t="str">
        <x:v>None</x:v>
      </x:c>
      <x:c r="AM543" s="12" t="str">
        <x:v>Valid</x:v>
      </x:c>
      <x:c r="AN543" s="12" t="str">
        <x:v>Exclude from completed sales</x:v>
      </x:c>
      <x:c r="AO543" s="12" t="str">
        <x:v>Not a refunded record</x:v>
      </x:c>
      <x:c r="AP543" s="37" t="n">
        <x:f>IF(LEFT($AM543,7)="Invalid","",IF($AM543="Missing discount imputed as 0",IF(AND(COUNT($O543,$P543,$R543,$S543)=4,$O543&gt;0,$P543&gt;=0,$R543&gt;=0,$S543&gt;=0),0,""),IF(AND(ISNUMBER($Q543),$Q543&gt;=0,$Q543&lt;=0.5),$Q543,"")))</x:f>
        <x:v>0</x:v>
      </x:c>
      <x:c r="AQ543" s="152" t="n">
        <x:f>IF(OR($W543="",NOT(ISNUMBER($R543))),"",ROUND($R543-$W543,2))</x:f>
        <x:v>0</x:v>
      </x:c>
      <x:c r="AR543" s="152" t="n">
        <x:f>IF(OR($X543="",NOT(ISNUMBER($T543))),"",ROUND($T543-$X543,2))</x:f>
        <x:v>0</x:v>
      </x:c>
      <x:c r="AS543" s="14" t="str">
        <x:v>OK</x:v>
      </x:c>
    </x:row>
    <x:row r="544">
      <x:c r="A544" s="80" t="n">
        <x:v>544</x:v>
      </x:c>
      <x:c r="B544" s="80" t="str">
        <x:v>ORD-2024-10543</x:v>
      </x:c>
      <x:c r="C544" s="81" t="n">
        <x:v>45552</x:v>
      </x:c>
      <x:c r="D544" s="81" t="n">
        <x:v>45558</x:v>
      </x:c>
      <x:c r="E544" s="80" t="str">
        <x:v>CUST-9376</x:v>
      </x:c>
      <x:c r="F544" s="80" t="str">
        <x:v>Rahul Verma</x:v>
      </x:c>
      <x:c r="G544" s="80" t="str">
        <x:v>Home Office</x:v>
      </x:c>
      <x:c r="H544" s="80" t="str">
        <x:v>South</x:v>
      </x:c>
      <x:c r="I544" s="80" t="str">
        <x:v>Kerala</x:v>
      </x:c>
      <x:c r="J544" s="80" t="str">
        <x:v>Kochi</x:v>
      </x:c>
      <x:c r="K544" s="80" t="str">
        <x:v>Furniture</x:v>
      </x:c>
      <x:c r="L544" s="80" t="str">
        <x:v>Bookcases</x:v>
      </x:c>
      <x:c r="M544" s="80" t="str">
        <x:v>Eco Bookcases 759</x:v>
      </x:c>
      <x:c r="N544" s="80" t="str">
        <x:v>Second Class</x:v>
      </x:c>
      <x:c r="O544" s="82" t="n">
        <x:v>3</x:v>
      </x:c>
      <x:c r="P544" s="83" t="n">
        <x:v>4067.62</x:v>
      </x:c>
      <x:c r="Q544" s="84" t="n">
        <x:v>0.2</x:v>
      </x:c>
      <x:c r="R544" s="83" t="n">
        <x:v>9988.53</x:v>
      </x:c>
      <x:c r="S544" s="83" t="n">
        <x:v>8368.24</x:v>
      </x:c>
      <x:c r="T544" s="83" t="n">
        <x:v>1394.05</x:v>
      </x:c>
      <x:c r="U544" s="83" t="str">
        <x:v>Paid</x:v>
      </x:c>
      <x:c r="V544" s="83" t="str">
        <x:v>Cancelled</x:v>
      </x:c>
      <x:c r="W544" s="151" t="n">
        <x:f>IF(OR(NOT(ISNUMBER($AP544)),COUNT($O544,$P544)&lt;2,$O544&lt;=0,$P544&lt;0),"",ROUND($O544*$P544*(1-$AP544),2))</x:f>
        <x:v>9762.29</x:v>
      </x:c>
      <x:c r="X544" s="151" t="n">
        <x:f>IF(OR(NOT(ISNUMBER($W544)),NOT(ISNUMBER($S544))),"",ROUND($W544-$S544,2))</x:f>
        <x:v>1394.05</x:v>
      </x:c>
      <x:c r="Y544" s="85" t="n">
        <x:f>IF(OR(NOT(ISNUMBER($W544)),NOT(ISNUMBER($X544)),$W544=0),"",ROUND($X544/$W544,4))</x:f>
        <x:v>0.1428</x:v>
      </x:c>
      <x:c r="Z544" s="82" t="n">
        <x:f>IF(OR($AH544&lt;&gt;"Valid",$AI544&lt;&gt;"Valid"),"",INT($D544-$C544))</x:f>
        <x:v>6</x:v>
      </x:c>
      <x:c r="AA544" s="86" t="str">
        <x:f>IF($AH544&lt;&gt;"Valid","",TEXT($C544,"mmmm"))</x:f>
        <x:v>September</x:v>
      </x:c>
      <x:c r="AB544" s="82" t="n">
        <x:f>IF($AH544&lt;&gt;"Valid","",YEAR($C544))</x:f>
        <x:v>2024</x:v>
      </x:c>
      <x:c r="AC544" s="80" t="str">
        <x:v>Cancelled (excluded from completed-sales summary)</x:v>
      </x:c>
      <x:c r="AD544" s="80" t="str">
        <x:v>Excluded</x:v>
      </x:c>
      <x:c r="AE544" s="80" t="str">
        <x:f>IF(OR($AH544&lt;&gt;"Valid",$AI544&lt;&gt;"Valid",$AJ544&lt;&gt;"Valid",LEFT($AM544,7)="Invalid",IFERROR(ABS($AQ544)&gt;0.01,FALSE),IFERROR(ABS($AR544)&gt;0.01,FALSE),COUNTIF($AS544,"*Conflicting duplicate*")&gt;0,COUNTIF($AS544,"*Completed order not paid*")&gt;0),"Invalid",IF(OR($H544="Unknown",$N544="Unknown",$AM544="Missing discount imputed as 0"),"Warning","Clean"))</x:f>
        <x:v>Invalid</x:v>
      </x:c>
      <x:c r="AF544" s="80" t="str">
        <x:v>Review</x:v>
      </x:c>
      <x:c r="AG544" s="80" t="str">
        <x:v>order_status: Case standardization</x:v>
      </x:c>
      <x:c r="AH544" s="12" t="str">
        <x:f>IF(C544="","Missing date",IF(ISNUMBER(C544),"Valid","Unrecognized/invalid date"))</x:f>
        <x:v>Valid</x:v>
      </x:c>
      <x:c r="AI544" s="12" t="str">
        <x:f>IF(D544="","Missing date",IF(ISNUMBER(D544),"Valid","Unrecognized/invalid date"))</x:f>
        <x:v>Valid</x:v>
      </x:c>
      <x:c r="AJ544" s="12" t="str">
        <x:v>Valid</x:v>
      </x:c>
      <x:c r="AK544" s="12" t="str">
        <x:v>Pass</x:v>
      </x:c>
      <x:c r="AL544" s="12" t="str">
        <x:v>Cancelled order – excluded from completed sales</x:v>
      </x:c>
      <x:c r="AM544" s="12" t="str">
        <x:v>Valid</x:v>
      </x:c>
      <x:c r="AN544" s="12" t="str">
        <x:v>Exclude from completed sales</x:v>
      </x:c>
      <x:c r="AO544" s="12" t="str">
        <x:v>Not a refunded record</x:v>
      </x:c>
      <x:c r="AP544" s="37" t="n">
        <x:f>IF(LEFT($AM544,7)="Invalid","",IF($AM544="Missing discount imputed as 0",IF(AND(COUNT($O544,$P544,$R544,$S544)=4,$O544&gt;0,$P544&gt;=0,$R544&gt;=0,$S544&gt;=0),0,""),IF(AND(ISNUMBER($Q544),$Q544&gt;=0,$Q544&lt;=0.5),$Q544,"")))</x:f>
        <x:v>0.2</x:v>
      </x:c>
      <x:c r="AQ544" s="152" t="n">
        <x:f>IF(OR($W544="",NOT(ISNUMBER($R544))),"",ROUND($R544-$W544,2))</x:f>
        <x:v>226.24</x:v>
      </x:c>
      <x:c r="AR544" s="152" t="n">
        <x:f>IF(OR($X544="",NOT(ISNUMBER($T544))),"",ROUND($T544-$X544,2))</x:f>
        <x:v>0</x:v>
      </x:c>
      <x:c r="AS544" s="14" t="str">
        <x:v>Sales calculation mismatch; Profit calculation mismatch</x:v>
      </x:c>
    </x:row>
    <x:row r="545">
      <x:c r="A545" s="80" t="n">
        <x:v>545</x:v>
      </x:c>
      <x:c r="B545" s="80" t="str">
        <x:v>ORD-2024-10544</x:v>
      </x:c>
      <x:c r="C545" s="81" t="n">
        <x:v>45487</x:v>
      </x:c>
      <x:c r="D545" s="81" t="n">
        <x:v>45493</x:v>
      </x:c>
      <x:c r="E545" s="80" t="str">
        <x:v>CUST-9094</x:v>
      </x:c>
      <x:c r="F545" s="80" t="str">
        <x:v>Mira Das</x:v>
      </x:c>
      <x:c r="G545" s="80" t="str">
        <x:v>Consumer</x:v>
      </x:c>
      <x:c r="H545" s="80" t="str">
        <x:v>East</x:v>
      </x:c>
      <x:c r="I545" s="80" t="str">
        <x:v>Bihar</x:v>
      </x:c>
      <x:c r="J545" s="80" t="str">
        <x:v>Patna</x:v>
      </x:c>
      <x:c r="K545" s="80" t="str">
        <x:v>Technology</x:v>
      </x:c>
      <x:c r="L545" s="80" t="str">
        <x:v>Copiers</x:v>
      </x:c>
      <x:c r="M545" s="80" t="str">
        <x:v>Max Copiers 440</x:v>
      </x:c>
      <x:c r="N545" s="80" t="str">
        <x:v>Same Day</x:v>
      </x:c>
      <x:c r="O545" s="82" t="n">
        <x:v>1</x:v>
      </x:c>
      <x:c r="P545" s="83" t="n">
        <x:v>492.67</x:v>
      </x:c>
      <x:c r="Q545" s="84" t="n">
        <x:v>0.15</x:v>
      </x:c>
      <x:c r="R545" s="83" t="n">
        <x:v>418.77</x:v>
      </x:c>
      <x:c r="S545" s="83" t="n">
        <x:v>313.72</x:v>
      </x:c>
      <x:c r="T545" s="83" t="n">
        <x:v>105.05</x:v>
      </x:c>
      <x:c r="U545" s="83" t="str">
        <x:v>Paid</x:v>
      </x:c>
      <x:c r="V545" s="83" t="str">
        <x:v>Completed</x:v>
      </x:c>
      <x:c r="W545" s="151" t="n">
        <x:f>IF(OR(NOT(ISNUMBER($AP545)),COUNT($O545,$P545)&lt;2,$O545&lt;=0,$P545&lt;0),"",ROUND($O545*$P545*(1-$AP545),2))</x:f>
        <x:v>418.77</x:v>
      </x:c>
      <x:c r="X545" s="151" t="n">
        <x:f>IF(OR(NOT(ISNUMBER($W545)),NOT(ISNUMBER($S545))),"",ROUND($W545-$S545,2))</x:f>
        <x:v>105.05</x:v>
      </x:c>
      <x:c r="Y545" s="85" t="n">
        <x:f>IF(OR(NOT(ISNUMBER($W545)),NOT(ISNUMBER($X545)),$W545=0),"",ROUND($X545/$W545,4))</x:f>
        <x:v>0.2509</x:v>
      </x:c>
      <x:c r="Z545" s="82" t="n">
        <x:f>IF(OR($AH545&lt;&gt;"Valid",$AI545&lt;&gt;"Valid"),"",INT($D545-$C545))</x:f>
        <x:v>6</x:v>
      </x:c>
      <x:c r="AA545" s="86" t="str">
        <x:f>IF($AH545&lt;&gt;"Valid","",TEXT($C545,"mmmm"))</x:f>
        <x:v>July</x:v>
      </x:c>
      <x:c r="AB545" s="82" t="n">
        <x:f>IF($AH545&lt;&gt;"Valid","",YEAR($C545))</x:f>
        <x:v>2024</x:v>
      </x:c>
      <x:c r="AC545" s="80" t="str">
        <x:v>Consistent</x:v>
      </x:c>
      <x:c r="AD545" s="80" t="str">
        <x:v>Eligible</x:v>
      </x:c>
      <x:c r="AE545" s="80" t="str">
        <x:f>IF(OR($AH545&lt;&gt;"Valid",$AI545&lt;&gt;"Valid",$AJ545&lt;&gt;"Valid",LEFT($AM545,7)="Invalid",IFERROR(ABS($AQ545)&gt;0.01,FALSE),IFERROR(ABS($AR545)&gt;0.01,FALSE),COUNTIF($AS545,"*Conflicting duplicate*")&gt;0,COUNTIF($AS545,"*Completed order not paid*")&gt;0),"Invalid",IF(OR($H545="Unknown",$N545="Unknown",$AM545="Missing discount imputed as 0"),"Warning","Clean"))</x:f>
        <x:v>Clean</x:v>
      </x:c>
      <x:c r="AF545" s="80" t="str">
        <x:v>Pass</x:v>
      </x:c>
      <x:c r="AG545" s="80" t="str">
        <x:v>No text cleanup required</x:v>
      </x:c>
      <x:c r="AH545" s="12" t="str">
        <x:f>IF(C545="","Missing date",IF(ISNUMBER(C545),"Valid","Unrecognized/invalid date"))</x:f>
        <x:v>Valid</x:v>
      </x:c>
      <x:c r="AI545" s="12" t="str">
        <x:f>IF(D545="","Missing date",IF(ISNUMBER(D545),"Valid","Unrecognized/invalid date"))</x:f>
        <x:v>Valid</x:v>
      </x:c>
      <x:c r="AJ545" s="12" t="str">
        <x:v>Valid</x:v>
      </x:c>
      <x:c r="AK545" s="12" t="str">
        <x:v>Pass</x:v>
      </x:c>
      <x:c r="AL545" s="12" t="str">
        <x:v>None</x:v>
      </x:c>
      <x:c r="AM545" s="12" t="str">
        <x:v>Valid</x:v>
      </x:c>
      <x:c r="AN545" s="12" t="str">
        <x:v>Include in completed sales</x:v>
      </x:c>
      <x:c r="AO545" s="12" t="str">
        <x:v>Not a refunded record</x:v>
      </x:c>
      <x:c r="AP545" s="37" t="n">
        <x:f>IF(LEFT($AM545,7)="Invalid","",IF($AM545="Missing discount imputed as 0",IF(AND(COUNT($O545,$P545,$R545,$S545)=4,$O545&gt;0,$P545&gt;=0,$R545&gt;=0,$S545&gt;=0),0,""),IF(AND(ISNUMBER($Q545),$Q545&gt;=0,$Q545&lt;=0.5),$Q545,"")))</x:f>
        <x:v>0.15</x:v>
      </x:c>
      <x:c r="AQ545" s="152" t="n">
        <x:f>IF(OR($W545="",NOT(ISNUMBER($R545))),"",ROUND($R545-$W545,2))</x:f>
        <x:v>0</x:v>
      </x:c>
      <x:c r="AR545" s="152" t="n">
        <x:f>IF(OR($X545="",NOT(ISNUMBER($T545))),"",ROUND($T545-$X545,2))</x:f>
        <x:v>0</x:v>
      </x:c>
      <x:c r="AS545" s="14" t="str">
        <x:v>OK</x:v>
      </x:c>
    </x:row>
    <x:row r="546">
      <x:c r="A546" s="80" t="n">
        <x:v>546</x:v>
      </x:c>
      <x:c r="B546" s="80" t="str">
        <x:v>ORD-2025-10545</x:v>
      </x:c>
      <x:c r="C546" s="81" t="n">
        <x:v>45686</x:v>
      </x:c>
      <x:c r="D546" s="81" t="n">
        <x:v>45693</x:v>
      </x:c>
      <x:c r="E546" s="80" t="str">
        <x:v>CUST-2366</x:v>
      </x:c>
      <x:c r="F546" s="80" t="str">
        <x:v>Ananya Rao</x:v>
      </x:c>
      <x:c r="G546" s="80" t="str">
        <x:v>Consumer</x:v>
      </x:c>
      <x:c r="H546" s="80" t="str">
        <x:v>South</x:v>
      </x:c>
      <x:c r="I546" s="80" t="str">
        <x:v>Kerala</x:v>
      </x:c>
      <x:c r="J546" s="80" t="str">
        <x:v>Kochi</x:v>
      </x:c>
      <x:c r="K546" s="80" t="str">
        <x:v>Office Supplies</x:v>
      </x:c>
      <x:c r="L546" s="80" t="str">
        <x:v>Art</x:v>
      </x:c>
      <x:c r="M546" s="80" t="str">
        <x:v>Smart Art 201</x:v>
      </x:c>
      <x:c r="N546" s="80" t="str">
        <x:v>Same Day</x:v>
      </x:c>
      <x:c r="O546" s="82" t="n">
        <x:v>8</x:v>
      </x:c>
      <x:c r="P546" s="83" t="n">
        <x:v>3643.62</x:v>
      </x:c>
      <x:c r="Q546" s="84" t="n">
        <x:v>0.25</x:v>
      </x:c>
      <x:c r="R546" s="83" t="n">
        <x:v>21861.72</x:v>
      </x:c>
      <x:c r="S546" s="83" t="n">
        <x:v>18464.34</x:v>
      </x:c>
      <x:c r="T546" s="83" t="n">
        <x:v>3397.38</x:v>
      </x:c>
      <x:c r="U546" s="83" t="str">
        <x:v>Paid</x:v>
      </x:c>
      <x:c r="V546" s="83" t="str">
        <x:v>Cancelled</x:v>
      </x:c>
      <x:c r="W546" s="151" t="n">
        <x:f>IF(OR(NOT(ISNUMBER($AP546)),COUNT($O546,$P546)&lt;2,$O546&lt;=0,$P546&lt;0),"",ROUND($O546*$P546*(1-$AP546),2))</x:f>
        <x:v>21861.72</x:v>
      </x:c>
      <x:c r="X546" s="151" t="n">
        <x:f>IF(OR(NOT(ISNUMBER($W546)),NOT(ISNUMBER($S546))),"",ROUND($W546-$S546,2))</x:f>
        <x:v>3397.38</x:v>
      </x:c>
      <x:c r="Y546" s="85" t="n">
        <x:f>IF(OR(NOT(ISNUMBER($W546)),NOT(ISNUMBER($X546)),$W546=0),"",ROUND($X546/$W546,4))</x:f>
        <x:v>0.1554</x:v>
      </x:c>
      <x:c r="Z546" s="82" t="n">
        <x:f>IF(OR($AH546&lt;&gt;"Valid",$AI546&lt;&gt;"Valid"),"",INT($D546-$C546))</x:f>
        <x:v>7</x:v>
      </x:c>
      <x:c r="AA546" s="86" t="str">
        <x:f>IF($AH546&lt;&gt;"Valid","",TEXT($C546,"mmmm"))</x:f>
        <x:v>January</x:v>
      </x:c>
      <x:c r="AB546" s="82" t="n">
        <x:f>IF($AH546&lt;&gt;"Valid","",YEAR($C546))</x:f>
        <x:v>2025</x:v>
      </x:c>
      <x:c r="AC546" s="80" t="str">
        <x:v>Cancelled (excluded from completed-sales summary)</x:v>
      </x:c>
      <x:c r="AD546" s="80" t="str">
        <x:v>Excluded</x:v>
      </x:c>
      <x:c r="AE546" s="80" t="str">
        <x:f>IF(OR($AH546&lt;&gt;"Valid",$AI546&lt;&gt;"Valid",$AJ546&lt;&gt;"Valid",LEFT($AM546,7)="Invalid",IFERROR(ABS($AQ546)&gt;0.01,FALSE),IFERROR(ABS($AR546)&gt;0.01,FALSE),COUNTIF($AS546,"*Conflicting duplicate*")&gt;0,COUNTIF($AS546,"*Completed order not paid*")&gt;0),"Invalid",IF(OR($H546="Unknown",$N546="Unknown",$AM546="Missing discount imputed as 0"),"Warning","Clean"))</x:f>
        <x:v>Clean</x:v>
      </x:c>
      <x:c r="AF546" s="80" t="str">
        <x:v>Pass</x:v>
      </x:c>
      <x:c r="AG546" s="80" t="str">
        <x:v>No text cleanup required</x:v>
      </x:c>
      <x:c r="AH546" s="12" t="str">
        <x:f>IF(C546="","Missing date",IF(ISNUMBER(C546),"Valid","Unrecognized/invalid date"))</x:f>
        <x:v>Valid</x:v>
      </x:c>
      <x:c r="AI546" s="12" t="str">
        <x:f>IF(D546="","Missing date",IF(ISNUMBER(D546),"Valid","Unrecognized/invalid date"))</x:f>
        <x:v>Valid</x:v>
      </x:c>
      <x:c r="AJ546" s="12" t="str">
        <x:v>Valid</x:v>
      </x:c>
      <x:c r="AK546" s="12" t="str">
        <x:v>Pass</x:v>
      </x:c>
      <x:c r="AL546" s="12" t="str">
        <x:v>Cancelled order – excluded from completed sales</x:v>
      </x:c>
      <x:c r="AM546" s="12" t="str">
        <x:v>Valid</x:v>
      </x:c>
      <x:c r="AN546" s="12" t="str">
        <x:v>Exclude from completed sales</x:v>
      </x:c>
      <x:c r="AO546" s="12" t="str">
        <x:v>Not a refunded record</x:v>
      </x:c>
      <x:c r="AP546" s="37" t="n">
        <x:f>IF(LEFT($AM546,7)="Invalid","",IF($AM546="Missing discount imputed as 0",IF(AND(COUNT($O546,$P546,$R546,$S546)=4,$O546&gt;0,$P546&gt;=0,$R546&gt;=0,$S546&gt;=0),0,""),IF(AND(ISNUMBER($Q546),$Q546&gt;=0,$Q546&lt;=0.5),$Q546,"")))</x:f>
        <x:v>0.25</x:v>
      </x:c>
      <x:c r="AQ546" s="152" t="n">
        <x:f>IF(OR($W546="",NOT(ISNUMBER($R546))),"",ROUND($R546-$W546,2))</x:f>
        <x:v>0</x:v>
      </x:c>
      <x:c r="AR546" s="152" t="n">
        <x:f>IF(OR($X546="",NOT(ISNUMBER($T546))),"",ROUND($T546-$X546,2))</x:f>
        <x:v>0</x:v>
      </x:c>
      <x:c r="AS546" s="14" t="str">
        <x:v>OK</x:v>
      </x:c>
    </x:row>
    <x:row r="547">
      <x:c r="A547" s="80" t="n">
        <x:v>547</x:v>
      </x:c>
      <x:c r="B547" s="80" t="str">
        <x:v>ORD-2024-10546</x:v>
      </x:c>
      <x:c r="C547" s="81" t="n">
        <x:v>45439</x:v>
      </x:c>
      <x:c r="D547" s="81" t="n">
        <x:v>45442</x:v>
      </x:c>
      <x:c r="E547" s="80" t="str">
        <x:v>CUST-7168</x:v>
      </x:c>
      <x:c r="F547" s="80" t="str">
        <x:v>Kabir Singh</x:v>
      </x:c>
      <x:c r="G547" s="80" t="str">
        <x:v>Small Business</x:v>
      </x:c>
      <x:c r="H547" s="80" t="str">
        <x:v>East</x:v>
      </x:c>
      <x:c r="I547" s="80" t="str">
        <x:v>Jharkhand</x:v>
      </x:c>
      <x:c r="J547" s="80" t="str">
        <x:v>Ranchi</x:v>
      </x:c>
      <x:c r="K547" s="80" t="str">
        <x:v>Office Supplies</x:v>
      </x:c>
      <x:c r="L547" s="80" t="str">
        <x:v>Storage</x:v>
      </x:c>
      <x:c r="M547" s="80" t="str">
        <x:v>Classic Storage 755</x:v>
      </x:c>
      <x:c r="N547" s="80" t="str">
        <x:v>Same Day</x:v>
      </x:c>
      <x:c r="O547" s="82" t="n">
        <x:v>7</x:v>
      </x:c>
      <x:c r="P547" s="83" t="n">
        <x:v>2900.86</x:v>
      </x:c>
      <x:c r="Q547" s="84" t="n">
        <x:v>0.15</x:v>
      </x:c>
      <x:c r="R547" s="83" t="n">
        <x:v>17260.12</x:v>
      </x:c>
      <x:c r="S547" s="83" t="n">
        <x:v>13513.51</x:v>
      </x:c>
      <x:c r="T547" s="83" t="n">
        <x:v>3746.61</x:v>
      </x:c>
      <x:c r="U547" s="83" t="str">
        <x:v>Paid</x:v>
      </x:c>
      <x:c r="V547" s="83" t="str">
        <x:v>Completed</x:v>
      </x:c>
      <x:c r="W547" s="151" t="n">
        <x:f>IF(OR(NOT(ISNUMBER($AP547)),COUNT($O547,$P547)&lt;2,$O547&lt;=0,$P547&lt;0),"",ROUND($O547*$P547*(1-$AP547),2))</x:f>
        <x:v>17260.12</x:v>
      </x:c>
      <x:c r="X547" s="151" t="n">
        <x:f>IF(OR(NOT(ISNUMBER($W547)),NOT(ISNUMBER($S547))),"",ROUND($W547-$S547,2))</x:f>
        <x:v>3746.61</x:v>
      </x:c>
      <x:c r="Y547" s="85" t="n">
        <x:f>IF(OR(NOT(ISNUMBER($W547)),NOT(ISNUMBER($X547)),$W547=0),"",ROUND($X547/$W547,4))</x:f>
        <x:v>0.2171</x:v>
      </x:c>
      <x:c r="Z547" s="82" t="n">
        <x:f>IF(OR($AH547&lt;&gt;"Valid",$AI547&lt;&gt;"Valid"),"",INT($D547-$C547))</x:f>
        <x:v>3</x:v>
      </x:c>
      <x:c r="AA547" s="86" t="str">
        <x:f>IF($AH547&lt;&gt;"Valid","",TEXT($C547,"mmmm"))</x:f>
        <x:v>May</x:v>
      </x:c>
      <x:c r="AB547" s="82" t="n">
        <x:f>IF($AH547&lt;&gt;"Valid","",YEAR($C547))</x:f>
        <x:v>2024</x:v>
      </x:c>
      <x:c r="AC547" s="80" t="str">
        <x:v>Consistent</x:v>
      </x:c>
      <x:c r="AD547" s="80" t="str">
        <x:v>Eligible</x:v>
      </x:c>
      <x:c r="AE547" s="80" t="str">
        <x:f>IF(OR($AH547&lt;&gt;"Valid",$AI547&lt;&gt;"Valid",$AJ547&lt;&gt;"Valid",LEFT($AM547,7)="Invalid",IFERROR(ABS($AQ547)&gt;0.01,FALSE),IFERROR(ABS($AR547)&gt;0.01,FALSE),COUNTIF($AS547,"*Conflicting duplicate*")&gt;0,COUNTIF($AS547,"*Completed order not paid*")&gt;0),"Invalid",IF(OR($H547="Unknown",$N547="Unknown",$AM547="Missing discount imputed as 0"),"Warning","Clean"))</x:f>
        <x:v>Clean</x:v>
      </x:c>
      <x:c r="AF547" s="80" t="str">
        <x:v>Pass</x:v>
      </x:c>
      <x:c r="AG547" s="80" t="str">
        <x:v>No text cleanup required</x:v>
      </x:c>
      <x:c r="AH547" s="12" t="str">
        <x:f>IF(C547="","Missing date",IF(ISNUMBER(C547),"Valid","Unrecognized/invalid date"))</x:f>
        <x:v>Valid</x:v>
      </x:c>
      <x:c r="AI547" s="12" t="str">
        <x:f>IF(D547="","Missing date",IF(ISNUMBER(D547),"Valid","Unrecognized/invalid date"))</x:f>
        <x:v>Valid</x:v>
      </x:c>
      <x:c r="AJ547" s="12" t="str">
        <x:v>Valid</x:v>
      </x:c>
      <x:c r="AK547" s="12" t="str">
        <x:v>Pass</x:v>
      </x:c>
      <x:c r="AL547" s="12" t="str">
        <x:v>None</x:v>
      </x:c>
      <x:c r="AM547" s="12" t="str">
        <x:v>Valid</x:v>
      </x:c>
      <x:c r="AN547" s="12" t="str">
        <x:v>Include in completed sales</x:v>
      </x:c>
      <x:c r="AO547" s="12" t="str">
        <x:v>Not a refunded record</x:v>
      </x:c>
      <x:c r="AP547" s="37" t="n">
        <x:f>IF(LEFT($AM547,7)="Invalid","",IF($AM547="Missing discount imputed as 0",IF(AND(COUNT($O547,$P547,$R547,$S547)=4,$O547&gt;0,$P547&gt;=0,$R547&gt;=0,$S547&gt;=0),0,""),IF(AND(ISNUMBER($Q547),$Q547&gt;=0,$Q547&lt;=0.5),$Q547,"")))</x:f>
        <x:v>0.15</x:v>
      </x:c>
      <x:c r="AQ547" s="152" t="n">
        <x:f>IF(OR($W547="",NOT(ISNUMBER($R547))),"",ROUND($R547-$W547,2))</x:f>
        <x:v>0</x:v>
      </x:c>
      <x:c r="AR547" s="152" t="n">
        <x:f>IF(OR($X547="",NOT(ISNUMBER($T547))),"",ROUND($T547-$X547,2))</x:f>
        <x:v>0</x:v>
      </x:c>
      <x:c r="AS547" s="14" t="str">
        <x:v>OK</x:v>
      </x:c>
    </x:row>
    <x:row r="548">
      <x:c r="A548" s="80" t="n">
        <x:v>548</x:v>
      </x:c>
      <x:c r="B548" s="80" t="str">
        <x:v>ORD-2025-10547</x:v>
      </x:c>
      <x:c r="C548" s="81" t="n">
        <x:v>45883</x:v>
      </x:c>
      <x:c r="D548" s="81" t="n">
        <x:v>45891</x:v>
      </x:c>
      <x:c r="E548" s="80" t="str">
        <x:v>CUST-8157</x:v>
      </x:c>
      <x:c r="F548" s="80" t="str">
        <x:v>Arjun Bose</x:v>
      </x:c>
      <x:c r="G548" s="80" t="str">
        <x:v>Corporate</x:v>
      </x:c>
      <x:c r="H548" s="80" t="str">
        <x:v>West</x:v>
      </x:c>
      <x:c r="I548" s="80" t="str">
        <x:v>Gujarat</x:v>
      </x:c>
      <x:c r="J548" s="80" t="str">
        <x:v>Ahmedabad</x:v>
      </x:c>
      <x:c r="K548" s="80" t="str">
        <x:v>Office Supplies</x:v>
      </x:c>
      <x:c r="L548" s="80" t="str">
        <x:v>Paper</x:v>
      </x:c>
      <x:c r="M548" s="80" t="str">
        <x:v>Prime Paper 143</x:v>
      </x:c>
      <x:c r="N548" s="80" t="str">
        <x:v>First Class</x:v>
      </x:c>
      <x:c r="O548" s="82" t="n">
        <x:v>5</x:v>
      </x:c>
      <x:c r="P548" s="83" t="n">
        <x:v>2567.37</x:v>
      </x:c>
      <x:c r="Q548" s="84" t="n">
        <x:v>0.15</x:v>
      </x:c>
      <x:c r="R548" s="83" t="n">
        <x:v>10911.32</x:v>
      </x:c>
      <x:c r="S548" s="83" t="n">
        <x:v>6966.44</x:v>
      </x:c>
      <x:c r="T548" s="83" t="n">
        <x:v>4395.17</x:v>
      </x:c>
      <x:c r="U548" s="83" t="str">
        <x:v>Paid</x:v>
      </x:c>
      <x:c r="V548" s="83" t="str">
        <x:v>Completed</x:v>
      </x:c>
      <x:c r="W548" s="151" t="n">
        <x:f>IF(OR(NOT(ISNUMBER($AP548)),COUNT($O548,$P548)&lt;2,$O548&lt;=0,$P548&lt;0),"",ROUND($O548*$P548*(1-$AP548),2))</x:f>
        <x:v>10911.32</x:v>
      </x:c>
      <x:c r="X548" s="151" t="n">
        <x:f>IF(OR(NOT(ISNUMBER($W548)),NOT(ISNUMBER($S548))),"",ROUND($W548-$S548,2))</x:f>
        <x:v>3944.88</x:v>
      </x:c>
      <x:c r="Y548" s="85" t="n">
        <x:f>IF(OR(NOT(ISNUMBER($W548)),NOT(ISNUMBER($X548)),$W548=0),"",ROUND($X548/$W548,4))</x:f>
        <x:v>0.3615</x:v>
      </x:c>
      <x:c r="Z548" s="82" t="n">
        <x:f>IF(OR($AH548&lt;&gt;"Valid",$AI548&lt;&gt;"Valid"),"",INT($D548-$C548))</x:f>
        <x:v>8</x:v>
      </x:c>
      <x:c r="AA548" s="86" t="str">
        <x:f>IF($AH548&lt;&gt;"Valid","",TEXT($C548,"mmmm"))</x:f>
        <x:v>August</x:v>
      </x:c>
      <x:c r="AB548" s="82" t="n">
        <x:f>IF($AH548&lt;&gt;"Valid","",YEAR($C548))</x:f>
        <x:v>2025</x:v>
      </x:c>
      <x:c r="AC548" s="80" t="str">
        <x:v>Consistent</x:v>
      </x:c>
      <x:c r="AD548" s="80" t="str">
        <x:v>Excluded</x:v>
      </x:c>
      <x:c r="AE548" s="80" t="str">
        <x:f>IF(OR($AH548&lt;&gt;"Valid",$AI548&lt;&gt;"Valid",$AJ548&lt;&gt;"Valid",LEFT($AM548,7)="Invalid",IFERROR(ABS($AQ548)&gt;0.01,FALSE),IFERROR(ABS($AR548)&gt;0.01,FALSE),COUNTIF($AS548,"*Conflicting duplicate*")&gt;0,COUNTIF($AS548,"*Completed order not paid*")&gt;0),"Invalid",IF(OR($H548="Unknown",$N548="Unknown",$AM548="Missing discount imputed as 0"),"Warning","Clean"))</x:f>
        <x:v>Invalid</x:v>
      </x:c>
      <x:c r="AF548" s="80" t="str">
        <x:v>Review</x:v>
      </x:c>
      <x:c r="AG548" s="80" t="str">
        <x:v>category: Case standardization</x:v>
      </x:c>
      <x:c r="AH548" s="12" t="str">
        <x:f>IF(C548="","Missing date",IF(ISNUMBER(C548),"Valid","Unrecognized/invalid date"))</x:f>
        <x:v>Valid</x:v>
      </x:c>
      <x:c r="AI548" s="12" t="str">
        <x:f>IF(D548="","Missing date",IF(ISNUMBER(D548),"Valid","Unrecognized/invalid date"))</x:f>
        <x:v>Valid</x:v>
      </x:c>
      <x:c r="AJ548" s="12" t="str">
        <x:v>Valid</x:v>
      </x:c>
      <x:c r="AK548" s="12" t="str">
        <x:v>Pass</x:v>
      </x:c>
      <x:c r="AL548" s="12" t="str">
        <x:v>None</x:v>
      </x:c>
      <x:c r="AM548" s="12" t="str">
        <x:v>Valid</x:v>
      </x:c>
      <x:c r="AN548" s="12" t="str">
        <x:v>Exclude from completed sales</x:v>
      </x:c>
      <x:c r="AO548" s="12" t="str">
        <x:v>Not a refunded record</x:v>
      </x:c>
      <x:c r="AP548" s="37" t="n">
        <x:f>IF(LEFT($AM548,7)="Invalid","",IF($AM548="Missing discount imputed as 0",IF(AND(COUNT($O548,$P548,$R548,$S548)=4,$O548&gt;0,$P548&gt;=0,$R548&gt;=0,$S548&gt;=0),0,""),IF(AND(ISNUMBER($Q548),$Q548&gt;=0,$Q548&lt;=0.5),$Q548,"")))</x:f>
        <x:v>0.15</x:v>
      </x:c>
      <x:c r="AQ548" s="152" t="n">
        <x:f>IF(OR($W548="",NOT(ISNUMBER($R548))),"",ROUND($R548-$W548,2))</x:f>
        <x:v>0</x:v>
      </x:c>
      <x:c r="AR548" s="152" t="n">
        <x:f>IF(OR($X548="",NOT(ISNUMBER($T548))),"",ROUND($T548-$X548,2))</x:f>
        <x:v>450.29</x:v>
      </x:c>
      <x:c r="AS548" s="14" t="str">
        <x:v>Profit calculation mismatch</x:v>
      </x:c>
    </x:row>
    <x:row r="549">
      <x:c r="A549" s="80" t="n">
        <x:v>549</x:v>
      </x:c>
      <x:c r="B549" s="80" t="str">
        <x:v>ORD-2024-10548</x:v>
      </x:c>
      <x:c r="C549" s="81" t="n">
        <x:v>45428</x:v>
      </x:c>
      <x:c r="D549" s="81" t="n">
        <x:v>45435</x:v>
      </x:c>
      <x:c r="E549" s="80" t="str">
        <x:v>CUST-9146</x:v>
      </x:c>
      <x:c r="F549" s="80" t="str">
        <x:v>Neha Gupta</x:v>
      </x:c>
      <x:c r="G549" s="80" t="str">
        <x:v>Small Business</x:v>
      </x:c>
      <x:c r="H549" s="80" t="str">
        <x:v>North</x:v>
      </x:c>
      <x:c r="I549" s="80" t="str">
        <x:v>Uttar Pradesh</x:v>
      </x:c>
      <x:c r="J549" s="80" t="str">
        <x:v>Noida</x:v>
      </x:c>
      <x:c r="K549" s="80" t="str">
        <x:v>Technology</x:v>
      </x:c>
      <x:c r="L549" s="80" t="str">
        <x:v>Copiers</x:v>
      </x:c>
      <x:c r="M549" s="80" t="str">
        <x:v>Max Copiers 607</x:v>
      </x:c>
      <x:c r="N549" s="80" t="str">
        <x:v>Standard Class</x:v>
      </x:c>
      <x:c r="O549" s="82" t="n">
        <x:v>9</x:v>
      </x:c>
      <x:c r="P549" s="83" t="n">
        <x:v>3722.09</x:v>
      </x:c>
      <x:c r="Q549" s="84" t="n">
        <x:v>0.1</x:v>
      </x:c>
      <x:c r="R549" s="83" t="n">
        <x:v>30148.93</x:v>
      </x:c>
      <x:c r="S549" s="83" t="n">
        <x:v>25155.07</x:v>
      </x:c>
      <x:c r="T549" s="83" t="n">
        <x:v>4993.86</x:v>
      </x:c>
      <x:c r="U549" s="83" t="str">
        <x:v>Paid</x:v>
      </x:c>
      <x:c r="V549" s="83" t="str">
        <x:v>Completed</x:v>
      </x:c>
      <x:c r="W549" s="151" t="n">
        <x:f>IF(OR(NOT(ISNUMBER($AP549)),COUNT($O549,$P549)&lt;2,$O549&lt;=0,$P549&lt;0),"",ROUND($O549*$P549*(1-$AP549),2))</x:f>
        <x:v>30148.93</x:v>
      </x:c>
      <x:c r="X549" s="151" t="n">
        <x:f>IF(OR(NOT(ISNUMBER($W549)),NOT(ISNUMBER($S549))),"",ROUND($W549-$S549,2))</x:f>
        <x:v>4993.86</x:v>
      </x:c>
      <x:c r="Y549" s="85" t="n">
        <x:f>IF(OR(NOT(ISNUMBER($W549)),NOT(ISNUMBER($X549)),$W549=0),"",ROUND($X549/$W549,4))</x:f>
        <x:v>0.1656</x:v>
      </x:c>
      <x:c r="Z549" s="82" t="n">
        <x:f>IF(OR($AH549&lt;&gt;"Valid",$AI549&lt;&gt;"Valid"),"",INT($D549-$C549))</x:f>
        <x:v>7</x:v>
      </x:c>
      <x:c r="AA549" s="86" t="str">
        <x:f>IF($AH549&lt;&gt;"Valid","",TEXT($C549,"mmmm"))</x:f>
        <x:v>May</x:v>
      </x:c>
      <x:c r="AB549" s="82" t="n">
        <x:f>IF($AH549&lt;&gt;"Valid","",YEAR($C549))</x:f>
        <x:v>2024</x:v>
      </x:c>
      <x:c r="AC549" s="80" t="str">
        <x:v>Consistent</x:v>
      </x:c>
      <x:c r="AD549" s="80" t="str">
        <x:v>Eligible</x:v>
      </x:c>
      <x:c r="AE549" s="80" t="str">
        <x:f>IF(OR($AH549&lt;&gt;"Valid",$AI549&lt;&gt;"Valid",$AJ549&lt;&gt;"Valid",LEFT($AM549,7)="Invalid",IFERROR(ABS($AQ549)&gt;0.01,FALSE),IFERROR(ABS($AR549)&gt;0.01,FALSE),COUNTIF($AS549,"*Conflicting duplicate*")&gt;0,COUNTIF($AS549,"*Completed order not paid*")&gt;0),"Invalid",IF(OR($H549="Unknown",$N549="Unknown",$AM549="Missing discount imputed as 0"),"Warning","Clean"))</x:f>
        <x:v>Clean</x:v>
      </x:c>
      <x:c r="AF549" s="80" t="str">
        <x:v>Pass</x:v>
      </x:c>
      <x:c r="AG549" s="80" t="str">
        <x:v>No text cleanup required</x:v>
      </x:c>
      <x:c r="AH549" s="12" t="str">
        <x:f>IF(C549="","Missing date",IF(ISNUMBER(C549),"Valid","Unrecognized/invalid date"))</x:f>
        <x:v>Valid</x:v>
      </x:c>
      <x:c r="AI549" s="12" t="str">
        <x:f>IF(D549="","Missing date",IF(ISNUMBER(D549),"Valid","Unrecognized/invalid date"))</x:f>
        <x:v>Valid</x:v>
      </x:c>
      <x:c r="AJ549" s="12" t="str">
        <x:v>Valid</x:v>
      </x:c>
      <x:c r="AK549" s="12" t="str">
        <x:v>Pass</x:v>
      </x:c>
      <x:c r="AL549" s="12" t="str">
        <x:v>None</x:v>
      </x:c>
      <x:c r="AM549" s="12" t="str">
        <x:v>Valid</x:v>
      </x:c>
      <x:c r="AN549" s="12" t="str">
        <x:v>Include in completed sales</x:v>
      </x:c>
      <x:c r="AO549" s="12" t="str">
        <x:v>Not a refunded record</x:v>
      </x:c>
      <x:c r="AP549" s="37" t="n">
        <x:f>IF(LEFT($AM549,7)="Invalid","",IF($AM549="Missing discount imputed as 0",IF(AND(COUNT($O549,$P549,$R549,$S549)=4,$O549&gt;0,$P549&gt;=0,$R549&gt;=0,$S549&gt;=0),0,""),IF(AND(ISNUMBER($Q549),$Q549&gt;=0,$Q549&lt;=0.5),$Q549,"")))</x:f>
        <x:v>0.1</x:v>
      </x:c>
      <x:c r="AQ549" s="152" t="n">
        <x:f>IF(OR($W549="",NOT(ISNUMBER($R549))),"",ROUND($R549-$W549,2))</x:f>
        <x:v>0</x:v>
      </x:c>
      <x:c r="AR549" s="152" t="n">
        <x:f>IF(OR($X549="",NOT(ISNUMBER($T549))),"",ROUND($T549-$X549,2))</x:f>
        <x:v>0</x:v>
      </x:c>
      <x:c r="AS549" s="14" t="str">
        <x:v>OK</x:v>
      </x:c>
    </x:row>
    <x:row r="550">
      <x:c r="A550" s="80" t="n">
        <x:v>550</x:v>
      </x:c>
      <x:c r="B550" s="80" t="str">
        <x:v>ORD-2024-10549</x:v>
      </x:c>
      <x:c r="C550" s="81" t="n">
        <x:v>45441</x:v>
      </x:c>
      <x:c r="D550" s="81" t="n">
        <x:v>45441</x:v>
      </x:c>
      <x:c r="E550" s="80" t="str">
        <x:v>CUST-5129</x:v>
      </x:c>
      <x:c r="F550" s="80" t="str">
        <x:v>Rohan Mehta</x:v>
      </x:c>
      <x:c r="G550" s="80" t="str">
        <x:v>Corporate</x:v>
      </x:c>
      <x:c r="H550" s="80" t="str">
        <x:v>East</x:v>
      </x:c>
      <x:c r="I550" s="80" t="str">
        <x:v>Bihar</x:v>
      </x:c>
      <x:c r="J550" s="80" t="str">
        <x:v>Patna</x:v>
      </x:c>
      <x:c r="K550" s="80" t="str">
        <x:v>Furniture</x:v>
      </x:c>
      <x:c r="L550" s="80" t="str">
        <x:v>Bookcases</x:v>
      </x:c>
      <x:c r="M550" s="80" t="str">
        <x:v>Prime Bookcases 402</x:v>
      </x:c>
      <x:c r="N550" s="80" t="str">
        <x:v>Same Day</x:v>
      </x:c>
      <x:c r="O550" s="82" t="n">
        <x:v>1</x:v>
      </x:c>
      <x:c r="P550" s="83" t="n">
        <x:v>1072.01</x:v>
      </x:c>
      <x:c r="Q550" s="84" t="n">
        <x:v>0</x:v>
      </x:c>
      <x:c r="R550" s="83" t="n">
        <x:v>1072.01</x:v>
      </x:c>
      <x:c r="S550" s="83" t="n">
        <x:v>852.62</x:v>
      </x:c>
      <x:c r="T550" s="83" t="n">
        <x:v>219.39</x:v>
      </x:c>
      <x:c r="U550" s="83" t="str">
        <x:v>Pending</x:v>
      </x:c>
      <x:c r="V550" s="83" t="str">
        <x:v>Cancelled</x:v>
      </x:c>
      <x:c r="W550" s="151" t="n">
        <x:f>IF(OR(NOT(ISNUMBER($AP550)),COUNT($O550,$P550)&lt;2,$O550&lt;=0,$P550&lt;0),"",ROUND($O550*$P550*(1-$AP550),2))</x:f>
        <x:v>1072.01</x:v>
      </x:c>
      <x:c r="X550" s="151" t="n">
        <x:f>IF(OR(NOT(ISNUMBER($W550)),NOT(ISNUMBER($S550))),"",ROUND($W550-$S550,2))</x:f>
        <x:v>219.39</x:v>
      </x:c>
      <x:c r="Y550" s="85" t="n">
        <x:f>IF(OR(NOT(ISNUMBER($W550)),NOT(ISNUMBER($X550)),$W550=0),"",ROUND($X550/$W550,4))</x:f>
        <x:v>0.2047</x:v>
      </x:c>
      <x:c r="Z550" s="82" t="n">
        <x:f>IF(OR($AH550&lt;&gt;"Valid",$AI550&lt;&gt;"Valid"),"",INT($D550-$C550))</x:f>
        <x:v>0</x:v>
      </x:c>
      <x:c r="AA550" s="86" t="str">
        <x:f>IF($AH550&lt;&gt;"Valid","",TEXT($C550,"mmmm"))</x:f>
        <x:v>May</x:v>
      </x:c>
      <x:c r="AB550" s="82" t="n">
        <x:f>IF($AH550&lt;&gt;"Valid","",YEAR($C550))</x:f>
        <x:v>2024</x:v>
      </x:c>
      <x:c r="AC550" s="80" t="str">
        <x:v>Cancelled (excluded from completed-sales summary)</x:v>
      </x:c>
      <x:c r="AD550" s="80" t="str">
        <x:v>Excluded</x:v>
      </x:c>
      <x:c r="AE550" s="80" t="str">
        <x:f>IF(OR($AH550&lt;&gt;"Valid",$AI550&lt;&gt;"Valid",$AJ550&lt;&gt;"Valid",LEFT($AM550,7)="Invalid",IFERROR(ABS($AQ550)&gt;0.01,FALSE),IFERROR(ABS($AR550)&gt;0.01,FALSE),COUNTIF($AS550,"*Conflicting duplicate*")&gt;0,COUNTIF($AS550,"*Completed order not paid*")&gt;0),"Invalid",IF(OR($H550="Unknown",$N550="Unknown",$AM550="Missing discount imputed as 0"),"Warning","Clean"))</x:f>
        <x:v>Clean</x:v>
      </x:c>
      <x:c r="AF550" s="80" t="str">
        <x:v>Pass</x:v>
      </x:c>
      <x:c r="AG550" s="80" t="str">
        <x:v>No text cleanup required</x:v>
      </x:c>
      <x:c r="AH550" s="12" t="str">
        <x:f>IF(C550="","Missing date",IF(ISNUMBER(C550),"Valid","Unrecognized/invalid date"))</x:f>
        <x:v>Valid</x:v>
      </x:c>
      <x:c r="AI550" s="12" t="str">
        <x:f>IF(D550="","Missing date",IF(ISNUMBER(D550),"Valid","Unrecognized/invalid date"))</x:f>
        <x:v>Valid</x:v>
      </x:c>
      <x:c r="AJ550" s="12" t="str">
        <x:v>Valid</x:v>
      </x:c>
      <x:c r="AK550" s="12" t="str">
        <x:v>Pass</x:v>
      </x:c>
      <x:c r="AL550" s="12" t="str">
        <x:v>Cancelled order – excluded from completed sales</x:v>
      </x:c>
      <x:c r="AM550" s="12" t="str">
        <x:v>Valid</x:v>
      </x:c>
      <x:c r="AN550" s="12" t="str">
        <x:v>Exclude from completed sales</x:v>
      </x:c>
      <x:c r="AO550" s="12" t="str">
        <x:v>Not a refunded record</x:v>
      </x:c>
      <x:c r="AP550" s="37" t="n">
        <x:f>IF(LEFT($AM550,7)="Invalid","",IF($AM550="Missing discount imputed as 0",IF(AND(COUNT($O550,$P550,$R550,$S550)=4,$O550&gt;0,$P550&gt;=0,$R550&gt;=0,$S550&gt;=0),0,""),IF(AND(ISNUMBER($Q550),$Q550&gt;=0,$Q550&lt;=0.5),$Q550,"")))</x:f>
        <x:v>0</x:v>
      </x:c>
      <x:c r="AQ550" s="152" t="n">
        <x:f>IF(OR($W550="",NOT(ISNUMBER($R550))),"",ROUND($R550-$W550,2))</x:f>
        <x:v>0</x:v>
      </x:c>
      <x:c r="AR550" s="152" t="n">
        <x:f>IF(OR($X550="",NOT(ISNUMBER($T550))),"",ROUND($T550-$X550,2))</x:f>
        <x:v>0</x:v>
      </x:c>
      <x:c r="AS550" s="14" t="str">
        <x:v>OK</x:v>
      </x:c>
    </x:row>
    <x:row r="551">
      <x:c r="A551" s="80" t="n">
        <x:v>551</x:v>
      </x:c>
      <x:c r="B551" s="80" t="str">
        <x:v>ORD-2025-10550</x:v>
      </x:c>
      <x:c r="C551" s="81" t="n">
        <x:v>45941</x:v>
      </x:c>
      <x:c r="D551" s="81" t="n">
        <x:v>45943</x:v>
      </x:c>
      <x:c r="E551" s="80" t="str">
        <x:v>CUST-6028</x:v>
      </x:c>
      <x:c r="F551" s="80" t="str">
        <x:v>Mira Das</x:v>
      </x:c>
      <x:c r="G551" s="80" t="str">
        <x:v>Corporate</x:v>
      </x:c>
      <x:c r="H551" s="80" t="str">
        <x:v>South</x:v>
      </x:c>
      <x:c r="I551" s="80" t="str">
        <x:v>Telangana</x:v>
      </x:c>
      <x:c r="J551" s="80" t="str">
        <x:v>Hyderabad</x:v>
      </x:c>
      <x:c r="K551" s="80" t="str">
        <x:v>Office Supplies</x:v>
      </x:c>
      <x:c r="L551" s="80" t="str">
        <x:v>Art</x:v>
      </x:c>
      <x:c r="M551" s="80" t="str">
        <x:v>Pro Art 287</x:v>
      </x:c>
      <x:c r="N551" s="80" t="str">
        <x:v>Second Class</x:v>
      </x:c>
      <x:c r="O551" s="82" t="n">
        <x:v>3</x:v>
      </x:c>
      <x:c r="P551" s="83" t="n">
        <x:v>3804.27</x:v>
      </x:c>
      <x:c r="Q551" s="84" t="n">
        <x:v>0.1</x:v>
      </x:c>
      <x:c r="R551" s="83" t="n">
        <x:v>10271.53</x:v>
      </x:c>
      <x:c r="S551" s="83" t="n">
        <x:v>8272.24</x:v>
      </x:c>
      <x:c r="T551" s="83" t="n">
        <x:v>1999.29</x:v>
      </x:c>
      <x:c r="U551" s="83" t="str">
        <x:v>Paid</x:v>
      </x:c>
      <x:c r="V551" s="83" t="str">
        <x:v>Completed</x:v>
      </x:c>
      <x:c r="W551" s="151" t="n">
        <x:f>IF(OR(NOT(ISNUMBER($AP551)),COUNT($O551,$P551)&lt;2,$O551&lt;=0,$P551&lt;0),"",ROUND($O551*$P551*(1-$AP551),2))</x:f>
        <x:v>10271.53</x:v>
      </x:c>
      <x:c r="X551" s="151" t="n">
        <x:f>IF(OR(NOT(ISNUMBER($W551)),NOT(ISNUMBER($S551))),"",ROUND($W551-$S551,2))</x:f>
        <x:v>1999.29</x:v>
      </x:c>
      <x:c r="Y551" s="85" t="n">
        <x:f>IF(OR(NOT(ISNUMBER($W551)),NOT(ISNUMBER($X551)),$W551=0),"",ROUND($X551/$W551,4))</x:f>
        <x:v>0.1946</x:v>
      </x:c>
      <x:c r="Z551" s="82" t="n">
        <x:f>IF(OR($AH551&lt;&gt;"Valid",$AI551&lt;&gt;"Valid"),"",INT($D551-$C551))</x:f>
        <x:v>2</x:v>
      </x:c>
      <x:c r="AA551" s="86" t="str">
        <x:f>IF($AH551&lt;&gt;"Valid","",TEXT($C551,"mmmm"))</x:f>
        <x:v>October</x:v>
      </x:c>
      <x:c r="AB551" s="82" t="n">
        <x:f>IF($AH551&lt;&gt;"Valid","",YEAR($C551))</x:f>
        <x:v>2025</x:v>
      </x:c>
      <x:c r="AC551" s="80" t="str">
        <x:v>Consistent</x:v>
      </x:c>
      <x:c r="AD551" s="80" t="str">
        <x:v>Eligible</x:v>
      </x:c>
      <x:c r="AE551" s="80" t="str">
        <x:f>IF(OR($AH551&lt;&gt;"Valid",$AI551&lt;&gt;"Valid",$AJ551&lt;&gt;"Valid",LEFT($AM551,7)="Invalid",IFERROR(ABS($AQ551)&gt;0.01,FALSE),IFERROR(ABS($AR551)&gt;0.01,FALSE),COUNTIF($AS551,"*Conflicting duplicate*")&gt;0,COUNTIF($AS551,"*Completed order not paid*")&gt;0),"Invalid",IF(OR($H551="Unknown",$N551="Unknown",$AM551="Missing discount imputed as 0"),"Warning","Clean"))</x:f>
        <x:v>Clean</x:v>
      </x:c>
      <x:c r="AF551" s="80" t="str">
        <x:v>Pass</x:v>
      </x:c>
      <x:c r="AG551" s="80" t="str">
        <x:v>No text cleanup required</x:v>
      </x:c>
      <x:c r="AH551" s="12" t="str">
        <x:f>IF(C551="","Missing date",IF(ISNUMBER(C551),"Valid","Unrecognized/invalid date"))</x:f>
        <x:v>Valid</x:v>
      </x:c>
      <x:c r="AI551" s="12" t="str">
        <x:f>IF(D551="","Missing date",IF(ISNUMBER(D551),"Valid","Unrecognized/invalid date"))</x:f>
        <x:v>Valid</x:v>
      </x:c>
      <x:c r="AJ551" s="12" t="str">
        <x:v>Valid</x:v>
      </x:c>
      <x:c r="AK551" s="12" t="str">
        <x:v>Pass</x:v>
      </x:c>
      <x:c r="AL551" s="12" t="str">
        <x:v>None</x:v>
      </x:c>
      <x:c r="AM551" s="12" t="str">
        <x:v>Valid</x:v>
      </x:c>
      <x:c r="AN551" s="12" t="str">
        <x:v>Include in completed sales</x:v>
      </x:c>
      <x:c r="AO551" s="12" t="str">
        <x:v>Not a refunded record</x:v>
      </x:c>
      <x:c r="AP551" s="37" t="n">
        <x:f>IF(LEFT($AM551,7)="Invalid","",IF($AM551="Missing discount imputed as 0",IF(AND(COUNT($O551,$P551,$R551,$S551)=4,$O551&gt;0,$P551&gt;=0,$R551&gt;=0,$S551&gt;=0),0,""),IF(AND(ISNUMBER($Q551),$Q551&gt;=0,$Q551&lt;=0.5),$Q551,"")))</x:f>
        <x:v>0.1</x:v>
      </x:c>
      <x:c r="AQ551" s="152" t="n">
        <x:f>IF(OR($W551="",NOT(ISNUMBER($R551))),"",ROUND($R551-$W551,2))</x:f>
        <x:v>0</x:v>
      </x:c>
      <x:c r="AR551" s="152" t="n">
        <x:f>IF(OR($X551="",NOT(ISNUMBER($T551))),"",ROUND($T551-$X551,2))</x:f>
        <x:v>0</x:v>
      </x:c>
      <x:c r="AS551" s="14" t="str">
        <x:v>OK</x:v>
      </x:c>
    </x:row>
    <x:row r="552">
      <x:c r="A552" s="80" t="n">
        <x:v>552</x:v>
      </x:c>
      <x:c r="B552" s="80" t="str">
        <x:v>ORD-2024-10551</x:v>
      </x:c>
      <x:c r="C552" s="81" t="n">
        <x:v>45506</x:v>
      </x:c>
      <x:c r="D552" s="81" t="n">
        <x:v>45514</x:v>
      </x:c>
      <x:c r="E552" s="80" t="str">
        <x:v>CUST-8687</x:v>
      </x:c>
      <x:c r="F552" s="80" t="str">
        <x:v>Mira Das</x:v>
      </x:c>
      <x:c r="G552" s="80" t="str">
        <x:v>Home Office</x:v>
      </x:c>
      <x:c r="H552" s="80" t="str">
        <x:v>East</x:v>
      </x:c>
      <x:c r="I552" s="80" t="str">
        <x:v>Odisha</x:v>
      </x:c>
      <x:c r="J552" s="80" t="str">
        <x:v>Bhubaneswar</x:v>
      </x:c>
      <x:c r="K552" s="80" t="str">
        <x:v>Technology</x:v>
      </x:c>
      <x:c r="L552" s="80" t="str">
        <x:v>Accessories</x:v>
      </x:c>
      <x:c r="M552" s="80" t="str">
        <x:v>Max Accessories 591</x:v>
      </x:c>
      <x:c r="N552" s="80" t="str">
        <x:v>Standard Class</x:v>
      </x:c>
      <x:c r="O552" s="82" t="n">
        <x:v>6</x:v>
      </x:c>
      <x:c r="P552" s="83" t="n">
        <x:v>2126.44</x:v>
      </x:c>
      <x:c r="Q552" s="84" t="n">
        <x:v>0.2</x:v>
      </x:c>
      <x:c r="R552" s="83" t="n">
        <x:v>10206.91</x:v>
      </x:c>
      <x:c r="S552" s="83" t="n">
        <x:v>6764.53</x:v>
      </x:c>
      <x:c r="T552" s="83" t="n">
        <x:v>3442.38</x:v>
      </x:c>
      <x:c r="U552" s="83" t="str">
        <x:v>Paid</x:v>
      </x:c>
      <x:c r="V552" s="83" t="str">
        <x:v>Completed</x:v>
      </x:c>
      <x:c r="W552" s="151" t="n">
        <x:f>IF(OR(NOT(ISNUMBER($AP552)),COUNT($O552,$P552)&lt;2,$O552&lt;=0,$P552&lt;0),"",ROUND($O552*$P552*(1-$AP552),2))</x:f>
        <x:v>10206.91</x:v>
      </x:c>
      <x:c r="X552" s="151" t="n">
        <x:f>IF(OR(NOT(ISNUMBER($W552)),NOT(ISNUMBER($S552))),"",ROUND($W552-$S552,2))</x:f>
        <x:v>3442.38</x:v>
      </x:c>
      <x:c r="Y552" s="85" t="n">
        <x:f>IF(OR(NOT(ISNUMBER($W552)),NOT(ISNUMBER($X552)),$W552=0),"",ROUND($X552/$W552,4))</x:f>
        <x:v>0.3373</x:v>
      </x:c>
      <x:c r="Z552" s="82" t="n">
        <x:f>IF(OR($AH552&lt;&gt;"Valid",$AI552&lt;&gt;"Valid"),"",INT($D552-$C552))</x:f>
        <x:v>8</x:v>
      </x:c>
      <x:c r="AA552" s="86" t="str">
        <x:f>IF($AH552&lt;&gt;"Valid","",TEXT($C552,"mmmm"))</x:f>
        <x:v>August</x:v>
      </x:c>
      <x:c r="AB552" s="82" t="n">
        <x:f>IF($AH552&lt;&gt;"Valid","",YEAR($C552))</x:f>
        <x:v>2024</x:v>
      </x:c>
      <x:c r="AC552" s="80" t="str">
        <x:v>Consistent</x:v>
      </x:c>
      <x:c r="AD552" s="80" t="str">
        <x:v>Eligible</x:v>
      </x:c>
      <x:c r="AE552" s="80" t="str">
        <x:f>IF(OR($AH552&lt;&gt;"Valid",$AI552&lt;&gt;"Valid",$AJ552&lt;&gt;"Valid",LEFT($AM552,7)="Invalid",IFERROR(ABS($AQ552)&gt;0.01,FALSE),IFERROR(ABS($AR552)&gt;0.01,FALSE),COUNTIF($AS552,"*Conflicting duplicate*")&gt;0,COUNTIF($AS552,"*Completed order not paid*")&gt;0),"Invalid",IF(OR($H552="Unknown",$N552="Unknown",$AM552="Missing discount imputed as 0"),"Warning","Clean"))</x:f>
        <x:v>Clean</x:v>
      </x:c>
      <x:c r="AF552" s="80" t="str">
        <x:v>Pass</x:v>
      </x:c>
      <x:c r="AG552" s="80" t="str">
        <x:v>No text cleanup required</x:v>
      </x:c>
      <x:c r="AH552" s="12" t="str">
        <x:f>IF(C552="","Missing date",IF(ISNUMBER(C552),"Valid","Unrecognized/invalid date"))</x:f>
        <x:v>Valid</x:v>
      </x:c>
      <x:c r="AI552" s="12" t="str">
        <x:f>IF(D552="","Missing date",IF(ISNUMBER(D552),"Valid","Unrecognized/invalid date"))</x:f>
        <x:v>Valid</x:v>
      </x:c>
      <x:c r="AJ552" s="12" t="str">
        <x:v>Valid</x:v>
      </x:c>
      <x:c r="AK552" s="12" t="str">
        <x:v>Pass</x:v>
      </x:c>
      <x:c r="AL552" s="12" t="str">
        <x:v>None</x:v>
      </x:c>
      <x:c r="AM552" s="12" t="str">
        <x:v>Valid</x:v>
      </x:c>
      <x:c r="AN552" s="12" t="str">
        <x:v>Include in completed sales</x:v>
      </x:c>
      <x:c r="AO552" s="12" t="str">
        <x:v>Not a refunded record</x:v>
      </x:c>
      <x:c r="AP552" s="37" t="n">
        <x:f>IF(LEFT($AM552,7)="Invalid","",IF($AM552="Missing discount imputed as 0",IF(AND(COUNT($O552,$P552,$R552,$S552)=4,$O552&gt;0,$P552&gt;=0,$R552&gt;=0,$S552&gt;=0),0,""),IF(AND(ISNUMBER($Q552),$Q552&gt;=0,$Q552&lt;=0.5),$Q552,"")))</x:f>
        <x:v>0.2</x:v>
      </x:c>
      <x:c r="AQ552" s="152" t="n">
        <x:f>IF(OR($W552="",NOT(ISNUMBER($R552))),"",ROUND($R552-$W552,2))</x:f>
        <x:v>0</x:v>
      </x:c>
      <x:c r="AR552" s="152" t="n">
        <x:f>IF(OR($X552="",NOT(ISNUMBER($T552))),"",ROUND($T552-$X552,2))</x:f>
        <x:v>0</x:v>
      </x:c>
      <x:c r="AS552" s="14" t="str">
        <x:v>OK</x:v>
      </x:c>
    </x:row>
    <x:row r="553">
      <x:c r="A553" s="80" t="n">
        <x:v>553</x:v>
      </x:c>
      <x:c r="B553" s="80" t="str">
        <x:v>ORD-2024-10552</x:v>
      </x:c>
      <x:c r="C553" s="81" t="n">
        <x:v>45349</x:v>
      </x:c>
      <x:c r="D553" s="81" t="n">
        <x:v>45349</x:v>
      </x:c>
      <x:c r="E553" s="80" t="str">
        <x:v>CUST-8172</x:v>
      </x:c>
      <x:c r="F553" s="80" t="str">
        <x:v>Sneha Kapoor</x:v>
      </x:c>
      <x:c r="G553" s="80" t="str">
        <x:v>Consumer</x:v>
      </x:c>
      <x:c r="H553" s="80" t="str">
        <x:v>East</x:v>
      </x:c>
      <x:c r="I553" s="80" t="str">
        <x:v>Jharkhand</x:v>
      </x:c>
      <x:c r="J553" s="80" t="str">
        <x:v>Ranchi</x:v>
      </x:c>
      <x:c r="K553" s="80" t="str">
        <x:v>Furniture</x:v>
      </x:c>
      <x:c r="L553" s="80" t="str">
        <x:v>Chairs</x:v>
      </x:c>
      <x:c r="M553" s="80" t="str">
        <x:v>Elite Chairs 314</x:v>
      </x:c>
      <x:c r="N553" s="80" t="str">
        <x:v>Second Class</x:v>
      </x:c>
      <x:c r="O553" s="82" t="n">
        <x:v>3</x:v>
      </x:c>
      <x:c r="P553" s="83" t="n">
        <x:v>3148.09</x:v>
      </x:c>
      <x:c r="Q553" s="84" t="n">
        <x:v>0.15</x:v>
      </x:c>
      <x:c r="R553" s="83" t="n">
        <x:v>8027.63</x:v>
      </x:c>
      <x:c r="S553" s="83" t="n">
        <x:v>5496.09</x:v>
      </x:c>
      <x:c r="T553" s="83" t="n">
        <x:v>2531.54</x:v>
      </x:c>
      <x:c r="U553" s="83" t="str">
        <x:v>Paid</x:v>
      </x:c>
      <x:c r="V553" s="83" t="str">
        <x:v>Completed</x:v>
      </x:c>
      <x:c r="W553" s="151" t="n">
        <x:f>IF(OR(NOT(ISNUMBER($AP553)),COUNT($O553,$P553)&lt;2,$O553&lt;=0,$P553&lt;0),"",ROUND($O553*$P553*(1-$AP553),2))</x:f>
        <x:v>8027.63</x:v>
      </x:c>
      <x:c r="X553" s="151" t="n">
        <x:f>IF(OR(NOT(ISNUMBER($W553)),NOT(ISNUMBER($S553))),"",ROUND($W553-$S553,2))</x:f>
        <x:v>2531.54</x:v>
      </x:c>
      <x:c r="Y553" s="85" t="n">
        <x:f>IF(OR(NOT(ISNUMBER($W553)),NOT(ISNUMBER($X553)),$W553=0),"",ROUND($X553/$W553,4))</x:f>
        <x:v>0.3154</x:v>
      </x:c>
      <x:c r="Z553" s="82" t="n">
        <x:f>IF(OR($AH553&lt;&gt;"Valid",$AI553&lt;&gt;"Valid"),"",INT($D553-$C553))</x:f>
        <x:v>0</x:v>
      </x:c>
      <x:c r="AA553" s="86" t="str">
        <x:f>IF($AH553&lt;&gt;"Valid","",TEXT($C553,"mmmm"))</x:f>
        <x:v>February</x:v>
      </x:c>
      <x:c r="AB553" s="82" t="n">
        <x:f>IF($AH553&lt;&gt;"Valid","",YEAR($C553))</x:f>
        <x:v>2024</x:v>
      </x:c>
      <x:c r="AC553" s="80" t="str">
        <x:v>Consistent</x:v>
      </x:c>
      <x:c r="AD553" s="80" t="str">
        <x:v>Eligible</x:v>
      </x:c>
      <x:c r="AE553" s="80" t="str">
        <x:f>IF(OR($AH553&lt;&gt;"Valid",$AI553&lt;&gt;"Valid",$AJ553&lt;&gt;"Valid",LEFT($AM553,7)="Invalid",IFERROR(ABS($AQ553)&gt;0.01,FALSE),IFERROR(ABS($AR553)&gt;0.01,FALSE),COUNTIF($AS553,"*Conflicting duplicate*")&gt;0,COUNTIF($AS553,"*Completed order not paid*")&gt;0),"Invalid",IF(OR($H553="Unknown",$N553="Unknown",$AM553="Missing discount imputed as 0"),"Warning","Clean"))</x:f>
        <x:v>Clean</x:v>
      </x:c>
      <x:c r="AF553" s="80" t="str">
        <x:v>Pass</x:v>
      </x:c>
      <x:c r="AG553" s="80" t="str">
        <x:v>No text cleanup required</x:v>
      </x:c>
      <x:c r="AH553" s="12" t="str">
        <x:f>IF(C553="","Missing date",IF(ISNUMBER(C553),"Valid","Unrecognized/invalid date"))</x:f>
        <x:v>Valid</x:v>
      </x:c>
      <x:c r="AI553" s="12" t="str">
        <x:f>IF(D553="","Missing date",IF(ISNUMBER(D553),"Valid","Unrecognized/invalid date"))</x:f>
        <x:v>Valid</x:v>
      </x:c>
      <x:c r="AJ553" s="12" t="str">
        <x:v>Valid</x:v>
      </x:c>
      <x:c r="AK553" s="12" t="str">
        <x:v>Pass</x:v>
      </x:c>
      <x:c r="AL553" s="12" t="str">
        <x:v>None</x:v>
      </x:c>
      <x:c r="AM553" s="12" t="str">
        <x:v>Valid</x:v>
      </x:c>
      <x:c r="AN553" s="12" t="str">
        <x:v>Include in completed sales</x:v>
      </x:c>
      <x:c r="AO553" s="12" t="str">
        <x:v>Not a refunded record</x:v>
      </x:c>
      <x:c r="AP553" s="37" t="n">
        <x:f>IF(LEFT($AM553,7)="Invalid","",IF($AM553="Missing discount imputed as 0",IF(AND(COUNT($O553,$P553,$R553,$S553)=4,$O553&gt;0,$P553&gt;=0,$R553&gt;=0,$S553&gt;=0),0,""),IF(AND(ISNUMBER($Q553),$Q553&gt;=0,$Q553&lt;=0.5),$Q553,"")))</x:f>
        <x:v>0.15</x:v>
      </x:c>
      <x:c r="AQ553" s="152" t="n">
        <x:f>IF(OR($W553="",NOT(ISNUMBER($R553))),"",ROUND($R553-$W553,2))</x:f>
        <x:v>0</x:v>
      </x:c>
      <x:c r="AR553" s="152" t="n">
        <x:f>IF(OR($X553="",NOT(ISNUMBER($T553))),"",ROUND($T553-$X553,2))</x:f>
        <x:v>0</x:v>
      </x:c>
      <x:c r="AS553" s="14" t="str">
        <x:v>OK</x:v>
      </x:c>
    </x:row>
    <x:row r="554">
      <x:c r="A554" s="80" t="n">
        <x:v>554</x:v>
      </x:c>
      <x:c r="B554" s="80" t="str">
        <x:v>ORD-2025-10553</x:v>
      </x:c>
      <x:c r="C554" s="81" t="n">
        <x:v>45681</x:v>
      </x:c>
      <x:c r="D554" s="81" t="n">
        <x:v>45687</x:v>
      </x:c>
      <x:c r="E554" s="80" t="str">
        <x:v>CUST-8861</x:v>
      </x:c>
      <x:c r="F554" s="80" t="str">
        <x:v>Ananya Rao</x:v>
      </x:c>
      <x:c r="G554" s="80" t="str">
        <x:v>Corporate</x:v>
      </x:c>
      <x:c r="H554" s="80" t="str">
        <x:v>East</x:v>
      </x:c>
      <x:c r="I554" s="80" t="str">
        <x:v>West Bengal</x:v>
      </x:c>
      <x:c r="J554" s="80" t="str">
        <x:v>Kolkata</x:v>
      </x:c>
      <x:c r="K554" s="80" t="str">
        <x:v>Technology</x:v>
      </x:c>
      <x:c r="L554" s="80" t="str">
        <x:v>Copiers</x:v>
      </x:c>
      <x:c r="M554" s="80" t="str">
        <x:v>Pro Copiers 246</x:v>
      </x:c>
      <x:c r="N554" s="80" t="str">
        <x:v>Standard Class</x:v>
      </x:c>
      <x:c r="O554" s="82" t="n">
        <x:v>8</x:v>
      </x:c>
      <x:c r="P554" s="83" t="n">
        <x:v>312.53</x:v>
      </x:c>
      <x:c r="Q554" s="84" t="n">
        <x:v>0.7</x:v>
      </x:c>
      <x:c r="R554" s="83" t="n">
        <x:v>1875.18</x:v>
      </x:c>
      <x:c r="S554" s="83" t="n">
        <x:v>1579.17</x:v>
      </x:c>
      <x:c r="T554" s="83" t="n">
        <x:v>296.01</x:v>
      </x:c>
      <x:c r="U554" s="83" t="str">
        <x:v>Paid</x:v>
      </x:c>
      <x:c r="V554" s="83" t="str">
        <x:v>Completed</x:v>
      </x:c>
      <x:c r="W554" s="151" t="str">
        <x:f>IF(OR(NOT(ISNUMBER($AP554)),COUNT($O554,$P554)&lt;2,$O554&lt;=0,$P554&lt;0),"",ROUND($O554*$P554*(1-$AP554),2))</x:f>
      </x:c>
      <x:c r="X554" s="151" t="str">
        <x:f>IF(OR(NOT(ISNUMBER($W554)),NOT(ISNUMBER($S554))),"",ROUND($W554-$S554,2))</x:f>
      </x:c>
      <x:c r="Y554" s="85" t="str">
        <x:f>IF(OR(NOT(ISNUMBER($W554)),NOT(ISNUMBER($X554)),$W554=0),"",ROUND($X554/$W554,4))</x:f>
      </x:c>
      <x:c r="Z554" s="82" t="n">
        <x:f>IF(OR($AH554&lt;&gt;"Valid",$AI554&lt;&gt;"Valid"),"",INT($D554-$C554))</x:f>
        <x:v>6</x:v>
      </x:c>
      <x:c r="AA554" s="86" t="str">
        <x:f>IF($AH554&lt;&gt;"Valid","",TEXT($C554,"mmmm"))</x:f>
        <x:v>January</x:v>
      </x:c>
      <x:c r="AB554" s="82" t="n">
        <x:f>IF($AH554&lt;&gt;"Valid","",YEAR($C554))</x:f>
        <x:v>2025</x:v>
      </x:c>
      <x:c r="AC554" s="80" t="str">
        <x:v>Consistent</x:v>
      </x:c>
      <x:c r="AD554" s="80" t="str">
        <x:v>Excluded</x:v>
      </x:c>
      <x:c r="AE554" s="80" t="str">
        <x:f>IF(OR($AH554&lt;&gt;"Valid",$AI554&lt;&gt;"Valid",$AJ554&lt;&gt;"Valid",LEFT($AM554,7)="Invalid",IFERROR(ABS($AQ554)&gt;0.01,FALSE),IFERROR(ABS($AR554)&gt;0.01,FALSE),COUNTIF($AS554,"*Conflicting duplicate*")&gt;0,COUNTIF($AS554,"*Completed order not paid*")&gt;0),"Invalid",IF(OR($H554="Unknown",$N554="Unknown",$AM554="Missing discount imputed as 0"),"Warning","Clean"))</x:f>
        <x:v>Invalid</x:v>
      </x:c>
      <x:c r="AF554" s="80" t="str">
        <x:v>Review</x:v>
      </x:c>
      <x:c r="AG554" s="80" t="str">
        <x:v>discount: Percent text converted</x:v>
      </x:c>
      <x:c r="AH554" s="12" t="str">
        <x:f>IF(C554="","Missing date",IF(ISNUMBER(C554),"Valid","Unrecognized/invalid date"))</x:f>
        <x:v>Valid</x:v>
      </x:c>
      <x:c r="AI554" s="12" t="str">
        <x:f>IF(D554="","Missing date",IF(ISNUMBER(D554),"Valid","Unrecognized/invalid date"))</x:f>
        <x:v>Valid</x:v>
      </x:c>
      <x:c r="AJ554" s="12" t="str">
        <x:v>Valid</x:v>
      </x:c>
      <x:c r="AK554" s="12" t="str">
        <x:v>Pass</x:v>
      </x:c>
      <x:c r="AL554" s="12" t="str">
        <x:v>None</x:v>
      </x:c>
      <x:c r="AM554" s="12" t="str">
        <x:v>Invalid discount – above 50% allowed range</x:v>
      </x:c>
      <x:c r="AN554" s="12" t="str">
        <x:v>Exclude from completed sales</x:v>
      </x:c>
      <x:c r="AO554" s="12" t="str">
        <x:v>Not a refunded record</x:v>
      </x:c>
      <x:c r="AP554" s="37" t="str">
        <x:f>IF(LEFT($AM554,7)="Invalid","",IF($AM554="Missing discount imputed as 0",IF(AND(COUNT($O554,$P554,$R554,$S554)=4,$O554&gt;0,$P554&gt;=0,$R554&gt;=0,$S554&gt;=0),0,""),IF(AND(ISNUMBER($Q554),$Q554&gt;=0,$Q554&lt;=0.5),$Q554,"")))</x:f>
      </x:c>
      <x:c r="AQ554" s="152" t="str">
        <x:f>IF(OR($W554="",NOT(ISNUMBER($R554))),"",ROUND($R554-$W554,2))</x:f>
      </x:c>
      <x:c r="AR554" s="152" t="str">
        <x:f>IF(OR($X554="",NOT(ISNUMBER($T554))),"",ROUND($T554-$X554,2))</x:f>
      </x:c>
      <x:c r="AS554" s="14" t="str">
        <x:v>Discount above allowed range (&gt;50%)</x:v>
      </x:c>
    </x:row>
    <x:row r="555">
      <x:c r="A555" s="80" t="n">
        <x:v>555</x:v>
      </x:c>
      <x:c r="B555" s="80" t="str">
        <x:v>ORD-2025-10554</x:v>
      </x:c>
      <x:c r="C555" s="81" t="n">
        <x:v>45772</x:v>
      </x:c>
      <x:c r="D555" s="81" t="n">
        <x:v>45775</x:v>
      </x:c>
      <x:c r="E555" s="80" t="str">
        <x:v>CUST-9241</x:v>
      </x:c>
      <x:c r="F555" s="80" t="str">
        <x:v>Aarav Sharma</x:v>
      </x:c>
      <x:c r="G555" s="80" t="str">
        <x:v>Small Business</x:v>
      </x:c>
      <x:c r="H555" s="80" t="str">
        <x:v>West</x:v>
      </x:c>
      <x:c r="I555" s="80" t="str">
        <x:v>Gujarat</x:v>
      </x:c>
      <x:c r="J555" s="80" t="str">
        <x:v>Ahmedabad</x:v>
      </x:c>
      <x:c r="K555" s="80" t="str">
        <x:v>Office Supplies</x:v>
      </x:c>
      <x:c r="L555" s="80" t="str">
        <x:v>Storage</x:v>
      </x:c>
      <x:c r="M555" s="80" t="str">
        <x:v>Pro Storage 128</x:v>
      </x:c>
      <x:c r="N555" s="80" t="str">
        <x:v>First Class</x:v>
      </x:c>
      <x:c r="O555" s="82" t="n">
        <x:v>9</x:v>
      </x:c>
      <x:c r="P555" s="83" t="n">
        <x:v>1294.11</x:v>
      </x:c>
      <x:c r="Q555" s="84" t="n">
        <x:v>0.25</x:v>
      </x:c>
      <x:c r="R555" s="83" t="n">
        <x:v>8735.24</x:v>
      </x:c>
      <x:c r="S555" s="83" t="n">
        <x:v>6620.07</x:v>
      </x:c>
      <x:c r="T555" s="83" t="n">
        <x:v>2115.17</x:v>
      </x:c>
      <x:c r="U555" s="83" t="str">
        <x:v>Paid</x:v>
      </x:c>
      <x:c r="V555" s="83" t="str">
        <x:v>Completed</x:v>
      </x:c>
      <x:c r="W555" s="151" t="n">
        <x:f>IF(OR(NOT(ISNUMBER($AP555)),COUNT($O555,$P555)&lt;2,$O555&lt;=0,$P555&lt;0),"",ROUND($O555*$P555*(1-$AP555),2))</x:f>
        <x:v>8735.24</x:v>
      </x:c>
      <x:c r="X555" s="151" t="n">
        <x:f>IF(OR(NOT(ISNUMBER($W555)),NOT(ISNUMBER($S555))),"",ROUND($W555-$S555,2))</x:f>
        <x:v>2115.17</x:v>
      </x:c>
      <x:c r="Y555" s="85" t="n">
        <x:f>IF(OR(NOT(ISNUMBER($W555)),NOT(ISNUMBER($X555)),$W555=0),"",ROUND($X555/$W555,4))</x:f>
        <x:v>0.2421</x:v>
      </x:c>
      <x:c r="Z555" s="82" t="n">
        <x:f>IF(OR($AH555&lt;&gt;"Valid",$AI555&lt;&gt;"Valid"),"",INT($D555-$C555))</x:f>
        <x:v>3</x:v>
      </x:c>
      <x:c r="AA555" s="86" t="str">
        <x:f>IF($AH555&lt;&gt;"Valid","",TEXT($C555,"mmmm"))</x:f>
        <x:v>April</x:v>
      </x:c>
      <x:c r="AB555" s="82" t="n">
        <x:f>IF($AH555&lt;&gt;"Valid","",YEAR($C555))</x:f>
        <x:v>2025</x:v>
      </x:c>
      <x:c r="AC555" s="80" t="str">
        <x:v>Consistent</x:v>
      </x:c>
      <x:c r="AD555" s="80" t="str">
        <x:v>Eligible</x:v>
      </x:c>
      <x:c r="AE555" s="80" t="str">
        <x:f>IF(OR($AH555&lt;&gt;"Valid",$AI555&lt;&gt;"Valid",$AJ555&lt;&gt;"Valid",LEFT($AM555,7)="Invalid",IFERROR(ABS($AQ555)&gt;0.01,FALSE),IFERROR(ABS($AR555)&gt;0.01,FALSE),COUNTIF($AS555,"*Conflicting duplicate*")&gt;0,COUNTIF($AS555,"*Completed order not paid*")&gt;0),"Invalid",IF(OR($H555="Unknown",$N555="Unknown",$AM555="Missing discount imputed as 0"),"Warning","Clean"))</x:f>
        <x:v>Clean</x:v>
      </x:c>
      <x:c r="AF555" s="80" t="str">
        <x:v>Pass</x:v>
      </x:c>
      <x:c r="AG555" s="80" t="str">
        <x:v>No text cleanup required</x:v>
      </x:c>
      <x:c r="AH555" s="12" t="str">
        <x:f>IF(C555="","Missing date",IF(ISNUMBER(C555),"Valid","Unrecognized/invalid date"))</x:f>
        <x:v>Valid</x:v>
      </x:c>
      <x:c r="AI555" s="12" t="str">
        <x:f>IF(D555="","Missing date",IF(ISNUMBER(D555),"Valid","Unrecognized/invalid date"))</x:f>
        <x:v>Valid</x:v>
      </x:c>
      <x:c r="AJ555" s="12" t="str">
        <x:v>Valid</x:v>
      </x:c>
      <x:c r="AK555" s="12" t="str">
        <x:v>Pass</x:v>
      </x:c>
      <x:c r="AL555" s="12" t="str">
        <x:v>None</x:v>
      </x:c>
      <x:c r="AM555" s="12" t="str">
        <x:v>Valid</x:v>
      </x:c>
      <x:c r="AN555" s="12" t="str">
        <x:v>Include in completed sales</x:v>
      </x:c>
      <x:c r="AO555" s="12" t="str">
        <x:v>Not a refunded record</x:v>
      </x:c>
      <x:c r="AP555" s="37" t="n">
        <x:f>IF(LEFT($AM555,7)="Invalid","",IF($AM555="Missing discount imputed as 0",IF(AND(COUNT($O555,$P555,$R555,$S555)=4,$O555&gt;0,$P555&gt;=0,$R555&gt;=0,$S555&gt;=0),0,""),IF(AND(ISNUMBER($Q555),$Q555&gt;=0,$Q555&lt;=0.5),$Q555,"")))</x:f>
        <x:v>0.25</x:v>
      </x:c>
      <x:c r="AQ555" s="152" t="n">
        <x:f>IF(OR($W555="",NOT(ISNUMBER($R555))),"",ROUND($R555-$W555,2))</x:f>
        <x:v>0</x:v>
      </x:c>
      <x:c r="AR555" s="152" t="n">
        <x:f>IF(OR($X555="",NOT(ISNUMBER($T555))),"",ROUND($T555-$X555,2))</x:f>
        <x:v>0</x:v>
      </x:c>
      <x:c r="AS555" s="14" t="str">
        <x:v>OK</x:v>
      </x:c>
    </x:row>
    <x:row r="556">
      <x:c r="A556" s="80" t="n">
        <x:v>556</x:v>
      </x:c>
      <x:c r="B556" s="80" t="str">
        <x:v>ORD-2024-10555</x:v>
      </x:c>
      <x:c r="C556" s="81" t="n">
        <x:v>45577</x:v>
      </x:c>
      <x:c r="D556" s="81" t="n">
        <x:v>45582</x:v>
      </x:c>
      <x:c r="E556" s="80" t="str">
        <x:v>CUST-2126</x:v>
      </x:c>
      <x:c r="F556" s="80" t="str">
        <x:v>Arjun Bose</x:v>
      </x:c>
      <x:c r="G556" s="80" t="str">
        <x:v>Consumer</x:v>
      </x:c>
      <x:c r="H556" s="80" t="str">
        <x:v>Unknown</x:v>
      </x:c>
      <x:c r="I556" s="80" t="str">
        <x:v>Jharkhand</x:v>
      </x:c>
      <x:c r="J556" s="80" t="str">
        <x:v>Ranchi</x:v>
      </x:c>
      <x:c r="K556" s="80" t="str">
        <x:v>Furniture</x:v>
      </x:c>
      <x:c r="L556" s="80" t="str">
        <x:v>Furnishings</x:v>
      </x:c>
      <x:c r="M556" s="80" t="str">
        <x:v>Prime Furnishings 892</x:v>
      </x:c>
      <x:c r="N556" s="80" t="str">
        <x:v>Standard Class</x:v>
      </x:c>
      <x:c r="O556" s="82" t="n">
        <x:v>4</x:v>
      </x:c>
      <x:c r="P556" s="83" t="n">
        <x:v>1071.22</x:v>
      </x:c>
      <x:c r="Q556" s="84" t="n">
        <x:v>0.05</x:v>
      </x:c>
      <x:c r="R556" s="83" t="n">
        <x:v>4070.64</x:v>
      </x:c>
      <x:c r="S556" s="83" t="n">
        <x:v>2831.62</x:v>
      </x:c>
      <x:c r="T556" s="83" t="n">
        <x:v>1239.02</x:v>
      </x:c>
      <x:c r="U556" s="83" t="str">
        <x:v>Paid</x:v>
      </x:c>
      <x:c r="V556" s="83" t="str">
        <x:v>Completed</x:v>
      </x:c>
      <x:c r="W556" s="151" t="n">
        <x:f>IF(OR(NOT(ISNUMBER($AP556)),COUNT($O556,$P556)&lt;2,$O556&lt;=0,$P556&lt;0),"",ROUND($O556*$P556*(1-$AP556),2))</x:f>
        <x:v>4070.64</x:v>
      </x:c>
      <x:c r="X556" s="151" t="n">
        <x:f>IF(OR(NOT(ISNUMBER($W556)),NOT(ISNUMBER($S556))),"",ROUND($W556-$S556,2))</x:f>
        <x:v>1239.02</x:v>
      </x:c>
      <x:c r="Y556" s="85" t="n">
        <x:f>IF(OR(NOT(ISNUMBER($W556)),NOT(ISNUMBER($X556)),$W556=0),"",ROUND($X556/$W556,4))</x:f>
        <x:v>0.3044</x:v>
      </x:c>
      <x:c r="Z556" s="82" t="n">
        <x:f>IF(OR($AH556&lt;&gt;"Valid",$AI556&lt;&gt;"Valid"),"",INT($D556-$C556))</x:f>
        <x:v>5</x:v>
      </x:c>
      <x:c r="AA556" s="86" t="str">
        <x:f>IF($AH556&lt;&gt;"Valid","",TEXT($C556,"mmmm"))</x:f>
        <x:v>October</x:v>
      </x:c>
      <x:c r="AB556" s="82" t="n">
        <x:f>IF($AH556&lt;&gt;"Valid","",YEAR($C556))</x:f>
        <x:v>2024</x:v>
      </x:c>
      <x:c r="AC556" s="80" t="str">
        <x:v>Consistent</x:v>
      </x:c>
      <x:c r="AD556" s="80" t="str">
        <x:v>Eligible</x:v>
      </x:c>
      <x:c r="AE556" s="80" t="str">
        <x:f>IF(OR($AH556&lt;&gt;"Valid",$AI556&lt;&gt;"Valid",$AJ556&lt;&gt;"Valid",LEFT($AM556,7)="Invalid",IFERROR(ABS($AQ556)&gt;0.01,FALSE),IFERROR(ABS($AR556)&gt;0.01,FALSE),COUNTIF($AS556,"*Conflicting duplicate*")&gt;0,COUNTIF($AS556,"*Completed order not paid*")&gt;0),"Invalid",IF(OR($H556="Unknown",$N556="Unknown",$AM556="Missing discount imputed as 0"),"Warning","Clean"))</x:f>
        <x:v>Warning</x:v>
      </x:c>
      <x:c r="AF556" s="80" t="str">
        <x:v>Cleaned</x:v>
      </x:c>
      <x:c r="AG556" s="80" t="str">
        <x:v>region: Missing value filled as Unknown</x:v>
      </x:c>
      <x:c r="AH556" s="12" t="str">
        <x:f>IF(C556="","Missing date",IF(ISNUMBER(C556),"Valid","Unrecognized/invalid date"))</x:f>
        <x:v>Valid</x:v>
      </x:c>
      <x:c r="AI556" s="12" t="str">
        <x:f>IF(D556="","Missing date",IF(ISNUMBER(D556),"Valid","Unrecognized/invalid date"))</x:f>
        <x:v>Valid</x:v>
      </x:c>
      <x:c r="AJ556" s="12" t="str">
        <x:v>Valid</x:v>
      </x:c>
      <x:c r="AK556" s="12" t="str">
        <x:v>Pass</x:v>
      </x:c>
      <x:c r="AL556" s="12" t="str">
        <x:v>Missing region filled as Unknown</x:v>
      </x:c>
      <x:c r="AM556" s="12" t="str">
        <x:v>Valid</x:v>
      </x:c>
      <x:c r="AN556" s="12" t="str">
        <x:v>Include in completed sales</x:v>
      </x:c>
      <x:c r="AO556" s="12" t="str">
        <x:v>Not a refunded record</x:v>
      </x:c>
      <x:c r="AP556" s="37" t="n">
        <x:f>IF(LEFT($AM556,7)="Invalid","",IF($AM556="Missing discount imputed as 0",IF(AND(COUNT($O556,$P556,$R556,$S556)=4,$O556&gt;0,$P556&gt;=0,$R556&gt;=0,$S556&gt;=0),0,""),IF(AND(ISNUMBER($Q556),$Q556&gt;=0,$Q556&lt;=0.5),$Q556,"")))</x:f>
        <x:v>0.05</x:v>
      </x:c>
      <x:c r="AQ556" s="152" t="n">
        <x:f>IF(OR($W556="",NOT(ISNUMBER($R556))),"",ROUND($R556-$W556,2))</x:f>
        <x:v>0</x:v>
      </x:c>
      <x:c r="AR556" s="152" t="n">
        <x:f>IF(OR($X556="",NOT(ISNUMBER($T556))),"",ROUND($T556-$X556,2))</x:f>
        <x:v>0</x:v>
      </x:c>
      <x:c r="AS556" s="14" t="str">
        <x:v>OK</x:v>
      </x:c>
    </x:row>
    <x:row r="557">
      <x:c r="A557" s="80" t="n">
        <x:v>557</x:v>
      </x:c>
      <x:c r="B557" s="80" t="str">
        <x:v>ORD-2025-10556</x:v>
      </x:c>
      <x:c r="C557" s="81" t="n">
        <x:v>45692</x:v>
      </x:c>
      <x:c r="D557" s="81" t="n">
        <x:v>45698</x:v>
      </x:c>
      <x:c r="E557" s="80" t="str">
        <x:v>CUST-7513</x:v>
      </x:c>
      <x:c r="F557" s="80" t="str">
        <x:v>Ananya Rao</x:v>
      </x:c>
      <x:c r="G557" s="80" t="str">
        <x:v>Small Business</x:v>
      </x:c>
      <x:c r="H557" s="80" t="str">
        <x:v>South</x:v>
      </x:c>
      <x:c r="I557" s="80" t="str">
        <x:v>Telangana</x:v>
      </x:c>
      <x:c r="J557" s="80" t="str">
        <x:v>Hyderabad</x:v>
      </x:c>
      <x:c r="K557" s="80" t="str">
        <x:v>Office Supplies</x:v>
      </x:c>
      <x:c r="L557" s="80" t="str">
        <x:v>Storage</x:v>
      </x:c>
      <x:c r="M557" s="80" t="str">
        <x:v>Prime Storage 689</x:v>
      </x:c>
      <x:c r="N557" s="80" t="str">
        <x:v>Standard Class</x:v>
      </x:c>
      <x:c r="O557" s="82" t="n">
        <x:v>6</x:v>
      </x:c>
      <x:c r="P557" s="83" t="n">
        <x:v>1042.8</x:v>
      </x:c>
      <x:c r="Q557" s="84" t="n">
        <x:v>0.05</x:v>
      </x:c>
      <x:c r="R557" s="83" t="n">
        <x:v>5943.96</x:v>
      </x:c>
      <x:c r="S557" s="83" t="n">
        <x:v>3604.14</x:v>
      </x:c>
      <x:c r="T557" s="83" t="n">
        <x:v>2339.82</x:v>
      </x:c>
      <x:c r="U557" s="83" t="str">
        <x:v>Paid</x:v>
      </x:c>
      <x:c r="V557" s="83" t="str">
        <x:v>Completed</x:v>
      </x:c>
      <x:c r="W557" s="151" t="n">
        <x:f>IF(OR(NOT(ISNUMBER($AP557)),COUNT($O557,$P557)&lt;2,$O557&lt;=0,$P557&lt;0),"",ROUND($O557*$P557*(1-$AP557),2))</x:f>
        <x:v>5943.96</x:v>
      </x:c>
      <x:c r="X557" s="151" t="n">
        <x:f>IF(OR(NOT(ISNUMBER($W557)),NOT(ISNUMBER($S557))),"",ROUND($W557-$S557,2))</x:f>
        <x:v>2339.82</x:v>
      </x:c>
      <x:c r="Y557" s="85" t="n">
        <x:f>IF(OR(NOT(ISNUMBER($W557)),NOT(ISNUMBER($X557)),$W557=0),"",ROUND($X557/$W557,4))</x:f>
        <x:v>0.3936</x:v>
      </x:c>
      <x:c r="Z557" s="82" t="n">
        <x:f>IF(OR($AH557&lt;&gt;"Valid",$AI557&lt;&gt;"Valid"),"",INT($D557-$C557))</x:f>
        <x:v>6</x:v>
      </x:c>
      <x:c r="AA557" s="86" t="str">
        <x:f>IF($AH557&lt;&gt;"Valid","",TEXT($C557,"mmmm"))</x:f>
        <x:v>February</x:v>
      </x:c>
      <x:c r="AB557" s="82" t="n">
        <x:f>IF($AH557&lt;&gt;"Valid","",YEAR($C557))</x:f>
        <x:v>2025</x:v>
      </x:c>
      <x:c r="AC557" s="80" t="str">
        <x:v>Consistent</x:v>
      </x:c>
      <x:c r="AD557" s="80" t="str">
        <x:v>Eligible</x:v>
      </x:c>
      <x:c r="AE557" s="80" t="str">
        <x:f>IF(OR($AH557&lt;&gt;"Valid",$AI557&lt;&gt;"Valid",$AJ557&lt;&gt;"Valid",LEFT($AM557,7)="Invalid",IFERROR(ABS($AQ557)&gt;0.01,FALSE),IFERROR(ABS($AR557)&gt;0.01,FALSE),COUNTIF($AS557,"*Conflicting duplicate*")&gt;0,COUNTIF($AS557,"*Completed order not paid*")&gt;0),"Invalid",IF(OR($H557="Unknown",$N557="Unknown",$AM557="Missing discount imputed as 0"),"Warning","Clean"))</x:f>
        <x:v>Clean</x:v>
      </x:c>
      <x:c r="AF557" s="80" t="str">
        <x:v>Pass</x:v>
      </x:c>
      <x:c r="AG557" s="80" t="str">
        <x:v>No text cleanup required</x:v>
      </x:c>
      <x:c r="AH557" s="12" t="str">
        <x:f>IF(C557="","Missing date",IF(ISNUMBER(C557),"Valid","Unrecognized/invalid date"))</x:f>
        <x:v>Valid</x:v>
      </x:c>
      <x:c r="AI557" s="12" t="str">
        <x:f>IF(D557="","Missing date",IF(ISNUMBER(D557),"Valid","Unrecognized/invalid date"))</x:f>
        <x:v>Valid</x:v>
      </x:c>
      <x:c r="AJ557" s="12" t="str">
        <x:v>Valid</x:v>
      </x:c>
      <x:c r="AK557" s="12" t="str">
        <x:v>Pass</x:v>
      </x:c>
      <x:c r="AL557" s="12" t="str">
        <x:v>None</x:v>
      </x:c>
      <x:c r="AM557" s="12" t="str">
        <x:v>Valid</x:v>
      </x:c>
      <x:c r="AN557" s="12" t="str">
        <x:v>Include in completed sales</x:v>
      </x:c>
      <x:c r="AO557" s="12" t="str">
        <x:v>Not a refunded record</x:v>
      </x:c>
      <x:c r="AP557" s="37" t="n">
        <x:f>IF(LEFT($AM557,7)="Invalid","",IF($AM557="Missing discount imputed as 0",IF(AND(COUNT($O557,$P557,$R557,$S557)=4,$O557&gt;0,$P557&gt;=0,$R557&gt;=0,$S557&gt;=0),0,""),IF(AND(ISNUMBER($Q557),$Q557&gt;=0,$Q557&lt;=0.5),$Q557,"")))</x:f>
        <x:v>0.05</x:v>
      </x:c>
      <x:c r="AQ557" s="152" t="n">
        <x:f>IF(OR($W557="",NOT(ISNUMBER($R557))),"",ROUND($R557-$W557,2))</x:f>
        <x:v>0</x:v>
      </x:c>
      <x:c r="AR557" s="152" t="n">
        <x:f>IF(OR($X557="",NOT(ISNUMBER($T557))),"",ROUND($T557-$X557,2))</x:f>
        <x:v>0</x:v>
      </x:c>
      <x:c r="AS557" s="14" t="str">
        <x:v>OK</x:v>
      </x:c>
    </x:row>
    <x:row r="558">
      <x:c r="A558" s="80" t="n">
        <x:v>558</x:v>
      </x:c>
      <x:c r="B558" s="80" t="str">
        <x:v>ORD-2024-10557</x:v>
      </x:c>
      <x:c r="C558" s="81" t="n">
        <x:v>45466</x:v>
      </x:c>
      <x:c r="D558" s="81" t="n">
        <x:v>45472</x:v>
      </x:c>
      <x:c r="E558" s="80" t="str">
        <x:v>CUST-1992</x:v>
      </x:c>
      <x:c r="F558" s="80" t="str">
        <x:v>Neha Gupta</x:v>
      </x:c>
      <x:c r="G558" s="80" t="str">
        <x:v>Consumer</x:v>
      </x:c>
      <x:c r="H558" s="80" t="str">
        <x:v>North</x:v>
      </x:c>
      <x:c r="I558" s="80" t="str">
        <x:v>Haryana</x:v>
      </x:c>
      <x:c r="J558" s="80" t="str">
        <x:v>Gurugram</x:v>
      </x:c>
      <x:c r="K558" s="80" t="str">
        <x:v>Furniture</x:v>
      </x:c>
      <x:c r="L558" s="80" t="str">
        <x:v>Tables</x:v>
      </x:c>
      <x:c r="M558" s="80" t="str">
        <x:v>Classic Tables 769</x:v>
      </x:c>
      <x:c r="N558" s="80" t="str">
        <x:v>First Class</x:v>
      </x:c>
      <x:c r="O558" s="82" t="n">
        <x:v>1</x:v>
      </x:c>
      <x:c r="P558" s="83" t="n">
        <x:v>4426.66</x:v>
      </x:c>
      <x:c r="Q558" s="84" t="n">
        <x:v>0</x:v>
      </x:c>
      <x:c r="R558" s="83" t="n">
        <x:v>4426.66</x:v>
      </x:c>
      <x:c r="S558" s="83" t="n">
        <x:v>3035.2</x:v>
      </x:c>
      <x:c r="T558" s="83" t="n">
        <x:v>1816.23</x:v>
      </x:c>
      <x:c r="U558" s="83" t="str">
        <x:v>Paid</x:v>
      </x:c>
      <x:c r="V558" s="83" t="str">
        <x:v>Returned</x:v>
      </x:c>
      <x:c r="W558" s="151" t="n">
        <x:f>IF(OR(NOT(ISNUMBER($AP558)),COUNT($O558,$P558)&lt;2,$O558&lt;=0,$P558&lt;0),"",ROUND($O558*$P558*(1-$AP558),2))</x:f>
        <x:v>4426.66</x:v>
      </x:c>
      <x:c r="X558" s="151" t="n">
        <x:f>IF(OR(NOT(ISNUMBER($W558)),NOT(ISNUMBER($S558))),"",ROUND($W558-$S558,2))</x:f>
        <x:v>1391.46</x:v>
      </x:c>
      <x:c r="Y558" s="85" t="n">
        <x:f>IF(OR(NOT(ISNUMBER($W558)),NOT(ISNUMBER($X558)),$W558=0),"",ROUND($X558/$W558,4))</x:f>
        <x:v>0.3143</x:v>
      </x:c>
      <x:c r="Z558" s="82" t="n">
        <x:f>IF(OR($AH558&lt;&gt;"Valid",$AI558&lt;&gt;"Valid"),"",INT($D558-$C558))</x:f>
        <x:v>6</x:v>
      </x:c>
      <x:c r="AA558" s="86" t="str">
        <x:f>IF($AH558&lt;&gt;"Valid","",TEXT($C558,"mmmm"))</x:f>
        <x:v>June</x:v>
      </x:c>
      <x:c r="AB558" s="82" t="n">
        <x:f>IF($AH558&lt;&gt;"Valid","",YEAR($C558))</x:f>
        <x:v>2024</x:v>
      </x:c>
      <x:c r="AC558" s="80" t="str">
        <x:v>Consistent</x:v>
      </x:c>
      <x:c r="AD558" s="80" t="str">
        <x:v>Excluded</x:v>
      </x:c>
      <x:c r="AE558" s="80" t="str">
        <x:f>IF(OR($AH558&lt;&gt;"Valid",$AI558&lt;&gt;"Valid",$AJ558&lt;&gt;"Valid",LEFT($AM558,7)="Invalid",IFERROR(ABS($AQ558)&gt;0.01,FALSE),IFERROR(ABS($AR558)&gt;0.01,FALSE),COUNTIF($AS558,"*Conflicting duplicate*")&gt;0,COUNTIF($AS558,"*Completed order not paid*")&gt;0),"Invalid",IF(OR($H558="Unknown",$N558="Unknown",$AM558="Missing discount imputed as 0"),"Warning","Clean"))</x:f>
        <x:v>Invalid</x:v>
      </x:c>
      <x:c r="AF558" s="80" t="str">
        <x:v>Review</x:v>
      </x:c>
      <x:c r="AG558" s="80" t="str">
        <x:v>No text cleanup required</x:v>
      </x:c>
      <x:c r="AH558" s="12" t="str">
        <x:f>IF(C558="","Missing date",IF(ISNUMBER(C558),"Valid","Unrecognized/invalid date"))</x:f>
        <x:v>Valid</x:v>
      </x:c>
      <x:c r="AI558" s="12" t="str">
        <x:f>IF(D558="","Missing date",IF(ISNUMBER(D558),"Valid","Unrecognized/invalid date"))</x:f>
        <x:v>Valid</x:v>
      </x:c>
      <x:c r="AJ558" s="12" t="str">
        <x:v>Valid</x:v>
      </x:c>
      <x:c r="AK558" s="12" t="str">
        <x:v>Pass</x:v>
      </x:c>
      <x:c r="AL558" s="12" t="str">
        <x:v>None</x:v>
      </x:c>
      <x:c r="AM558" s="12" t="str">
        <x:v>Valid</x:v>
      </x:c>
      <x:c r="AN558" s="12" t="str">
        <x:v>Exclude from completed sales</x:v>
      </x:c>
      <x:c r="AO558" s="12" t="str">
        <x:v>Not a refunded record</x:v>
      </x:c>
      <x:c r="AP558" s="37" t="n">
        <x:f>IF(LEFT($AM558,7)="Invalid","",IF($AM558="Missing discount imputed as 0",IF(AND(COUNT($O558,$P558,$R558,$S558)=4,$O558&gt;0,$P558&gt;=0,$R558&gt;=0,$S558&gt;=0),0,""),IF(AND(ISNUMBER($Q558),$Q558&gt;=0,$Q558&lt;=0.5),$Q558,"")))</x:f>
        <x:v>0</x:v>
      </x:c>
      <x:c r="AQ558" s="152" t="n">
        <x:f>IF(OR($W558="",NOT(ISNUMBER($R558))),"",ROUND($R558-$W558,2))</x:f>
        <x:v>0</x:v>
      </x:c>
      <x:c r="AR558" s="152" t="n">
        <x:f>IF(OR($X558="",NOT(ISNUMBER($T558))),"",ROUND($T558-$X558,2))</x:f>
        <x:v>424.77</x:v>
      </x:c>
      <x:c r="AS558" s="14" t="str">
        <x:v>Profit calculation mismatch</x:v>
      </x:c>
    </x:row>
    <x:row r="559">
      <x:c r="A559" s="80" t="n">
        <x:v>559</x:v>
      </x:c>
      <x:c r="B559" s="80" t="str">
        <x:v>ORD-2024-10558</x:v>
      </x:c>
      <x:c r="C559" s="81" t="n">
        <x:v>45420</x:v>
      </x:c>
      <x:c r="D559" s="81" t="n">
        <x:v>45426</x:v>
      </x:c>
      <x:c r="E559" s="80" t="str">
        <x:v>CUST-8848</x:v>
      </x:c>
      <x:c r="F559" s="80" t="str">
        <x:v>Vikram Iyer</x:v>
      </x:c>
      <x:c r="G559" s="80" t="str">
        <x:v>Home Office</x:v>
      </x:c>
      <x:c r="H559" s="80" t="str">
        <x:v>North</x:v>
      </x:c>
      <x:c r="I559" s="80" t="str">
        <x:v>Haryana</x:v>
      </x:c>
      <x:c r="J559" s="80" t="str">
        <x:v>Gurugram</x:v>
      </x:c>
      <x:c r="K559" s="80" t="str">
        <x:v>Technology</x:v>
      </x:c>
      <x:c r="L559" s="80" t="str">
        <x:v>Phones</x:v>
      </x:c>
      <x:c r="M559" s="80" t="str">
        <x:v>Prime Phones 503</x:v>
      </x:c>
      <x:c r="N559" s="80" t="str">
        <x:v>First Class</x:v>
      </x:c>
      <x:c r="O559" s="82" t="n">
        <x:v>9</x:v>
      </x:c>
      <x:c r="P559" s="83" t="n">
        <x:v>3769.46</x:v>
      </x:c>
      <x:c r="Q559" s="84" t="n">
        <x:v>0.05</x:v>
      </x:c>
      <x:c r="R559" s="83" t="n">
        <x:v>32228.88</x:v>
      </x:c>
      <x:c r="S559" s="83" t="n">
        <x:v>24971.36</x:v>
      </x:c>
      <x:c r="T559" s="83" t="n">
        <x:v>7257.52</x:v>
      </x:c>
      <x:c r="U559" s="83" t="str">
        <x:v>Paid</x:v>
      </x:c>
      <x:c r="V559" s="83" t="str">
        <x:v>Cancelled</x:v>
      </x:c>
      <x:c r="W559" s="151" t="n">
        <x:f>IF(OR(NOT(ISNUMBER($AP559)),COUNT($O559,$P559)&lt;2,$O559&lt;=0,$P559&lt;0),"",ROUND($O559*$P559*(1-$AP559),2))</x:f>
        <x:v>32228.88</x:v>
      </x:c>
      <x:c r="X559" s="151" t="n">
        <x:f>IF(OR(NOT(ISNUMBER($W559)),NOT(ISNUMBER($S559))),"",ROUND($W559-$S559,2))</x:f>
        <x:v>7257.52</x:v>
      </x:c>
      <x:c r="Y559" s="85" t="n">
        <x:f>IF(OR(NOT(ISNUMBER($W559)),NOT(ISNUMBER($X559)),$W559=0),"",ROUND($X559/$W559,4))</x:f>
        <x:v>0.2252</x:v>
      </x:c>
      <x:c r="Z559" s="82" t="n">
        <x:f>IF(OR($AH559&lt;&gt;"Valid",$AI559&lt;&gt;"Valid"),"",INT($D559-$C559))</x:f>
        <x:v>6</x:v>
      </x:c>
      <x:c r="AA559" s="86" t="str">
        <x:f>IF($AH559&lt;&gt;"Valid","",TEXT($C559,"mmmm"))</x:f>
        <x:v>May</x:v>
      </x:c>
      <x:c r="AB559" s="82" t="n">
        <x:f>IF($AH559&lt;&gt;"Valid","",YEAR($C559))</x:f>
        <x:v>2024</x:v>
      </x:c>
      <x:c r="AC559" s="80" t="str">
        <x:v>Cancelled (excluded from completed-sales summary)</x:v>
      </x:c>
      <x:c r="AD559" s="80" t="str">
        <x:v>Excluded</x:v>
      </x:c>
      <x:c r="AE559" s="80" t="str">
        <x:f>IF(OR($AH559&lt;&gt;"Valid",$AI559&lt;&gt;"Valid",$AJ559&lt;&gt;"Valid",LEFT($AM559,7)="Invalid",IFERROR(ABS($AQ559)&gt;0.01,FALSE),IFERROR(ABS($AR559)&gt;0.01,FALSE),COUNTIF($AS559,"*Conflicting duplicate*")&gt;0,COUNTIF($AS559,"*Completed order not paid*")&gt;0),"Invalid",IF(OR($H559="Unknown",$N559="Unknown",$AM559="Missing discount imputed as 0"),"Warning","Clean"))</x:f>
        <x:v>Clean</x:v>
      </x:c>
      <x:c r="AF559" s="80" t="str">
        <x:v>Pass</x:v>
      </x:c>
      <x:c r="AG559" s="80" t="str">
        <x:v>No text cleanup required</x:v>
      </x:c>
      <x:c r="AH559" s="12" t="str">
        <x:f>IF(C559="","Missing date",IF(ISNUMBER(C559),"Valid","Unrecognized/invalid date"))</x:f>
        <x:v>Valid</x:v>
      </x:c>
      <x:c r="AI559" s="12" t="str">
        <x:f>IF(D559="","Missing date",IF(ISNUMBER(D559),"Valid","Unrecognized/invalid date"))</x:f>
        <x:v>Valid</x:v>
      </x:c>
      <x:c r="AJ559" s="12" t="str">
        <x:v>Valid</x:v>
      </x:c>
      <x:c r="AK559" s="12" t="str">
        <x:v>Pass</x:v>
      </x:c>
      <x:c r="AL559" s="12" t="str">
        <x:v>Cancelled order – excluded from completed sales</x:v>
      </x:c>
      <x:c r="AM559" s="12" t="str">
        <x:v>Valid</x:v>
      </x:c>
      <x:c r="AN559" s="12" t="str">
        <x:v>Exclude from completed sales</x:v>
      </x:c>
      <x:c r="AO559" s="12" t="str">
        <x:v>Not a refunded record</x:v>
      </x:c>
      <x:c r="AP559" s="37" t="n">
        <x:f>IF(LEFT($AM559,7)="Invalid","",IF($AM559="Missing discount imputed as 0",IF(AND(COUNT($O559,$P559,$R559,$S559)=4,$O559&gt;0,$P559&gt;=0,$R559&gt;=0,$S559&gt;=0),0,""),IF(AND(ISNUMBER($Q559),$Q559&gt;=0,$Q559&lt;=0.5),$Q559,"")))</x:f>
        <x:v>0.05</x:v>
      </x:c>
      <x:c r="AQ559" s="152" t="n">
        <x:f>IF(OR($W559="",NOT(ISNUMBER($R559))),"",ROUND($R559-$W559,2))</x:f>
        <x:v>0</x:v>
      </x:c>
      <x:c r="AR559" s="152" t="n">
        <x:f>IF(OR($X559="",NOT(ISNUMBER($T559))),"",ROUND($T559-$X559,2))</x:f>
        <x:v>0</x:v>
      </x:c>
      <x:c r="AS559" s="14" t="str">
        <x:v>OK</x:v>
      </x:c>
    </x:row>
    <x:row r="560">
      <x:c r="A560" s="80" t="n">
        <x:v>560</x:v>
      </x:c>
      <x:c r="B560" s="80" t="str">
        <x:v>ORD-2025-10559</x:v>
      </x:c>
      <x:c r="C560" s="81" t="n">
        <x:v>45904</x:v>
      </x:c>
      <x:c r="D560" s="81" t="n">
        <x:v>45904</x:v>
      </x:c>
      <x:c r="E560" s="80" t="str">
        <x:v>CUST-9368</x:v>
      </x:c>
      <x:c r="F560" s="80" t="str">
        <x:v>Aditi Sen</x:v>
      </x:c>
      <x:c r="G560" s="80" t="str">
        <x:v>Corporate</x:v>
      </x:c>
      <x:c r="H560" s="80" t="str">
        <x:v>North</x:v>
      </x:c>
      <x:c r="I560" s="80" t="str">
        <x:v>Punjab</x:v>
      </x:c>
      <x:c r="J560" s="80" t="str">
        <x:v>Ludhiana</x:v>
      </x:c>
      <x:c r="K560" s="80" t="str">
        <x:v>Technology</x:v>
      </x:c>
      <x:c r="L560" s="80" t="str">
        <x:v>Machines</x:v>
      </x:c>
      <x:c r="M560" s="80" t="str">
        <x:v>Basic Machines 136</x:v>
      </x:c>
      <x:c r="N560" s="80" t="str">
        <x:v>First Class</x:v>
      </x:c>
      <x:c r="O560" s="82" t="n">
        <x:v>8</x:v>
      </x:c>
      <x:c r="P560" s="83" t="n">
        <x:v>3079.95</x:v>
      </x:c>
      <x:c r="Q560" s="84" t="n">
        <x:v>0.2</x:v>
      </x:c>
      <x:c r="R560" s="83" t="n">
        <x:v>19711.68</x:v>
      </x:c>
      <x:c r="S560" s="83" t="n">
        <x:v>14461.8</x:v>
      </x:c>
      <x:c r="T560" s="83" t="n">
        <x:v>5249.88</x:v>
      </x:c>
      <x:c r="U560" s="83" t="str">
        <x:v>Paid</x:v>
      </x:c>
      <x:c r="V560" s="83" t="str">
        <x:v>Completed</x:v>
      </x:c>
      <x:c r="W560" s="151" t="n">
        <x:f>IF(OR(NOT(ISNUMBER($AP560)),COUNT($O560,$P560)&lt;2,$O560&lt;=0,$P560&lt;0),"",ROUND($O560*$P560*(1-$AP560),2))</x:f>
        <x:v>19711.68</x:v>
      </x:c>
      <x:c r="X560" s="151" t="n">
        <x:f>IF(OR(NOT(ISNUMBER($W560)),NOT(ISNUMBER($S560))),"",ROUND($W560-$S560,2))</x:f>
        <x:v>5249.88</x:v>
      </x:c>
      <x:c r="Y560" s="85" t="n">
        <x:f>IF(OR(NOT(ISNUMBER($W560)),NOT(ISNUMBER($X560)),$W560=0),"",ROUND($X560/$W560,4))</x:f>
        <x:v>0.2663</x:v>
      </x:c>
      <x:c r="Z560" s="82" t="n">
        <x:f>IF(OR($AH560&lt;&gt;"Valid",$AI560&lt;&gt;"Valid"),"",INT($D560-$C560))</x:f>
        <x:v>0</x:v>
      </x:c>
      <x:c r="AA560" s="86" t="str">
        <x:f>IF($AH560&lt;&gt;"Valid","",TEXT($C560,"mmmm"))</x:f>
        <x:v>September</x:v>
      </x:c>
      <x:c r="AB560" s="82" t="n">
        <x:f>IF($AH560&lt;&gt;"Valid","",YEAR($C560))</x:f>
        <x:v>2025</x:v>
      </x:c>
      <x:c r="AC560" s="80" t="str">
        <x:v>Consistent</x:v>
      </x:c>
      <x:c r="AD560" s="80" t="str">
        <x:v>Eligible</x:v>
      </x:c>
      <x:c r="AE560" s="80" t="str">
        <x:f>IF(OR($AH560&lt;&gt;"Valid",$AI560&lt;&gt;"Valid",$AJ560&lt;&gt;"Valid",LEFT($AM560,7)="Invalid",IFERROR(ABS($AQ560)&gt;0.01,FALSE),IFERROR(ABS($AR560)&gt;0.01,FALSE),COUNTIF($AS560,"*Conflicting duplicate*")&gt;0,COUNTIF($AS560,"*Completed order not paid*")&gt;0),"Invalid",IF(OR($H560="Unknown",$N560="Unknown",$AM560="Missing discount imputed as 0"),"Warning","Clean"))</x:f>
        <x:v>Clean</x:v>
      </x:c>
      <x:c r="AF560" s="80" t="str">
        <x:v>Pass</x:v>
      </x:c>
      <x:c r="AG560" s="80" t="str">
        <x:v>No text cleanup required</x:v>
      </x:c>
      <x:c r="AH560" s="12" t="str">
        <x:f>IF(C560="","Missing date",IF(ISNUMBER(C560),"Valid","Unrecognized/invalid date"))</x:f>
        <x:v>Valid</x:v>
      </x:c>
      <x:c r="AI560" s="12" t="str">
        <x:f>IF(D560="","Missing date",IF(ISNUMBER(D560),"Valid","Unrecognized/invalid date"))</x:f>
        <x:v>Valid</x:v>
      </x:c>
      <x:c r="AJ560" s="12" t="str">
        <x:v>Valid</x:v>
      </x:c>
      <x:c r="AK560" s="12" t="str">
        <x:v>Pass</x:v>
      </x:c>
      <x:c r="AL560" s="12" t="str">
        <x:v>None</x:v>
      </x:c>
      <x:c r="AM560" s="12" t="str">
        <x:v>Valid</x:v>
      </x:c>
      <x:c r="AN560" s="12" t="str">
        <x:v>Include in completed sales</x:v>
      </x:c>
      <x:c r="AO560" s="12" t="str">
        <x:v>Not a refunded record</x:v>
      </x:c>
      <x:c r="AP560" s="37" t="n">
        <x:f>IF(LEFT($AM560,7)="Invalid","",IF($AM560="Missing discount imputed as 0",IF(AND(COUNT($O560,$P560,$R560,$S560)=4,$O560&gt;0,$P560&gt;=0,$R560&gt;=0,$S560&gt;=0),0,""),IF(AND(ISNUMBER($Q560),$Q560&gt;=0,$Q560&lt;=0.5),$Q560,"")))</x:f>
        <x:v>0.2</x:v>
      </x:c>
      <x:c r="AQ560" s="152" t="n">
        <x:f>IF(OR($W560="",NOT(ISNUMBER($R560))),"",ROUND($R560-$W560,2))</x:f>
        <x:v>0</x:v>
      </x:c>
      <x:c r="AR560" s="152" t="n">
        <x:f>IF(OR($X560="",NOT(ISNUMBER($T560))),"",ROUND($T560-$X560,2))</x:f>
        <x:v>0</x:v>
      </x:c>
      <x:c r="AS560" s="14" t="str">
        <x:v>OK</x:v>
      </x:c>
    </x:row>
    <x:row r="561">
      <x:c r="A561" s="80" t="n">
        <x:v>561</x:v>
      </x:c>
      <x:c r="B561" s="80" t="str">
        <x:v>ORD-2025-10560</x:v>
      </x:c>
      <x:c r="C561" s="81" t="n">
        <x:v>45930</x:v>
      </x:c>
      <x:c r="D561" s="81" t="n">
        <x:v>45937</x:v>
      </x:c>
      <x:c r="E561" s="80" t="str">
        <x:v>CUST-6797</x:v>
      </x:c>
      <x:c r="F561" s="80" t="str">
        <x:v>Diya Patel</x:v>
      </x:c>
      <x:c r="G561" s="80" t="str">
        <x:v>Corporate</x:v>
      </x:c>
      <x:c r="H561" s="80" t="str">
        <x:v>East</x:v>
      </x:c>
      <x:c r="I561" s="80" t="str">
        <x:v>Bihar</x:v>
      </x:c>
      <x:c r="J561" s="80" t="str">
        <x:v>Patna</x:v>
      </x:c>
      <x:c r="K561" s="80" t="str">
        <x:v>Technology</x:v>
      </x:c>
      <x:c r="L561" s="80" t="str">
        <x:v>Copiers</x:v>
      </x:c>
      <x:c r="M561" s="80" t="str">
        <x:v>Basic Copiers 512</x:v>
      </x:c>
      <x:c r="N561" s="80" t="str">
        <x:v>Second Class</x:v>
      </x:c>
      <x:c r="O561" s="82" t="n">
        <x:v>5</x:v>
      </x:c>
      <x:c r="P561" s="83" t="n">
        <x:v>3277.82</x:v>
      </x:c>
      <x:c r="Q561" s="84" t="n">
        <x:v>0.1</x:v>
      </x:c>
      <x:c r="R561" s="83" t="n">
        <x:v>14750.19</x:v>
      </x:c>
      <x:c r="S561" s="83" t="n">
        <x:v>9482.58</x:v>
      </x:c>
      <x:c r="T561" s="83" t="n">
        <x:v>5267.61</x:v>
      </x:c>
      <x:c r="U561" s="83" t="str">
        <x:v>Paid</x:v>
      </x:c>
      <x:c r="V561" s="83" t="str">
        <x:v>Returned</x:v>
      </x:c>
      <x:c r="W561" s="151" t="n">
        <x:f>IF(OR(NOT(ISNUMBER($AP561)),COUNT($O561,$P561)&lt;2,$O561&lt;=0,$P561&lt;0),"",ROUND($O561*$P561*(1-$AP561),2))</x:f>
        <x:v>14750.19</x:v>
      </x:c>
      <x:c r="X561" s="151" t="n">
        <x:f>IF(OR(NOT(ISNUMBER($W561)),NOT(ISNUMBER($S561))),"",ROUND($W561-$S561,2))</x:f>
        <x:v>5267.61</x:v>
      </x:c>
      <x:c r="Y561" s="85" t="n">
        <x:f>IF(OR(NOT(ISNUMBER($W561)),NOT(ISNUMBER($X561)),$W561=0),"",ROUND($X561/$W561,4))</x:f>
        <x:v>0.3571</x:v>
      </x:c>
      <x:c r="Z561" s="82" t="n">
        <x:f>IF(OR($AH561&lt;&gt;"Valid",$AI561&lt;&gt;"Valid"),"",INT($D561-$C561))</x:f>
        <x:v>7</x:v>
      </x:c>
      <x:c r="AA561" s="86" t="str">
        <x:f>IF($AH561&lt;&gt;"Valid","",TEXT($C561,"mmmm"))</x:f>
        <x:v>September</x:v>
      </x:c>
      <x:c r="AB561" s="82" t="n">
        <x:f>IF($AH561&lt;&gt;"Valid","",YEAR($C561))</x:f>
        <x:v>2025</x:v>
      </x:c>
      <x:c r="AC561" s="80" t="str">
        <x:v>Consistent</x:v>
      </x:c>
      <x:c r="AD561" s="80" t="str">
        <x:v>Excluded</x:v>
      </x:c>
      <x:c r="AE561" s="80" t="str">
        <x:f>IF(OR($AH561&lt;&gt;"Valid",$AI561&lt;&gt;"Valid",$AJ561&lt;&gt;"Valid",LEFT($AM561,7)="Invalid",IFERROR(ABS($AQ561)&gt;0.01,FALSE),IFERROR(ABS($AR561)&gt;0.01,FALSE),COUNTIF($AS561,"*Conflicting duplicate*")&gt;0,COUNTIF($AS561,"*Completed order not paid*")&gt;0),"Invalid",IF(OR($H561="Unknown",$N561="Unknown",$AM561="Missing discount imputed as 0"),"Warning","Clean"))</x:f>
        <x:v>Clean</x:v>
      </x:c>
      <x:c r="AF561" s="80" t="str">
        <x:v>Pass</x:v>
      </x:c>
      <x:c r="AG561" s="80" t="str">
        <x:v>No text cleanup required</x:v>
      </x:c>
      <x:c r="AH561" s="12" t="str">
        <x:f>IF(C561="","Missing date",IF(ISNUMBER(C561),"Valid","Unrecognized/invalid date"))</x:f>
        <x:v>Valid</x:v>
      </x:c>
      <x:c r="AI561" s="12" t="str">
        <x:f>IF(D561="","Missing date",IF(ISNUMBER(D561),"Valid","Unrecognized/invalid date"))</x:f>
        <x:v>Valid</x:v>
      </x:c>
      <x:c r="AJ561" s="12" t="str">
        <x:v>Valid</x:v>
      </x:c>
      <x:c r="AK561" s="12" t="str">
        <x:v>Pass</x:v>
      </x:c>
      <x:c r="AL561" s="12" t="str">
        <x:v>None</x:v>
      </x:c>
      <x:c r="AM561" s="12" t="str">
        <x:v>Valid</x:v>
      </x:c>
      <x:c r="AN561" s="12" t="str">
        <x:v>Exclude from completed sales</x:v>
      </x:c>
      <x:c r="AO561" s="12" t="str">
        <x:v>Not a refunded record</x:v>
      </x:c>
      <x:c r="AP561" s="37" t="n">
        <x:f>IF(LEFT($AM561,7)="Invalid","",IF($AM561="Missing discount imputed as 0",IF(AND(COUNT($O561,$P561,$R561,$S561)=4,$O561&gt;0,$P561&gt;=0,$R561&gt;=0,$S561&gt;=0),0,""),IF(AND(ISNUMBER($Q561),$Q561&gt;=0,$Q561&lt;=0.5),$Q561,"")))</x:f>
        <x:v>0.1</x:v>
      </x:c>
      <x:c r="AQ561" s="152" t="n">
        <x:f>IF(OR($W561="",NOT(ISNUMBER($R561))),"",ROUND($R561-$W561,2))</x:f>
        <x:v>0</x:v>
      </x:c>
      <x:c r="AR561" s="152" t="n">
        <x:f>IF(OR($X561="",NOT(ISNUMBER($T561))),"",ROUND($T561-$X561,2))</x:f>
        <x:v>0</x:v>
      </x:c>
      <x:c r="AS561" s="14" t="str">
        <x:v>OK</x:v>
      </x:c>
    </x:row>
    <x:row r="562">
      <x:c r="A562" s="80" t="n">
        <x:v>562</x:v>
      </x:c>
      <x:c r="B562" s="80" t="str">
        <x:v>ORD-2024-10561</x:v>
      </x:c>
      <x:c r="C562" s="81" t="n">
        <x:v>45307</x:v>
      </x:c>
      <x:c r="D562" s="81" t="n">
        <x:v>45313</x:v>
      </x:c>
      <x:c r="E562" s="80" t="str">
        <x:v>CUST-9333</x:v>
      </x:c>
      <x:c r="F562" s="80" t="str">
        <x:v>Arjun Bose</x:v>
      </x:c>
      <x:c r="G562" s="80" t="str">
        <x:v>Consumer</x:v>
      </x:c>
      <x:c r="H562" s="80" t="str">
        <x:v>West</x:v>
      </x:c>
      <x:c r="I562" s="80" t="str">
        <x:v>Goa</x:v>
      </x:c>
      <x:c r="J562" s="80" t="str">
        <x:v>Panaji</x:v>
      </x:c>
      <x:c r="K562" s="80" t="str">
        <x:v>Office Supplies</x:v>
      </x:c>
      <x:c r="L562" s="80" t="str">
        <x:v>Storage</x:v>
      </x:c>
      <x:c r="M562" s="80" t="str">
        <x:v>Smart Storage 767</x:v>
      </x:c>
      <x:c r="N562" s="80" t="str">
        <x:v>Standard Class</x:v>
      </x:c>
      <x:c r="O562" s="82" t="n">
        <x:v>4</x:v>
      </x:c>
      <x:c r="P562" s="83" t="n">
        <x:v>282.53</x:v>
      </x:c>
      <x:c r="Q562" s="84" t="n">
        <x:v>0</x:v>
      </x:c>
      <x:c r="R562" s="83" t="n">
        <x:v>1130.12</x:v>
      </x:c>
      <x:c r="S562" s="83" t="n">
        <x:v>848.62</x:v>
      </x:c>
      <x:c r="T562" s="83" t="n">
        <x:v>281.5</x:v>
      </x:c>
      <x:c r="U562" s="83" t="str">
        <x:v>Paid</x:v>
      </x:c>
      <x:c r="V562" s="83" t="str">
        <x:v>Cancelled</x:v>
      </x:c>
      <x:c r="W562" s="151" t="n">
        <x:f>IF(OR(NOT(ISNUMBER($AP562)),COUNT($O562,$P562)&lt;2,$O562&lt;=0,$P562&lt;0),"",ROUND($O562*$P562*(1-$AP562),2))</x:f>
        <x:v>1130.12</x:v>
      </x:c>
      <x:c r="X562" s="151" t="n">
        <x:f>IF(OR(NOT(ISNUMBER($W562)),NOT(ISNUMBER($S562))),"",ROUND($W562-$S562,2))</x:f>
        <x:v>281.5</x:v>
      </x:c>
      <x:c r="Y562" s="85" t="n">
        <x:f>IF(OR(NOT(ISNUMBER($W562)),NOT(ISNUMBER($X562)),$W562=0),"",ROUND($X562/$W562,4))</x:f>
        <x:v>0.2491</x:v>
      </x:c>
      <x:c r="Z562" s="82" t="n">
        <x:f>IF(OR($AH562&lt;&gt;"Valid",$AI562&lt;&gt;"Valid"),"",INT($D562-$C562))</x:f>
        <x:v>6</x:v>
      </x:c>
      <x:c r="AA562" s="86" t="str">
        <x:f>IF($AH562&lt;&gt;"Valid","",TEXT($C562,"mmmm"))</x:f>
        <x:v>January</x:v>
      </x:c>
      <x:c r="AB562" s="82" t="n">
        <x:f>IF($AH562&lt;&gt;"Valid","",YEAR($C562))</x:f>
        <x:v>2024</x:v>
      </x:c>
      <x:c r="AC562" s="80" t="str">
        <x:v>Cancelled (excluded from completed-sales summary)</x:v>
      </x:c>
      <x:c r="AD562" s="80" t="str">
        <x:v>Excluded</x:v>
      </x:c>
      <x:c r="AE562" s="80" t="str">
        <x:f>IF(OR($AH562&lt;&gt;"Valid",$AI562&lt;&gt;"Valid",$AJ562&lt;&gt;"Valid",LEFT($AM562,7)="Invalid",IFERROR(ABS($AQ562)&gt;0.01,FALSE),IFERROR(ABS($AR562)&gt;0.01,FALSE),COUNTIF($AS562,"*Conflicting duplicate*")&gt;0,COUNTIF($AS562,"*Completed order not paid*")&gt;0),"Invalid",IF(OR($H562="Unknown",$N562="Unknown",$AM562="Missing discount imputed as 0"),"Warning","Clean"))</x:f>
        <x:v>Clean</x:v>
      </x:c>
      <x:c r="AF562" s="80" t="str">
        <x:v>Pass</x:v>
      </x:c>
      <x:c r="AG562" s="80" t="str">
        <x:v>No text cleanup required</x:v>
      </x:c>
      <x:c r="AH562" s="12" t="str">
        <x:f>IF(C562="","Missing date",IF(ISNUMBER(C562),"Valid","Unrecognized/invalid date"))</x:f>
        <x:v>Valid</x:v>
      </x:c>
      <x:c r="AI562" s="12" t="str">
        <x:f>IF(D562="","Missing date",IF(ISNUMBER(D562),"Valid","Unrecognized/invalid date"))</x:f>
        <x:v>Valid</x:v>
      </x:c>
      <x:c r="AJ562" s="12" t="str">
        <x:v>Valid</x:v>
      </x:c>
      <x:c r="AK562" s="12" t="str">
        <x:v>Pass</x:v>
      </x:c>
      <x:c r="AL562" s="12" t="str">
        <x:v>Cancelled order – excluded from completed sales</x:v>
      </x:c>
      <x:c r="AM562" s="12" t="str">
        <x:v>Valid</x:v>
      </x:c>
      <x:c r="AN562" s="12" t="str">
        <x:v>Exclude from completed sales</x:v>
      </x:c>
      <x:c r="AO562" s="12" t="str">
        <x:v>Not a refunded record</x:v>
      </x:c>
      <x:c r="AP562" s="37" t="n">
        <x:f>IF(LEFT($AM562,7)="Invalid","",IF($AM562="Missing discount imputed as 0",IF(AND(COUNT($O562,$P562,$R562,$S562)=4,$O562&gt;0,$P562&gt;=0,$R562&gt;=0,$S562&gt;=0),0,""),IF(AND(ISNUMBER($Q562),$Q562&gt;=0,$Q562&lt;=0.5),$Q562,"")))</x:f>
        <x:v>0</x:v>
      </x:c>
      <x:c r="AQ562" s="152" t="n">
        <x:f>IF(OR($W562="",NOT(ISNUMBER($R562))),"",ROUND($R562-$W562,2))</x:f>
        <x:v>0</x:v>
      </x:c>
      <x:c r="AR562" s="152" t="n">
        <x:f>IF(OR($X562="",NOT(ISNUMBER($T562))),"",ROUND($T562-$X562,2))</x:f>
        <x:v>0</x:v>
      </x:c>
      <x:c r="AS562" s="14" t="str">
        <x:v>OK</x:v>
      </x:c>
    </x:row>
    <x:row r="563">
      <x:c r="A563" s="80" t="n">
        <x:v>563</x:v>
      </x:c>
      <x:c r="B563" s="80" t="str">
        <x:v>ORD-2025-10562</x:v>
      </x:c>
      <x:c r="C563" s="81" t="n">
        <x:v>45852</x:v>
      </x:c>
      <x:c r="D563" s="81" t="n">
        <x:v>45856</x:v>
      </x:c>
      <x:c r="E563" s="80" t="str">
        <x:v>CUST-6654</x:v>
      </x:c>
      <x:c r="F563" s="80" t="str">
        <x:v>Aditi Sen</x:v>
      </x:c>
      <x:c r="G563" s="80" t="str">
        <x:v>Consumer</x:v>
      </x:c>
      <x:c r="H563" s="80" t="str">
        <x:v>North</x:v>
      </x:c>
      <x:c r="I563" s="80" t="str">
        <x:v>Punjab</x:v>
      </x:c>
      <x:c r="J563" s="80" t="str">
        <x:v>Ludhiana</x:v>
      </x:c>
      <x:c r="K563" s="80" t="str">
        <x:v>Technology</x:v>
      </x:c>
      <x:c r="L563" s="80" t="str">
        <x:v>Copiers</x:v>
      </x:c>
      <x:c r="M563" s="80" t="str">
        <x:v>Eco Copiers 954</x:v>
      </x:c>
      <x:c r="N563" s="80" t="str">
        <x:v>First Class</x:v>
      </x:c>
      <x:c r="O563" s="82" t="n">
        <x:v>4</x:v>
      </x:c>
      <x:c r="P563" s="83" t="n">
        <x:v>725.22</x:v>
      </x:c>
      <x:c r="Q563" s="84" t="n">
        <x:v>0</x:v>
      </x:c>
      <x:c r="R563" s="83" t="n">
        <x:v>2900.88</x:v>
      </x:c>
      <x:c r="S563" s="83" t="n">
        <x:v>2391.85</x:v>
      </x:c>
      <x:c r="T563" s="83" t="n">
        <x:v>509.03</x:v>
      </x:c>
      <x:c r="U563" s="83" t="str">
        <x:v>Pending</x:v>
      </x:c>
      <x:c r="V563" s="83" t="str">
        <x:v>Returned</x:v>
      </x:c>
      <x:c r="W563" s="151" t="n">
        <x:f>IF(OR(NOT(ISNUMBER($AP563)),COUNT($O563,$P563)&lt;2,$O563&lt;=0,$P563&lt;0),"",ROUND($O563*$P563*(1-$AP563),2))</x:f>
        <x:v>2900.88</x:v>
      </x:c>
      <x:c r="X563" s="151" t="n">
        <x:f>IF(OR(NOT(ISNUMBER($W563)),NOT(ISNUMBER($S563))),"",ROUND($W563-$S563,2))</x:f>
        <x:v>509.03</x:v>
      </x:c>
      <x:c r="Y563" s="85" t="n">
        <x:f>IF(OR(NOT(ISNUMBER($W563)),NOT(ISNUMBER($X563)),$W563=0),"",ROUND($X563/$W563,4))</x:f>
        <x:v>0.1755</x:v>
      </x:c>
      <x:c r="Z563" s="82" t="n">
        <x:f>IF(OR($AH563&lt;&gt;"Valid",$AI563&lt;&gt;"Valid"),"",INT($D563-$C563))</x:f>
        <x:v>4</x:v>
      </x:c>
      <x:c r="AA563" s="86" t="str">
        <x:f>IF($AH563&lt;&gt;"Valid","",TEXT($C563,"mmmm"))</x:f>
        <x:v>July</x:v>
      </x:c>
      <x:c r="AB563" s="82" t="n">
        <x:f>IF($AH563&lt;&gt;"Valid","",YEAR($C563))</x:f>
        <x:v>2025</x:v>
      </x:c>
      <x:c r="AC563" s="80" t="str">
        <x:v>Consistent</x:v>
      </x:c>
      <x:c r="AD563" s="80" t="str">
        <x:v>Excluded</x:v>
      </x:c>
      <x:c r="AE563" s="80" t="str">
        <x:f>IF(OR($AH563&lt;&gt;"Valid",$AI563&lt;&gt;"Valid",$AJ563&lt;&gt;"Valid",LEFT($AM563,7)="Invalid",IFERROR(ABS($AQ563)&gt;0.01,FALSE),IFERROR(ABS($AR563)&gt;0.01,FALSE),COUNTIF($AS563,"*Conflicting duplicate*")&gt;0,COUNTIF($AS563,"*Completed order not paid*")&gt;0),"Invalid",IF(OR($H563="Unknown",$N563="Unknown",$AM563="Missing discount imputed as 0"),"Warning","Clean"))</x:f>
        <x:v>Clean</x:v>
      </x:c>
      <x:c r="AF563" s="80" t="str">
        <x:v>Pass</x:v>
      </x:c>
      <x:c r="AG563" s="80" t="str">
        <x:v>No text cleanup required</x:v>
      </x:c>
      <x:c r="AH563" s="12" t="str">
        <x:f>IF(C563="","Missing date",IF(ISNUMBER(C563),"Valid","Unrecognized/invalid date"))</x:f>
        <x:v>Valid</x:v>
      </x:c>
      <x:c r="AI563" s="12" t="str">
        <x:f>IF(D563="","Missing date",IF(ISNUMBER(D563),"Valid","Unrecognized/invalid date"))</x:f>
        <x:v>Valid</x:v>
      </x:c>
      <x:c r="AJ563" s="12" t="str">
        <x:v>Valid</x:v>
      </x:c>
      <x:c r="AK563" s="12" t="str">
        <x:v>Pass</x:v>
      </x:c>
      <x:c r="AL563" s="12" t="str">
        <x:v>None</x:v>
      </x:c>
      <x:c r="AM563" s="12" t="str">
        <x:v>Valid</x:v>
      </x:c>
      <x:c r="AN563" s="12" t="str">
        <x:v>Exclude from completed sales</x:v>
      </x:c>
      <x:c r="AO563" s="12" t="str">
        <x:v>Not a refunded record</x:v>
      </x:c>
      <x:c r="AP563" s="37" t="n">
        <x:f>IF(LEFT($AM563,7)="Invalid","",IF($AM563="Missing discount imputed as 0",IF(AND(COUNT($O563,$P563,$R563,$S563)=4,$O563&gt;0,$P563&gt;=0,$R563&gt;=0,$S563&gt;=0),0,""),IF(AND(ISNUMBER($Q563),$Q563&gt;=0,$Q563&lt;=0.5),$Q563,"")))</x:f>
        <x:v>0</x:v>
      </x:c>
      <x:c r="AQ563" s="152" t="n">
        <x:f>IF(OR($W563="",NOT(ISNUMBER($R563))),"",ROUND($R563-$W563,2))</x:f>
        <x:v>0</x:v>
      </x:c>
      <x:c r="AR563" s="152" t="n">
        <x:f>IF(OR($X563="",NOT(ISNUMBER($T563))),"",ROUND($T563-$X563,2))</x:f>
        <x:v>0</x:v>
      </x:c>
      <x:c r="AS563" s="14" t="str">
        <x:v>OK</x:v>
      </x:c>
    </x:row>
    <x:row r="564">
      <x:c r="A564" s="80" t="n">
        <x:v>564</x:v>
      </x:c>
      <x:c r="B564" s="80" t="str">
        <x:v>ORD-2024-10563</x:v>
      </x:c>
      <x:c r="C564" s="81" t="n">
        <x:v>45422</x:v>
      </x:c>
      <x:c r="D564" s="81" t="n">
        <x:v>45428</x:v>
      </x:c>
      <x:c r="E564" s="80" t="str">
        <x:v>CUST-8622</x:v>
      </x:c>
      <x:c r="F564" s="80" t="str">
        <x:v>Karan Malhotra</x:v>
      </x:c>
      <x:c r="G564" s="80" t="str">
        <x:v>Consumer</x:v>
      </x:c>
      <x:c r="H564" s="80" t="str">
        <x:v>North</x:v>
      </x:c>
      <x:c r="I564" s="80" t="str">
        <x:v>Punjab</x:v>
      </x:c>
      <x:c r="J564" s="80" t="str">
        <x:v>Ludhiana</x:v>
      </x:c>
      <x:c r="K564" s="80" t="str">
        <x:v>Office Supplies</x:v>
      </x:c>
      <x:c r="L564" s="80" t="str">
        <x:v>Binders</x:v>
      </x:c>
      <x:c r="M564" s="80" t="str">
        <x:v>Elite Binders 143</x:v>
      </x:c>
      <x:c r="N564" s="80" t="str">
        <x:v>Same Day</x:v>
      </x:c>
      <x:c r="O564" s="82" t="n">
        <x:v>7</x:v>
      </x:c>
      <x:c r="P564" s="83" t="n">
        <x:v>121.54</x:v>
      </x:c>
      <x:c r="Q564" s="84" t="n">
        <x:v>0.2</x:v>
      </x:c>
      <x:c r="R564" s="83" t="n">
        <x:v>680.62</x:v>
      </x:c>
      <x:c r="S564" s="83" t="n">
        <x:v>463.49</x:v>
      </x:c>
      <x:c r="T564" s="83" t="n">
        <x:v>217.13</x:v>
      </x:c>
      <x:c r="U564" s="83" t="str">
        <x:v>Failed</x:v>
      </x:c>
      <x:c r="V564" s="83" t="str">
        <x:v>Returned</x:v>
      </x:c>
      <x:c r="W564" s="151" t="n">
        <x:f>IF(OR(NOT(ISNUMBER($AP564)),COUNT($O564,$P564)&lt;2,$O564&lt;=0,$P564&lt;0),"",ROUND($O564*$P564*(1-$AP564),2))</x:f>
        <x:v>680.62</x:v>
      </x:c>
      <x:c r="X564" s="151" t="n">
        <x:f>IF(OR(NOT(ISNUMBER($W564)),NOT(ISNUMBER($S564))),"",ROUND($W564-$S564,2))</x:f>
        <x:v>217.13</x:v>
      </x:c>
      <x:c r="Y564" s="85" t="n">
        <x:f>IF(OR(NOT(ISNUMBER($W564)),NOT(ISNUMBER($X564)),$W564=0),"",ROUND($X564/$W564,4))</x:f>
        <x:v>0.319</x:v>
      </x:c>
      <x:c r="Z564" s="82" t="n">
        <x:f>IF(OR($AH564&lt;&gt;"Valid",$AI564&lt;&gt;"Valid"),"",INT($D564-$C564))</x:f>
        <x:v>6</x:v>
      </x:c>
      <x:c r="AA564" s="86" t="str">
        <x:f>IF($AH564&lt;&gt;"Valid","",TEXT($C564,"mmmm"))</x:f>
        <x:v>May</x:v>
      </x:c>
      <x:c r="AB564" s="82" t="n">
        <x:f>IF($AH564&lt;&gt;"Valid","",YEAR($C564))</x:f>
        <x:v>2024</x:v>
      </x:c>
      <x:c r="AC564" s="80" t="str">
        <x:v>Failed payment (excluded from completed-sales summary)</x:v>
      </x:c>
      <x:c r="AD564" s="80" t="str">
        <x:v>Excluded</x:v>
      </x:c>
      <x:c r="AE564" s="80" t="str">
        <x:f>IF(OR($AH564&lt;&gt;"Valid",$AI564&lt;&gt;"Valid",$AJ564&lt;&gt;"Valid",LEFT($AM564,7)="Invalid",IFERROR(ABS($AQ564)&gt;0.01,FALSE),IFERROR(ABS($AR564)&gt;0.01,FALSE),COUNTIF($AS564,"*Conflicting duplicate*")&gt;0,COUNTIF($AS564,"*Completed order not paid*")&gt;0),"Invalid",IF(OR($H564="Unknown",$N564="Unknown",$AM564="Missing discount imputed as 0"),"Warning","Clean"))</x:f>
        <x:v>Clean</x:v>
      </x:c>
      <x:c r="AF564" s="80" t="str">
        <x:v>Pass</x:v>
      </x:c>
      <x:c r="AG564" s="80" t="str">
        <x:v>No text cleanup required</x:v>
      </x:c>
      <x:c r="AH564" s="12" t="str">
        <x:f>IF(C564="","Missing date",IF(ISNUMBER(C564),"Valid","Unrecognized/invalid date"))</x:f>
        <x:v>Valid</x:v>
      </x:c>
      <x:c r="AI564" s="12" t="str">
        <x:f>IF(D564="","Missing date",IF(ISNUMBER(D564),"Valid","Unrecognized/invalid date"))</x:f>
        <x:v>Valid</x:v>
      </x:c>
      <x:c r="AJ564" s="12" t="str">
        <x:v>Valid</x:v>
      </x:c>
      <x:c r="AK564" s="12" t="str">
        <x:v>Pass</x:v>
      </x:c>
      <x:c r="AL564" s="12" t="str">
        <x:v>Failed payment – excluded from completed sales</x:v>
      </x:c>
      <x:c r="AM564" s="12" t="str">
        <x:v>Valid</x:v>
      </x:c>
      <x:c r="AN564" s="12" t="str">
        <x:v>Exclude from completed sales</x:v>
      </x:c>
      <x:c r="AO564" s="12" t="str">
        <x:v>Not a refunded record</x:v>
      </x:c>
      <x:c r="AP564" s="37" t="n">
        <x:f>IF(LEFT($AM564,7)="Invalid","",IF($AM564="Missing discount imputed as 0",IF(AND(COUNT($O564,$P564,$R564,$S564)=4,$O564&gt;0,$P564&gt;=0,$R564&gt;=0,$S564&gt;=0),0,""),IF(AND(ISNUMBER($Q564),$Q564&gt;=0,$Q564&lt;=0.5),$Q564,"")))</x:f>
        <x:v>0.2</x:v>
      </x:c>
      <x:c r="AQ564" s="152" t="n">
        <x:f>IF(OR($W564="",NOT(ISNUMBER($R564))),"",ROUND($R564-$W564,2))</x:f>
        <x:v>0</x:v>
      </x:c>
      <x:c r="AR564" s="152" t="n">
        <x:f>IF(OR($X564="",NOT(ISNUMBER($T564))),"",ROUND($T564-$X564,2))</x:f>
        <x:v>0</x:v>
      </x:c>
      <x:c r="AS564" s="14" t="str">
        <x:v>OK</x:v>
      </x:c>
    </x:row>
    <x:row r="565">
      <x:c r="A565" s="80" t="n">
        <x:v>565</x:v>
      </x:c>
      <x:c r="B565" s="80" t="str">
        <x:v>ORD-2024-10564</x:v>
      </x:c>
      <x:c r="C565" s="81" t="n">
        <x:v>45418</x:v>
      </x:c>
      <x:c r="D565" s="81" t="n">
        <x:v>45424</x:v>
      </x:c>
      <x:c r="E565" s="80" t="str">
        <x:v>CUST-8776</x:v>
      </x:c>
      <x:c r="F565" s="80" t="str">
        <x:v>Arjun Bose</x:v>
      </x:c>
      <x:c r="G565" s="80" t="str">
        <x:v>Corporate</x:v>
      </x:c>
      <x:c r="H565" s="80" t="str">
        <x:v>West</x:v>
      </x:c>
      <x:c r="I565" s="80" t="str">
        <x:v>Goa</x:v>
      </x:c>
      <x:c r="J565" s="80" t="str">
        <x:v>Panaji</x:v>
      </x:c>
      <x:c r="K565" s="80" t="str">
        <x:v>Furniture</x:v>
      </x:c>
      <x:c r="L565" s="80" t="str">
        <x:v>Tables</x:v>
      </x:c>
      <x:c r="M565" s="80" t="str">
        <x:v>Classic Tables 560</x:v>
      </x:c>
      <x:c r="N565" s="80" t="str">
        <x:v>Standard Class</x:v>
      </x:c>
      <x:c r="O565" s="82" t="n">
        <x:v>9</x:v>
      </x:c>
      <x:c r="P565" s="83" t="n">
        <x:v>790.97</x:v>
      </x:c>
      <x:c r="Q565" s="84" t="n">
        <x:v>0.2</x:v>
      </x:c>
      <x:c r="R565" s="83" t="n">
        <x:v>5694.98</x:v>
      </x:c>
      <x:c r="S565" s="83" t="n">
        <x:v>4618.33</x:v>
      </x:c>
      <x:c r="T565" s="83" t="n">
        <x:v>1076.65</x:v>
      </x:c>
      <x:c r="U565" s="83" t="str">
        <x:v>Pending</x:v>
      </x:c>
      <x:c r="V565" s="83" t="str">
        <x:v>Cancelled</x:v>
      </x:c>
      <x:c r="W565" s="151" t="n">
        <x:f>IF(OR(NOT(ISNUMBER($AP565)),COUNT($O565,$P565)&lt;2,$O565&lt;=0,$P565&lt;0),"",ROUND($O565*$P565*(1-$AP565),2))</x:f>
        <x:v>5694.98</x:v>
      </x:c>
      <x:c r="X565" s="151" t="n">
        <x:f>IF(OR(NOT(ISNUMBER($W565)),NOT(ISNUMBER($S565))),"",ROUND($W565-$S565,2))</x:f>
        <x:v>1076.65</x:v>
      </x:c>
      <x:c r="Y565" s="85" t="n">
        <x:f>IF(OR(NOT(ISNUMBER($W565)),NOT(ISNUMBER($X565)),$W565=0),"",ROUND($X565/$W565,4))</x:f>
        <x:v>0.1891</x:v>
      </x:c>
      <x:c r="Z565" s="82" t="n">
        <x:f>IF(OR($AH565&lt;&gt;"Valid",$AI565&lt;&gt;"Valid"),"",INT($D565-$C565))</x:f>
        <x:v>6</x:v>
      </x:c>
      <x:c r="AA565" s="86" t="str">
        <x:f>IF($AH565&lt;&gt;"Valid","",TEXT($C565,"mmmm"))</x:f>
        <x:v>May</x:v>
      </x:c>
      <x:c r="AB565" s="82" t="n">
        <x:f>IF($AH565&lt;&gt;"Valid","",YEAR($C565))</x:f>
        <x:v>2024</x:v>
      </x:c>
      <x:c r="AC565" s="80" t="str">
        <x:v>Cancelled (excluded from completed-sales summary)</x:v>
      </x:c>
      <x:c r="AD565" s="80" t="str">
        <x:v>Excluded</x:v>
      </x:c>
      <x:c r="AE565" s="80" t="str">
        <x:f>IF(OR($AH565&lt;&gt;"Valid",$AI565&lt;&gt;"Valid",$AJ565&lt;&gt;"Valid",LEFT($AM565,7)="Invalid",IFERROR(ABS($AQ565)&gt;0.01,FALSE),IFERROR(ABS($AR565)&gt;0.01,FALSE),COUNTIF($AS565,"*Conflicting duplicate*")&gt;0,COUNTIF($AS565,"*Completed order not paid*")&gt;0),"Invalid",IF(OR($H565="Unknown",$N565="Unknown",$AM565="Missing discount imputed as 0"),"Warning","Clean"))</x:f>
        <x:v>Clean</x:v>
      </x:c>
      <x:c r="AF565" s="80" t="str">
        <x:v>Pass</x:v>
      </x:c>
      <x:c r="AG565" s="80" t="str">
        <x:v>No text cleanup required</x:v>
      </x:c>
      <x:c r="AH565" s="12" t="str">
        <x:f>IF(C565="","Missing date",IF(ISNUMBER(C565),"Valid","Unrecognized/invalid date"))</x:f>
        <x:v>Valid</x:v>
      </x:c>
      <x:c r="AI565" s="12" t="str">
        <x:f>IF(D565="","Missing date",IF(ISNUMBER(D565),"Valid","Unrecognized/invalid date"))</x:f>
        <x:v>Valid</x:v>
      </x:c>
      <x:c r="AJ565" s="12" t="str">
        <x:v>Valid</x:v>
      </x:c>
      <x:c r="AK565" s="12" t="str">
        <x:v>Pass</x:v>
      </x:c>
      <x:c r="AL565" s="12" t="str">
        <x:v>Cancelled order – excluded from completed sales</x:v>
      </x:c>
      <x:c r="AM565" s="12" t="str">
        <x:v>Valid</x:v>
      </x:c>
      <x:c r="AN565" s="12" t="str">
        <x:v>Exclude from completed sales</x:v>
      </x:c>
      <x:c r="AO565" s="12" t="str">
        <x:v>Not a refunded record</x:v>
      </x:c>
      <x:c r="AP565" s="37" t="n">
        <x:f>IF(LEFT($AM565,7)="Invalid","",IF($AM565="Missing discount imputed as 0",IF(AND(COUNT($O565,$P565,$R565,$S565)=4,$O565&gt;0,$P565&gt;=0,$R565&gt;=0,$S565&gt;=0),0,""),IF(AND(ISNUMBER($Q565),$Q565&gt;=0,$Q565&lt;=0.5),$Q565,"")))</x:f>
        <x:v>0.2</x:v>
      </x:c>
      <x:c r="AQ565" s="152" t="n">
        <x:f>IF(OR($W565="",NOT(ISNUMBER($R565))),"",ROUND($R565-$W565,2))</x:f>
        <x:v>0</x:v>
      </x:c>
      <x:c r="AR565" s="152" t="n">
        <x:f>IF(OR($X565="",NOT(ISNUMBER($T565))),"",ROUND($T565-$X565,2))</x:f>
        <x:v>0</x:v>
      </x:c>
      <x:c r="AS565" s="14" t="str">
        <x:v>OK</x:v>
      </x:c>
    </x:row>
    <x:row r="566">
      <x:c r="A566" s="80" t="n">
        <x:v>566</x:v>
      </x:c>
      <x:c r="B566" s="80" t="str">
        <x:v>ORD-2024-10565</x:v>
      </x:c>
      <x:c r="C566" s="81" t="n">
        <x:v>45606</x:v>
      </x:c>
      <x:c r="D566" s="81" t="n">
        <x:v>45610</x:v>
      </x:c>
      <x:c r="E566" s="80" t="str">
        <x:v>CUST-9100</x:v>
      </x:c>
      <x:c r="F566" s="80" t="str">
        <x:v>Sneha Kapoor</x:v>
      </x:c>
      <x:c r="G566" s="80" t="str">
        <x:v>Corporate</x:v>
      </x:c>
      <x:c r="H566" s="80" t="str">
        <x:v>South</x:v>
      </x:c>
      <x:c r="I566" s="80" t="str">
        <x:v>Andhra Pradesh</x:v>
      </x:c>
      <x:c r="J566" s="80" t="str">
        <x:v>Vijayawada</x:v>
      </x:c>
      <x:c r="K566" s="80" t="str">
        <x:v>Furniture</x:v>
      </x:c>
      <x:c r="L566" s="80" t="str">
        <x:v>Tables</x:v>
      </x:c>
      <x:c r="M566" s="80" t="str">
        <x:v>Basic Tables 759</x:v>
      </x:c>
      <x:c r="N566" s="80" t="str">
        <x:v>First Class</x:v>
      </x:c>
      <x:c r="O566" s="82" t="n">
        <x:v>2</x:v>
      </x:c>
      <x:c r="P566" s="83" t="n">
        <x:v>921.34</x:v>
      </x:c>
      <x:c r="Q566" s="84" t="n">
        <x:v>0.2</x:v>
      </x:c>
      <x:c r="R566" s="83" t="n">
        <x:v>1474.14</x:v>
      </x:c>
      <x:c r="S566" s="83" t="n">
        <x:v>968.46</x:v>
      </x:c>
      <x:c r="T566" s="83" t="n">
        <x:v>505.68</x:v>
      </x:c>
      <x:c r="U566" s="83" t="str">
        <x:v>Paid</x:v>
      </x:c>
      <x:c r="V566" s="83" t="str">
        <x:v>Completed</x:v>
      </x:c>
      <x:c r="W566" s="151" t="n">
        <x:f>IF(OR(NOT(ISNUMBER($AP566)),COUNT($O566,$P566)&lt;2,$O566&lt;=0,$P566&lt;0),"",ROUND($O566*$P566*(1-$AP566),2))</x:f>
        <x:v>1474.14</x:v>
      </x:c>
      <x:c r="X566" s="151" t="n">
        <x:f>IF(OR(NOT(ISNUMBER($W566)),NOT(ISNUMBER($S566))),"",ROUND($W566-$S566,2))</x:f>
        <x:v>505.68</x:v>
      </x:c>
      <x:c r="Y566" s="85" t="n">
        <x:f>IF(OR(NOT(ISNUMBER($W566)),NOT(ISNUMBER($X566)),$W566=0),"",ROUND($X566/$W566,4))</x:f>
        <x:v>0.343</x:v>
      </x:c>
      <x:c r="Z566" s="82" t="n">
        <x:f>IF(OR($AH566&lt;&gt;"Valid",$AI566&lt;&gt;"Valid"),"",INT($D566-$C566))</x:f>
        <x:v>4</x:v>
      </x:c>
      <x:c r="AA566" s="86" t="str">
        <x:f>IF($AH566&lt;&gt;"Valid","",TEXT($C566,"mmmm"))</x:f>
        <x:v>November</x:v>
      </x:c>
      <x:c r="AB566" s="82" t="n">
        <x:f>IF($AH566&lt;&gt;"Valid","",YEAR($C566))</x:f>
        <x:v>2024</x:v>
      </x:c>
      <x:c r="AC566" s="80" t="str">
        <x:v>Consistent</x:v>
      </x:c>
      <x:c r="AD566" s="80" t="str">
        <x:v>Eligible</x:v>
      </x:c>
      <x:c r="AE566" s="80" t="str">
        <x:f>IF(OR($AH566&lt;&gt;"Valid",$AI566&lt;&gt;"Valid",$AJ566&lt;&gt;"Valid",LEFT($AM566,7)="Invalid",IFERROR(ABS($AQ566)&gt;0.01,FALSE),IFERROR(ABS($AR566)&gt;0.01,FALSE),COUNTIF($AS566,"*Conflicting duplicate*")&gt;0,COUNTIF($AS566,"*Completed order not paid*")&gt;0),"Invalid",IF(OR($H566="Unknown",$N566="Unknown",$AM566="Missing discount imputed as 0"),"Warning","Clean"))</x:f>
        <x:v>Clean</x:v>
      </x:c>
      <x:c r="AF566" s="80" t="str">
        <x:v>Pass</x:v>
      </x:c>
      <x:c r="AG566" s="80" t="str">
        <x:v>No text cleanup required</x:v>
      </x:c>
      <x:c r="AH566" s="12" t="str">
        <x:f>IF(C566="","Missing date",IF(ISNUMBER(C566),"Valid","Unrecognized/invalid date"))</x:f>
        <x:v>Valid</x:v>
      </x:c>
      <x:c r="AI566" s="12" t="str">
        <x:f>IF(D566="","Missing date",IF(ISNUMBER(D566),"Valid","Unrecognized/invalid date"))</x:f>
        <x:v>Valid</x:v>
      </x:c>
      <x:c r="AJ566" s="12" t="str">
        <x:v>Valid</x:v>
      </x:c>
      <x:c r="AK566" s="12" t="str">
        <x:v>Pass</x:v>
      </x:c>
      <x:c r="AL566" s="12" t="str">
        <x:v>None</x:v>
      </x:c>
      <x:c r="AM566" s="12" t="str">
        <x:v>Valid</x:v>
      </x:c>
      <x:c r="AN566" s="12" t="str">
        <x:v>Include in completed sales</x:v>
      </x:c>
      <x:c r="AO566" s="12" t="str">
        <x:v>Not a refunded record</x:v>
      </x:c>
      <x:c r="AP566" s="37" t="n">
        <x:f>IF(LEFT($AM566,7)="Invalid","",IF($AM566="Missing discount imputed as 0",IF(AND(COUNT($O566,$P566,$R566,$S566)=4,$O566&gt;0,$P566&gt;=0,$R566&gt;=0,$S566&gt;=0),0,""),IF(AND(ISNUMBER($Q566),$Q566&gt;=0,$Q566&lt;=0.5),$Q566,"")))</x:f>
        <x:v>0.2</x:v>
      </x:c>
      <x:c r="AQ566" s="152" t="n">
        <x:f>IF(OR($W566="",NOT(ISNUMBER($R566))),"",ROUND($R566-$W566,2))</x:f>
        <x:v>0</x:v>
      </x:c>
      <x:c r="AR566" s="152" t="n">
        <x:f>IF(OR($X566="",NOT(ISNUMBER($T566))),"",ROUND($T566-$X566,2))</x:f>
        <x:v>0</x:v>
      </x:c>
      <x:c r="AS566" s="14" t="str">
        <x:v>OK</x:v>
      </x:c>
    </x:row>
    <x:row r="567">
      <x:c r="A567" s="80" t="n">
        <x:v>567</x:v>
      </x:c>
      <x:c r="B567" s="80" t="str">
        <x:v>ORD-2025-10566</x:v>
      </x:c>
      <x:c r="C567" s="81" t="n">
        <x:v>45876</x:v>
      </x:c>
      <x:c r="D567" s="81" t="n">
        <x:v>45882</x:v>
      </x:c>
      <x:c r="E567" s="80" t="str">
        <x:v>CUST-5601</x:v>
      </x:c>
      <x:c r="F567" s="80" t="str">
        <x:v>Mira Das</x:v>
      </x:c>
      <x:c r="G567" s="80" t="str">
        <x:v>Corporate</x:v>
      </x:c>
      <x:c r="H567" s="80" t="str">
        <x:v>North</x:v>
      </x:c>
      <x:c r="I567" s="80" t="str">
        <x:v>Delhi</x:v>
      </x:c>
      <x:c r="J567" s="80" t="str">
        <x:v>New Delhi</x:v>
      </x:c>
      <x:c r="K567" s="80" t="str">
        <x:v>Technology</x:v>
      </x:c>
      <x:c r="L567" s="80" t="str">
        <x:v>Phones</x:v>
      </x:c>
      <x:c r="M567" s="80" t="str">
        <x:v>Prime Phones 564</x:v>
      </x:c>
      <x:c r="N567" s="80" t="str">
        <x:v>Standard Class</x:v>
      </x:c>
      <x:c r="O567" s="82" t="n">
        <x:v>6</x:v>
      </x:c>
      <x:c r="P567" s="83" t="n">
        <x:v>1921.86</x:v>
      </x:c>
      <x:c r="Q567" s="84" t="n">
        <x:v>0.2</x:v>
      </x:c>
      <x:c r="R567" s="83" t="n">
        <x:v>9224.93</x:v>
      </x:c>
      <x:c r="S567" s="83" t="n">
        <x:v>7005.2</x:v>
      </x:c>
      <x:c r="T567" s="83" t="n">
        <x:v>2219.73</x:v>
      </x:c>
      <x:c r="U567" s="83" t="str">
        <x:v>Refunded</x:v>
      </x:c>
      <x:c r="V567" s="83" t="str">
        <x:v>Cancelled</x:v>
      </x:c>
      <x:c r="W567" s="151" t="n">
        <x:f>IF(OR(NOT(ISNUMBER($AP567)),COUNT($O567,$P567)&lt;2,$O567&lt;=0,$P567&lt;0),"",ROUND($O567*$P567*(1-$AP567),2))</x:f>
        <x:v>9224.93</x:v>
      </x:c>
      <x:c r="X567" s="151" t="n">
        <x:f>IF(OR(NOT(ISNUMBER($W567)),NOT(ISNUMBER($S567))),"",ROUND($W567-$S567,2))</x:f>
        <x:v>2219.73</x:v>
      </x:c>
      <x:c r="Y567" s="85" t="n">
        <x:f>IF(OR(NOT(ISNUMBER($W567)),NOT(ISNUMBER($X567)),$W567=0),"",ROUND($X567/$W567,4))</x:f>
        <x:v>0.2406</x:v>
      </x:c>
      <x:c r="Z567" s="82" t="n">
        <x:f>IF(OR($AH567&lt;&gt;"Valid",$AI567&lt;&gt;"Valid"),"",INT($D567-$C567))</x:f>
        <x:v>6</x:v>
      </x:c>
      <x:c r="AA567" s="86" t="str">
        <x:f>IF($AH567&lt;&gt;"Valid","",TEXT($C567,"mmmm"))</x:f>
        <x:v>August</x:v>
      </x:c>
      <x:c r="AB567" s="82" t="n">
        <x:f>IF($AH567&lt;&gt;"Valid","",YEAR($C567))</x:f>
        <x:v>2025</x:v>
      </x:c>
      <x:c r="AC567" s="80" t="str">
        <x:v>Cancelled (excluded from completed-sales summary)</x:v>
      </x:c>
      <x:c r="AD567" s="80" t="str">
        <x:v>Excluded</x:v>
      </x:c>
      <x:c r="AE567" s="80" t="str">
        <x:f>IF(OR($AH567&lt;&gt;"Valid",$AI567&lt;&gt;"Valid",$AJ567&lt;&gt;"Valid",LEFT($AM567,7)="Invalid",IFERROR(ABS($AQ567)&gt;0.01,FALSE),IFERROR(ABS($AR567)&gt;0.01,FALSE),COUNTIF($AS567,"*Conflicting duplicate*")&gt;0,COUNTIF($AS567,"*Completed order not paid*")&gt;0),"Invalid",IF(OR($H567="Unknown",$N567="Unknown",$AM567="Missing discount imputed as 0"),"Warning","Clean"))</x:f>
        <x:v>Clean</x:v>
      </x:c>
      <x:c r="AF567" s="80" t="str">
        <x:v>Pass</x:v>
      </x:c>
      <x:c r="AG567" s="80" t="str">
        <x:v>No text cleanup required</x:v>
      </x:c>
      <x:c r="AH567" s="12" t="str">
        <x:f>IF(C567="","Missing date",IF(ISNUMBER(C567),"Valid","Unrecognized/invalid date"))</x:f>
        <x:v>Valid</x:v>
      </x:c>
      <x:c r="AI567" s="12" t="str">
        <x:f>IF(D567="","Missing date",IF(ISNUMBER(D567),"Valid","Unrecognized/invalid date"))</x:f>
        <x:v>Valid</x:v>
      </x:c>
      <x:c r="AJ567" s="12" t="str">
        <x:v>Valid</x:v>
      </x:c>
      <x:c r="AK567" s="12" t="str">
        <x:v>Pass</x:v>
      </x:c>
      <x:c r="AL567" s="12" t="str">
        <x:v>Cancelled order – excluded from completed sales; Refunded payment – separately summarized</x:v>
      </x:c>
      <x:c r="AM567" s="12" t="str">
        <x:v>Valid</x:v>
      </x:c>
      <x:c r="AN567" s="12" t="str">
        <x:v>Exclude from completed sales</x:v>
      </x:c>
      <x:c r="AO567" s="12" t="str">
        <x:v>Include in refunded summary</x:v>
      </x:c>
      <x:c r="AP567" s="37" t="n">
        <x:f>IF(LEFT($AM567,7)="Invalid","",IF($AM567="Missing discount imputed as 0",IF(AND(COUNT($O567,$P567,$R567,$S567)=4,$O567&gt;0,$P567&gt;=0,$R567&gt;=0,$S567&gt;=0),0,""),IF(AND(ISNUMBER($Q567),$Q567&gt;=0,$Q567&lt;=0.5),$Q567,"")))</x:f>
        <x:v>0.2</x:v>
      </x:c>
      <x:c r="AQ567" s="152" t="n">
        <x:f>IF(OR($W567="",NOT(ISNUMBER($R567))),"",ROUND($R567-$W567,2))</x:f>
        <x:v>0</x:v>
      </x:c>
      <x:c r="AR567" s="152" t="n">
        <x:f>IF(OR($X567="",NOT(ISNUMBER($T567))),"",ROUND($T567-$X567,2))</x:f>
        <x:v>0</x:v>
      </x:c>
      <x:c r="AS567" s="14" t="str">
        <x:v>OK</x:v>
      </x:c>
    </x:row>
    <x:row r="568">
      <x:c r="A568" s="80" t="n">
        <x:v>568</x:v>
      </x:c>
      <x:c r="B568" s="80" t="str">
        <x:v>ORD-2024-10567</x:v>
      </x:c>
      <x:c r="C568" s="81" t="n">
        <x:v>45515</x:v>
      </x:c>
      <x:c r="D568" s="81" t="n">
        <x:v>45523</x:v>
      </x:c>
      <x:c r="E568" s="80" t="str">
        <x:v>CUST-5246</x:v>
      </x:c>
      <x:c r="F568" s="80" t="str">
        <x:v>Sneha Kapoor</x:v>
      </x:c>
      <x:c r="G568" s="80" t="str">
        <x:v>Small Business</x:v>
      </x:c>
      <x:c r="H568" s="80" t="str">
        <x:v>West</x:v>
      </x:c>
      <x:c r="I568" s="80" t="str">
        <x:v>Maharashtra</x:v>
      </x:c>
      <x:c r="J568" s="80" t="str">
        <x:v>Mumbai</x:v>
      </x:c>
      <x:c r="K568" s="80" t="str">
        <x:v>Office Supplies</x:v>
      </x:c>
      <x:c r="L568" s="80" t="str">
        <x:v>Paper</x:v>
      </x:c>
      <x:c r="M568" s="80" t="str">
        <x:v>Smart Paper 807</x:v>
      </x:c>
      <x:c r="N568" s="80" t="str">
        <x:v>Same Day</x:v>
      </x:c>
      <x:c r="O568" s="82" t="n">
        <x:v>2</x:v>
      </x:c>
      <x:c r="P568" s="83" t="n">
        <x:v>2617.89</x:v>
      </x:c>
      <x:c r="Q568" s="84" t="n">
        <x:v>0.1</x:v>
      </x:c>
      <x:c r="R568" s="83" t="n">
        <x:v>4712.2</x:v>
      </x:c>
      <x:c r="S568" s="83" t="n">
        <x:v>3851.91</x:v>
      </x:c>
      <x:c r="T568" s="83" t="n">
        <x:v>860.29</x:v>
      </x:c>
      <x:c r="U568" s="83" t="str">
        <x:v>Failed</x:v>
      </x:c>
      <x:c r="V568" s="83" t="str">
        <x:v>Returned</x:v>
      </x:c>
      <x:c r="W568" s="151" t="n">
        <x:f>IF(OR(NOT(ISNUMBER($AP568)),COUNT($O568,$P568)&lt;2,$O568&lt;=0,$P568&lt;0),"",ROUND($O568*$P568*(1-$AP568),2))</x:f>
        <x:v>4712.2</x:v>
      </x:c>
      <x:c r="X568" s="151" t="n">
        <x:f>IF(OR(NOT(ISNUMBER($W568)),NOT(ISNUMBER($S568))),"",ROUND($W568-$S568,2))</x:f>
        <x:v>860.29</x:v>
      </x:c>
      <x:c r="Y568" s="85" t="n">
        <x:f>IF(OR(NOT(ISNUMBER($W568)),NOT(ISNUMBER($X568)),$W568=0),"",ROUND($X568/$W568,4))</x:f>
        <x:v>0.1826</x:v>
      </x:c>
      <x:c r="Z568" s="82" t="n">
        <x:f>IF(OR($AH568&lt;&gt;"Valid",$AI568&lt;&gt;"Valid"),"",INT($D568-$C568))</x:f>
        <x:v>8</x:v>
      </x:c>
      <x:c r="AA568" s="86" t="str">
        <x:f>IF($AH568&lt;&gt;"Valid","",TEXT($C568,"mmmm"))</x:f>
        <x:v>August</x:v>
      </x:c>
      <x:c r="AB568" s="82" t="n">
        <x:f>IF($AH568&lt;&gt;"Valid","",YEAR($C568))</x:f>
        <x:v>2024</x:v>
      </x:c>
      <x:c r="AC568" s="80" t="str">
        <x:v>Failed payment (excluded from completed-sales summary)</x:v>
      </x:c>
      <x:c r="AD568" s="80" t="str">
        <x:v>Excluded</x:v>
      </x:c>
      <x:c r="AE568" s="80" t="str">
        <x:f>IF(OR($AH568&lt;&gt;"Valid",$AI568&lt;&gt;"Valid",$AJ568&lt;&gt;"Valid",LEFT($AM568,7)="Invalid",IFERROR(ABS($AQ568)&gt;0.01,FALSE),IFERROR(ABS($AR568)&gt;0.01,FALSE),COUNTIF($AS568,"*Conflicting duplicate*")&gt;0,COUNTIF($AS568,"*Completed order not paid*")&gt;0),"Invalid",IF(OR($H568="Unknown",$N568="Unknown",$AM568="Missing discount imputed as 0"),"Warning","Clean"))</x:f>
        <x:v>Clean</x:v>
      </x:c>
      <x:c r="AF568" s="80" t="str">
        <x:v>Pass</x:v>
      </x:c>
      <x:c r="AG568" s="80" t="str">
        <x:v>No text cleanup required</x:v>
      </x:c>
      <x:c r="AH568" s="12" t="str">
        <x:f>IF(C568="","Missing date",IF(ISNUMBER(C568),"Valid","Unrecognized/invalid date"))</x:f>
        <x:v>Valid</x:v>
      </x:c>
      <x:c r="AI568" s="12" t="str">
        <x:f>IF(D568="","Missing date",IF(ISNUMBER(D568),"Valid","Unrecognized/invalid date"))</x:f>
        <x:v>Valid</x:v>
      </x:c>
      <x:c r="AJ568" s="12" t="str">
        <x:v>Valid</x:v>
      </x:c>
      <x:c r="AK568" s="12" t="str">
        <x:v>Pass</x:v>
      </x:c>
      <x:c r="AL568" s="12" t="str">
        <x:v>Failed payment – excluded from completed sales</x:v>
      </x:c>
      <x:c r="AM568" s="12" t="str">
        <x:v>Valid</x:v>
      </x:c>
      <x:c r="AN568" s="12" t="str">
        <x:v>Exclude from completed sales</x:v>
      </x:c>
      <x:c r="AO568" s="12" t="str">
        <x:v>Not a refunded record</x:v>
      </x:c>
      <x:c r="AP568" s="37" t="n">
        <x:f>IF(LEFT($AM568,7)="Invalid","",IF($AM568="Missing discount imputed as 0",IF(AND(COUNT($O568,$P568,$R568,$S568)=4,$O568&gt;0,$P568&gt;=0,$R568&gt;=0,$S568&gt;=0),0,""),IF(AND(ISNUMBER($Q568),$Q568&gt;=0,$Q568&lt;=0.5),$Q568,"")))</x:f>
        <x:v>0.1</x:v>
      </x:c>
      <x:c r="AQ568" s="152" t="n">
        <x:f>IF(OR($W568="",NOT(ISNUMBER($R568))),"",ROUND($R568-$W568,2))</x:f>
        <x:v>0</x:v>
      </x:c>
      <x:c r="AR568" s="152" t="n">
        <x:f>IF(OR($X568="",NOT(ISNUMBER($T568))),"",ROUND($T568-$X568,2))</x:f>
        <x:v>0</x:v>
      </x:c>
      <x:c r="AS568" s="14" t="str">
        <x:v>OK</x:v>
      </x:c>
    </x:row>
    <x:row r="569">
      <x:c r="A569" s="80" t="n">
        <x:v>569</x:v>
      </x:c>
      <x:c r="B569" s="80" t="str">
        <x:v>ORD-2024-10568</x:v>
      </x:c>
      <x:c r="C569" s="81" t="n">
        <x:v>45328</x:v>
      </x:c>
      <x:c r="D569" s="81" t="n">
        <x:v>45332</x:v>
      </x:c>
      <x:c r="E569" s="80" t="str">
        <x:v>CUST-3128</x:v>
      </x:c>
      <x:c r="F569" s="80" t="str">
        <x:v>Arjun Bose</x:v>
      </x:c>
      <x:c r="G569" s="80" t="str">
        <x:v>Home Office</x:v>
      </x:c>
      <x:c r="H569" s="80" t="str">
        <x:v>North</x:v>
      </x:c>
      <x:c r="I569" s="80" t="str">
        <x:v>Uttar Pradesh</x:v>
      </x:c>
      <x:c r="J569" s="80" t="str">
        <x:v>Noida</x:v>
      </x:c>
      <x:c r="K569" s="80" t="str">
        <x:v>Furniture</x:v>
      </x:c>
      <x:c r="L569" s="80" t="str">
        <x:v>Furnishings</x:v>
      </x:c>
      <x:c r="M569" s="80" t="str">
        <x:v>Pro Furnishings 108</x:v>
      </x:c>
      <x:c r="N569" s="80" t="str">
        <x:v>Same Day</x:v>
      </x:c>
      <x:c r="O569" s="82" t="n">
        <x:v>1</x:v>
      </x:c>
      <x:c r="P569" s="83" t="n">
        <x:v>1374.06</x:v>
      </x:c>
      <x:c r="Q569" s="84" t="n">
        <x:v>0.05</x:v>
      </x:c>
      <x:c r="R569" s="83" t="n">
        <x:v>1305.36</x:v>
      </x:c>
      <x:c r="S569" s="83" t="n">
        <x:v>731.89</x:v>
      </x:c>
      <x:c r="T569" s="83" t="n">
        <x:v>573.47</x:v>
      </x:c>
      <x:c r="U569" s="83" t="str">
        <x:v>Paid</x:v>
      </x:c>
      <x:c r="V569" s="83" t="str">
        <x:v>Completed</x:v>
      </x:c>
      <x:c r="W569" s="151" t="n">
        <x:f>IF(OR(NOT(ISNUMBER($AP569)),COUNT($O569,$P569)&lt;2,$O569&lt;=0,$P569&lt;0),"",ROUND($O569*$P569*(1-$AP569),2))</x:f>
        <x:v>1305.36</x:v>
      </x:c>
      <x:c r="X569" s="151" t="n">
        <x:f>IF(OR(NOT(ISNUMBER($W569)),NOT(ISNUMBER($S569))),"",ROUND($W569-$S569,2))</x:f>
        <x:v>573.47</x:v>
      </x:c>
      <x:c r="Y569" s="85" t="n">
        <x:f>IF(OR(NOT(ISNUMBER($W569)),NOT(ISNUMBER($X569)),$W569=0),"",ROUND($X569/$W569,4))</x:f>
        <x:v>0.4393</x:v>
      </x:c>
      <x:c r="Z569" s="82" t="n">
        <x:f>IF(OR($AH569&lt;&gt;"Valid",$AI569&lt;&gt;"Valid"),"",INT($D569-$C569))</x:f>
        <x:v>4</x:v>
      </x:c>
      <x:c r="AA569" s="86" t="str">
        <x:f>IF($AH569&lt;&gt;"Valid","",TEXT($C569,"mmmm"))</x:f>
        <x:v>February</x:v>
      </x:c>
      <x:c r="AB569" s="82" t="n">
        <x:f>IF($AH569&lt;&gt;"Valid","",YEAR($C569))</x:f>
        <x:v>2024</x:v>
      </x:c>
      <x:c r="AC569" s="80" t="str">
        <x:v>Consistent</x:v>
      </x:c>
      <x:c r="AD569" s="80" t="str">
        <x:v>Eligible</x:v>
      </x:c>
      <x:c r="AE569" s="80" t="str">
        <x:f>IF(OR($AH569&lt;&gt;"Valid",$AI569&lt;&gt;"Valid",$AJ569&lt;&gt;"Valid",LEFT($AM569,7)="Invalid",IFERROR(ABS($AQ569)&gt;0.01,FALSE),IFERROR(ABS($AR569)&gt;0.01,FALSE),COUNTIF($AS569,"*Conflicting duplicate*")&gt;0,COUNTIF($AS569,"*Completed order not paid*")&gt;0),"Invalid",IF(OR($H569="Unknown",$N569="Unknown",$AM569="Missing discount imputed as 0"),"Warning","Clean"))</x:f>
        <x:v>Clean</x:v>
      </x:c>
      <x:c r="AF569" s="80" t="str">
        <x:v>Pass</x:v>
      </x:c>
      <x:c r="AG569" s="80" t="str">
        <x:v>No text cleanup required</x:v>
      </x:c>
      <x:c r="AH569" s="12" t="str">
        <x:f>IF(C569="","Missing date",IF(ISNUMBER(C569),"Valid","Unrecognized/invalid date"))</x:f>
        <x:v>Valid</x:v>
      </x:c>
      <x:c r="AI569" s="12" t="str">
        <x:f>IF(D569="","Missing date",IF(ISNUMBER(D569),"Valid","Unrecognized/invalid date"))</x:f>
        <x:v>Valid</x:v>
      </x:c>
      <x:c r="AJ569" s="12" t="str">
        <x:v>Valid</x:v>
      </x:c>
      <x:c r="AK569" s="12" t="str">
        <x:v>Pass</x:v>
      </x:c>
      <x:c r="AL569" s="12" t="str">
        <x:v>None</x:v>
      </x:c>
      <x:c r="AM569" s="12" t="str">
        <x:v>Valid</x:v>
      </x:c>
      <x:c r="AN569" s="12" t="str">
        <x:v>Include in completed sales</x:v>
      </x:c>
      <x:c r="AO569" s="12" t="str">
        <x:v>Not a refunded record</x:v>
      </x:c>
      <x:c r="AP569" s="37" t="n">
        <x:f>IF(LEFT($AM569,7)="Invalid","",IF($AM569="Missing discount imputed as 0",IF(AND(COUNT($O569,$P569,$R569,$S569)=4,$O569&gt;0,$P569&gt;=0,$R569&gt;=0,$S569&gt;=0),0,""),IF(AND(ISNUMBER($Q569),$Q569&gt;=0,$Q569&lt;=0.5),$Q569,"")))</x:f>
        <x:v>0.05</x:v>
      </x:c>
      <x:c r="AQ569" s="152" t="n">
        <x:f>IF(OR($W569="",NOT(ISNUMBER($R569))),"",ROUND($R569-$W569,2))</x:f>
        <x:v>0</x:v>
      </x:c>
      <x:c r="AR569" s="152" t="n">
        <x:f>IF(OR($X569="",NOT(ISNUMBER($T569))),"",ROUND($T569-$X569,2))</x:f>
        <x:v>0</x:v>
      </x:c>
      <x:c r="AS569" s="14" t="str">
        <x:v>OK</x:v>
      </x:c>
    </x:row>
    <x:row r="570">
      <x:c r="A570" s="80" t="n">
        <x:v>570</x:v>
      </x:c>
      <x:c r="B570" s="80" t="str">
        <x:v>ORD-2024-10569</x:v>
      </x:c>
      <x:c r="C570" s="81" t="n">
        <x:v>45312</x:v>
      </x:c>
      <x:c r="D570" s="81" t="n">
        <x:v>45315</x:v>
      </x:c>
      <x:c r="E570" s="80" t="str">
        <x:v>CUST-4604</x:v>
      </x:c>
      <x:c r="F570" s="80" t="str">
        <x:v>Kabir Singh</x:v>
      </x:c>
      <x:c r="G570" s="80" t="str">
        <x:v>Corporate</x:v>
      </x:c>
      <x:c r="H570" s="80" t="str">
        <x:v>North</x:v>
      </x:c>
      <x:c r="I570" s="80" t="str">
        <x:v>Punjab</x:v>
      </x:c>
      <x:c r="J570" s="80" t="str">
        <x:v>Ludhiana</x:v>
      </x:c>
      <x:c r="K570" s="80" t="str">
        <x:v>Technology</x:v>
      </x:c>
      <x:c r="L570" s="80" t="str">
        <x:v>Machines</x:v>
      </x:c>
      <x:c r="M570" s="80" t="str">
        <x:v>Classic Machines 522</x:v>
      </x:c>
      <x:c r="N570" s="80" t="str">
        <x:v>Same Day</x:v>
      </x:c>
      <x:c r="O570" s="82" t="n">
        <x:v>1</x:v>
      </x:c>
      <x:c r="P570" s="83" t="n">
        <x:v>3806.3</x:v>
      </x:c>
      <x:c r="Q570" s="84" t="n">
        <x:v>0.25</x:v>
      </x:c>
      <x:c r="R570" s="83" t="n">
        <x:v>2854.73</x:v>
      </x:c>
      <x:c r="S570" s="83" t="n">
        <x:v>1968.12</x:v>
      </x:c>
      <x:c r="T570" s="83" t="n">
        <x:v>886.61</x:v>
      </x:c>
      <x:c r="U570" s="83" t="str">
        <x:v>Paid</x:v>
      </x:c>
      <x:c r="V570" s="83" t="str">
        <x:v>Completed</x:v>
      </x:c>
      <x:c r="W570" s="151" t="n">
        <x:f>IF(OR(NOT(ISNUMBER($AP570)),COUNT($O570,$P570)&lt;2,$O570&lt;=0,$P570&lt;0),"",ROUND($O570*$P570*(1-$AP570),2))</x:f>
        <x:v>2854.73</x:v>
      </x:c>
      <x:c r="X570" s="151" t="n">
        <x:f>IF(OR(NOT(ISNUMBER($W570)),NOT(ISNUMBER($S570))),"",ROUND($W570-$S570,2))</x:f>
        <x:v>886.61</x:v>
      </x:c>
      <x:c r="Y570" s="85" t="n">
        <x:f>IF(OR(NOT(ISNUMBER($W570)),NOT(ISNUMBER($X570)),$W570=0),"",ROUND($X570/$W570,4))</x:f>
        <x:v>0.3106</x:v>
      </x:c>
      <x:c r="Z570" s="82" t="n">
        <x:f>IF(OR($AH570&lt;&gt;"Valid",$AI570&lt;&gt;"Valid"),"",INT($D570-$C570))</x:f>
        <x:v>3</x:v>
      </x:c>
      <x:c r="AA570" s="86" t="str">
        <x:f>IF($AH570&lt;&gt;"Valid","",TEXT($C570,"mmmm"))</x:f>
        <x:v>January</x:v>
      </x:c>
      <x:c r="AB570" s="82" t="n">
        <x:f>IF($AH570&lt;&gt;"Valid","",YEAR($C570))</x:f>
        <x:v>2024</x:v>
      </x:c>
      <x:c r="AC570" s="80" t="str">
        <x:v>Consistent</x:v>
      </x:c>
      <x:c r="AD570" s="80" t="str">
        <x:v>Eligible</x:v>
      </x:c>
      <x:c r="AE570" s="80" t="str">
        <x:f>IF(OR($AH570&lt;&gt;"Valid",$AI570&lt;&gt;"Valid",$AJ570&lt;&gt;"Valid",LEFT($AM570,7)="Invalid",IFERROR(ABS($AQ570)&gt;0.01,FALSE),IFERROR(ABS($AR570)&gt;0.01,FALSE),COUNTIF($AS570,"*Conflicting duplicate*")&gt;0,COUNTIF($AS570,"*Completed order not paid*")&gt;0),"Invalid",IF(OR($H570="Unknown",$N570="Unknown",$AM570="Missing discount imputed as 0"),"Warning","Clean"))</x:f>
        <x:v>Clean</x:v>
      </x:c>
      <x:c r="AF570" s="80" t="str">
        <x:v>Pass</x:v>
      </x:c>
      <x:c r="AG570" s="80" t="str">
        <x:v>No text cleanup required</x:v>
      </x:c>
      <x:c r="AH570" s="12" t="str">
        <x:f>IF(C570="","Missing date",IF(ISNUMBER(C570),"Valid","Unrecognized/invalid date"))</x:f>
        <x:v>Valid</x:v>
      </x:c>
      <x:c r="AI570" s="12" t="str">
        <x:f>IF(D570="","Missing date",IF(ISNUMBER(D570),"Valid","Unrecognized/invalid date"))</x:f>
        <x:v>Valid</x:v>
      </x:c>
      <x:c r="AJ570" s="12" t="str">
        <x:v>Valid</x:v>
      </x:c>
      <x:c r="AK570" s="12" t="str">
        <x:v>Pass</x:v>
      </x:c>
      <x:c r="AL570" s="12" t="str">
        <x:v>None</x:v>
      </x:c>
      <x:c r="AM570" s="12" t="str">
        <x:v>Valid</x:v>
      </x:c>
      <x:c r="AN570" s="12" t="str">
        <x:v>Include in completed sales</x:v>
      </x:c>
      <x:c r="AO570" s="12" t="str">
        <x:v>Not a refunded record</x:v>
      </x:c>
      <x:c r="AP570" s="37" t="n">
        <x:f>IF(LEFT($AM570,7)="Invalid","",IF($AM570="Missing discount imputed as 0",IF(AND(COUNT($O570,$P570,$R570,$S570)=4,$O570&gt;0,$P570&gt;=0,$R570&gt;=0,$S570&gt;=0),0,""),IF(AND(ISNUMBER($Q570),$Q570&gt;=0,$Q570&lt;=0.5),$Q570,"")))</x:f>
        <x:v>0.25</x:v>
      </x:c>
      <x:c r="AQ570" s="152" t="n">
        <x:f>IF(OR($W570="",NOT(ISNUMBER($R570))),"",ROUND($R570-$W570,2))</x:f>
        <x:v>0</x:v>
      </x:c>
      <x:c r="AR570" s="152" t="n">
        <x:f>IF(OR($X570="",NOT(ISNUMBER($T570))),"",ROUND($T570-$X570,2))</x:f>
        <x:v>0</x:v>
      </x:c>
      <x:c r="AS570" s="14" t="str">
        <x:v>OK</x:v>
      </x:c>
    </x:row>
    <x:row r="571">
      <x:c r="A571" s="80" t="n">
        <x:v>571</x:v>
      </x:c>
      <x:c r="B571" s="80" t="str">
        <x:v>ORD-2025-10570</x:v>
      </x:c>
      <x:c r="C571" s="81" t="n">
        <x:v>45908</x:v>
      </x:c>
      <x:c r="D571" s="81" t="n">
        <x:v>45910</x:v>
      </x:c>
      <x:c r="E571" s="80" t="str">
        <x:v>CUST-2586</x:v>
      </x:c>
      <x:c r="F571" s="80" t="str">
        <x:v>Rahul Verma</x:v>
      </x:c>
      <x:c r="G571" s="80" t="str">
        <x:v>Home Office</x:v>
      </x:c>
      <x:c r="H571" s="80" t="str">
        <x:v>West</x:v>
      </x:c>
      <x:c r="I571" s="80" t="str">
        <x:v>Maharashtra</x:v>
      </x:c>
      <x:c r="J571" s="80" t="str">
        <x:v>Mumbai</x:v>
      </x:c>
      <x:c r="K571" s="80" t="str">
        <x:v>Furniture</x:v>
      </x:c>
      <x:c r="L571" s="80" t="str">
        <x:v>Furnishings</x:v>
      </x:c>
      <x:c r="M571" s="80" t="str">
        <x:v>Elite Furnishings 822</x:v>
      </x:c>
      <x:c r="N571" s="80" t="str">
        <x:v>Standard Class</x:v>
      </x:c>
      <x:c r="O571" s="82" t="n">
        <x:v>6</x:v>
      </x:c>
      <x:c r="P571" s="83" t="n">
        <x:v>3251.17</x:v>
      </x:c>
      <x:c r="Q571" s="84" t="n">
        <x:v>0.25</x:v>
      </x:c>
      <x:c r="R571" s="83" t="n">
        <x:v>14630.26</x:v>
      </x:c>
      <x:c r="S571" s="83" t="n">
        <x:v>11906.36</x:v>
      </x:c>
      <x:c r="T571" s="83" t="n">
        <x:v>2723.9</x:v>
      </x:c>
      <x:c r="U571" s="83" t="str">
        <x:v>Refunded</x:v>
      </x:c>
      <x:c r="V571" s="83" t="str">
        <x:v>Returned</x:v>
      </x:c>
      <x:c r="W571" s="151" t="n">
        <x:f>IF(OR(NOT(ISNUMBER($AP571)),COUNT($O571,$P571)&lt;2,$O571&lt;=0,$P571&lt;0),"",ROUND($O571*$P571*(1-$AP571),2))</x:f>
        <x:v>14630.27</x:v>
      </x:c>
      <x:c r="X571" s="151" t="n">
        <x:f>IF(OR(NOT(ISNUMBER($W571)),NOT(ISNUMBER($S571))),"",ROUND($W571-$S571,2))</x:f>
        <x:v>2723.91</x:v>
      </x:c>
      <x:c r="Y571" s="85" t="n">
        <x:f>IF(OR(NOT(ISNUMBER($W571)),NOT(ISNUMBER($X571)),$W571=0),"",ROUND($X571/$W571,4))</x:f>
        <x:v>0.1862</x:v>
      </x:c>
      <x:c r="Z571" s="82" t="n">
        <x:f>IF(OR($AH571&lt;&gt;"Valid",$AI571&lt;&gt;"Valid"),"",INT($D571-$C571))</x:f>
        <x:v>2</x:v>
      </x:c>
      <x:c r="AA571" s="86" t="str">
        <x:f>IF($AH571&lt;&gt;"Valid","",TEXT($C571,"mmmm"))</x:f>
        <x:v>September</x:v>
      </x:c>
      <x:c r="AB571" s="82" t="n">
        <x:f>IF($AH571&lt;&gt;"Valid","",YEAR($C571))</x:f>
        <x:v>2025</x:v>
      </x:c>
      <x:c r="AC571" s="80" t="str">
        <x:v>Refunded (separately summarized)</x:v>
      </x:c>
      <x:c r="AD571" s="80" t="str">
        <x:v>Excluded</x:v>
      </x:c>
      <x:c r="AE571" s="80" t="str">
        <x:f>IF(OR($AH571&lt;&gt;"Valid",$AI571&lt;&gt;"Valid",$AJ571&lt;&gt;"Valid",LEFT($AM571,7)="Invalid",IFERROR(ABS($AQ571)&gt;0.01,FALSE),IFERROR(ABS($AR571)&gt;0.01,FALSE),COUNTIF($AS571,"*Conflicting duplicate*")&gt;0,COUNTIF($AS571,"*Completed order not paid*")&gt;0),"Invalid",IF(OR($H571="Unknown",$N571="Unknown",$AM571="Missing discount imputed as 0"),"Warning","Clean"))</x:f>
        <x:v>Clean</x:v>
      </x:c>
      <x:c r="AF571" s="80" t="str">
        <x:v>Pass</x:v>
      </x:c>
      <x:c r="AG571" s="80" t="str">
        <x:v>No text cleanup required</x:v>
      </x:c>
      <x:c r="AH571" s="12" t="str">
        <x:f>IF(C571="","Missing date",IF(ISNUMBER(C571),"Valid","Unrecognized/invalid date"))</x:f>
        <x:v>Valid</x:v>
      </x:c>
      <x:c r="AI571" s="12" t="str">
        <x:f>IF(D571="","Missing date",IF(ISNUMBER(D571),"Valid","Unrecognized/invalid date"))</x:f>
        <x:v>Valid</x:v>
      </x:c>
      <x:c r="AJ571" s="12" t="str">
        <x:v>Valid</x:v>
      </x:c>
      <x:c r="AK571" s="12" t="str">
        <x:v>Pass</x:v>
      </x:c>
      <x:c r="AL571" s="12" t="str">
        <x:v>Refunded payment – separately summarized</x:v>
      </x:c>
      <x:c r="AM571" s="12" t="str">
        <x:v>Valid</x:v>
      </x:c>
      <x:c r="AN571" s="12" t="str">
        <x:v>Exclude from completed sales</x:v>
      </x:c>
      <x:c r="AO571" s="12" t="str">
        <x:v>Include in refunded summary</x:v>
      </x:c>
      <x:c r="AP571" s="37" t="n">
        <x:f>IF(LEFT($AM571,7)="Invalid","",IF($AM571="Missing discount imputed as 0",IF(AND(COUNT($O571,$P571,$R571,$S571)=4,$O571&gt;0,$P571&gt;=0,$R571&gt;=0,$S571&gt;=0),0,""),IF(AND(ISNUMBER($Q571),$Q571&gt;=0,$Q571&lt;=0.5),$Q571,"")))</x:f>
        <x:v>0.25</x:v>
      </x:c>
      <x:c r="AQ571" s="152" t="n">
        <x:f>IF(OR($W571="",NOT(ISNUMBER($R571))),"",ROUND($R571-$W571,2))</x:f>
        <x:v>-0.01</x:v>
      </x:c>
      <x:c r="AR571" s="152" t="n">
        <x:f>IF(OR($X571="",NOT(ISNUMBER($T571))),"",ROUND($T571-$X571,2))</x:f>
        <x:v>-0.01</x:v>
      </x:c>
      <x:c r="AS571" s="14" t="str">
        <x:v>OK</x:v>
      </x:c>
    </x:row>
    <x:row r="572">
      <x:c r="A572" s="80" t="n">
        <x:v>572</x:v>
      </x:c>
      <x:c r="B572" s="80" t="str">
        <x:v>ORD-2025-10571</x:v>
      </x:c>
      <x:c r="C572" s="81" t="n">
        <x:v>45887</x:v>
      </x:c>
      <x:c r="D572" s="81" t="n">
        <x:v>45891</x:v>
      </x:c>
      <x:c r="E572" s="80" t="str">
        <x:v>CUST-6585</x:v>
      </x:c>
      <x:c r="F572" s="80" t="str">
        <x:v>Arjun Bose</x:v>
      </x:c>
      <x:c r="G572" s="80" t="str">
        <x:v>Consumer</x:v>
      </x:c>
      <x:c r="H572" s="80" t="str">
        <x:v>East</x:v>
      </x:c>
      <x:c r="I572" s="80" t="str">
        <x:v>Jharkhand</x:v>
      </x:c>
      <x:c r="J572" s="80" t="str">
        <x:v>Ranchi</x:v>
      </x:c>
      <x:c r="K572" s="80" t="str">
        <x:v>Furniture</x:v>
      </x:c>
      <x:c r="L572" s="80" t="str">
        <x:v>Furnishings</x:v>
      </x:c>
      <x:c r="M572" s="80" t="str">
        <x:v>Max Furnishings 647</x:v>
      </x:c>
      <x:c r="N572" s="80" t="str">
        <x:v>Second Class</x:v>
      </x:c>
      <x:c r="O572" s="82" t="n">
        <x:v>3</x:v>
      </x:c>
      <x:c r="P572" s="83" t="n">
        <x:v>3946.44</x:v>
      </x:c>
      <x:c r="Q572" s="84" t="n">
        <x:v>0.25</x:v>
      </x:c>
      <x:c r="R572" s="83" t="n">
        <x:v>8879.49</x:v>
      </x:c>
      <x:c r="S572" s="83" t="n">
        <x:v>6344.57</x:v>
      </x:c>
      <x:c r="T572" s="83" t="n">
        <x:v>2534.92</x:v>
      </x:c>
      <x:c r="U572" s="83" t="str">
        <x:v>Failed</x:v>
      </x:c>
      <x:c r="V572" s="83" t="str">
        <x:v>Returned</x:v>
      </x:c>
      <x:c r="W572" s="151" t="n">
        <x:f>IF(OR(NOT(ISNUMBER($AP572)),COUNT($O572,$P572)&lt;2,$O572&lt;=0,$P572&lt;0),"",ROUND($O572*$P572*(1-$AP572),2))</x:f>
        <x:v>8879.49</x:v>
      </x:c>
      <x:c r="X572" s="151" t="n">
        <x:f>IF(OR(NOT(ISNUMBER($W572)),NOT(ISNUMBER($S572))),"",ROUND($W572-$S572,2))</x:f>
        <x:v>2534.92</x:v>
      </x:c>
      <x:c r="Y572" s="85" t="n">
        <x:f>IF(OR(NOT(ISNUMBER($W572)),NOT(ISNUMBER($X572)),$W572=0),"",ROUND($X572/$W572,4))</x:f>
        <x:v>0.2855</x:v>
      </x:c>
      <x:c r="Z572" s="82" t="n">
        <x:f>IF(OR($AH572&lt;&gt;"Valid",$AI572&lt;&gt;"Valid"),"",INT($D572-$C572))</x:f>
        <x:v>4</x:v>
      </x:c>
      <x:c r="AA572" s="86" t="str">
        <x:f>IF($AH572&lt;&gt;"Valid","",TEXT($C572,"mmmm"))</x:f>
        <x:v>August</x:v>
      </x:c>
      <x:c r="AB572" s="82" t="n">
        <x:f>IF($AH572&lt;&gt;"Valid","",YEAR($C572))</x:f>
        <x:v>2025</x:v>
      </x:c>
      <x:c r="AC572" s="80" t="str">
        <x:v>Failed payment (excluded from completed-sales summary)</x:v>
      </x:c>
      <x:c r="AD572" s="80" t="str">
        <x:v>Excluded</x:v>
      </x:c>
      <x:c r="AE572" s="80" t="str">
        <x:f>IF(OR($AH572&lt;&gt;"Valid",$AI572&lt;&gt;"Valid",$AJ572&lt;&gt;"Valid",LEFT($AM572,7)="Invalid",IFERROR(ABS($AQ572)&gt;0.01,FALSE),IFERROR(ABS($AR572)&gt;0.01,FALSE),COUNTIF($AS572,"*Conflicting duplicate*")&gt;0,COUNTIF($AS572,"*Completed order not paid*")&gt;0),"Invalid",IF(OR($H572="Unknown",$N572="Unknown",$AM572="Missing discount imputed as 0"),"Warning","Clean"))</x:f>
        <x:v>Clean</x:v>
      </x:c>
      <x:c r="AF572" s="80" t="str">
        <x:v>Pass</x:v>
      </x:c>
      <x:c r="AG572" s="80" t="str">
        <x:v>No text cleanup required</x:v>
      </x:c>
      <x:c r="AH572" s="12" t="str">
        <x:f>IF(C572="","Missing date",IF(ISNUMBER(C572),"Valid","Unrecognized/invalid date"))</x:f>
        <x:v>Valid</x:v>
      </x:c>
      <x:c r="AI572" s="12" t="str">
        <x:f>IF(D572="","Missing date",IF(ISNUMBER(D572),"Valid","Unrecognized/invalid date"))</x:f>
        <x:v>Valid</x:v>
      </x:c>
      <x:c r="AJ572" s="12" t="str">
        <x:v>Valid</x:v>
      </x:c>
      <x:c r="AK572" s="12" t="str">
        <x:v>Pass</x:v>
      </x:c>
      <x:c r="AL572" s="12" t="str">
        <x:v>Failed payment – excluded from completed sales</x:v>
      </x:c>
      <x:c r="AM572" s="12" t="str">
        <x:v>Valid</x:v>
      </x:c>
      <x:c r="AN572" s="12" t="str">
        <x:v>Exclude from completed sales</x:v>
      </x:c>
      <x:c r="AO572" s="12" t="str">
        <x:v>Not a refunded record</x:v>
      </x:c>
      <x:c r="AP572" s="37" t="n">
        <x:f>IF(LEFT($AM572,7)="Invalid","",IF($AM572="Missing discount imputed as 0",IF(AND(COUNT($O572,$P572,$R572,$S572)=4,$O572&gt;0,$P572&gt;=0,$R572&gt;=0,$S572&gt;=0),0,""),IF(AND(ISNUMBER($Q572),$Q572&gt;=0,$Q572&lt;=0.5),$Q572,"")))</x:f>
        <x:v>0.25</x:v>
      </x:c>
      <x:c r="AQ572" s="152" t="n">
        <x:f>IF(OR($W572="",NOT(ISNUMBER($R572))),"",ROUND($R572-$W572,2))</x:f>
        <x:v>0</x:v>
      </x:c>
      <x:c r="AR572" s="152" t="n">
        <x:f>IF(OR($X572="",NOT(ISNUMBER($T572))),"",ROUND($T572-$X572,2))</x:f>
        <x:v>0</x:v>
      </x:c>
      <x:c r="AS572" s="14" t="str">
        <x:v>OK</x:v>
      </x:c>
    </x:row>
    <x:row r="573">
      <x:c r="A573" s="80" t="n">
        <x:v>573</x:v>
      </x:c>
      <x:c r="B573" s="80" t="str">
        <x:v>ORD-2025-10572</x:v>
      </x:c>
      <x:c r="C573" s="81" t="n">
        <x:v>45698</x:v>
      </x:c>
      <x:c r="D573" s="81" t="n">
        <x:v>45702</x:v>
      </x:c>
      <x:c r="E573" s="80" t="str">
        <x:v>CUST-3425</x:v>
      </x:c>
      <x:c r="F573" s="80" t="str">
        <x:v>Priya Menon</x:v>
      </x:c>
      <x:c r="G573" s="80" t="str">
        <x:v>Small Business</x:v>
      </x:c>
      <x:c r="H573" s="80" t="str">
        <x:v>North</x:v>
      </x:c>
      <x:c r="I573" s="80" t="str">
        <x:v>Uttar Pradesh</x:v>
      </x:c>
      <x:c r="J573" s="80" t="str">
        <x:v>Noida</x:v>
      </x:c>
      <x:c r="K573" s="80" t="str">
        <x:v>Technology</x:v>
      </x:c>
      <x:c r="L573" s="80" t="str">
        <x:v>Phones</x:v>
      </x:c>
      <x:c r="M573" s="80" t="str">
        <x:v>Prime Phones 895</x:v>
      </x:c>
      <x:c r="N573" s="80" t="str">
        <x:v>Unknown</x:v>
      </x:c>
      <x:c r="O573" s="82" t="n">
        <x:v>5</x:v>
      </x:c>
      <x:c r="P573" s="83" t="n">
        <x:v>4276.29</x:v>
      </x:c>
      <x:c r="Q573" s="84" t="n">
        <x:v>0</x:v>
      </x:c>
      <x:c r="R573" s="83" t="n">
        <x:v>21381.45</x:v>
      </x:c>
      <x:c r="S573" s="83" t="n">
        <x:v>13240.21</x:v>
      </x:c>
      <x:c r="T573" s="83" t="n">
        <x:v>8141.24</x:v>
      </x:c>
      <x:c r="U573" s="83" t="str">
        <x:v>Failed</x:v>
      </x:c>
      <x:c r="V573" s="83" t="str">
        <x:v>Returned</x:v>
      </x:c>
      <x:c r="W573" s="151" t="n">
        <x:f>IF(OR(NOT(ISNUMBER($AP573)),COUNT($O573,$P573)&lt;2,$O573&lt;=0,$P573&lt;0),"",ROUND($O573*$P573*(1-$AP573),2))</x:f>
        <x:v>21381.45</x:v>
      </x:c>
      <x:c r="X573" s="151" t="n">
        <x:f>IF(OR(NOT(ISNUMBER($W573)),NOT(ISNUMBER($S573))),"",ROUND($W573-$S573,2))</x:f>
        <x:v>8141.24</x:v>
      </x:c>
      <x:c r="Y573" s="85" t="n">
        <x:f>IF(OR(NOT(ISNUMBER($W573)),NOT(ISNUMBER($X573)),$W573=0),"",ROUND($X573/$W573,4))</x:f>
        <x:v>0.3808</x:v>
      </x:c>
      <x:c r="Z573" s="82" t="n">
        <x:f>IF(OR($AH573&lt;&gt;"Valid",$AI573&lt;&gt;"Valid"),"",INT($D573-$C573))</x:f>
        <x:v>4</x:v>
      </x:c>
      <x:c r="AA573" s="86" t="str">
        <x:f>IF($AH573&lt;&gt;"Valid","",TEXT($C573,"mmmm"))</x:f>
        <x:v>February</x:v>
      </x:c>
      <x:c r="AB573" s="82" t="n">
        <x:f>IF($AH573&lt;&gt;"Valid","",YEAR($C573))</x:f>
        <x:v>2025</x:v>
      </x:c>
      <x:c r="AC573" s="80" t="str">
        <x:v>Failed payment (excluded from completed-sales summary)</x:v>
      </x:c>
      <x:c r="AD573" s="80" t="str">
        <x:v>Excluded</x:v>
      </x:c>
      <x:c r="AE573" s="80" t="str">
        <x:f>IF(OR($AH573&lt;&gt;"Valid",$AI573&lt;&gt;"Valid",$AJ573&lt;&gt;"Valid",LEFT($AM573,7)="Invalid",IFERROR(ABS($AQ573)&gt;0.01,FALSE),IFERROR(ABS($AR573)&gt;0.01,FALSE),COUNTIF($AS573,"*Conflicting duplicate*")&gt;0,COUNTIF($AS573,"*Completed order not paid*")&gt;0),"Invalid",IF(OR($H573="Unknown",$N573="Unknown",$AM573="Missing discount imputed as 0"),"Warning","Clean"))</x:f>
        <x:v>Warning</x:v>
      </x:c>
      <x:c r="AF573" s="80" t="str">
        <x:v>Review</x:v>
      </x:c>
      <x:c r="AG573" s="80" t="str">
        <x:v>ship_mode: Missing value filled as Unknown</x:v>
      </x:c>
      <x:c r="AH573" s="12" t="str">
        <x:f>IF(C573="","Missing date",IF(ISNUMBER(C573),"Valid","Unrecognized/invalid date"))</x:f>
        <x:v>Valid</x:v>
      </x:c>
      <x:c r="AI573" s="12" t="str">
        <x:f>IF(D573="","Missing date",IF(ISNUMBER(D573),"Valid","Unrecognized/invalid date"))</x:f>
        <x:v>Valid</x:v>
      </x:c>
      <x:c r="AJ573" s="12" t="str">
        <x:v>Valid</x:v>
      </x:c>
      <x:c r="AK573" s="12" t="str">
        <x:v>Pass</x:v>
      </x:c>
      <x:c r="AL573" s="12" t="str">
        <x:v>Missing ship_mode filled as Unknown; Failed payment – excluded from completed sales</x:v>
      </x:c>
      <x:c r="AM573" s="12" t="str">
        <x:v>Valid</x:v>
      </x:c>
      <x:c r="AN573" s="12" t="str">
        <x:v>Exclude from completed sales</x:v>
      </x:c>
      <x:c r="AO573" s="12" t="str">
        <x:v>Not a refunded record</x:v>
      </x:c>
      <x:c r="AP573" s="37" t="n">
        <x:f>IF(LEFT($AM573,7)="Invalid","",IF($AM573="Missing discount imputed as 0",IF(AND(COUNT($O573,$P573,$R573,$S573)=4,$O573&gt;0,$P573&gt;=0,$R573&gt;=0,$S573&gt;=0),0,""),IF(AND(ISNUMBER($Q573),$Q573&gt;=0,$Q573&lt;=0.5),$Q573,"")))</x:f>
        <x:v>0</x:v>
      </x:c>
      <x:c r="AQ573" s="152" t="n">
        <x:f>IF(OR($W573="",NOT(ISNUMBER($R573))),"",ROUND($R573-$W573,2))</x:f>
        <x:v>0</x:v>
      </x:c>
      <x:c r="AR573" s="152" t="n">
        <x:f>IF(OR($X573="",NOT(ISNUMBER($T573))),"",ROUND($T573-$X573,2))</x:f>
        <x:v>0</x:v>
      </x:c>
      <x:c r="AS573" s="14" t="str">
        <x:v>Conflicting duplicate order ID</x:v>
      </x:c>
    </x:row>
    <x:row r="574">
      <x:c r="A574" s="80" t="n">
        <x:v>574</x:v>
      </x:c>
      <x:c r="B574" s="80" t="str">
        <x:v>ORD-2024-10573</x:v>
      </x:c>
      <x:c r="C574" s="81" t="n">
        <x:v>45293</x:v>
      </x:c>
      <x:c r="D574" s="81" t="n">
        <x:v>45300</x:v>
      </x:c>
      <x:c r="E574" s="80" t="str">
        <x:v>CUST-8633</x:v>
      </x:c>
      <x:c r="F574" s="80" t="str">
        <x:v>Diya Patel</x:v>
      </x:c>
      <x:c r="G574" s="80" t="str">
        <x:v>Corporate</x:v>
      </x:c>
      <x:c r="H574" s="80" t="str">
        <x:v>North</x:v>
      </x:c>
      <x:c r="I574" s="80" t="str">
        <x:v>Delhi</x:v>
      </x:c>
      <x:c r="J574" s="80" t="str">
        <x:v>New Delhi</x:v>
      </x:c>
      <x:c r="K574" s="80" t="str">
        <x:v>Technology</x:v>
      </x:c>
      <x:c r="L574" s="80" t="str">
        <x:v>Phones</x:v>
      </x:c>
      <x:c r="M574" s="80" t="str">
        <x:v>Eco Phones 368</x:v>
      </x:c>
      <x:c r="N574" s="80" t="str">
        <x:v>Standard Class</x:v>
      </x:c>
      <x:c r="O574" s="82" t="n">
        <x:v>3</x:v>
      </x:c>
      <x:c r="P574" s="83" t="n">
        <x:v>739.56</x:v>
      </x:c>
      <x:c r="Q574" s="84" t="n">
        <x:v>0.2</x:v>
      </x:c>
      <x:c r="R574" s="83" t="n">
        <x:v>1774.94</x:v>
      </x:c>
      <x:c r="S574" s="83" t="n">
        <x:v>1007.4</x:v>
      </x:c>
      <x:c r="T574" s="83" t="n">
        <x:v>767.54</x:v>
      </x:c>
      <x:c r="U574" s="83" t="str">
        <x:v>Paid</x:v>
      </x:c>
      <x:c r="V574" s="83" t="str">
        <x:v>Completed</x:v>
      </x:c>
      <x:c r="W574" s="151" t="n">
        <x:f>IF(OR(NOT(ISNUMBER($AP574)),COUNT($O574,$P574)&lt;2,$O574&lt;=0,$P574&lt;0),"",ROUND($O574*$P574*(1-$AP574),2))</x:f>
        <x:v>1774.94</x:v>
      </x:c>
      <x:c r="X574" s="151" t="n">
        <x:f>IF(OR(NOT(ISNUMBER($W574)),NOT(ISNUMBER($S574))),"",ROUND($W574-$S574,2))</x:f>
        <x:v>767.54</x:v>
      </x:c>
      <x:c r="Y574" s="85" t="n">
        <x:f>IF(OR(NOT(ISNUMBER($W574)),NOT(ISNUMBER($X574)),$W574=0),"",ROUND($X574/$W574,4))</x:f>
        <x:v>0.4324</x:v>
      </x:c>
      <x:c r="Z574" s="82" t="n">
        <x:f>IF(OR($AH574&lt;&gt;"Valid",$AI574&lt;&gt;"Valid"),"",INT($D574-$C574))</x:f>
        <x:v>7</x:v>
      </x:c>
      <x:c r="AA574" s="86" t="str">
        <x:f>IF($AH574&lt;&gt;"Valid","",TEXT($C574,"mmmm"))</x:f>
        <x:v>January</x:v>
      </x:c>
      <x:c r="AB574" s="82" t="n">
        <x:f>IF($AH574&lt;&gt;"Valid","",YEAR($C574))</x:f>
        <x:v>2024</x:v>
      </x:c>
      <x:c r="AC574" s="80" t="str">
        <x:v>Consistent</x:v>
      </x:c>
      <x:c r="AD574" s="80" t="str">
        <x:v>Eligible</x:v>
      </x:c>
      <x:c r="AE574" s="80" t="str">
        <x:f>IF(OR($AH574&lt;&gt;"Valid",$AI574&lt;&gt;"Valid",$AJ574&lt;&gt;"Valid",LEFT($AM574,7)="Invalid",IFERROR(ABS($AQ574)&gt;0.01,FALSE),IFERROR(ABS($AR574)&gt;0.01,FALSE),COUNTIF($AS574,"*Conflicting duplicate*")&gt;0,COUNTIF($AS574,"*Completed order not paid*")&gt;0),"Invalid",IF(OR($H574="Unknown",$N574="Unknown",$AM574="Missing discount imputed as 0"),"Warning","Clean"))</x:f>
        <x:v>Clean</x:v>
      </x:c>
      <x:c r="AF574" s="80" t="str">
        <x:v>Cleaned</x:v>
      </x:c>
      <x:c r="AG574" s="80" t="str">
        <x:v>customer_name: TRIM/SUBSTITUTE whitespace cleanup</x:v>
      </x:c>
      <x:c r="AH574" s="12" t="str">
        <x:f>IF(C574="","Missing date",IF(ISNUMBER(C574),"Valid","Unrecognized/invalid date"))</x:f>
        <x:v>Valid</x:v>
      </x:c>
      <x:c r="AI574" s="12" t="str">
        <x:f>IF(D574="","Missing date",IF(ISNUMBER(D574),"Valid","Unrecognized/invalid date"))</x:f>
        <x:v>Valid</x:v>
      </x:c>
      <x:c r="AJ574" s="12" t="str">
        <x:v>Valid</x:v>
      </x:c>
      <x:c r="AK574" s="12" t="str">
        <x:v>Pass</x:v>
      </x:c>
      <x:c r="AL574" s="12" t="str">
        <x:v>None</x:v>
      </x:c>
      <x:c r="AM574" s="12" t="str">
        <x:v>Valid</x:v>
      </x:c>
      <x:c r="AN574" s="12" t="str">
        <x:v>Include in completed sales</x:v>
      </x:c>
      <x:c r="AO574" s="12" t="str">
        <x:v>Not a refunded record</x:v>
      </x:c>
      <x:c r="AP574" s="37" t="n">
        <x:f>IF(LEFT($AM574,7)="Invalid","",IF($AM574="Missing discount imputed as 0",IF(AND(COUNT($O574,$P574,$R574,$S574)=4,$O574&gt;0,$P574&gt;=0,$R574&gt;=0,$S574&gt;=0),0,""),IF(AND(ISNUMBER($Q574),$Q574&gt;=0,$Q574&lt;=0.5),$Q574,"")))</x:f>
        <x:v>0.2</x:v>
      </x:c>
      <x:c r="AQ574" s="152" t="n">
        <x:f>IF(OR($W574="",NOT(ISNUMBER($R574))),"",ROUND($R574-$W574,2))</x:f>
        <x:v>0</x:v>
      </x:c>
      <x:c r="AR574" s="152" t="n">
        <x:f>IF(OR($X574="",NOT(ISNUMBER($T574))),"",ROUND($T574-$X574,2))</x:f>
        <x:v>0</x:v>
      </x:c>
      <x:c r="AS574" s="14" t="str">
        <x:v>OK</x:v>
      </x:c>
    </x:row>
    <x:row r="575">
      <x:c r="A575" s="80" t="n">
        <x:v>575</x:v>
      </x:c>
      <x:c r="B575" s="80" t="str">
        <x:v>ORD-2025-10574</x:v>
      </x:c>
      <x:c r="C575" s="81" t="n">
        <x:v>45922</x:v>
      </x:c>
      <x:c r="D575" s="81" t="n">
        <x:v>45926</x:v>
      </x:c>
      <x:c r="E575" s="80" t="str">
        <x:v>CUST-8243</x:v>
      </x:c>
      <x:c r="F575" s="80" t="str">
        <x:v>Isha Nair</x:v>
      </x:c>
      <x:c r="G575" s="80" t="str">
        <x:v>Consumer</x:v>
      </x:c>
      <x:c r="H575" s="80" t="str">
        <x:v>South</x:v>
      </x:c>
      <x:c r="I575" s="80" t="str">
        <x:v>Andhra Pradesh</x:v>
      </x:c>
      <x:c r="J575" s="80" t="str">
        <x:v>Vijayawada</x:v>
      </x:c>
      <x:c r="K575" s="80" t="str">
        <x:v>Technology</x:v>
      </x:c>
      <x:c r="L575" s="80" t="str">
        <x:v>Phones</x:v>
      </x:c>
      <x:c r="M575" s="80" t="str">
        <x:v>Pro Phones 644</x:v>
      </x:c>
      <x:c r="N575" s="80" t="str">
        <x:v>Standard Class</x:v>
      </x:c>
      <x:c r="O575" s="82" t="n">
        <x:v>1</x:v>
      </x:c>
      <x:c r="P575" s="83" t="n">
        <x:v>573.65</x:v>
      </x:c>
      <x:c r="Q575" s="84" t="n">
        <x:v>0</x:v>
      </x:c>
      <x:c r="R575" s="83" t="n">
        <x:v>573.65</x:v>
      </x:c>
      <x:c r="S575" s="83" t="n">
        <x:v>322.67</x:v>
      </x:c>
      <x:c r="T575" s="83" t="n">
        <x:v>250.98</x:v>
      </x:c>
      <x:c r="U575" s="83" t="str">
        <x:v>Paid</x:v>
      </x:c>
      <x:c r="V575" s="83" t="str">
        <x:v>Completed</x:v>
      </x:c>
      <x:c r="W575" s="151" t="n">
        <x:f>IF(OR(NOT(ISNUMBER($AP575)),COUNT($O575,$P575)&lt;2,$O575&lt;=0,$P575&lt;0),"",ROUND($O575*$P575*(1-$AP575),2))</x:f>
        <x:v>573.65</x:v>
      </x:c>
      <x:c r="X575" s="151" t="n">
        <x:f>IF(OR(NOT(ISNUMBER($W575)),NOT(ISNUMBER($S575))),"",ROUND($W575-$S575,2))</x:f>
        <x:v>250.98</x:v>
      </x:c>
      <x:c r="Y575" s="85" t="n">
        <x:f>IF(OR(NOT(ISNUMBER($W575)),NOT(ISNUMBER($X575)),$W575=0),"",ROUND($X575/$W575,4))</x:f>
        <x:v>0.4375</x:v>
      </x:c>
      <x:c r="Z575" s="82" t="n">
        <x:f>IF(OR($AH575&lt;&gt;"Valid",$AI575&lt;&gt;"Valid"),"",INT($D575-$C575))</x:f>
        <x:v>4</x:v>
      </x:c>
      <x:c r="AA575" s="86" t="str">
        <x:f>IF($AH575&lt;&gt;"Valid","",TEXT($C575,"mmmm"))</x:f>
        <x:v>September</x:v>
      </x:c>
      <x:c r="AB575" s="82" t="n">
        <x:f>IF($AH575&lt;&gt;"Valid","",YEAR($C575))</x:f>
        <x:v>2025</x:v>
      </x:c>
      <x:c r="AC575" s="80" t="str">
        <x:v>Consistent</x:v>
      </x:c>
      <x:c r="AD575" s="80" t="str">
        <x:v>Eligible</x:v>
      </x:c>
      <x:c r="AE575" s="80" t="str">
        <x:f>IF(OR($AH575&lt;&gt;"Valid",$AI575&lt;&gt;"Valid",$AJ575&lt;&gt;"Valid",LEFT($AM575,7)="Invalid",IFERROR(ABS($AQ575)&gt;0.01,FALSE),IFERROR(ABS($AR575)&gt;0.01,FALSE),COUNTIF($AS575,"*Conflicting duplicate*")&gt;0,COUNTIF($AS575,"*Completed order not paid*")&gt;0),"Invalid",IF(OR($H575="Unknown",$N575="Unknown",$AM575="Missing discount imputed as 0"),"Warning","Clean"))</x:f>
        <x:v>Clean</x:v>
      </x:c>
      <x:c r="AF575" s="80" t="str">
        <x:v>Pass</x:v>
      </x:c>
      <x:c r="AG575" s="80" t="str">
        <x:v>No text cleanup required</x:v>
      </x:c>
      <x:c r="AH575" s="12" t="str">
        <x:f>IF(C575="","Missing date",IF(ISNUMBER(C575),"Valid","Unrecognized/invalid date"))</x:f>
        <x:v>Valid</x:v>
      </x:c>
      <x:c r="AI575" s="12" t="str">
        <x:f>IF(D575="","Missing date",IF(ISNUMBER(D575),"Valid","Unrecognized/invalid date"))</x:f>
        <x:v>Valid</x:v>
      </x:c>
      <x:c r="AJ575" s="12" t="str">
        <x:v>Valid</x:v>
      </x:c>
      <x:c r="AK575" s="12" t="str">
        <x:v>Pass</x:v>
      </x:c>
      <x:c r="AL575" s="12" t="str">
        <x:v>None</x:v>
      </x:c>
      <x:c r="AM575" s="12" t="str">
        <x:v>Valid</x:v>
      </x:c>
      <x:c r="AN575" s="12" t="str">
        <x:v>Include in completed sales</x:v>
      </x:c>
      <x:c r="AO575" s="12" t="str">
        <x:v>Not a refunded record</x:v>
      </x:c>
      <x:c r="AP575" s="37" t="n">
        <x:f>IF(LEFT($AM575,7)="Invalid","",IF($AM575="Missing discount imputed as 0",IF(AND(COUNT($O575,$P575,$R575,$S575)=4,$O575&gt;0,$P575&gt;=0,$R575&gt;=0,$S575&gt;=0),0,""),IF(AND(ISNUMBER($Q575),$Q575&gt;=0,$Q575&lt;=0.5),$Q575,"")))</x:f>
        <x:v>0</x:v>
      </x:c>
      <x:c r="AQ575" s="152" t="n">
        <x:f>IF(OR($W575="",NOT(ISNUMBER($R575))),"",ROUND($R575-$W575,2))</x:f>
        <x:v>0</x:v>
      </x:c>
      <x:c r="AR575" s="152" t="n">
        <x:f>IF(OR($X575="",NOT(ISNUMBER($T575))),"",ROUND($T575-$X575,2))</x:f>
        <x:v>0</x:v>
      </x:c>
      <x:c r="AS575" s="14" t="str">
        <x:v>OK</x:v>
      </x:c>
    </x:row>
    <x:row r="576">
      <x:c r="A576" s="80" t="n">
        <x:v>576</x:v>
      </x:c>
      <x:c r="B576" s="80" t="str">
        <x:v>ORD-2024-10575</x:v>
      </x:c>
      <x:c r="C576" s="81" t="n">
        <x:v>45342</x:v>
      </x:c>
      <x:c r="D576" s="81" t="n">
        <x:v>45347</x:v>
      </x:c>
      <x:c r="E576" s="80" t="str">
        <x:v>CUST-9139</x:v>
      </x:c>
      <x:c r="F576" s="80" t="str">
        <x:v>Diya Patel</x:v>
      </x:c>
      <x:c r="G576" s="80" t="str">
        <x:v>Home Office</x:v>
      </x:c>
      <x:c r="H576" s="80" t="str">
        <x:v>North</x:v>
      </x:c>
      <x:c r="I576" s="80" t="str">
        <x:v>Punjab</x:v>
      </x:c>
      <x:c r="J576" s="80" t="str">
        <x:v>Ludhiana</x:v>
      </x:c>
      <x:c r="K576" s="80" t="str">
        <x:v>Technology</x:v>
      </x:c>
      <x:c r="L576" s="80" t="str">
        <x:v>Machines</x:v>
      </x:c>
      <x:c r="M576" s="80" t="str">
        <x:v>Smart Machines 566</x:v>
      </x:c>
      <x:c r="N576" s="80" t="str">
        <x:v>Standard Class</x:v>
      </x:c>
      <x:c r="O576" s="82" t="n">
        <x:v>4</x:v>
      </x:c>
      <x:c r="P576" s="83" t="n">
        <x:v>1355.8</x:v>
      </x:c>
      <x:c r="Q576" s="84" t="n">
        <x:v>0</x:v>
      </x:c>
      <x:c r="R576" s="83" t="n">
        <x:v>5423.2</x:v>
      </x:c>
      <x:c r="S576" s="83" t="n">
        <x:v>4072.44</x:v>
      </x:c>
      <x:c r="T576" s="83" t="n">
        <x:v>1350.76</x:v>
      </x:c>
      <x:c r="U576" s="83" t="str">
        <x:v>Paid</x:v>
      </x:c>
      <x:c r="V576" s="83" t="str">
        <x:v>Completed</x:v>
      </x:c>
      <x:c r="W576" s="151" t="n">
        <x:f>IF(OR(NOT(ISNUMBER($AP576)),COUNT($O576,$P576)&lt;2,$O576&lt;=0,$P576&lt;0),"",ROUND($O576*$P576*(1-$AP576),2))</x:f>
        <x:v>5423.2</x:v>
      </x:c>
      <x:c r="X576" s="151" t="n">
        <x:f>IF(OR(NOT(ISNUMBER($W576)),NOT(ISNUMBER($S576))),"",ROUND($W576-$S576,2))</x:f>
        <x:v>1350.76</x:v>
      </x:c>
      <x:c r="Y576" s="85" t="n">
        <x:f>IF(OR(NOT(ISNUMBER($W576)),NOT(ISNUMBER($X576)),$W576=0),"",ROUND($X576/$W576,4))</x:f>
        <x:v>0.2491</x:v>
      </x:c>
      <x:c r="Z576" s="82" t="n">
        <x:f>IF(OR($AH576&lt;&gt;"Valid",$AI576&lt;&gt;"Valid"),"",INT($D576-$C576))</x:f>
        <x:v>5</x:v>
      </x:c>
      <x:c r="AA576" s="86" t="str">
        <x:f>IF($AH576&lt;&gt;"Valid","",TEXT($C576,"mmmm"))</x:f>
        <x:v>February</x:v>
      </x:c>
      <x:c r="AB576" s="82" t="n">
        <x:f>IF($AH576&lt;&gt;"Valid","",YEAR($C576))</x:f>
        <x:v>2024</x:v>
      </x:c>
      <x:c r="AC576" s="80" t="str">
        <x:v>Consistent</x:v>
      </x:c>
      <x:c r="AD576" s="80" t="str">
        <x:v>Eligible</x:v>
      </x:c>
      <x:c r="AE576" s="80" t="str">
        <x:f>IF(OR($AH576&lt;&gt;"Valid",$AI576&lt;&gt;"Valid",$AJ576&lt;&gt;"Valid",LEFT($AM576,7)="Invalid",IFERROR(ABS($AQ576)&gt;0.01,FALSE),IFERROR(ABS($AR576)&gt;0.01,FALSE),COUNTIF($AS576,"*Conflicting duplicate*")&gt;0,COUNTIF($AS576,"*Completed order not paid*")&gt;0),"Invalid",IF(OR($H576="Unknown",$N576="Unknown",$AM576="Missing discount imputed as 0"),"Warning","Clean"))</x:f>
        <x:v>Clean</x:v>
      </x:c>
      <x:c r="AF576" s="80" t="str">
        <x:v>Pass</x:v>
      </x:c>
      <x:c r="AG576" s="80" t="str">
        <x:v>No text cleanup required</x:v>
      </x:c>
      <x:c r="AH576" s="12" t="str">
        <x:f>IF(C576="","Missing date",IF(ISNUMBER(C576),"Valid","Unrecognized/invalid date"))</x:f>
        <x:v>Valid</x:v>
      </x:c>
      <x:c r="AI576" s="12" t="str">
        <x:f>IF(D576="","Missing date",IF(ISNUMBER(D576),"Valid","Unrecognized/invalid date"))</x:f>
        <x:v>Valid</x:v>
      </x:c>
      <x:c r="AJ576" s="12" t="str">
        <x:v>Valid</x:v>
      </x:c>
      <x:c r="AK576" s="12" t="str">
        <x:v>Pass</x:v>
      </x:c>
      <x:c r="AL576" s="12" t="str">
        <x:v>None</x:v>
      </x:c>
      <x:c r="AM576" s="12" t="str">
        <x:v>Valid</x:v>
      </x:c>
      <x:c r="AN576" s="12" t="str">
        <x:v>Include in completed sales</x:v>
      </x:c>
      <x:c r="AO576" s="12" t="str">
        <x:v>Not a refunded record</x:v>
      </x:c>
      <x:c r="AP576" s="37" t="n">
        <x:f>IF(LEFT($AM576,7)="Invalid","",IF($AM576="Missing discount imputed as 0",IF(AND(COUNT($O576,$P576,$R576,$S576)=4,$O576&gt;0,$P576&gt;=0,$R576&gt;=0,$S576&gt;=0),0,""),IF(AND(ISNUMBER($Q576),$Q576&gt;=0,$Q576&lt;=0.5),$Q576,"")))</x:f>
        <x:v>0</x:v>
      </x:c>
      <x:c r="AQ576" s="152" t="n">
        <x:f>IF(OR($W576="",NOT(ISNUMBER($R576))),"",ROUND($R576-$W576,2))</x:f>
        <x:v>0</x:v>
      </x:c>
      <x:c r="AR576" s="152" t="n">
        <x:f>IF(OR($X576="",NOT(ISNUMBER($T576))),"",ROUND($T576-$X576,2))</x:f>
        <x:v>0</x:v>
      </x:c>
      <x:c r="AS576" s="14" t="str">
        <x:v>OK</x:v>
      </x:c>
    </x:row>
    <x:row r="577">
      <x:c r="A577" s="80" t="n">
        <x:v>577</x:v>
      </x:c>
      <x:c r="B577" s="80" t="str">
        <x:v>ORD-2025-10576</x:v>
      </x:c>
      <x:c r="C577" s="81" t="n">
        <x:v>45727</x:v>
      </x:c>
      <x:c r="D577" s="81" t="n">
        <x:v>45730</x:v>
      </x:c>
      <x:c r="E577" s="80" t="str">
        <x:v>CUST-5496</x:v>
      </x:c>
      <x:c r="F577" s="80" t="str">
        <x:v>Sneha Kapoor</x:v>
      </x:c>
      <x:c r="G577" s="80" t="str">
        <x:v>Home Office</x:v>
      </x:c>
      <x:c r="H577" s="80" t="str">
        <x:v>South</x:v>
      </x:c>
      <x:c r="I577" s="80" t="str">
        <x:v>Kerala</x:v>
      </x:c>
      <x:c r="J577" s="80" t="str">
        <x:v>Kochi</x:v>
      </x:c>
      <x:c r="K577" s="80" t="str">
        <x:v>Furniture</x:v>
      </x:c>
      <x:c r="L577" s="80" t="str">
        <x:v>Furnishings</x:v>
      </x:c>
      <x:c r="M577" s="80" t="str">
        <x:v>Elite Furnishings 173</x:v>
      </x:c>
      <x:c r="N577" s="80" t="str">
        <x:v>Same Day</x:v>
      </x:c>
      <x:c r="O577" s="82" t="n">
        <x:v>4</x:v>
      </x:c>
      <x:c r="P577" s="83" t="n">
        <x:v>1244.82</x:v>
      </x:c>
      <x:c r="Q577" s="84" t="n">
        <x:v>0.2</x:v>
      </x:c>
      <x:c r="R577" s="83" t="n">
        <x:v>3983.42</x:v>
      </x:c>
      <x:c r="S577" s="83" t="n">
        <x:v>3174.91</x:v>
      </x:c>
      <x:c r="T577" s="83" t="n">
        <x:v>808.51</x:v>
      </x:c>
      <x:c r="U577" s="83" t="str">
        <x:v>Failed</x:v>
      </x:c>
      <x:c r="V577" s="83" t="str">
        <x:v>Returned</x:v>
      </x:c>
      <x:c r="W577" s="151" t="n">
        <x:f>IF(OR(NOT(ISNUMBER($AP577)),COUNT($O577,$P577)&lt;2,$O577&lt;=0,$P577&lt;0),"",ROUND($O577*$P577*(1-$AP577),2))</x:f>
        <x:v>3983.42</x:v>
      </x:c>
      <x:c r="X577" s="151" t="n">
        <x:f>IF(OR(NOT(ISNUMBER($W577)),NOT(ISNUMBER($S577))),"",ROUND($W577-$S577,2))</x:f>
        <x:v>808.51</x:v>
      </x:c>
      <x:c r="Y577" s="85" t="n">
        <x:f>IF(OR(NOT(ISNUMBER($W577)),NOT(ISNUMBER($X577)),$W577=0),"",ROUND($X577/$W577,4))</x:f>
        <x:v>0.203</x:v>
      </x:c>
      <x:c r="Z577" s="82" t="n">
        <x:f>IF(OR($AH577&lt;&gt;"Valid",$AI577&lt;&gt;"Valid"),"",INT($D577-$C577))</x:f>
        <x:v>3</x:v>
      </x:c>
      <x:c r="AA577" s="86" t="str">
        <x:f>IF($AH577&lt;&gt;"Valid","",TEXT($C577,"mmmm"))</x:f>
        <x:v>March</x:v>
      </x:c>
      <x:c r="AB577" s="82" t="n">
        <x:f>IF($AH577&lt;&gt;"Valid","",YEAR($C577))</x:f>
        <x:v>2025</x:v>
      </x:c>
      <x:c r="AC577" s="80" t="str">
        <x:v>Failed payment (excluded from completed-sales summary)</x:v>
      </x:c>
      <x:c r="AD577" s="80" t="str">
        <x:v>Excluded</x:v>
      </x:c>
      <x:c r="AE577" s="80" t="str">
        <x:f>IF(OR($AH577&lt;&gt;"Valid",$AI577&lt;&gt;"Valid",$AJ577&lt;&gt;"Valid",LEFT($AM577,7)="Invalid",IFERROR(ABS($AQ577)&gt;0.01,FALSE),IFERROR(ABS($AR577)&gt;0.01,FALSE),COUNTIF($AS577,"*Conflicting duplicate*")&gt;0,COUNTIF($AS577,"*Completed order not paid*")&gt;0),"Invalid",IF(OR($H577="Unknown",$N577="Unknown",$AM577="Missing discount imputed as 0"),"Warning","Clean"))</x:f>
        <x:v>Clean</x:v>
      </x:c>
      <x:c r="AF577" s="80" t="str">
        <x:v>Pass</x:v>
      </x:c>
      <x:c r="AG577" s="80" t="str">
        <x:v>No text cleanup required</x:v>
      </x:c>
      <x:c r="AH577" s="12" t="str">
        <x:f>IF(C577="","Missing date",IF(ISNUMBER(C577),"Valid","Unrecognized/invalid date"))</x:f>
        <x:v>Valid</x:v>
      </x:c>
      <x:c r="AI577" s="12" t="str">
        <x:f>IF(D577="","Missing date",IF(ISNUMBER(D577),"Valid","Unrecognized/invalid date"))</x:f>
        <x:v>Valid</x:v>
      </x:c>
      <x:c r="AJ577" s="12" t="str">
        <x:v>Valid</x:v>
      </x:c>
      <x:c r="AK577" s="12" t="str">
        <x:v>Pass</x:v>
      </x:c>
      <x:c r="AL577" s="12" t="str">
        <x:v>Failed payment – excluded from completed sales</x:v>
      </x:c>
      <x:c r="AM577" s="12" t="str">
        <x:v>Valid</x:v>
      </x:c>
      <x:c r="AN577" s="12" t="str">
        <x:v>Exclude from completed sales</x:v>
      </x:c>
      <x:c r="AO577" s="12" t="str">
        <x:v>Not a refunded record</x:v>
      </x:c>
      <x:c r="AP577" s="37" t="n">
        <x:f>IF(LEFT($AM577,7)="Invalid","",IF($AM577="Missing discount imputed as 0",IF(AND(COUNT($O577,$P577,$R577,$S577)=4,$O577&gt;0,$P577&gt;=0,$R577&gt;=0,$S577&gt;=0),0,""),IF(AND(ISNUMBER($Q577),$Q577&gt;=0,$Q577&lt;=0.5),$Q577,"")))</x:f>
        <x:v>0.2</x:v>
      </x:c>
      <x:c r="AQ577" s="152" t="n">
        <x:f>IF(OR($W577="",NOT(ISNUMBER($R577))),"",ROUND($R577-$W577,2))</x:f>
        <x:v>0</x:v>
      </x:c>
      <x:c r="AR577" s="152" t="n">
        <x:f>IF(OR($X577="",NOT(ISNUMBER($T577))),"",ROUND($T577-$X577,2))</x:f>
        <x:v>0</x:v>
      </x:c>
      <x:c r="AS577" s="14" t="str">
        <x:v>OK</x:v>
      </x:c>
    </x:row>
    <x:row r="578">
      <x:c r="A578" s="80" t="n">
        <x:v>578</x:v>
      </x:c>
      <x:c r="B578" s="80" t="str">
        <x:v>ORD-2024-10577</x:v>
      </x:c>
      <x:c r="C578" s="81" t="n">
        <x:v>45339</x:v>
      </x:c>
      <x:c r="D578" s="81" t="n">
        <x:v>45345</x:v>
      </x:c>
      <x:c r="E578" s="80" t="str">
        <x:v>CUST-2228</x:v>
      </x:c>
      <x:c r="F578" s="80" t="str">
        <x:v>Rohan Mehta</x:v>
      </x:c>
      <x:c r="G578" s="80" t="str">
        <x:v>Home Office</x:v>
      </x:c>
      <x:c r="H578" s="80" t="str">
        <x:v>Unknown</x:v>
      </x:c>
      <x:c r="I578" s="80" t="str">
        <x:v>Bihar</x:v>
      </x:c>
      <x:c r="J578" s="80" t="str">
        <x:v>Patna</x:v>
      </x:c>
      <x:c r="K578" s="80" t="str">
        <x:v>Office Supplies</x:v>
      </x:c>
      <x:c r="L578" s="80" t="str">
        <x:v>Binders</x:v>
      </x:c>
      <x:c r="M578" s="80" t="str">
        <x:v>Smart Binders 417</x:v>
      </x:c>
      <x:c r="N578" s="80" t="str">
        <x:v>Standard Class</x:v>
      </x:c>
      <x:c r="O578" s="82" t="n">
        <x:v>9</x:v>
      </x:c>
      <x:c r="P578" s="83" t="n">
        <x:v>2614.46</x:v>
      </x:c>
      <x:c r="Q578" s="84" t="n">
        <x:v>0</x:v>
      </x:c>
      <x:c r="R578" s="83" t="n">
        <x:v>23530.14</x:v>
      </x:c>
      <x:c r="S578" s="83" t="n">
        <x:v>19537.79</x:v>
      </x:c>
      <x:c r="T578" s="83" t="n">
        <x:v>3992.35</x:v>
      </x:c>
      <x:c r="U578" s="83" t="str">
        <x:v>Refunded</x:v>
      </x:c>
      <x:c r="V578" s="83" t="str">
        <x:v>Returned</x:v>
      </x:c>
      <x:c r="W578" s="151" t="n">
        <x:f>IF(OR(NOT(ISNUMBER($AP578)),COUNT($O578,$P578)&lt;2,$O578&lt;=0,$P578&lt;0),"",ROUND($O578*$P578*(1-$AP578),2))</x:f>
        <x:v>23530.14</x:v>
      </x:c>
      <x:c r="X578" s="151" t="n">
        <x:f>IF(OR(NOT(ISNUMBER($W578)),NOT(ISNUMBER($S578))),"",ROUND($W578-$S578,2))</x:f>
        <x:v>3992.35</x:v>
      </x:c>
      <x:c r="Y578" s="85" t="n">
        <x:f>IF(OR(NOT(ISNUMBER($W578)),NOT(ISNUMBER($X578)),$W578=0),"",ROUND($X578/$W578,4))</x:f>
        <x:v>0.1697</x:v>
      </x:c>
      <x:c r="Z578" s="82" t="n">
        <x:f>IF(OR($AH578&lt;&gt;"Valid",$AI578&lt;&gt;"Valid"),"",INT($D578-$C578))</x:f>
        <x:v>6</x:v>
      </x:c>
      <x:c r="AA578" s="86" t="str">
        <x:f>IF($AH578&lt;&gt;"Valid","",TEXT($C578,"mmmm"))</x:f>
        <x:v>February</x:v>
      </x:c>
      <x:c r="AB578" s="82" t="n">
        <x:f>IF($AH578&lt;&gt;"Valid","",YEAR($C578))</x:f>
        <x:v>2024</x:v>
      </x:c>
      <x:c r="AC578" s="80" t="str">
        <x:v>Refunded (separately summarized)</x:v>
      </x:c>
      <x:c r="AD578" s="80" t="str">
        <x:v>Excluded</x:v>
      </x:c>
      <x:c r="AE578" s="80" t="str">
        <x:f>IF(OR($AH578&lt;&gt;"Valid",$AI578&lt;&gt;"Valid",$AJ578&lt;&gt;"Valid",LEFT($AM578,7)="Invalid",IFERROR(ABS($AQ578)&gt;0.01,FALSE),IFERROR(ABS($AR578)&gt;0.01,FALSE),COUNTIF($AS578,"*Conflicting duplicate*")&gt;0,COUNTIF($AS578,"*Completed order not paid*")&gt;0),"Invalid",IF(OR($H578="Unknown",$N578="Unknown",$AM578="Missing discount imputed as 0"),"Warning","Clean"))</x:f>
        <x:v>Warning</x:v>
      </x:c>
      <x:c r="AF578" s="80" t="str">
        <x:v>Cleaned</x:v>
      </x:c>
      <x:c r="AG578" s="80" t="str">
        <x:v>region: Missing value filled as Unknown</x:v>
      </x:c>
      <x:c r="AH578" s="12" t="str">
        <x:f>IF(C578="","Missing date",IF(ISNUMBER(C578),"Valid","Unrecognized/invalid date"))</x:f>
        <x:v>Valid</x:v>
      </x:c>
      <x:c r="AI578" s="12" t="str">
        <x:f>IF(D578="","Missing date",IF(ISNUMBER(D578),"Valid","Unrecognized/invalid date"))</x:f>
        <x:v>Valid</x:v>
      </x:c>
      <x:c r="AJ578" s="12" t="str">
        <x:v>Valid</x:v>
      </x:c>
      <x:c r="AK578" s="12" t="str">
        <x:v>Pass</x:v>
      </x:c>
      <x:c r="AL578" s="12" t="str">
        <x:v>Missing region filled as Unknown; Refunded payment – separately summarized</x:v>
      </x:c>
      <x:c r="AM578" s="12" t="str">
        <x:v>Valid</x:v>
      </x:c>
      <x:c r="AN578" s="12" t="str">
        <x:v>Exclude from completed sales</x:v>
      </x:c>
      <x:c r="AO578" s="12" t="str">
        <x:v>Include in refunded summary</x:v>
      </x:c>
      <x:c r="AP578" s="37" t="n">
        <x:f>IF(LEFT($AM578,7)="Invalid","",IF($AM578="Missing discount imputed as 0",IF(AND(COUNT($O578,$P578,$R578,$S578)=4,$O578&gt;0,$P578&gt;=0,$R578&gt;=0,$S578&gt;=0),0,""),IF(AND(ISNUMBER($Q578),$Q578&gt;=0,$Q578&lt;=0.5),$Q578,"")))</x:f>
        <x:v>0</x:v>
      </x:c>
      <x:c r="AQ578" s="152" t="n">
        <x:f>IF(OR($W578="",NOT(ISNUMBER($R578))),"",ROUND($R578-$W578,2))</x:f>
        <x:v>0</x:v>
      </x:c>
      <x:c r="AR578" s="152" t="n">
        <x:f>IF(OR($X578="",NOT(ISNUMBER($T578))),"",ROUND($T578-$X578,2))</x:f>
        <x:v>0</x:v>
      </x:c>
      <x:c r="AS578" s="14" t="str">
        <x:v>OK</x:v>
      </x:c>
    </x:row>
    <x:row r="579">
      <x:c r="A579" s="80" t="n">
        <x:v>579</x:v>
      </x:c>
      <x:c r="B579" s="80" t="str">
        <x:v>ORD-2025-10578</x:v>
      </x:c>
      <x:c r="C579" s="81" t="n">
        <x:v>45897</x:v>
      </x:c>
      <x:c r="D579" s="81" t="n">
        <x:v>45903</x:v>
      </x:c>
      <x:c r="E579" s="80" t="str">
        <x:v>CUST-4151</x:v>
      </x:c>
      <x:c r="F579" s="80" t="str">
        <x:v>Priya Menon</x:v>
      </x:c>
      <x:c r="G579" s="80" t="str">
        <x:v>Corporate</x:v>
      </x:c>
      <x:c r="H579" s="80" t="str">
        <x:v>West</x:v>
      </x:c>
      <x:c r="I579" s="80" t="str">
        <x:v>Madhya Pradesh</x:v>
      </x:c>
      <x:c r="J579" s="80" t="str">
        <x:v>Indore</x:v>
      </x:c>
      <x:c r="K579" s="80" t="str">
        <x:v>Furniture</x:v>
      </x:c>
      <x:c r="L579" s="80" t="str">
        <x:v>Furnishings</x:v>
      </x:c>
      <x:c r="M579" s="80" t="str">
        <x:v>Smart Furnishings 714</x:v>
      </x:c>
      <x:c r="N579" s="80" t="str">
        <x:v>Standard Class</x:v>
      </x:c>
      <x:c r="O579" s="82" t="n">
        <x:v>7</x:v>
      </x:c>
      <x:c r="P579" s="83" t="n">
        <x:v>268.45</x:v>
      </x:c>
      <x:c r="Q579" s="84" t="n">
        <x:v>0</x:v>
      </x:c>
      <x:c r="R579" s="83" t="n">
        <x:v>1879.15</x:v>
      </x:c>
      <x:c r="S579" s="83" t="n">
        <x:v>1134.9</x:v>
      </x:c>
      <x:c r="T579" s="83" t="n">
        <x:v>744.25</x:v>
      </x:c>
      <x:c r="U579" s="83" t="str">
        <x:v>Paid</x:v>
      </x:c>
      <x:c r="V579" s="83" t="str">
        <x:v>Completed</x:v>
      </x:c>
      <x:c r="W579" s="151" t="n">
        <x:f>IF(OR(NOT(ISNUMBER($AP579)),COUNT($O579,$P579)&lt;2,$O579&lt;=0,$P579&lt;0),"",ROUND($O579*$P579*(1-$AP579),2))</x:f>
        <x:v>1879.15</x:v>
      </x:c>
      <x:c r="X579" s="151" t="n">
        <x:f>IF(OR(NOT(ISNUMBER($W579)),NOT(ISNUMBER($S579))),"",ROUND($W579-$S579,2))</x:f>
        <x:v>744.25</x:v>
      </x:c>
      <x:c r="Y579" s="85" t="n">
        <x:f>IF(OR(NOT(ISNUMBER($W579)),NOT(ISNUMBER($X579)),$W579=0),"",ROUND($X579/$W579,4))</x:f>
        <x:v>0.3961</x:v>
      </x:c>
      <x:c r="Z579" s="82" t="n">
        <x:f>IF(OR($AH579&lt;&gt;"Valid",$AI579&lt;&gt;"Valid"),"",INT($D579-$C579))</x:f>
        <x:v>6</x:v>
      </x:c>
      <x:c r="AA579" s="86" t="str">
        <x:f>IF($AH579&lt;&gt;"Valid","",TEXT($C579,"mmmm"))</x:f>
        <x:v>August</x:v>
      </x:c>
      <x:c r="AB579" s="82" t="n">
        <x:f>IF($AH579&lt;&gt;"Valid","",YEAR($C579))</x:f>
        <x:v>2025</x:v>
      </x:c>
      <x:c r="AC579" s="80" t="str">
        <x:v>Consistent</x:v>
      </x:c>
      <x:c r="AD579" s="80" t="str">
        <x:v>Eligible</x:v>
      </x:c>
      <x:c r="AE579" s="80" t="str">
        <x:f>IF(OR($AH579&lt;&gt;"Valid",$AI579&lt;&gt;"Valid",$AJ579&lt;&gt;"Valid",LEFT($AM579,7)="Invalid",IFERROR(ABS($AQ579)&gt;0.01,FALSE),IFERROR(ABS($AR579)&gt;0.01,FALSE),COUNTIF($AS579,"*Conflicting duplicate*")&gt;0,COUNTIF($AS579,"*Completed order not paid*")&gt;0),"Invalid",IF(OR($H579="Unknown",$N579="Unknown",$AM579="Missing discount imputed as 0"),"Warning","Clean"))</x:f>
        <x:v>Clean</x:v>
      </x:c>
      <x:c r="AF579" s="80" t="str">
        <x:v>Pass</x:v>
      </x:c>
      <x:c r="AG579" s="80" t="str">
        <x:v>No text cleanup required</x:v>
      </x:c>
      <x:c r="AH579" s="12" t="str">
        <x:f>IF(C579="","Missing date",IF(ISNUMBER(C579),"Valid","Unrecognized/invalid date"))</x:f>
        <x:v>Valid</x:v>
      </x:c>
      <x:c r="AI579" s="12" t="str">
        <x:f>IF(D579="","Missing date",IF(ISNUMBER(D579),"Valid","Unrecognized/invalid date"))</x:f>
        <x:v>Valid</x:v>
      </x:c>
      <x:c r="AJ579" s="12" t="str">
        <x:v>Valid</x:v>
      </x:c>
      <x:c r="AK579" s="12" t="str">
        <x:v>Pass</x:v>
      </x:c>
      <x:c r="AL579" s="12" t="str">
        <x:v>None</x:v>
      </x:c>
      <x:c r="AM579" s="12" t="str">
        <x:v>Valid</x:v>
      </x:c>
      <x:c r="AN579" s="12" t="str">
        <x:v>Include in completed sales</x:v>
      </x:c>
      <x:c r="AO579" s="12" t="str">
        <x:v>Not a refunded record</x:v>
      </x:c>
      <x:c r="AP579" s="37" t="n">
        <x:f>IF(LEFT($AM579,7)="Invalid","",IF($AM579="Missing discount imputed as 0",IF(AND(COUNT($O579,$P579,$R579,$S579)=4,$O579&gt;0,$P579&gt;=0,$R579&gt;=0,$S579&gt;=0),0,""),IF(AND(ISNUMBER($Q579),$Q579&gt;=0,$Q579&lt;=0.5),$Q579,"")))</x:f>
        <x:v>0</x:v>
      </x:c>
      <x:c r="AQ579" s="152" t="n">
        <x:f>IF(OR($W579="",NOT(ISNUMBER($R579))),"",ROUND($R579-$W579,2))</x:f>
        <x:v>0</x:v>
      </x:c>
      <x:c r="AR579" s="152" t="n">
        <x:f>IF(OR($X579="",NOT(ISNUMBER($T579))),"",ROUND($T579-$X579,2))</x:f>
        <x:v>0</x:v>
      </x:c>
      <x:c r="AS579" s="14" t="str">
        <x:v>OK</x:v>
      </x:c>
    </x:row>
    <x:row r="580">
      <x:c r="A580" s="80" t="n">
        <x:v>580</x:v>
      </x:c>
      <x:c r="B580" s="80" t="str">
        <x:v>ORD-2024-10579</x:v>
      </x:c>
      <x:c r="C580" s="81" t="n">
        <x:v>45343</x:v>
      </x:c>
      <x:c r="D580" s="81" t="n">
        <x:v>45345</x:v>
      </x:c>
      <x:c r="E580" s="80" t="str">
        <x:v>CUST-4900</x:v>
      </x:c>
      <x:c r="F580" s="80" t="str">
        <x:v>Neha Gupta</x:v>
      </x:c>
      <x:c r="G580" s="80" t="str">
        <x:v>Small Business</x:v>
      </x:c>
      <x:c r="H580" s="80" t="str">
        <x:v>West</x:v>
      </x:c>
      <x:c r="I580" s="80" t="str">
        <x:v>Gujarat</x:v>
      </x:c>
      <x:c r="J580" s="80" t="str">
        <x:v>Ahmedabad</x:v>
      </x:c>
      <x:c r="K580" s="80" t="str">
        <x:v>Technology</x:v>
      </x:c>
      <x:c r="L580" s="80" t="str">
        <x:v>Copiers</x:v>
      </x:c>
      <x:c r="M580" s="80" t="str">
        <x:v>Elite Copiers 682</x:v>
      </x:c>
      <x:c r="N580" s="80" t="str">
        <x:v>First Class</x:v>
      </x:c>
      <x:c r="O580" s="82" t="n">
        <x:v>6</x:v>
      </x:c>
      <x:c r="P580" s="83" t="n">
        <x:v>2633.65</x:v>
      </x:c>
      <x:c r="Q580" s="84" t="n">
        <x:v>0.05</x:v>
      </x:c>
      <x:c r="R580" s="83" t="n">
        <x:v>15011.81</x:v>
      </x:c>
      <x:c r="S580" s="83" t="n">
        <x:v>9660.36</x:v>
      </x:c>
      <x:c r="T580" s="83" t="n">
        <x:v>5351.45</x:v>
      </x:c>
      <x:c r="U580" s="83" t="str">
        <x:v>Paid</x:v>
      </x:c>
      <x:c r="V580" s="83" t="str">
        <x:v>Completed</x:v>
      </x:c>
      <x:c r="W580" s="151" t="n">
        <x:f>IF(OR(NOT(ISNUMBER($AP580)),COUNT($O580,$P580)&lt;2,$O580&lt;=0,$P580&lt;0),"",ROUND($O580*$P580*(1-$AP580),2))</x:f>
        <x:v>15011.81</x:v>
      </x:c>
      <x:c r="X580" s="151" t="n">
        <x:f>IF(OR(NOT(ISNUMBER($W580)),NOT(ISNUMBER($S580))),"",ROUND($W580-$S580,2))</x:f>
        <x:v>5351.45</x:v>
      </x:c>
      <x:c r="Y580" s="85" t="n">
        <x:f>IF(OR(NOT(ISNUMBER($W580)),NOT(ISNUMBER($X580)),$W580=0),"",ROUND($X580/$W580,4))</x:f>
        <x:v>0.3565</x:v>
      </x:c>
      <x:c r="Z580" s="82" t="n">
        <x:f>IF(OR($AH580&lt;&gt;"Valid",$AI580&lt;&gt;"Valid"),"",INT($D580-$C580))</x:f>
        <x:v>2</x:v>
      </x:c>
      <x:c r="AA580" s="86" t="str">
        <x:f>IF($AH580&lt;&gt;"Valid","",TEXT($C580,"mmmm"))</x:f>
        <x:v>February</x:v>
      </x:c>
      <x:c r="AB580" s="82" t="n">
        <x:f>IF($AH580&lt;&gt;"Valid","",YEAR($C580))</x:f>
        <x:v>2024</x:v>
      </x:c>
      <x:c r="AC580" s="80" t="str">
        <x:v>Consistent</x:v>
      </x:c>
      <x:c r="AD580" s="80" t="str">
        <x:v>Eligible</x:v>
      </x:c>
      <x:c r="AE580" s="80" t="str">
        <x:f>IF(OR($AH580&lt;&gt;"Valid",$AI580&lt;&gt;"Valid",$AJ580&lt;&gt;"Valid",LEFT($AM580,7)="Invalid",IFERROR(ABS($AQ580)&gt;0.01,FALSE),IFERROR(ABS($AR580)&gt;0.01,FALSE),COUNTIF($AS580,"*Conflicting duplicate*")&gt;0,COUNTIF($AS580,"*Completed order not paid*")&gt;0),"Invalid",IF(OR($H580="Unknown",$N580="Unknown",$AM580="Missing discount imputed as 0"),"Warning","Clean"))</x:f>
        <x:v>Clean</x:v>
      </x:c>
      <x:c r="AF580" s="80" t="str">
        <x:v>Pass</x:v>
      </x:c>
      <x:c r="AG580" s="80" t="str">
        <x:v>No text cleanup required</x:v>
      </x:c>
      <x:c r="AH580" s="12" t="str">
        <x:f>IF(C580="","Missing date",IF(ISNUMBER(C580),"Valid","Unrecognized/invalid date"))</x:f>
        <x:v>Valid</x:v>
      </x:c>
      <x:c r="AI580" s="12" t="str">
        <x:f>IF(D580="","Missing date",IF(ISNUMBER(D580),"Valid","Unrecognized/invalid date"))</x:f>
        <x:v>Valid</x:v>
      </x:c>
      <x:c r="AJ580" s="12" t="str">
        <x:v>Valid</x:v>
      </x:c>
      <x:c r="AK580" s="12" t="str">
        <x:v>Pass</x:v>
      </x:c>
      <x:c r="AL580" s="12" t="str">
        <x:v>None</x:v>
      </x:c>
      <x:c r="AM580" s="12" t="str">
        <x:v>Valid</x:v>
      </x:c>
      <x:c r="AN580" s="12" t="str">
        <x:v>Include in completed sales</x:v>
      </x:c>
      <x:c r="AO580" s="12" t="str">
        <x:v>Not a refunded record</x:v>
      </x:c>
      <x:c r="AP580" s="37" t="n">
        <x:f>IF(LEFT($AM580,7)="Invalid","",IF($AM580="Missing discount imputed as 0",IF(AND(COUNT($O580,$P580,$R580,$S580)=4,$O580&gt;0,$P580&gt;=0,$R580&gt;=0,$S580&gt;=0),0,""),IF(AND(ISNUMBER($Q580),$Q580&gt;=0,$Q580&lt;=0.5),$Q580,"")))</x:f>
        <x:v>0.05</x:v>
      </x:c>
      <x:c r="AQ580" s="152" t="n">
        <x:f>IF(OR($W580="",NOT(ISNUMBER($R580))),"",ROUND($R580-$W580,2))</x:f>
        <x:v>0</x:v>
      </x:c>
      <x:c r="AR580" s="152" t="n">
        <x:f>IF(OR($X580="",NOT(ISNUMBER($T580))),"",ROUND($T580-$X580,2))</x:f>
        <x:v>0</x:v>
      </x:c>
      <x:c r="AS580" s="14" t="str">
        <x:v>OK</x:v>
      </x:c>
    </x:row>
    <x:row r="581">
      <x:c r="A581" s="80" t="n">
        <x:v>581</x:v>
      </x:c>
      <x:c r="B581" s="80" t="str">
        <x:v>ORD-2024-10580</x:v>
      </x:c>
      <x:c r="C581" s="81" t="n">
        <x:v>45462</x:v>
      </x:c>
      <x:c r="D581" s="81" t="n">
        <x:v>45467</x:v>
      </x:c>
      <x:c r="E581" s="80" t="str">
        <x:v>CUST-9617</x:v>
      </x:c>
      <x:c r="F581" s="80" t="str">
        <x:v>Aarav Sharma</x:v>
      </x:c>
      <x:c r="G581" s="80" t="str">
        <x:v>Small Business</x:v>
      </x:c>
      <x:c r="H581" s="80" t="str">
        <x:v>South</x:v>
      </x:c>
      <x:c r="I581" s="80" t="str">
        <x:v>Tamil Nadu</x:v>
      </x:c>
      <x:c r="J581" s="80" t="str">
        <x:v>Chennai</x:v>
      </x:c>
      <x:c r="K581" s="80" t="str">
        <x:v>Office Supplies</x:v>
      </x:c>
      <x:c r="L581" s="80" t="str">
        <x:v>Storage</x:v>
      </x:c>
      <x:c r="M581" s="80" t="str">
        <x:v>Pro Storage 482</x:v>
      </x:c>
      <x:c r="N581" s="80" t="str">
        <x:v>Same Day</x:v>
      </x:c>
      <x:c r="O581" s="82" t="n">
        <x:v>1</x:v>
      </x:c>
      <x:c r="P581" s="83" t="n">
        <x:v>3202.41</x:v>
      </x:c>
      <x:c r="Q581" s="84" t="n">
        <x:v>0</x:v>
      </x:c>
      <x:c r="R581" s="83" t="n">
        <x:v>3202.41</x:v>
      </x:c>
      <x:c r="S581" s="83" t="n">
        <x:v>2608.44</x:v>
      </x:c>
      <x:c r="T581" s="83" t="n">
        <x:v>593.97</x:v>
      </x:c>
      <x:c r="U581" s="83" t="str">
        <x:v>Paid</x:v>
      </x:c>
      <x:c r="V581" s="83" t="str">
        <x:v>Completed</x:v>
      </x:c>
      <x:c r="W581" s="151" t="n">
        <x:f>IF(OR(NOT(ISNUMBER($AP581)),COUNT($O581,$P581)&lt;2,$O581&lt;=0,$P581&lt;0),"",ROUND($O581*$P581*(1-$AP581),2))</x:f>
        <x:v>3202.41</x:v>
      </x:c>
      <x:c r="X581" s="151" t="n">
        <x:f>IF(OR(NOT(ISNUMBER($W581)),NOT(ISNUMBER($S581))),"",ROUND($W581-$S581,2))</x:f>
        <x:v>593.97</x:v>
      </x:c>
      <x:c r="Y581" s="85" t="n">
        <x:f>IF(OR(NOT(ISNUMBER($W581)),NOT(ISNUMBER($X581)),$W581=0),"",ROUND($X581/$W581,4))</x:f>
        <x:v>0.1855</x:v>
      </x:c>
      <x:c r="Z581" s="82" t="n">
        <x:f>IF(OR($AH581&lt;&gt;"Valid",$AI581&lt;&gt;"Valid"),"",INT($D581-$C581))</x:f>
        <x:v>5</x:v>
      </x:c>
      <x:c r="AA581" s="86" t="str">
        <x:f>IF($AH581&lt;&gt;"Valid","",TEXT($C581,"mmmm"))</x:f>
        <x:v>June</x:v>
      </x:c>
      <x:c r="AB581" s="82" t="n">
        <x:f>IF($AH581&lt;&gt;"Valid","",YEAR($C581))</x:f>
        <x:v>2024</x:v>
      </x:c>
      <x:c r="AC581" s="80" t="str">
        <x:v>Consistent</x:v>
      </x:c>
      <x:c r="AD581" s="80" t="str">
        <x:v>Eligible</x:v>
      </x:c>
      <x:c r="AE581" s="80" t="str">
        <x:f>IF(OR($AH581&lt;&gt;"Valid",$AI581&lt;&gt;"Valid",$AJ581&lt;&gt;"Valid",LEFT($AM581,7)="Invalid",IFERROR(ABS($AQ581)&gt;0.01,FALSE),IFERROR(ABS($AR581)&gt;0.01,FALSE),COUNTIF($AS581,"*Conflicting duplicate*")&gt;0,COUNTIF($AS581,"*Completed order not paid*")&gt;0),"Invalid",IF(OR($H581="Unknown",$N581="Unknown",$AM581="Missing discount imputed as 0"),"Warning","Clean"))</x:f>
        <x:v>Clean</x:v>
      </x:c>
      <x:c r="AF581" s="80" t="str">
        <x:v>Pass</x:v>
      </x:c>
      <x:c r="AG581" s="80" t="str">
        <x:v>No text cleanup required</x:v>
      </x:c>
      <x:c r="AH581" s="12" t="str">
        <x:f>IF(C581="","Missing date",IF(ISNUMBER(C581),"Valid","Unrecognized/invalid date"))</x:f>
        <x:v>Valid</x:v>
      </x:c>
      <x:c r="AI581" s="12" t="str">
        <x:f>IF(D581="","Missing date",IF(ISNUMBER(D581),"Valid","Unrecognized/invalid date"))</x:f>
        <x:v>Valid</x:v>
      </x:c>
      <x:c r="AJ581" s="12" t="str">
        <x:v>Valid</x:v>
      </x:c>
      <x:c r="AK581" s="12" t="str">
        <x:v>Pass</x:v>
      </x:c>
      <x:c r="AL581" s="12" t="str">
        <x:v>None</x:v>
      </x:c>
      <x:c r="AM581" s="12" t="str">
        <x:v>Valid</x:v>
      </x:c>
      <x:c r="AN581" s="12" t="str">
        <x:v>Include in completed sales</x:v>
      </x:c>
      <x:c r="AO581" s="12" t="str">
        <x:v>Not a refunded record</x:v>
      </x:c>
      <x:c r="AP581" s="37" t="n">
        <x:f>IF(LEFT($AM581,7)="Invalid","",IF($AM581="Missing discount imputed as 0",IF(AND(COUNT($O581,$P581,$R581,$S581)=4,$O581&gt;0,$P581&gt;=0,$R581&gt;=0,$S581&gt;=0),0,""),IF(AND(ISNUMBER($Q581),$Q581&gt;=0,$Q581&lt;=0.5),$Q581,"")))</x:f>
        <x:v>0</x:v>
      </x:c>
      <x:c r="AQ581" s="152" t="n">
        <x:f>IF(OR($W581="",NOT(ISNUMBER($R581))),"",ROUND($R581-$W581,2))</x:f>
        <x:v>0</x:v>
      </x:c>
      <x:c r="AR581" s="152" t="n">
        <x:f>IF(OR($X581="",NOT(ISNUMBER($T581))),"",ROUND($T581-$X581,2))</x:f>
        <x:v>0</x:v>
      </x:c>
      <x:c r="AS581" s="14" t="str">
        <x:v>OK</x:v>
      </x:c>
    </x:row>
    <x:row r="582">
      <x:c r="A582" s="80" t="n">
        <x:v>582</x:v>
      </x:c>
      <x:c r="B582" s="80" t="str">
        <x:v>ORD-2025-10581</x:v>
      </x:c>
      <x:c r="C582" s="81" t="n">
        <x:v>45722</x:v>
      </x:c>
      <x:c r="D582" s="81" t="n">
        <x:v>45729</x:v>
      </x:c>
      <x:c r="E582" s="80" t="str">
        <x:v>CUST-7958</x:v>
      </x:c>
      <x:c r="F582" s="80" t="str">
        <x:v>Kabir Singh</x:v>
      </x:c>
      <x:c r="G582" s="80" t="str">
        <x:v>Consumer</x:v>
      </x:c>
      <x:c r="H582" s="80" t="str">
        <x:v>South</x:v>
      </x:c>
      <x:c r="I582" s="80" t="str">
        <x:v>Kerala</x:v>
      </x:c>
      <x:c r="J582" s="80" t="str">
        <x:v>Kochi</x:v>
      </x:c>
      <x:c r="K582" s="80" t="str">
        <x:v>Furniture</x:v>
      </x:c>
      <x:c r="L582" s="80" t="str">
        <x:v>Chairs</x:v>
      </x:c>
      <x:c r="M582" s="80" t="str">
        <x:v>Pro Chairs 888</x:v>
      </x:c>
      <x:c r="N582" s="80" t="str">
        <x:v>Standard Class</x:v>
      </x:c>
      <x:c r="O582" s="82" t="n">
        <x:v>3</x:v>
      </x:c>
      <x:c r="P582" s="83" t="n">
        <x:v>163.72</x:v>
      </x:c>
      <x:c r="Q582" s="84" t="n">
        <x:v>0.15</x:v>
      </x:c>
      <x:c r="R582" s="83" t="n">
        <x:v>417.49</x:v>
      </x:c>
      <x:c r="S582" s="83" t="n">
        <x:v>261.67</x:v>
      </x:c>
      <x:c r="T582" s="83" t="n">
        <x:v>155.82</x:v>
      </x:c>
      <x:c r="U582" s="83" t="str">
        <x:v>Failed</x:v>
      </x:c>
      <x:c r="V582" s="83" t="str">
        <x:v>Returned</x:v>
      </x:c>
      <x:c r="W582" s="151" t="n">
        <x:f>IF(OR(NOT(ISNUMBER($AP582)),COUNT($O582,$P582)&lt;2,$O582&lt;=0,$P582&lt;0),"",ROUND($O582*$P582*(1-$AP582),2))</x:f>
        <x:v>417.49</x:v>
      </x:c>
      <x:c r="X582" s="151" t="n">
        <x:f>IF(OR(NOT(ISNUMBER($W582)),NOT(ISNUMBER($S582))),"",ROUND($W582-$S582,2))</x:f>
        <x:v>155.82</x:v>
      </x:c>
      <x:c r="Y582" s="85" t="n">
        <x:f>IF(OR(NOT(ISNUMBER($W582)),NOT(ISNUMBER($X582)),$W582=0),"",ROUND($X582/$W582,4))</x:f>
        <x:v>0.3732</x:v>
      </x:c>
      <x:c r="Z582" s="82" t="n">
        <x:f>IF(OR($AH582&lt;&gt;"Valid",$AI582&lt;&gt;"Valid"),"",INT($D582-$C582))</x:f>
        <x:v>7</x:v>
      </x:c>
      <x:c r="AA582" s="86" t="str">
        <x:f>IF($AH582&lt;&gt;"Valid","",TEXT($C582,"mmmm"))</x:f>
        <x:v>March</x:v>
      </x:c>
      <x:c r="AB582" s="82" t="n">
        <x:f>IF($AH582&lt;&gt;"Valid","",YEAR($C582))</x:f>
        <x:v>2025</x:v>
      </x:c>
      <x:c r="AC582" s="80" t="str">
        <x:v>Failed payment (excluded from completed-sales summary)</x:v>
      </x:c>
      <x:c r="AD582" s="80" t="str">
        <x:v>Excluded</x:v>
      </x:c>
      <x:c r="AE582" s="80" t="str">
        <x:f>IF(OR($AH582&lt;&gt;"Valid",$AI582&lt;&gt;"Valid",$AJ582&lt;&gt;"Valid",LEFT($AM582,7)="Invalid",IFERROR(ABS($AQ582)&gt;0.01,FALSE),IFERROR(ABS($AR582)&gt;0.01,FALSE),COUNTIF($AS582,"*Conflicting duplicate*")&gt;0,COUNTIF($AS582,"*Completed order not paid*")&gt;0),"Invalid",IF(OR($H582="Unknown",$N582="Unknown",$AM582="Missing discount imputed as 0"),"Warning","Clean"))</x:f>
        <x:v>Clean</x:v>
      </x:c>
      <x:c r="AF582" s="80" t="str">
        <x:v>Pass</x:v>
      </x:c>
      <x:c r="AG582" s="80" t="str">
        <x:v>No text cleanup required</x:v>
      </x:c>
      <x:c r="AH582" s="12" t="str">
        <x:f>IF(C582="","Missing date",IF(ISNUMBER(C582),"Valid","Unrecognized/invalid date"))</x:f>
        <x:v>Valid</x:v>
      </x:c>
      <x:c r="AI582" s="12" t="str">
        <x:f>IF(D582="","Missing date",IF(ISNUMBER(D582),"Valid","Unrecognized/invalid date"))</x:f>
        <x:v>Valid</x:v>
      </x:c>
      <x:c r="AJ582" s="12" t="str">
        <x:v>Valid</x:v>
      </x:c>
      <x:c r="AK582" s="12" t="str">
        <x:v>Pass</x:v>
      </x:c>
      <x:c r="AL582" s="12" t="str">
        <x:v>Failed payment – excluded from completed sales</x:v>
      </x:c>
      <x:c r="AM582" s="12" t="str">
        <x:v>Valid</x:v>
      </x:c>
      <x:c r="AN582" s="12" t="str">
        <x:v>Exclude from completed sales</x:v>
      </x:c>
      <x:c r="AO582" s="12" t="str">
        <x:v>Not a refunded record</x:v>
      </x:c>
      <x:c r="AP582" s="37" t="n">
        <x:f>IF(LEFT($AM582,7)="Invalid","",IF($AM582="Missing discount imputed as 0",IF(AND(COUNT($O582,$P582,$R582,$S582)=4,$O582&gt;0,$P582&gt;=0,$R582&gt;=0,$S582&gt;=0),0,""),IF(AND(ISNUMBER($Q582),$Q582&gt;=0,$Q582&lt;=0.5),$Q582,"")))</x:f>
        <x:v>0.15</x:v>
      </x:c>
      <x:c r="AQ582" s="152" t="n">
        <x:f>IF(OR($W582="",NOT(ISNUMBER($R582))),"",ROUND($R582-$W582,2))</x:f>
        <x:v>0</x:v>
      </x:c>
      <x:c r="AR582" s="152" t="n">
        <x:f>IF(OR($X582="",NOT(ISNUMBER($T582))),"",ROUND($T582-$X582,2))</x:f>
        <x:v>0</x:v>
      </x:c>
      <x:c r="AS582" s="14" t="str">
        <x:v>OK</x:v>
      </x:c>
    </x:row>
    <x:row r="583">
      <x:c r="A583" s="80" t="n">
        <x:v>583</x:v>
      </x:c>
      <x:c r="B583" s="80" t="str">
        <x:v>ORD-2025-10582</x:v>
      </x:c>
      <x:c r="C583" s="81" t="n">
        <x:v>45878</x:v>
      </x:c>
      <x:c r="D583" s="81" t="n">
        <x:v>45879</x:v>
      </x:c>
      <x:c r="E583" s="80" t="str">
        <x:v>CUST-9931</x:v>
      </x:c>
      <x:c r="F583" s="80" t="str">
        <x:v>Neha Gupta</x:v>
      </x:c>
      <x:c r="G583" s="80" t="str">
        <x:v>Consumer</x:v>
      </x:c>
      <x:c r="H583" s="80" t="str">
        <x:v>North</x:v>
      </x:c>
      <x:c r="I583" s="80" t="str">
        <x:v>Delhi</x:v>
      </x:c>
      <x:c r="J583" s="80" t="str">
        <x:v>New Delhi</x:v>
      </x:c>
      <x:c r="K583" s="80" t="str">
        <x:v>Office Supplies</x:v>
      </x:c>
      <x:c r="L583" s="80" t="str">
        <x:v>Art</x:v>
      </x:c>
      <x:c r="M583" s="80" t="str">
        <x:v>Classic Art 611</x:v>
      </x:c>
      <x:c r="N583" s="80" t="str">
        <x:v>Second Class</x:v>
      </x:c>
      <x:c r="O583" s="82" t="n">
        <x:v>4</x:v>
      </x:c>
      <x:c r="P583" s="83" t="n">
        <x:v>4080.95</x:v>
      </x:c>
      <x:c r="Q583" s="84" t="n">
        <x:v>0</x:v>
      </x:c>
      <x:c r="R583" s="83" t="n">
        <x:v>16323.8</x:v>
      </x:c>
      <x:c r="S583" s="83" t="n">
        <x:v>9965.79</x:v>
      </x:c>
      <x:c r="T583" s="83" t="n">
        <x:v>6358.01</x:v>
      </x:c>
      <x:c r="U583" s="83" t="str">
        <x:v>Refunded</x:v>
      </x:c>
      <x:c r="V583" s="83" t="str">
        <x:v>Returned</x:v>
      </x:c>
      <x:c r="W583" s="151" t="n">
        <x:f>IF(OR(NOT(ISNUMBER($AP583)),COUNT($O583,$P583)&lt;2,$O583&lt;=0,$P583&lt;0),"",ROUND($O583*$P583*(1-$AP583),2))</x:f>
        <x:v>16323.8</x:v>
      </x:c>
      <x:c r="X583" s="151" t="n">
        <x:f>IF(OR(NOT(ISNUMBER($W583)),NOT(ISNUMBER($S583))),"",ROUND($W583-$S583,2))</x:f>
        <x:v>6358.01</x:v>
      </x:c>
      <x:c r="Y583" s="85" t="n">
        <x:f>IF(OR(NOT(ISNUMBER($W583)),NOT(ISNUMBER($X583)),$W583=0),"",ROUND($X583/$W583,4))</x:f>
        <x:v>0.3895</x:v>
      </x:c>
      <x:c r="Z583" s="82" t="n">
        <x:f>IF(OR($AH583&lt;&gt;"Valid",$AI583&lt;&gt;"Valid"),"",INT($D583-$C583))</x:f>
        <x:v>1</x:v>
      </x:c>
      <x:c r="AA583" s="86" t="str">
        <x:f>IF($AH583&lt;&gt;"Valid","",TEXT($C583,"mmmm"))</x:f>
        <x:v>August</x:v>
      </x:c>
      <x:c r="AB583" s="82" t="n">
        <x:f>IF($AH583&lt;&gt;"Valid","",YEAR($C583))</x:f>
        <x:v>2025</x:v>
      </x:c>
      <x:c r="AC583" s="80" t="str">
        <x:v>Refunded (separately summarized)</x:v>
      </x:c>
      <x:c r="AD583" s="80" t="str">
        <x:v>Excluded</x:v>
      </x:c>
      <x:c r="AE583" s="80" t="str">
        <x:f>IF(OR($AH583&lt;&gt;"Valid",$AI583&lt;&gt;"Valid",$AJ583&lt;&gt;"Valid",LEFT($AM583,7)="Invalid",IFERROR(ABS($AQ583)&gt;0.01,FALSE),IFERROR(ABS($AR583)&gt;0.01,FALSE),COUNTIF($AS583,"*Conflicting duplicate*")&gt;0,COUNTIF($AS583,"*Completed order not paid*")&gt;0),"Invalid",IF(OR($H583="Unknown",$N583="Unknown",$AM583="Missing discount imputed as 0"),"Warning","Clean"))</x:f>
        <x:v>Clean</x:v>
      </x:c>
      <x:c r="AF583" s="80" t="str">
        <x:v>Pass</x:v>
      </x:c>
      <x:c r="AG583" s="80" t="str">
        <x:v>No text cleanup required</x:v>
      </x:c>
      <x:c r="AH583" s="12" t="str">
        <x:f>IF(C583="","Missing date",IF(ISNUMBER(C583),"Valid","Unrecognized/invalid date"))</x:f>
        <x:v>Valid</x:v>
      </x:c>
      <x:c r="AI583" s="12" t="str">
        <x:f>IF(D583="","Missing date",IF(ISNUMBER(D583),"Valid","Unrecognized/invalid date"))</x:f>
        <x:v>Valid</x:v>
      </x:c>
      <x:c r="AJ583" s="12" t="str">
        <x:v>Valid</x:v>
      </x:c>
      <x:c r="AK583" s="12" t="str">
        <x:v>Pass</x:v>
      </x:c>
      <x:c r="AL583" s="12" t="str">
        <x:v>Refunded payment – separately summarized</x:v>
      </x:c>
      <x:c r="AM583" s="12" t="str">
        <x:v>Valid</x:v>
      </x:c>
      <x:c r="AN583" s="12" t="str">
        <x:v>Exclude from completed sales</x:v>
      </x:c>
      <x:c r="AO583" s="12" t="str">
        <x:v>Include in refunded summary</x:v>
      </x:c>
      <x:c r="AP583" s="37" t="n">
        <x:f>IF(LEFT($AM583,7)="Invalid","",IF($AM583="Missing discount imputed as 0",IF(AND(COUNT($O583,$P583,$R583,$S583)=4,$O583&gt;0,$P583&gt;=0,$R583&gt;=0,$S583&gt;=0),0,""),IF(AND(ISNUMBER($Q583),$Q583&gt;=0,$Q583&lt;=0.5),$Q583,"")))</x:f>
        <x:v>0</x:v>
      </x:c>
      <x:c r="AQ583" s="152" t="n">
        <x:f>IF(OR($W583="",NOT(ISNUMBER($R583))),"",ROUND($R583-$W583,2))</x:f>
        <x:v>0</x:v>
      </x:c>
      <x:c r="AR583" s="152" t="n">
        <x:f>IF(OR($X583="",NOT(ISNUMBER($T583))),"",ROUND($T583-$X583,2))</x:f>
        <x:v>0</x:v>
      </x:c>
      <x:c r="AS583" s="14" t="str">
        <x:v>OK</x:v>
      </x:c>
    </x:row>
    <x:row r="584">
      <x:c r="A584" s="80" t="n">
        <x:v>584</x:v>
      </x:c>
      <x:c r="B584" s="80" t="str">
        <x:v>ORD-2024-10583</x:v>
      </x:c>
      <x:c r="C584" s="81" t="n">
        <x:v>45580</x:v>
      </x:c>
      <x:c r="D584" s="81" t="n">
        <x:v>45585</x:v>
      </x:c>
      <x:c r="E584" s="80" t="str">
        <x:v>CUST-2088</x:v>
      </x:c>
      <x:c r="F584" s="80" t="str">
        <x:v>Ananya Rao</x:v>
      </x:c>
      <x:c r="G584" s="80" t="str">
        <x:v>Consumer</x:v>
      </x:c>
      <x:c r="H584" s="80" t="str">
        <x:v>East</x:v>
      </x:c>
      <x:c r="I584" s="80" t="str">
        <x:v>Odisha</x:v>
      </x:c>
      <x:c r="J584" s="80" t="str">
        <x:v>Bhubaneswar</x:v>
      </x:c>
      <x:c r="K584" s="80" t="str">
        <x:v>Office Supplies</x:v>
      </x:c>
      <x:c r="L584" s="80" t="str">
        <x:v>Art</x:v>
      </x:c>
      <x:c r="M584" s="80" t="str">
        <x:v>Basic Art 174</x:v>
      </x:c>
      <x:c r="N584" s="80" t="str">
        <x:v>First Class</x:v>
      </x:c>
      <x:c r="O584" s="82" t="n">
        <x:v>5</x:v>
      </x:c>
      <x:c r="P584" s="83" t="n">
        <x:v>671.24</x:v>
      </x:c>
      <x:c r="Q584" s="84" t="n">
        <x:v>0</x:v>
      </x:c>
      <x:c r="R584" s="83" t="n">
        <x:v>3356.2</x:v>
      </x:c>
      <x:c r="S584" s="83" t="n">
        <x:v>2205.72</x:v>
      </x:c>
      <x:c r="T584" s="83" t="n">
        <x:v>1150.48</x:v>
      </x:c>
      <x:c r="U584" s="83" t="str">
        <x:v>Pending</x:v>
      </x:c>
      <x:c r="V584" s="83" t="str">
        <x:v>Returned</x:v>
      </x:c>
      <x:c r="W584" s="151" t="n">
        <x:f>IF(OR(NOT(ISNUMBER($AP584)),COUNT($O584,$P584)&lt;2,$O584&lt;=0,$P584&lt;0),"",ROUND($O584*$P584*(1-$AP584),2))</x:f>
        <x:v>3356.2</x:v>
      </x:c>
      <x:c r="X584" s="151" t="n">
        <x:f>IF(OR(NOT(ISNUMBER($W584)),NOT(ISNUMBER($S584))),"",ROUND($W584-$S584,2))</x:f>
        <x:v>1150.48</x:v>
      </x:c>
      <x:c r="Y584" s="85" t="n">
        <x:f>IF(OR(NOT(ISNUMBER($W584)),NOT(ISNUMBER($X584)),$W584=0),"",ROUND($X584/$W584,4))</x:f>
        <x:v>0.3428</x:v>
      </x:c>
      <x:c r="Z584" s="82" t="n">
        <x:f>IF(OR($AH584&lt;&gt;"Valid",$AI584&lt;&gt;"Valid"),"",INT($D584-$C584))</x:f>
        <x:v>5</x:v>
      </x:c>
      <x:c r="AA584" s="86" t="str">
        <x:f>IF($AH584&lt;&gt;"Valid","",TEXT($C584,"mmmm"))</x:f>
        <x:v>October</x:v>
      </x:c>
      <x:c r="AB584" s="82" t="n">
        <x:f>IF($AH584&lt;&gt;"Valid","",YEAR($C584))</x:f>
        <x:v>2024</x:v>
      </x:c>
      <x:c r="AC584" s="80" t="str">
        <x:v>Consistent</x:v>
      </x:c>
      <x:c r="AD584" s="80" t="str">
        <x:v>Excluded</x:v>
      </x:c>
      <x:c r="AE584" s="80" t="str">
        <x:f>IF(OR($AH584&lt;&gt;"Valid",$AI584&lt;&gt;"Valid",$AJ584&lt;&gt;"Valid",LEFT($AM584,7)="Invalid",IFERROR(ABS($AQ584)&gt;0.01,FALSE),IFERROR(ABS($AR584)&gt;0.01,FALSE),COUNTIF($AS584,"*Conflicting duplicate*")&gt;0,COUNTIF($AS584,"*Completed order not paid*")&gt;0),"Invalid",IF(OR($H584="Unknown",$N584="Unknown",$AM584="Missing discount imputed as 0"),"Warning","Clean"))</x:f>
        <x:v>Clean</x:v>
      </x:c>
      <x:c r="AF584" s="80" t="str">
        <x:v>Pass</x:v>
      </x:c>
      <x:c r="AG584" s="80" t="str">
        <x:v>No text cleanup required</x:v>
      </x:c>
      <x:c r="AH584" s="12" t="str">
        <x:f>IF(C584="","Missing date",IF(ISNUMBER(C584),"Valid","Unrecognized/invalid date"))</x:f>
        <x:v>Valid</x:v>
      </x:c>
      <x:c r="AI584" s="12" t="str">
        <x:f>IF(D584="","Missing date",IF(ISNUMBER(D584),"Valid","Unrecognized/invalid date"))</x:f>
        <x:v>Valid</x:v>
      </x:c>
      <x:c r="AJ584" s="12" t="str">
        <x:v>Valid</x:v>
      </x:c>
      <x:c r="AK584" s="12" t="str">
        <x:v>Pass</x:v>
      </x:c>
      <x:c r="AL584" s="12" t="str">
        <x:v>None</x:v>
      </x:c>
      <x:c r="AM584" s="12" t="str">
        <x:v>Valid</x:v>
      </x:c>
      <x:c r="AN584" s="12" t="str">
        <x:v>Exclude from completed sales</x:v>
      </x:c>
      <x:c r="AO584" s="12" t="str">
        <x:v>Not a refunded record</x:v>
      </x:c>
      <x:c r="AP584" s="37" t="n">
        <x:f>IF(LEFT($AM584,7)="Invalid","",IF($AM584="Missing discount imputed as 0",IF(AND(COUNT($O584,$P584,$R584,$S584)=4,$O584&gt;0,$P584&gt;=0,$R584&gt;=0,$S584&gt;=0),0,""),IF(AND(ISNUMBER($Q584),$Q584&gt;=0,$Q584&lt;=0.5),$Q584,"")))</x:f>
        <x:v>0</x:v>
      </x:c>
      <x:c r="AQ584" s="152" t="n">
        <x:f>IF(OR($W584="",NOT(ISNUMBER($R584))),"",ROUND($R584-$W584,2))</x:f>
        <x:v>0</x:v>
      </x:c>
      <x:c r="AR584" s="152" t="n">
        <x:f>IF(OR($X584="",NOT(ISNUMBER($T584))),"",ROUND($T584-$X584,2))</x:f>
        <x:v>0</x:v>
      </x:c>
      <x:c r="AS584" s="14" t="str">
        <x:v>OK</x:v>
      </x:c>
    </x:row>
    <x:row r="585">
      <x:c r="A585" s="80" t="n">
        <x:v>585</x:v>
      </x:c>
      <x:c r="B585" s="80" t="str">
        <x:v>ORD-2024-10584</x:v>
      </x:c>
      <x:c r="C585" s="81" t="n">
        <x:v>45350</x:v>
      </x:c>
      <x:c r="D585" s="81" t="n">
        <x:v>45350</x:v>
      </x:c>
      <x:c r="E585" s="80" t="str">
        <x:v>CUST-1686</x:v>
      </x:c>
      <x:c r="F585" s="80" t="str">
        <x:v>Rohan Mehta</x:v>
      </x:c>
      <x:c r="G585" s="80" t="str">
        <x:v>Small Business</x:v>
      </x:c>
      <x:c r="H585" s="80" t="str">
        <x:v>East</x:v>
      </x:c>
      <x:c r="I585" s="80" t="str">
        <x:v>West Bengal</x:v>
      </x:c>
      <x:c r="J585" s="80" t="str">
        <x:v>Kolkata</x:v>
      </x:c>
      <x:c r="K585" s="80" t="str">
        <x:v>Office Supplies</x:v>
      </x:c>
      <x:c r="L585" s="80" t="str">
        <x:v>Storage</x:v>
      </x:c>
      <x:c r="M585" s="80" t="str">
        <x:v>Classic Storage 451</x:v>
      </x:c>
      <x:c r="N585" s="80" t="str">
        <x:v>First Class</x:v>
      </x:c>
      <x:c r="O585" s="82" t="n">
        <x:v>1</x:v>
      </x:c>
      <x:c r="P585" s="83" t="n">
        <x:v>2626.84</x:v>
      </x:c>
      <x:c r="Q585" s="84" t="n">
        <x:v>0.2</x:v>
      </x:c>
      <x:c r="R585" s="83" t="n">
        <x:v>2101.47</x:v>
      </x:c>
      <x:c r="S585" s="83" t="n">
        <x:v>1217.83</x:v>
      </x:c>
      <x:c r="T585" s="83" t="n">
        <x:v>883.64</x:v>
      </x:c>
      <x:c r="U585" s="83" t="str">
        <x:v>Failed</x:v>
      </x:c>
      <x:c r="V585" s="83" t="str">
        <x:v>Returned</x:v>
      </x:c>
      <x:c r="W585" s="151" t="n">
        <x:f>IF(OR(NOT(ISNUMBER($AP585)),COUNT($O585,$P585)&lt;2,$O585&lt;=0,$P585&lt;0),"",ROUND($O585*$P585*(1-$AP585),2))</x:f>
        <x:v>2101.47</x:v>
      </x:c>
      <x:c r="X585" s="151" t="n">
        <x:f>IF(OR(NOT(ISNUMBER($W585)),NOT(ISNUMBER($S585))),"",ROUND($W585-$S585,2))</x:f>
        <x:v>883.64</x:v>
      </x:c>
      <x:c r="Y585" s="85" t="n">
        <x:f>IF(OR(NOT(ISNUMBER($W585)),NOT(ISNUMBER($X585)),$W585=0),"",ROUND($X585/$W585,4))</x:f>
        <x:v>0.4205</x:v>
      </x:c>
      <x:c r="Z585" s="82" t="n">
        <x:f>IF(OR($AH585&lt;&gt;"Valid",$AI585&lt;&gt;"Valid"),"",INT($D585-$C585))</x:f>
        <x:v>0</x:v>
      </x:c>
      <x:c r="AA585" s="86" t="str">
        <x:f>IF($AH585&lt;&gt;"Valid","",TEXT($C585,"mmmm"))</x:f>
        <x:v>February</x:v>
      </x:c>
      <x:c r="AB585" s="82" t="n">
        <x:f>IF($AH585&lt;&gt;"Valid","",YEAR($C585))</x:f>
        <x:v>2024</x:v>
      </x:c>
      <x:c r="AC585" s="80" t="str">
        <x:v>Failed payment (excluded from completed-sales summary)</x:v>
      </x:c>
      <x:c r="AD585" s="80" t="str">
        <x:v>Excluded</x:v>
      </x:c>
      <x:c r="AE585" s="80" t="str">
        <x:f>IF(OR($AH585&lt;&gt;"Valid",$AI585&lt;&gt;"Valid",$AJ585&lt;&gt;"Valid",LEFT($AM585,7)="Invalid",IFERROR(ABS($AQ585)&gt;0.01,FALSE),IFERROR(ABS($AR585)&gt;0.01,FALSE),COUNTIF($AS585,"*Conflicting duplicate*")&gt;0,COUNTIF($AS585,"*Completed order not paid*")&gt;0),"Invalid",IF(OR($H585="Unknown",$N585="Unknown",$AM585="Missing discount imputed as 0"),"Warning","Clean"))</x:f>
        <x:v>Clean</x:v>
      </x:c>
      <x:c r="AF585" s="80" t="str">
        <x:v>Pass</x:v>
      </x:c>
      <x:c r="AG585" s="80" t="str">
        <x:v>No text cleanup required</x:v>
      </x:c>
      <x:c r="AH585" s="12" t="str">
        <x:f>IF(C585="","Missing date",IF(ISNUMBER(C585),"Valid","Unrecognized/invalid date"))</x:f>
        <x:v>Valid</x:v>
      </x:c>
      <x:c r="AI585" s="12" t="str">
        <x:f>IF(D585="","Missing date",IF(ISNUMBER(D585),"Valid","Unrecognized/invalid date"))</x:f>
        <x:v>Valid</x:v>
      </x:c>
      <x:c r="AJ585" s="12" t="str">
        <x:v>Valid</x:v>
      </x:c>
      <x:c r="AK585" s="12" t="str">
        <x:v>Pass</x:v>
      </x:c>
      <x:c r="AL585" s="12" t="str">
        <x:v>Failed payment – excluded from completed sales</x:v>
      </x:c>
      <x:c r="AM585" s="12" t="str">
        <x:v>Valid</x:v>
      </x:c>
      <x:c r="AN585" s="12" t="str">
        <x:v>Exclude from completed sales</x:v>
      </x:c>
      <x:c r="AO585" s="12" t="str">
        <x:v>Not a refunded record</x:v>
      </x:c>
      <x:c r="AP585" s="37" t="n">
        <x:f>IF(LEFT($AM585,7)="Invalid","",IF($AM585="Missing discount imputed as 0",IF(AND(COUNT($O585,$P585,$R585,$S585)=4,$O585&gt;0,$P585&gt;=0,$R585&gt;=0,$S585&gt;=0),0,""),IF(AND(ISNUMBER($Q585),$Q585&gt;=0,$Q585&lt;=0.5),$Q585,"")))</x:f>
        <x:v>0.2</x:v>
      </x:c>
      <x:c r="AQ585" s="152" t="n">
        <x:f>IF(OR($W585="",NOT(ISNUMBER($R585))),"",ROUND($R585-$W585,2))</x:f>
        <x:v>0</x:v>
      </x:c>
      <x:c r="AR585" s="152" t="n">
        <x:f>IF(OR($X585="",NOT(ISNUMBER($T585))),"",ROUND($T585-$X585,2))</x:f>
        <x:v>0</x:v>
      </x:c>
      <x:c r="AS585" s="14" t="str">
        <x:v>OK</x:v>
      </x:c>
    </x:row>
    <x:row r="586">
      <x:c r="A586" s="80" t="n">
        <x:v>586</x:v>
      </x:c>
      <x:c r="B586" s="80" t="str">
        <x:v>ORD-2024-10585</x:v>
      </x:c>
      <x:c r="C586" s="81" t="n">
        <x:v>45508</x:v>
      </x:c>
      <x:c r="D586" s="81" t="n">
        <x:v>45514</x:v>
      </x:c>
      <x:c r="E586" s="80" t="str">
        <x:v>CUST-4894</x:v>
      </x:c>
      <x:c r="F586" s="80" t="str">
        <x:v>Vikram Iyer</x:v>
      </x:c>
      <x:c r="G586" s="80" t="str">
        <x:v>Consumer</x:v>
      </x:c>
      <x:c r="H586" s="80" t="str">
        <x:v>East</x:v>
      </x:c>
      <x:c r="I586" s="80" t="str">
        <x:v>Bihar</x:v>
      </x:c>
      <x:c r="J586" s="80" t="str">
        <x:v>Patna</x:v>
      </x:c>
      <x:c r="K586" s="80" t="str">
        <x:v>Office Supplies</x:v>
      </x:c>
      <x:c r="L586" s="80" t="str">
        <x:v>Art</x:v>
      </x:c>
      <x:c r="M586" s="80" t="str">
        <x:v>Pro Art 172</x:v>
      </x:c>
      <x:c r="N586" s="80" t="str">
        <x:v>Same Day</x:v>
      </x:c>
      <x:c r="O586" s="82" t="n">
        <x:v>1</x:v>
      </x:c>
      <x:c r="P586" s="83" t="n">
        <x:v>984.93</x:v>
      </x:c>
      <x:c r="Q586" s="84" t="n">
        <x:v>0.15</x:v>
      </x:c>
      <x:c r="R586" s="83" t="n">
        <x:v>837.19</x:v>
      </x:c>
      <x:c r="S586" s="83" t="n">
        <x:v>583.79</x:v>
      </x:c>
      <x:c r="T586" s="83" t="n">
        <x:v>253.4</x:v>
      </x:c>
      <x:c r="U586" s="83" t="str">
        <x:v>Pending</x:v>
      </x:c>
      <x:c r="V586" s="83" t="str">
        <x:v>Returned</x:v>
      </x:c>
      <x:c r="W586" s="151" t="n">
        <x:f>IF(OR(NOT(ISNUMBER($AP586)),COUNT($O586,$P586)&lt;2,$O586&lt;=0,$P586&lt;0),"",ROUND($O586*$P586*(1-$AP586),2))</x:f>
        <x:v>837.19</x:v>
      </x:c>
      <x:c r="X586" s="151" t="n">
        <x:f>IF(OR(NOT(ISNUMBER($W586)),NOT(ISNUMBER($S586))),"",ROUND($W586-$S586,2))</x:f>
        <x:v>253.4</x:v>
      </x:c>
      <x:c r="Y586" s="85" t="n">
        <x:f>IF(OR(NOT(ISNUMBER($W586)),NOT(ISNUMBER($X586)),$W586=0),"",ROUND($X586/$W586,4))</x:f>
        <x:v>0.3027</x:v>
      </x:c>
      <x:c r="Z586" s="82" t="n">
        <x:f>IF(OR($AH586&lt;&gt;"Valid",$AI586&lt;&gt;"Valid"),"",INT($D586-$C586))</x:f>
        <x:v>6</x:v>
      </x:c>
      <x:c r="AA586" s="86" t="str">
        <x:f>IF($AH586&lt;&gt;"Valid","",TEXT($C586,"mmmm"))</x:f>
        <x:v>August</x:v>
      </x:c>
      <x:c r="AB586" s="82" t="n">
        <x:f>IF($AH586&lt;&gt;"Valid","",YEAR($C586))</x:f>
        <x:v>2024</x:v>
      </x:c>
      <x:c r="AC586" s="80" t="str">
        <x:v>Consistent</x:v>
      </x:c>
      <x:c r="AD586" s="80" t="str">
        <x:v>Excluded</x:v>
      </x:c>
      <x:c r="AE586" s="80" t="str">
        <x:f>IF(OR($AH586&lt;&gt;"Valid",$AI586&lt;&gt;"Valid",$AJ586&lt;&gt;"Valid",LEFT($AM586,7)="Invalid",IFERROR(ABS($AQ586)&gt;0.01,FALSE),IFERROR(ABS($AR586)&gt;0.01,FALSE),COUNTIF($AS586,"*Conflicting duplicate*")&gt;0,COUNTIF($AS586,"*Completed order not paid*")&gt;0),"Invalid",IF(OR($H586="Unknown",$N586="Unknown",$AM586="Missing discount imputed as 0"),"Warning","Clean"))</x:f>
        <x:v>Clean</x:v>
      </x:c>
      <x:c r="AF586" s="80" t="str">
        <x:v>Pass</x:v>
      </x:c>
      <x:c r="AG586" s="80" t="str">
        <x:v>No text cleanup required</x:v>
      </x:c>
      <x:c r="AH586" s="12" t="str">
        <x:f>IF(C586="","Missing date",IF(ISNUMBER(C586),"Valid","Unrecognized/invalid date"))</x:f>
        <x:v>Valid</x:v>
      </x:c>
      <x:c r="AI586" s="12" t="str">
        <x:f>IF(D586="","Missing date",IF(ISNUMBER(D586),"Valid","Unrecognized/invalid date"))</x:f>
        <x:v>Valid</x:v>
      </x:c>
      <x:c r="AJ586" s="12" t="str">
        <x:v>Valid</x:v>
      </x:c>
      <x:c r="AK586" s="12" t="str">
        <x:v>Pass</x:v>
      </x:c>
      <x:c r="AL586" s="12" t="str">
        <x:v>None</x:v>
      </x:c>
      <x:c r="AM586" s="12" t="str">
        <x:v>Valid</x:v>
      </x:c>
      <x:c r="AN586" s="12" t="str">
        <x:v>Exclude from completed sales</x:v>
      </x:c>
      <x:c r="AO586" s="12" t="str">
        <x:v>Not a refunded record</x:v>
      </x:c>
      <x:c r="AP586" s="37" t="n">
        <x:f>IF(LEFT($AM586,7)="Invalid","",IF($AM586="Missing discount imputed as 0",IF(AND(COUNT($O586,$P586,$R586,$S586)=4,$O586&gt;0,$P586&gt;=0,$R586&gt;=0,$S586&gt;=0),0,""),IF(AND(ISNUMBER($Q586),$Q586&gt;=0,$Q586&lt;=0.5),$Q586,"")))</x:f>
        <x:v>0.15</x:v>
      </x:c>
      <x:c r="AQ586" s="152" t="n">
        <x:f>IF(OR($W586="",NOT(ISNUMBER($R586))),"",ROUND($R586-$W586,2))</x:f>
        <x:v>0</x:v>
      </x:c>
      <x:c r="AR586" s="152" t="n">
        <x:f>IF(OR($X586="",NOT(ISNUMBER($T586))),"",ROUND($T586-$X586,2))</x:f>
        <x:v>0</x:v>
      </x:c>
      <x:c r="AS586" s="14" t="str">
        <x:v>OK</x:v>
      </x:c>
    </x:row>
    <x:row r="587">
      <x:c r="A587" s="80" t="n">
        <x:v>587</x:v>
      </x:c>
      <x:c r="B587" s="80" t="str">
        <x:v>ORD-2025-10586</x:v>
      </x:c>
      <x:c r="C587" s="81" t="n">
        <x:v>45830</x:v>
      </x:c>
      <x:c r="D587" s="81" t="n">
        <x:v>45833</x:v>
      </x:c>
      <x:c r="E587" s="80" t="str">
        <x:v>CUST-5201</x:v>
      </x:c>
      <x:c r="F587" s="80" t="str">
        <x:v>Diya Patel</x:v>
      </x:c>
      <x:c r="G587" s="80" t="str">
        <x:v>Small Business</x:v>
      </x:c>
      <x:c r="H587" s="80" t="str">
        <x:v>West</x:v>
      </x:c>
      <x:c r="I587" s="80" t="str">
        <x:v>Maharashtra</x:v>
      </x:c>
      <x:c r="J587" s="80" t="str">
        <x:v>Mumbai</x:v>
      </x:c>
      <x:c r="K587" s="80" t="str">
        <x:v>Technology</x:v>
      </x:c>
      <x:c r="L587" s="80" t="str">
        <x:v>Phones</x:v>
      </x:c>
      <x:c r="M587" s="80" t="str">
        <x:v>Prime Phones 744</x:v>
      </x:c>
      <x:c r="N587" s="80" t="str">
        <x:v>First Class</x:v>
      </x:c>
      <x:c r="O587" s="82" t="n">
        <x:v>8</x:v>
      </x:c>
      <x:c r="P587" s="83" t="n">
        <x:v>3453.66</x:v>
      </x:c>
      <x:c r="Q587" s="84" t="n">
        <x:v>0</x:v>
      </x:c>
      <x:c r="R587" s="83" t="n">
        <x:v>27629.28</x:v>
      </x:c>
      <x:c r="S587" s="83" t="n">
        <x:v>22026.48</x:v>
      </x:c>
      <x:c r="T587" s="83" t="n">
        <x:v>5602.8</x:v>
      </x:c>
      <x:c r="U587" s="83" t="str">
        <x:v>Paid</x:v>
      </x:c>
      <x:c r="V587" s="83" t="str">
        <x:v>Completed</x:v>
      </x:c>
      <x:c r="W587" s="151" t="n">
        <x:f>IF(OR(NOT(ISNUMBER($AP587)),COUNT($O587,$P587)&lt;2,$O587&lt;=0,$P587&lt;0),"",ROUND($O587*$P587*(1-$AP587),2))</x:f>
        <x:v>27629.28</x:v>
      </x:c>
      <x:c r="X587" s="151" t="n">
        <x:f>IF(OR(NOT(ISNUMBER($W587)),NOT(ISNUMBER($S587))),"",ROUND($W587-$S587,2))</x:f>
        <x:v>5602.8</x:v>
      </x:c>
      <x:c r="Y587" s="85" t="n">
        <x:f>IF(OR(NOT(ISNUMBER($W587)),NOT(ISNUMBER($X587)),$W587=0),"",ROUND($X587/$W587,4))</x:f>
        <x:v>0.2028</x:v>
      </x:c>
      <x:c r="Z587" s="82" t="n">
        <x:f>IF(OR($AH587&lt;&gt;"Valid",$AI587&lt;&gt;"Valid"),"",INT($D587-$C587))</x:f>
        <x:v>3</x:v>
      </x:c>
      <x:c r="AA587" s="86" t="str">
        <x:f>IF($AH587&lt;&gt;"Valid","",TEXT($C587,"mmmm"))</x:f>
        <x:v>June</x:v>
      </x:c>
      <x:c r="AB587" s="82" t="n">
        <x:f>IF($AH587&lt;&gt;"Valid","",YEAR($C587))</x:f>
        <x:v>2025</x:v>
      </x:c>
      <x:c r="AC587" s="80" t="str">
        <x:v>Consistent</x:v>
      </x:c>
      <x:c r="AD587" s="80" t="str">
        <x:v>Eligible</x:v>
      </x:c>
      <x:c r="AE587" s="80" t="str">
        <x:f>IF(OR($AH587&lt;&gt;"Valid",$AI587&lt;&gt;"Valid",$AJ587&lt;&gt;"Valid",LEFT($AM587,7)="Invalid",IFERROR(ABS($AQ587)&gt;0.01,FALSE),IFERROR(ABS($AR587)&gt;0.01,FALSE),COUNTIF($AS587,"*Conflicting duplicate*")&gt;0,COUNTIF($AS587,"*Completed order not paid*")&gt;0),"Invalid",IF(OR($H587="Unknown",$N587="Unknown",$AM587="Missing discount imputed as 0"),"Warning","Clean"))</x:f>
        <x:v>Clean</x:v>
      </x:c>
      <x:c r="AF587" s="80" t="str">
        <x:v>Cleaned</x:v>
      </x:c>
      <x:c r="AG587" s="80" t="str">
        <x:v>region: Case standardization</x:v>
      </x:c>
      <x:c r="AH587" s="12" t="str">
        <x:f>IF(C587="","Missing date",IF(ISNUMBER(C587),"Valid","Unrecognized/invalid date"))</x:f>
        <x:v>Valid</x:v>
      </x:c>
      <x:c r="AI587" s="12" t="str">
        <x:f>IF(D587="","Missing date",IF(ISNUMBER(D587),"Valid","Unrecognized/invalid date"))</x:f>
        <x:v>Valid</x:v>
      </x:c>
      <x:c r="AJ587" s="12" t="str">
        <x:v>Valid</x:v>
      </x:c>
      <x:c r="AK587" s="12" t="str">
        <x:v>Pass</x:v>
      </x:c>
      <x:c r="AL587" s="12" t="str">
        <x:v>None</x:v>
      </x:c>
      <x:c r="AM587" s="12" t="str">
        <x:v>Valid</x:v>
      </x:c>
      <x:c r="AN587" s="12" t="str">
        <x:v>Include in completed sales</x:v>
      </x:c>
      <x:c r="AO587" s="12" t="str">
        <x:v>Not a refunded record</x:v>
      </x:c>
      <x:c r="AP587" s="37" t="n">
        <x:f>IF(LEFT($AM587,7)="Invalid","",IF($AM587="Missing discount imputed as 0",IF(AND(COUNT($O587,$P587,$R587,$S587)=4,$O587&gt;0,$P587&gt;=0,$R587&gt;=0,$S587&gt;=0),0,""),IF(AND(ISNUMBER($Q587),$Q587&gt;=0,$Q587&lt;=0.5),$Q587,"")))</x:f>
        <x:v>0</x:v>
      </x:c>
      <x:c r="AQ587" s="152" t="n">
        <x:f>IF(OR($W587="",NOT(ISNUMBER($R587))),"",ROUND($R587-$W587,2))</x:f>
        <x:v>0</x:v>
      </x:c>
      <x:c r="AR587" s="152" t="n">
        <x:f>IF(OR($X587="",NOT(ISNUMBER($T587))),"",ROUND($T587-$X587,2))</x:f>
        <x:v>0</x:v>
      </x:c>
      <x:c r="AS587" s="14" t="str">
        <x:v>OK</x:v>
      </x:c>
    </x:row>
    <x:row r="588">
      <x:c r="A588" s="80" t="n">
        <x:v>588</x:v>
      </x:c>
      <x:c r="B588" s="80" t="str">
        <x:v>ORD-2025-10587</x:v>
      </x:c>
      <x:c r="C588" s="81" t="n">
        <x:v>45759</x:v>
      </x:c>
      <x:c r="D588" s="81" t="n">
        <x:v>45759</x:v>
      </x:c>
      <x:c r="E588" s="80" t="str">
        <x:v>CUST-8626</x:v>
      </x:c>
      <x:c r="F588" s="80" t="str">
        <x:v>Mira Das</x:v>
      </x:c>
      <x:c r="G588" s="80" t="str">
        <x:v>Home Office</x:v>
      </x:c>
      <x:c r="H588" s="80" t="str">
        <x:v>North</x:v>
      </x:c>
      <x:c r="I588" s="80" t="str">
        <x:v>Punjab</x:v>
      </x:c>
      <x:c r="J588" s="80" t="str">
        <x:v>Ludhiana</x:v>
      </x:c>
      <x:c r="K588" s="80" t="str">
        <x:v>Office Supplies</x:v>
      </x:c>
      <x:c r="L588" s="80" t="str">
        <x:v>Binders</x:v>
      </x:c>
      <x:c r="M588" s="80" t="str">
        <x:v>Prime Binders 249</x:v>
      </x:c>
      <x:c r="N588" s="80" t="str">
        <x:v>Second Class</x:v>
      </x:c>
      <x:c r="O588" s="82" t="n">
        <x:v>7</x:v>
      </x:c>
      <x:c r="P588" s="83" t="n">
        <x:v>1334.2</x:v>
      </x:c>
      <x:c r="Q588" s="84" t="n">
        <x:v>0.2</x:v>
      </x:c>
      <x:c r="R588" s="83" t="n">
        <x:v>7471.52</x:v>
      </x:c>
      <x:c r="S588" s="83" t="n">
        <x:v>6184.32</x:v>
      </x:c>
      <x:c r="T588" s="83" t="n">
        <x:v>1287.2</x:v>
      </x:c>
      <x:c r="U588" s="83" t="str">
        <x:v>Paid</x:v>
      </x:c>
      <x:c r="V588" s="83" t="str">
        <x:v>Completed</x:v>
      </x:c>
      <x:c r="W588" s="151" t="n">
        <x:f>IF(OR(NOT(ISNUMBER($AP588)),COUNT($O588,$P588)&lt;2,$O588&lt;=0,$P588&lt;0),"",ROUND($O588*$P588*(1-$AP588),2))</x:f>
        <x:v>7471.52</x:v>
      </x:c>
      <x:c r="X588" s="151" t="n">
        <x:f>IF(OR(NOT(ISNUMBER($W588)),NOT(ISNUMBER($S588))),"",ROUND($W588-$S588,2))</x:f>
        <x:v>1287.2</x:v>
      </x:c>
      <x:c r="Y588" s="85" t="n">
        <x:f>IF(OR(NOT(ISNUMBER($W588)),NOT(ISNUMBER($X588)),$W588=0),"",ROUND($X588/$W588,4))</x:f>
        <x:v>0.1723</x:v>
      </x:c>
      <x:c r="Z588" s="82" t="n">
        <x:f>IF(OR($AH588&lt;&gt;"Valid",$AI588&lt;&gt;"Valid"),"",INT($D588-$C588))</x:f>
        <x:v>0</x:v>
      </x:c>
      <x:c r="AA588" s="86" t="str">
        <x:f>IF($AH588&lt;&gt;"Valid","",TEXT($C588,"mmmm"))</x:f>
        <x:v>April</x:v>
      </x:c>
      <x:c r="AB588" s="82" t="n">
        <x:f>IF($AH588&lt;&gt;"Valid","",YEAR($C588))</x:f>
        <x:v>2025</x:v>
      </x:c>
      <x:c r="AC588" s="80" t="str">
        <x:v>Consistent</x:v>
      </x:c>
      <x:c r="AD588" s="80" t="str">
        <x:v>Eligible</x:v>
      </x:c>
      <x:c r="AE588" s="80" t="str">
        <x:f>IF(OR($AH588&lt;&gt;"Valid",$AI588&lt;&gt;"Valid",$AJ588&lt;&gt;"Valid",LEFT($AM588,7)="Invalid",IFERROR(ABS($AQ588)&gt;0.01,FALSE),IFERROR(ABS($AR588)&gt;0.01,FALSE),COUNTIF($AS588,"*Conflicting duplicate*")&gt;0,COUNTIF($AS588,"*Completed order not paid*")&gt;0),"Invalid",IF(OR($H588="Unknown",$N588="Unknown",$AM588="Missing discount imputed as 0"),"Warning","Clean"))</x:f>
        <x:v>Clean</x:v>
      </x:c>
      <x:c r="AF588" s="80" t="str">
        <x:v>Pass</x:v>
      </x:c>
      <x:c r="AG588" s="80" t="str">
        <x:v>No text cleanup required</x:v>
      </x:c>
      <x:c r="AH588" s="12" t="str">
        <x:f>IF(C588="","Missing date",IF(ISNUMBER(C588),"Valid","Unrecognized/invalid date"))</x:f>
        <x:v>Valid</x:v>
      </x:c>
      <x:c r="AI588" s="12" t="str">
        <x:f>IF(D588="","Missing date",IF(ISNUMBER(D588),"Valid","Unrecognized/invalid date"))</x:f>
        <x:v>Valid</x:v>
      </x:c>
      <x:c r="AJ588" s="12" t="str">
        <x:v>Valid</x:v>
      </x:c>
      <x:c r="AK588" s="12" t="str">
        <x:v>Pass</x:v>
      </x:c>
      <x:c r="AL588" s="12" t="str">
        <x:v>None</x:v>
      </x:c>
      <x:c r="AM588" s="12" t="str">
        <x:v>Valid</x:v>
      </x:c>
      <x:c r="AN588" s="12" t="str">
        <x:v>Include in completed sales</x:v>
      </x:c>
      <x:c r="AO588" s="12" t="str">
        <x:v>Not a refunded record</x:v>
      </x:c>
      <x:c r="AP588" s="37" t="n">
        <x:f>IF(LEFT($AM588,7)="Invalid","",IF($AM588="Missing discount imputed as 0",IF(AND(COUNT($O588,$P588,$R588,$S588)=4,$O588&gt;0,$P588&gt;=0,$R588&gt;=0,$S588&gt;=0),0,""),IF(AND(ISNUMBER($Q588),$Q588&gt;=0,$Q588&lt;=0.5),$Q588,"")))</x:f>
        <x:v>0.2</x:v>
      </x:c>
      <x:c r="AQ588" s="152" t="n">
        <x:f>IF(OR($W588="",NOT(ISNUMBER($R588))),"",ROUND($R588-$W588,2))</x:f>
        <x:v>0</x:v>
      </x:c>
      <x:c r="AR588" s="152" t="n">
        <x:f>IF(OR($X588="",NOT(ISNUMBER($T588))),"",ROUND($T588-$X588,2))</x:f>
        <x:v>0</x:v>
      </x:c>
      <x:c r="AS588" s="14" t="str">
        <x:v>OK</x:v>
      </x:c>
    </x:row>
    <x:row r="589">
      <x:c r="A589" s="80" t="n">
        <x:v>589</x:v>
      </x:c>
      <x:c r="B589" s="80" t="str">
        <x:v>ORD-2025-10588</x:v>
      </x:c>
      <x:c r="C589" s="81" t="n">
        <x:v>45861</x:v>
      </x:c>
      <x:c r="D589" s="81" t="n">
        <x:v>45869</x:v>
      </x:c>
      <x:c r="E589" s="80" t="str">
        <x:v>CUST-1013</x:v>
      </x:c>
      <x:c r="F589" s="80" t="str">
        <x:v>Kabir Singh</x:v>
      </x:c>
      <x:c r="G589" s="80" t="str">
        <x:v>Home Office</x:v>
      </x:c>
      <x:c r="H589" s="80" t="str">
        <x:v>West</x:v>
      </x:c>
      <x:c r="I589" s="80" t="str">
        <x:v>Madhya Pradesh</x:v>
      </x:c>
      <x:c r="J589" s="80" t="str">
        <x:v>Indore</x:v>
      </x:c>
      <x:c r="K589" s="80" t="str">
        <x:v>Technology</x:v>
      </x:c>
      <x:c r="L589" s="80" t="str">
        <x:v>Accessories</x:v>
      </x:c>
      <x:c r="M589" s="80" t="str">
        <x:v>Eco Accessories 948</x:v>
      </x:c>
      <x:c r="N589" s="80" t="str">
        <x:v>First Class</x:v>
      </x:c>
      <x:c r="O589" s="82" t="n">
        <x:v>1</x:v>
      </x:c>
      <x:c r="P589" s="83" t="n">
        <x:v>4253.84</x:v>
      </x:c>
      <x:c r="Q589" s="84" t="n">
        <x:v>0.15</x:v>
      </x:c>
      <x:c r="R589" s="83" t="n">
        <x:v>3615.76</x:v>
      </x:c>
      <x:c r="S589" s="83" t="n">
        <x:v>2951.52</x:v>
      </x:c>
      <x:c r="T589" s="83" t="n">
        <x:v>664.24</x:v>
      </x:c>
      <x:c r="U589" s="83" t="str">
        <x:v>Refunded</x:v>
      </x:c>
      <x:c r="V589" s="83" t="str">
        <x:v>Cancelled</x:v>
      </x:c>
      <x:c r="W589" s="151" t="n">
        <x:f>IF(OR(NOT(ISNUMBER($AP589)),COUNT($O589,$P589)&lt;2,$O589&lt;=0,$P589&lt;0),"",ROUND($O589*$P589*(1-$AP589),2))</x:f>
        <x:v>3615.76</x:v>
      </x:c>
      <x:c r="X589" s="151" t="n">
        <x:f>IF(OR(NOT(ISNUMBER($W589)),NOT(ISNUMBER($S589))),"",ROUND($W589-$S589,2))</x:f>
        <x:v>664.24</x:v>
      </x:c>
      <x:c r="Y589" s="85" t="n">
        <x:f>IF(OR(NOT(ISNUMBER($W589)),NOT(ISNUMBER($X589)),$W589=0),"",ROUND($X589/$W589,4))</x:f>
        <x:v>0.1837</x:v>
      </x:c>
      <x:c r="Z589" s="82" t="n">
        <x:f>IF(OR($AH589&lt;&gt;"Valid",$AI589&lt;&gt;"Valid"),"",INT($D589-$C589))</x:f>
        <x:v>8</x:v>
      </x:c>
      <x:c r="AA589" s="86" t="str">
        <x:f>IF($AH589&lt;&gt;"Valid","",TEXT($C589,"mmmm"))</x:f>
        <x:v>July</x:v>
      </x:c>
      <x:c r="AB589" s="82" t="n">
        <x:f>IF($AH589&lt;&gt;"Valid","",YEAR($C589))</x:f>
        <x:v>2025</x:v>
      </x:c>
      <x:c r="AC589" s="80" t="str">
        <x:v>Cancelled (excluded from completed-sales summary)</x:v>
      </x:c>
      <x:c r="AD589" s="80" t="str">
        <x:v>Excluded</x:v>
      </x:c>
      <x:c r="AE589" s="80" t="str">
        <x:f>IF(OR($AH589&lt;&gt;"Valid",$AI589&lt;&gt;"Valid",$AJ589&lt;&gt;"Valid",LEFT($AM589,7)="Invalid",IFERROR(ABS($AQ589)&gt;0.01,FALSE),IFERROR(ABS($AR589)&gt;0.01,FALSE),COUNTIF($AS589,"*Conflicting duplicate*")&gt;0,COUNTIF($AS589,"*Completed order not paid*")&gt;0),"Invalid",IF(OR($H589="Unknown",$N589="Unknown",$AM589="Missing discount imputed as 0"),"Warning","Clean"))</x:f>
        <x:v>Clean</x:v>
      </x:c>
      <x:c r="AF589" s="80" t="str">
        <x:v>Pass</x:v>
      </x:c>
      <x:c r="AG589" s="80" t="str">
        <x:v>No text cleanup required</x:v>
      </x:c>
      <x:c r="AH589" s="12" t="str">
        <x:f>IF(C589="","Missing date",IF(ISNUMBER(C589),"Valid","Unrecognized/invalid date"))</x:f>
        <x:v>Valid</x:v>
      </x:c>
      <x:c r="AI589" s="12" t="str">
        <x:f>IF(D589="","Missing date",IF(ISNUMBER(D589),"Valid","Unrecognized/invalid date"))</x:f>
        <x:v>Valid</x:v>
      </x:c>
      <x:c r="AJ589" s="12" t="str">
        <x:v>Valid</x:v>
      </x:c>
      <x:c r="AK589" s="12" t="str">
        <x:v>Pass</x:v>
      </x:c>
      <x:c r="AL589" s="12" t="str">
        <x:v>Cancelled order – excluded from completed sales; Refunded payment – separately summarized</x:v>
      </x:c>
      <x:c r="AM589" s="12" t="str">
        <x:v>Valid</x:v>
      </x:c>
      <x:c r="AN589" s="12" t="str">
        <x:v>Exclude from completed sales</x:v>
      </x:c>
      <x:c r="AO589" s="12" t="str">
        <x:v>Include in refunded summary</x:v>
      </x:c>
      <x:c r="AP589" s="37" t="n">
        <x:f>IF(LEFT($AM589,7)="Invalid","",IF($AM589="Missing discount imputed as 0",IF(AND(COUNT($O589,$P589,$R589,$S589)=4,$O589&gt;0,$P589&gt;=0,$R589&gt;=0,$S589&gt;=0),0,""),IF(AND(ISNUMBER($Q589),$Q589&gt;=0,$Q589&lt;=0.5),$Q589,"")))</x:f>
        <x:v>0.15</x:v>
      </x:c>
      <x:c r="AQ589" s="152" t="n">
        <x:f>IF(OR($W589="",NOT(ISNUMBER($R589))),"",ROUND($R589-$W589,2))</x:f>
        <x:v>0</x:v>
      </x:c>
      <x:c r="AR589" s="152" t="n">
        <x:f>IF(OR($X589="",NOT(ISNUMBER($T589))),"",ROUND($T589-$X589,2))</x:f>
        <x:v>0</x:v>
      </x:c>
      <x:c r="AS589" s="14" t="str">
        <x:v>OK</x:v>
      </x:c>
    </x:row>
    <x:row r="590">
      <x:c r="A590" s="80" t="n">
        <x:v>590</x:v>
      </x:c>
      <x:c r="B590" s="80" t="str">
        <x:v>ORD-2025-10589</x:v>
      </x:c>
      <x:c r="C590" s="81" t="n">
        <x:v>45727</x:v>
      </x:c>
      <x:c r="D590" s="81" t="n">
        <x:v>45731</x:v>
      </x:c>
      <x:c r="E590" s="80" t="str">
        <x:v>CUST-3601</x:v>
      </x:c>
      <x:c r="F590" s="80" t="str">
        <x:v>Aarav Sharma</x:v>
      </x:c>
      <x:c r="G590" s="80" t="str">
        <x:v>Home Office</x:v>
      </x:c>
      <x:c r="H590" s="80" t="str">
        <x:v>South</x:v>
      </x:c>
      <x:c r="I590" s="80" t="str">
        <x:v>Karnataka</x:v>
      </x:c>
      <x:c r="J590" s="80" t="str">
        <x:v>Bengaluru</x:v>
      </x:c>
      <x:c r="K590" s="80" t="str">
        <x:v>Technology</x:v>
      </x:c>
      <x:c r="L590" s="80" t="str">
        <x:v>Accessories</x:v>
      </x:c>
      <x:c r="M590" s="80" t="str">
        <x:v>Classic Accessories 458</x:v>
      </x:c>
      <x:c r="N590" s="80" t="str">
        <x:v>Second Class</x:v>
      </x:c>
      <x:c r="O590" s="82" t="n">
        <x:v>8</x:v>
      </x:c>
      <x:c r="P590" s="83" t="n">
        <x:v>4446.36</x:v>
      </x:c>
      <x:c r="Q590" s="84" t="n">
        <x:v>0.1</x:v>
      </x:c>
      <x:c r="R590" s="83" t="n">
        <x:v>32013.79</x:v>
      </x:c>
      <x:c r="S590" s="83" t="n">
        <x:v>20896.88</x:v>
      </x:c>
      <x:c r="T590" s="83" t="n">
        <x:v>11116.91</x:v>
      </x:c>
      <x:c r="U590" s="83" t="str">
        <x:v>Refunded</x:v>
      </x:c>
      <x:c r="V590" s="83" t="str">
        <x:v>Cancelled</x:v>
      </x:c>
      <x:c r="W590" s="151" t="n">
        <x:f>IF(OR(NOT(ISNUMBER($AP590)),COUNT($O590,$P590)&lt;2,$O590&lt;=0,$P590&lt;0),"",ROUND($O590*$P590*(1-$AP590),2))</x:f>
        <x:v>32013.79</x:v>
      </x:c>
      <x:c r="X590" s="151" t="n">
        <x:f>IF(OR(NOT(ISNUMBER($W590)),NOT(ISNUMBER($S590))),"",ROUND($W590-$S590,2))</x:f>
        <x:v>11116.91</x:v>
      </x:c>
      <x:c r="Y590" s="85" t="n">
        <x:f>IF(OR(NOT(ISNUMBER($W590)),NOT(ISNUMBER($X590)),$W590=0),"",ROUND($X590/$W590,4))</x:f>
        <x:v>0.3473</x:v>
      </x:c>
      <x:c r="Z590" s="82" t="n">
        <x:f>IF(OR($AH590&lt;&gt;"Valid",$AI590&lt;&gt;"Valid"),"",INT($D590-$C590))</x:f>
        <x:v>4</x:v>
      </x:c>
      <x:c r="AA590" s="86" t="str">
        <x:f>IF($AH590&lt;&gt;"Valid","",TEXT($C590,"mmmm"))</x:f>
        <x:v>March</x:v>
      </x:c>
      <x:c r="AB590" s="82" t="n">
        <x:f>IF($AH590&lt;&gt;"Valid","",YEAR($C590))</x:f>
        <x:v>2025</x:v>
      </x:c>
      <x:c r="AC590" s="80" t="str">
        <x:v>Cancelled (excluded from completed-sales summary)</x:v>
      </x:c>
      <x:c r="AD590" s="80" t="str">
        <x:v>Excluded</x:v>
      </x:c>
      <x:c r="AE590" s="80" t="str">
        <x:f>IF(OR($AH590&lt;&gt;"Valid",$AI590&lt;&gt;"Valid",$AJ590&lt;&gt;"Valid",LEFT($AM590,7)="Invalid",IFERROR(ABS($AQ590)&gt;0.01,FALSE),IFERROR(ABS($AR590)&gt;0.01,FALSE),COUNTIF($AS590,"*Conflicting duplicate*")&gt;0,COUNTIF($AS590,"*Completed order not paid*")&gt;0),"Invalid",IF(OR($H590="Unknown",$N590="Unknown",$AM590="Missing discount imputed as 0"),"Warning","Clean"))</x:f>
        <x:v>Clean</x:v>
      </x:c>
      <x:c r="AF590" s="80" t="str">
        <x:v>Pass</x:v>
      </x:c>
      <x:c r="AG590" s="80" t="str">
        <x:v>No text cleanup required</x:v>
      </x:c>
      <x:c r="AH590" s="12" t="str">
        <x:f>IF(C590="","Missing date",IF(ISNUMBER(C590),"Valid","Unrecognized/invalid date"))</x:f>
        <x:v>Valid</x:v>
      </x:c>
      <x:c r="AI590" s="12" t="str">
        <x:f>IF(D590="","Missing date",IF(ISNUMBER(D590),"Valid","Unrecognized/invalid date"))</x:f>
        <x:v>Valid</x:v>
      </x:c>
      <x:c r="AJ590" s="12" t="str">
        <x:v>Valid</x:v>
      </x:c>
      <x:c r="AK590" s="12" t="str">
        <x:v>Pass</x:v>
      </x:c>
      <x:c r="AL590" s="12" t="str">
        <x:v>Cancelled order – excluded from completed sales; Refunded payment – separately summarized</x:v>
      </x:c>
      <x:c r="AM590" s="12" t="str">
        <x:v>Valid</x:v>
      </x:c>
      <x:c r="AN590" s="12" t="str">
        <x:v>Exclude from completed sales</x:v>
      </x:c>
      <x:c r="AO590" s="12" t="str">
        <x:v>Include in refunded summary</x:v>
      </x:c>
      <x:c r="AP590" s="37" t="n">
        <x:f>IF(LEFT($AM590,7)="Invalid","",IF($AM590="Missing discount imputed as 0",IF(AND(COUNT($O590,$P590,$R590,$S590)=4,$O590&gt;0,$P590&gt;=0,$R590&gt;=0,$S590&gt;=0),0,""),IF(AND(ISNUMBER($Q590),$Q590&gt;=0,$Q590&lt;=0.5),$Q590,"")))</x:f>
        <x:v>0.1</x:v>
      </x:c>
      <x:c r="AQ590" s="152" t="n">
        <x:f>IF(OR($W590="",NOT(ISNUMBER($R590))),"",ROUND($R590-$W590,2))</x:f>
        <x:v>0</x:v>
      </x:c>
      <x:c r="AR590" s="152" t="n">
        <x:f>IF(OR($X590="",NOT(ISNUMBER($T590))),"",ROUND($T590-$X590,2))</x:f>
        <x:v>0</x:v>
      </x:c>
      <x:c r="AS590" s="14" t="str">
        <x:v>OK</x:v>
      </x:c>
    </x:row>
    <x:row r="591">
      <x:c r="A591" s="80" t="n">
        <x:v>591</x:v>
      </x:c>
      <x:c r="B591" s="80" t="str">
        <x:v>ORD-2024-10590</x:v>
      </x:c>
      <x:c r="C591" s="81" t="n">
        <x:v>45632</x:v>
      </x:c>
      <x:c r="D591" s="81" t="n">
        <x:v>45638</x:v>
      </x:c>
      <x:c r="E591" s="80" t="str">
        <x:v>CUST-7846</x:v>
      </x:c>
      <x:c r="F591" s="80" t="str">
        <x:v>Rohan Mehta</x:v>
      </x:c>
      <x:c r="G591" s="80" t="str">
        <x:v>Corporate</x:v>
      </x:c>
      <x:c r="H591" s="80" t="str">
        <x:v>North</x:v>
      </x:c>
      <x:c r="I591" s="80" t="str">
        <x:v>Uttar Pradesh</x:v>
      </x:c>
      <x:c r="J591" s="80" t="str">
        <x:v>Noida</x:v>
      </x:c>
      <x:c r="K591" s="80" t="str">
        <x:v>Technology</x:v>
      </x:c>
      <x:c r="L591" s="80" t="str">
        <x:v>Phones</x:v>
      </x:c>
      <x:c r="M591" s="80" t="str">
        <x:v>Max Phones 318</x:v>
      </x:c>
      <x:c r="N591" s="80" t="str">
        <x:v>First Class</x:v>
      </x:c>
      <x:c r="O591" s="82" t="n">
        <x:v>3</x:v>
      </x:c>
      <x:c r="P591" s="83" t="n">
        <x:v>524.75</x:v>
      </x:c>
      <x:c r="Q591" s="84" t="n">
        <x:v>0</x:v>
      </x:c>
      <x:c r="R591" s="83" t="n">
        <x:v>1574.25</x:v>
      </x:c>
      <x:c r="S591" s="83" t="n">
        <x:v>1326.12</x:v>
      </x:c>
      <x:c r="T591" s="83" t="n">
        <x:v>248.13</x:v>
      </x:c>
      <x:c r="U591" s="83" t="str">
        <x:v>Paid</x:v>
      </x:c>
      <x:c r="V591" s="83" t="str">
        <x:v>Completed</x:v>
      </x:c>
      <x:c r="W591" s="151" t="n">
        <x:f>IF(OR(NOT(ISNUMBER($AP591)),COUNT($O591,$P591)&lt;2,$O591&lt;=0,$P591&lt;0),"",ROUND($O591*$P591*(1-$AP591),2))</x:f>
        <x:v>1574.25</x:v>
      </x:c>
      <x:c r="X591" s="151" t="n">
        <x:f>IF(OR(NOT(ISNUMBER($W591)),NOT(ISNUMBER($S591))),"",ROUND($W591-$S591,2))</x:f>
        <x:v>248.13</x:v>
      </x:c>
      <x:c r="Y591" s="85" t="n">
        <x:f>IF(OR(NOT(ISNUMBER($W591)),NOT(ISNUMBER($X591)),$W591=0),"",ROUND($X591/$W591,4))</x:f>
        <x:v>0.1576</x:v>
      </x:c>
      <x:c r="Z591" s="82" t="n">
        <x:f>IF(OR($AH591&lt;&gt;"Valid",$AI591&lt;&gt;"Valid"),"",INT($D591-$C591))</x:f>
        <x:v>6</x:v>
      </x:c>
      <x:c r="AA591" s="86" t="str">
        <x:f>IF($AH591&lt;&gt;"Valid","",TEXT($C591,"mmmm"))</x:f>
        <x:v>December</x:v>
      </x:c>
      <x:c r="AB591" s="82" t="n">
        <x:f>IF($AH591&lt;&gt;"Valid","",YEAR($C591))</x:f>
        <x:v>2024</x:v>
      </x:c>
      <x:c r="AC591" s="80" t="str">
        <x:v>Consistent</x:v>
      </x:c>
      <x:c r="AD591" s="80" t="str">
        <x:v>Eligible</x:v>
      </x:c>
      <x:c r="AE591" s="80" t="str">
        <x:f>IF(OR($AH591&lt;&gt;"Valid",$AI591&lt;&gt;"Valid",$AJ591&lt;&gt;"Valid",LEFT($AM591,7)="Invalid",IFERROR(ABS($AQ591)&gt;0.01,FALSE),IFERROR(ABS($AR591)&gt;0.01,FALSE),COUNTIF($AS591,"*Conflicting duplicate*")&gt;0,COUNTIF($AS591,"*Completed order not paid*")&gt;0),"Invalid",IF(OR($H591="Unknown",$N591="Unknown",$AM591="Missing discount imputed as 0"),"Warning","Clean"))</x:f>
        <x:v>Clean</x:v>
      </x:c>
      <x:c r="AF591" s="80" t="str">
        <x:v>Pass</x:v>
      </x:c>
      <x:c r="AG591" s="80" t="str">
        <x:v>No text cleanup required</x:v>
      </x:c>
      <x:c r="AH591" s="12" t="str">
        <x:f>IF(C591="","Missing date",IF(ISNUMBER(C591),"Valid","Unrecognized/invalid date"))</x:f>
        <x:v>Valid</x:v>
      </x:c>
      <x:c r="AI591" s="12" t="str">
        <x:f>IF(D591="","Missing date",IF(ISNUMBER(D591),"Valid","Unrecognized/invalid date"))</x:f>
        <x:v>Valid</x:v>
      </x:c>
      <x:c r="AJ591" s="12" t="str">
        <x:v>Valid</x:v>
      </x:c>
      <x:c r="AK591" s="12" t="str">
        <x:v>Pass</x:v>
      </x:c>
      <x:c r="AL591" s="12" t="str">
        <x:v>None</x:v>
      </x:c>
      <x:c r="AM591" s="12" t="str">
        <x:v>Valid</x:v>
      </x:c>
      <x:c r="AN591" s="12" t="str">
        <x:v>Include in completed sales</x:v>
      </x:c>
      <x:c r="AO591" s="12" t="str">
        <x:v>Not a refunded record</x:v>
      </x:c>
      <x:c r="AP591" s="37" t="n">
        <x:f>IF(LEFT($AM591,7)="Invalid","",IF($AM591="Missing discount imputed as 0",IF(AND(COUNT($O591,$P591,$R591,$S591)=4,$O591&gt;0,$P591&gt;=0,$R591&gt;=0,$S591&gt;=0),0,""),IF(AND(ISNUMBER($Q591),$Q591&gt;=0,$Q591&lt;=0.5),$Q591,"")))</x:f>
        <x:v>0</x:v>
      </x:c>
      <x:c r="AQ591" s="152" t="n">
        <x:f>IF(OR($W591="",NOT(ISNUMBER($R591))),"",ROUND($R591-$W591,2))</x:f>
        <x:v>0</x:v>
      </x:c>
      <x:c r="AR591" s="152" t="n">
        <x:f>IF(OR($X591="",NOT(ISNUMBER($T591))),"",ROUND($T591-$X591,2))</x:f>
        <x:v>0</x:v>
      </x:c>
      <x:c r="AS591" s="14" t="str">
        <x:v>OK</x:v>
      </x:c>
    </x:row>
    <x:row r="592">
      <x:c r="A592" s="80" t="n">
        <x:v>592</x:v>
      </x:c>
      <x:c r="B592" s="80" t="str">
        <x:v>ORD-2024-10591</x:v>
      </x:c>
      <x:c r="C592" s="81" t="n">
        <x:v>45441</x:v>
      </x:c>
      <x:c r="D592" s="81" t="n">
        <x:v>45441</x:v>
      </x:c>
      <x:c r="E592" s="80" t="str">
        <x:v>CUST-3433</x:v>
      </x:c>
      <x:c r="F592" s="80" t="str">
        <x:v>Aarav Sharma</x:v>
      </x:c>
      <x:c r="G592" s="80" t="str">
        <x:v>Home Office</x:v>
      </x:c>
      <x:c r="H592" s="80" t="str">
        <x:v>North</x:v>
      </x:c>
      <x:c r="I592" s="80" t="str">
        <x:v>Delhi</x:v>
      </x:c>
      <x:c r="J592" s="80" t="str">
        <x:v>New Delhi</x:v>
      </x:c>
      <x:c r="K592" s="80" t="str">
        <x:v>Furniture</x:v>
      </x:c>
      <x:c r="L592" s="80" t="str">
        <x:v>Chairs</x:v>
      </x:c>
      <x:c r="M592" s="80" t="str">
        <x:v>Elite Chairs 372</x:v>
      </x:c>
      <x:c r="N592" s="80" t="str">
        <x:v>Same Day</x:v>
      </x:c>
      <x:c r="O592" s="82" t="n">
        <x:v>6</x:v>
      </x:c>
      <x:c r="P592" s="83" t="n">
        <x:v>3430.35</x:v>
      </x:c>
      <x:c r="Q592" s="84" t="n">
        <x:v>0</x:v>
      </x:c>
      <x:c r="R592" s="83" t="n">
        <x:v>20582.1</x:v>
      </x:c>
      <x:c r="S592" s="83" t="n">
        <x:v>15897.65</x:v>
      </x:c>
      <x:c r="T592" s="83" t="n">
        <x:v>4684.45</x:v>
      </x:c>
      <x:c r="U592" s="83" t="str">
        <x:v>Pending</x:v>
      </x:c>
      <x:c r="V592" s="83" t="str">
        <x:v>Cancelled</x:v>
      </x:c>
      <x:c r="W592" s="151" t="n">
        <x:f>IF(OR(NOT(ISNUMBER($AP592)),COUNT($O592,$P592)&lt;2,$O592&lt;=0,$P592&lt;0),"",ROUND($O592*$P592*(1-$AP592),2))</x:f>
        <x:v>20582.1</x:v>
      </x:c>
      <x:c r="X592" s="151" t="n">
        <x:f>IF(OR(NOT(ISNUMBER($W592)),NOT(ISNUMBER($S592))),"",ROUND($W592-$S592,2))</x:f>
        <x:v>4684.45</x:v>
      </x:c>
      <x:c r="Y592" s="85" t="n">
        <x:f>IF(OR(NOT(ISNUMBER($W592)),NOT(ISNUMBER($X592)),$W592=0),"",ROUND($X592/$W592,4))</x:f>
        <x:v>0.2276</x:v>
      </x:c>
      <x:c r="Z592" s="82" t="n">
        <x:f>IF(OR($AH592&lt;&gt;"Valid",$AI592&lt;&gt;"Valid"),"",INT($D592-$C592))</x:f>
        <x:v>0</x:v>
      </x:c>
      <x:c r="AA592" s="86" t="str">
        <x:f>IF($AH592&lt;&gt;"Valid","",TEXT($C592,"mmmm"))</x:f>
        <x:v>May</x:v>
      </x:c>
      <x:c r="AB592" s="82" t="n">
        <x:f>IF($AH592&lt;&gt;"Valid","",YEAR($C592))</x:f>
        <x:v>2024</x:v>
      </x:c>
      <x:c r="AC592" s="80" t="str">
        <x:v>Cancelled (excluded from completed-sales summary)</x:v>
      </x:c>
      <x:c r="AD592" s="80" t="str">
        <x:v>Excluded</x:v>
      </x:c>
      <x:c r="AE592" s="80" t="str">
        <x:f>IF(OR($AH592&lt;&gt;"Valid",$AI592&lt;&gt;"Valid",$AJ592&lt;&gt;"Valid",LEFT($AM592,7)="Invalid",IFERROR(ABS($AQ592)&gt;0.01,FALSE),IFERROR(ABS($AR592)&gt;0.01,FALSE),COUNTIF($AS592,"*Conflicting duplicate*")&gt;0,COUNTIF($AS592,"*Completed order not paid*")&gt;0),"Invalid",IF(OR($H592="Unknown",$N592="Unknown",$AM592="Missing discount imputed as 0"),"Warning","Clean"))</x:f>
        <x:v>Clean</x:v>
      </x:c>
      <x:c r="AF592" s="80" t="str">
        <x:v>Cleaned</x:v>
      </x:c>
      <x:c r="AG592" s="80" t="str">
        <x:v>payment_status: TRIM/SUBSTITUTE whitespace cleanup</x:v>
      </x:c>
      <x:c r="AH592" s="12" t="str">
        <x:f>IF(C592="","Missing date",IF(ISNUMBER(C592),"Valid","Unrecognized/invalid date"))</x:f>
        <x:v>Valid</x:v>
      </x:c>
      <x:c r="AI592" s="12" t="str">
        <x:f>IF(D592="","Missing date",IF(ISNUMBER(D592),"Valid","Unrecognized/invalid date"))</x:f>
        <x:v>Valid</x:v>
      </x:c>
      <x:c r="AJ592" s="12" t="str">
        <x:v>Valid</x:v>
      </x:c>
      <x:c r="AK592" s="12" t="str">
        <x:v>Pass</x:v>
      </x:c>
      <x:c r="AL592" s="12" t="str">
        <x:v>Cancelled order – excluded from completed sales</x:v>
      </x:c>
      <x:c r="AM592" s="12" t="str">
        <x:v>Valid</x:v>
      </x:c>
      <x:c r="AN592" s="12" t="str">
        <x:v>Exclude from completed sales</x:v>
      </x:c>
      <x:c r="AO592" s="12" t="str">
        <x:v>Not a refunded record</x:v>
      </x:c>
      <x:c r="AP592" s="37" t="n">
        <x:f>IF(LEFT($AM592,7)="Invalid","",IF($AM592="Missing discount imputed as 0",IF(AND(COUNT($O592,$P592,$R592,$S592)=4,$O592&gt;0,$P592&gt;=0,$R592&gt;=0,$S592&gt;=0),0,""),IF(AND(ISNUMBER($Q592),$Q592&gt;=0,$Q592&lt;=0.5),$Q592,"")))</x:f>
        <x:v>0</x:v>
      </x:c>
      <x:c r="AQ592" s="152" t="n">
        <x:f>IF(OR($W592="",NOT(ISNUMBER($R592))),"",ROUND($R592-$W592,2))</x:f>
        <x:v>0</x:v>
      </x:c>
      <x:c r="AR592" s="152" t="n">
        <x:f>IF(OR($X592="",NOT(ISNUMBER($T592))),"",ROUND($T592-$X592,2))</x:f>
        <x:v>0</x:v>
      </x:c>
      <x:c r="AS592" s="14" t="str">
        <x:v>OK</x:v>
      </x:c>
    </x:row>
    <x:row r="593">
      <x:c r="A593" s="80" t="n">
        <x:v>593</x:v>
      </x:c>
      <x:c r="B593" s="80" t="str">
        <x:v>ORD-2024-10592</x:v>
      </x:c>
      <x:c r="C593" s="81" t="n">
        <x:v>45344</x:v>
      </x:c>
      <x:c r="D593" s="81" t="n">
        <x:v>45346</x:v>
      </x:c>
      <x:c r="E593" s="80" t="str">
        <x:v>CUST-2423</x:v>
      </x:c>
      <x:c r="F593" s="80" t="str">
        <x:v>Sneha Kapoor</x:v>
      </x:c>
      <x:c r="G593" s="80" t="str">
        <x:v>Consumer</x:v>
      </x:c>
      <x:c r="H593" s="80" t="str">
        <x:v>South</x:v>
      </x:c>
      <x:c r="I593" s="80" t="str">
        <x:v>Karnataka</x:v>
      </x:c>
      <x:c r="J593" s="80" t="str">
        <x:v>Bengaluru</x:v>
      </x:c>
      <x:c r="K593" s="80" t="str">
        <x:v>Technology</x:v>
      </x:c>
      <x:c r="L593" s="80" t="str">
        <x:v>Copiers</x:v>
      </x:c>
      <x:c r="M593" s="80" t="str">
        <x:v>Eco Copiers 324</x:v>
      </x:c>
      <x:c r="N593" s="80" t="str">
        <x:v>First Class</x:v>
      </x:c>
      <x:c r="O593" s="82" t="n">
        <x:v>3</x:v>
      </x:c>
      <x:c r="P593" s="83" t="n">
        <x:v>3545.08</x:v>
      </x:c>
      <x:c r="Q593" s="84" t="n">
        <x:v>0</x:v>
      </x:c>
      <x:c r="R593" s="83" t="n">
        <x:v>10635.24</x:v>
      </x:c>
      <x:c r="S593" s="83" t="n">
        <x:v>6031.88</x:v>
      </x:c>
      <x:c r="T593" s="83" t="n">
        <x:v>4603.36</x:v>
      </x:c>
      <x:c r="U593" s="83" t="str">
        <x:v>Failed</x:v>
      </x:c>
      <x:c r="V593" s="83" t="str">
        <x:v>Returned</x:v>
      </x:c>
      <x:c r="W593" s="151" t="n">
        <x:f>IF(OR(NOT(ISNUMBER($AP593)),COUNT($O593,$P593)&lt;2,$O593&lt;=0,$P593&lt;0),"",ROUND($O593*$P593*(1-$AP593),2))</x:f>
        <x:v>10635.24</x:v>
      </x:c>
      <x:c r="X593" s="151" t="n">
        <x:f>IF(OR(NOT(ISNUMBER($W593)),NOT(ISNUMBER($S593))),"",ROUND($W593-$S593,2))</x:f>
        <x:v>4603.36</x:v>
      </x:c>
      <x:c r="Y593" s="85" t="n">
        <x:f>IF(OR(NOT(ISNUMBER($W593)),NOT(ISNUMBER($X593)),$W593=0),"",ROUND($X593/$W593,4))</x:f>
        <x:v>0.4328</x:v>
      </x:c>
      <x:c r="Z593" s="82" t="n">
        <x:f>IF(OR($AH593&lt;&gt;"Valid",$AI593&lt;&gt;"Valid"),"",INT($D593-$C593))</x:f>
        <x:v>2</x:v>
      </x:c>
      <x:c r="AA593" s="86" t="str">
        <x:f>IF($AH593&lt;&gt;"Valid","",TEXT($C593,"mmmm"))</x:f>
        <x:v>February</x:v>
      </x:c>
      <x:c r="AB593" s="82" t="n">
        <x:f>IF($AH593&lt;&gt;"Valid","",YEAR($C593))</x:f>
        <x:v>2024</x:v>
      </x:c>
      <x:c r="AC593" s="80" t="str">
        <x:v>Failed payment (excluded from completed-sales summary)</x:v>
      </x:c>
      <x:c r="AD593" s="80" t="str">
        <x:v>Excluded</x:v>
      </x:c>
      <x:c r="AE593" s="80" t="str">
        <x:f>IF(OR($AH593&lt;&gt;"Valid",$AI593&lt;&gt;"Valid",$AJ593&lt;&gt;"Valid",LEFT($AM593,7)="Invalid",IFERROR(ABS($AQ593)&gt;0.01,FALSE),IFERROR(ABS($AR593)&gt;0.01,FALSE),COUNTIF($AS593,"*Conflicting duplicate*")&gt;0,COUNTIF($AS593,"*Completed order not paid*")&gt;0),"Invalid",IF(OR($H593="Unknown",$N593="Unknown",$AM593="Missing discount imputed as 0"),"Warning","Clean"))</x:f>
        <x:v>Clean</x:v>
      </x:c>
      <x:c r="AF593" s="80" t="str">
        <x:v>Pass</x:v>
      </x:c>
      <x:c r="AG593" s="80" t="str">
        <x:v>No text cleanup required</x:v>
      </x:c>
      <x:c r="AH593" s="12" t="str">
        <x:f>IF(C593="","Missing date",IF(ISNUMBER(C593),"Valid","Unrecognized/invalid date"))</x:f>
        <x:v>Valid</x:v>
      </x:c>
      <x:c r="AI593" s="12" t="str">
        <x:f>IF(D593="","Missing date",IF(ISNUMBER(D593),"Valid","Unrecognized/invalid date"))</x:f>
        <x:v>Valid</x:v>
      </x:c>
      <x:c r="AJ593" s="12" t="str">
        <x:v>Valid</x:v>
      </x:c>
      <x:c r="AK593" s="12" t="str">
        <x:v>Pass</x:v>
      </x:c>
      <x:c r="AL593" s="12" t="str">
        <x:v>Failed payment – excluded from completed sales</x:v>
      </x:c>
      <x:c r="AM593" s="12" t="str">
        <x:v>Valid</x:v>
      </x:c>
      <x:c r="AN593" s="12" t="str">
        <x:v>Exclude from completed sales</x:v>
      </x:c>
      <x:c r="AO593" s="12" t="str">
        <x:v>Not a refunded record</x:v>
      </x:c>
      <x:c r="AP593" s="37" t="n">
        <x:f>IF(LEFT($AM593,7)="Invalid","",IF($AM593="Missing discount imputed as 0",IF(AND(COUNT($O593,$P593,$R593,$S593)=4,$O593&gt;0,$P593&gt;=0,$R593&gt;=0,$S593&gt;=0),0,""),IF(AND(ISNUMBER($Q593),$Q593&gt;=0,$Q593&lt;=0.5),$Q593,"")))</x:f>
        <x:v>0</x:v>
      </x:c>
      <x:c r="AQ593" s="152" t="n">
        <x:f>IF(OR($W593="",NOT(ISNUMBER($R593))),"",ROUND($R593-$W593,2))</x:f>
        <x:v>0</x:v>
      </x:c>
      <x:c r="AR593" s="152" t="n">
        <x:f>IF(OR($X593="",NOT(ISNUMBER($T593))),"",ROUND($T593-$X593,2))</x:f>
        <x:v>0</x:v>
      </x:c>
      <x:c r="AS593" s="14" t="str">
        <x:v>OK</x:v>
      </x:c>
    </x:row>
    <x:row r="594">
      <x:c r="A594" s="80" t="n">
        <x:v>594</x:v>
      </x:c>
      <x:c r="B594" s="80" t="str">
        <x:v>ORD-2024-10593</x:v>
      </x:c>
      <x:c r="C594" s="81" t="n">
        <x:v>45355</x:v>
      </x:c>
      <x:c r="D594" s="81" t="n">
        <x:v>45360</x:v>
      </x:c>
      <x:c r="E594" s="80" t="str">
        <x:v>CUST-3559</x:v>
      </x:c>
      <x:c r="F594" s="80" t="str">
        <x:v>Mira Das</x:v>
      </x:c>
      <x:c r="G594" s="80" t="str">
        <x:v>Consumer</x:v>
      </x:c>
      <x:c r="H594" s="80" t="str">
        <x:v>East</x:v>
      </x:c>
      <x:c r="I594" s="80" t="str">
        <x:v>West Bengal</x:v>
      </x:c>
      <x:c r="J594" s="80" t="str">
        <x:v>Kolkata</x:v>
      </x:c>
      <x:c r="K594" s="80" t="str">
        <x:v>Technology</x:v>
      </x:c>
      <x:c r="L594" s="80" t="str">
        <x:v>Accessories</x:v>
      </x:c>
      <x:c r="M594" s="80" t="str">
        <x:v>Classic Accessories 131</x:v>
      </x:c>
      <x:c r="N594" s="80" t="str">
        <x:v>Same Day</x:v>
      </x:c>
      <x:c r="O594" s="82" t="n">
        <x:v>8</x:v>
      </x:c>
      <x:c r="P594" s="83" t="n">
        <x:v>4401.41</x:v>
      </x:c>
      <x:c r="Q594" s="84" t="n">
        <x:v>0.15</x:v>
      </x:c>
      <x:c r="R594" s="83" t="n">
        <x:v>29929.59</x:v>
      </x:c>
      <x:c r="S594" s="83" t="n">
        <x:v>22436.03</x:v>
      </x:c>
      <x:c r="T594" s="83" t="n">
        <x:v>7493.56</x:v>
      </x:c>
      <x:c r="U594" s="83" t="str">
        <x:v>Paid</x:v>
      </x:c>
      <x:c r="V594" s="83" t="str">
        <x:v>Completed</x:v>
      </x:c>
      <x:c r="W594" s="151" t="n">
        <x:f>IF(OR(NOT(ISNUMBER($AP594)),COUNT($O594,$P594)&lt;2,$O594&lt;=0,$P594&lt;0),"",ROUND($O594*$P594*(1-$AP594),2))</x:f>
        <x:v>29929.59</x:v>
      </x:c>
      <x:c r="X594" s="151" t="n">
        <x:f>IF(OR(NOT(ISNUMBER($W594)),NOT(ISNUMBER($S594))),"",ROUND($W594-$S594,2))</x:f>
        <x:v>7493.56</x:v>
      </x:c>
      <x:c r="Y594" s="85" t="n">
        <x:f>IF(OR(NOT(ISNUMBER($W594)),NOT(ISNUMBER($X594)),$W594=0),"",ROUND($X594/$W594,4))</x:f>
        <x:v>0.2504</x:v>
      </x:c>
      <x:c r="Z594" s="82" t="n">
        <x:f>IF(OR($AH594&lt;&gt;"Valid",$AI594&lt;&gt;"Valid"),"",INT($D594-$C594))</x:f>
        <x:v>5</x:v>
      </x:c>
      <x:c r="AA594" s="86" t="str">
        <x:f>IF($AH594&lt;&gt;"Valid","",TEXT($C594,"mmmm"))</x:f>
        <x:v>March</x:v>
      </x:c>
      <x:c r="AB594" s="82" t="n">
        <x:f>IF($AH594&lt;&gt;"Valid","",YEAR($C594))</x:f>
        <x:v>2024</x:v>
      </x:c>
      <x:c r="AC594" s="80" t="str">
        <x:v>Consistent</x:v>
      </x:c>
      <x:c r="AD594" s="80" t="str">
        <x:v>Eligible</x:v>
      </x:c>
      <x:c r="AE594" s="80" t="str">
        <x:f>IF(OR($AH594&lt;&gt;"Valid",$AI594&lt;&gt;"Valid",$AJ594&lt;&gt;"Valid",LEFT($AM594,7)="Invalid",IFERROR(ABS($AQ594)&gt;0.01,FALSE),IFERROR(ABS($AR594)&gt;0.01,FALSE),COUNTIF($AS594,"*Conflicting duplicate*")&gt;0,COUNTIF($AS594,"*Completed order not paid*")&gt;0),"Invalid",IF(OR($H594="Unknown",$N594="Unknown",$AM594="Missing discount imputed as 0"),"Warning","Clean"))</x:f>
        <x:v>Clean</x:v>
      </x:c>
      <x:c r="AF594" s="80" t="str">
        <x:v>Pass</x:v>
      </x:c>
      <x:c r="AG594" s="80" t="str">
        <x:v>No text cleanup required</x:v>
      </x:c>
      <x:c r="AH594" s="12" t="str">
        <x:f>IF(C594="","Missing date",IF(ISNUMBER(C594),"Valid","Unrecognized/invalid date"))</x:f>
        <x:v>Valid</x:v>
      </x:c>
      <x:c r="AI594" s="12" t="str">
        <x:f>IF(D594="","Missing date",IF(ISNUMBER(D594),"Valid","Unrecognized/invalid date"))</x:f>
        <x:v>Valid</x:v>
      </x:c>
      <x:c r="AJ594" s="12" t="str">
        <x:v>Valid</x:v>
      </x:c>
      <x:c r="AK594" s="12" t="str">
        <x:v>Pass</x:v>
      </x:c>
      <x:c r="AL594" s="12" t="str">
        <x:v>None</x:v>
      </x:c>
      <x:c r="AM594" s="12" t="str">
        <x:v>Valid</x:v>
      </x:c>
      <x:c r="AN594" s="12" t="str">
        <x:v>Include in completed sales</x:v>
      </x:c>
      <x:c r="AO594" s="12" t="str">
        <x:v>Not a refunded record</x:v>
      </x:c>
      <x:c r="AP594" s="37" t="n">
        <x:f>IF(LEFT($AM594,7)="Invalid","",IF($AM594="Missing discount imputed as 0",IF(AND(COUNT($O594,$P594,$R594,$S594)=4,$O594&gt;0,$P594&gt;=0,$R594&gt;=0,$S594&gt;=0),0,""),IF(AND(ISNUMBER($Q594),$Q594&gt;=0,$Q594&lt;=0.5),$Q594,"")))</x:f>
        <x:v>0.15</x:v>
      </x:c>
      <x:c r="AQ594" s="152" t="n">
        <x:f>IF(OR($W594="",NOT(ISNUMBER($R594))),"",ROUND($R594-$W594,2))</x:f>
        <x:v>0</x:v>
      </x:c>
      <x:c r="AR594" s="152" t="n">
        <x:f>IF(OR($X594="",NOT(ISNUMBER($T594))),"",ROUND($T594-$X594,2))</x:f>
        <x:v>0</x:v>
      </x:c>
      <x:c r="AS594" s="14" t="str">
        <x:v>OK</x:v>
      </x:c>
    </x:row>
    <x:row r="595">
      <x:c r="A595" s="80" t="n">
        <x:v>595</x:v>
      </x:c>
      <x:c r="B595" s="80" t="str">
        <x:v>ORD-2025-10594</x:v>
      </x:c>
      <x:c r="C595" s="81" t="n">
        <x:v>45927</x:v>
      </x:c>
      <x:c r="D595" s="81" t="n">
        <x:v>45929</x:v>
      </x:c>
      <x:c r="E595" s="80" t="str">
        <x:v>CUST-2917</x:v>
      </x:c>
      <x:c r="F595" s="80" t="str">
        <x:v>Arjun Bose</x:v>
      </x:c>
      <x:c r="G595" s="80" t="str">
        <x:v>Home Office</x:v>
      </x:c>
      <x:c r="H595" s="80" t="str">
        <x:v>North</x:v>
      </x:c>
      <x:c r="I595" s="80" t="str">
        <x:v>Uttar Pradesh</x:v>
      </x:c>
      <x:c r="J595" s="80" t="str">
        <x:v>Noida</x:v>
      </x:c>
      <x:c r="K595" s="80" t="str">
        <x:v>Furniture</x:v>
      </x:c>
      <x:c r="L595" s="80" t="str">
        <x:v>Tables</x:v>
      </x:c>
      <x:c r="M595" s="80" t="str">
        <x:v>Eco Tables 550</x:v>
      </x:c>
      <x:c r="N595" s="80" t="str">
        <x:v>Second Class</x:v>
      </x:c>
      <x:c r="O595" s="82" t="n">
        <x:v>9</x:v>
      </x:c>
      <x:c r="P595" s="83" t="n">
        <x:v>4100.11</x:v>
      </x:c>
      <x:c r="Q595" s="84" t="n">
        <x:v>0.25</x:v>
      </x:c>
      <x:c r="R595" s="83" t="n">
        <x:v>27675.74</x:v>
      </x:c>
      <x:c r="S595" s="83" t="n">
        <x:v>15571.08</x:v>
      </x:c>
      <x:c r="T595" s="83" t="n">
        <x:v>12104.66</x:v>
      </x:c>
      <x:c r="U595" s="83" t="str">
        <x:v>Paid</x:v>
      </x:c>
      <x:c r="V595" s="83" t="str">
        <x:v>Completed</x:v>
      </x:c>
      <x:c r="W595" s="151" t="n">
        <x:f>IF(OR(NOT(ISNUMBER($AP595)),COUNT($O595,$P595)&lt;2,$O595&lt;=0,$P595&lt;0),"",ROUND($O595*$P595*(1-$AP595),2))</x:f>
        <x:v>27675.74</x:v>
      </x:c>
      <x:c r="X595" s="151" t="n">
        <x:f>IF(OR(NOT(ISNUMBER($W595)),NOT(ISNUMBER($S595))),"",ROUND($W595-$S595,2))</x:f>
        <x:v>12104.66</x:v>
      </x:c>
      <x:c r="Y595" s="85" t="n">
        <x:f>IF(OR(NOT(ISNUMBER($W595)),NOT(ISNUMBER($X595)),$W595=0),"",ROUND($X595/$W595,4))</x:f>
        <x:v>0.4374</x:v>
      </x:c>
      <x:c r="Z595" s="82" t="n">
        <x:f>IF(OR($AH595&lt;&gt;"Valid",$AI595&lt;&gt;"Valid"),"",INT($D595-$C595))</x:f>
        <x:v>2</x:v>
      </x:c>
      <x:c r="AA595" s="86" t="str">
        <x:f>IF($AH595&lt;&gt;"Valid","",TEXT($C595,"mmmm"))</x:f>
        <x:v>September</x:v>
      </x:c>
      <x:c r="AB595" s="82" t="n">
        <x:f>IF($AH595&lt;&gt;"Valid","",YEAR($C595))</x:f>
        <x:v>2025</x:v>
      </x:c>
      <x:c r="AC595" s="80" t="str">
        <x:v>Consistent</x:v>
      </x:c>
      <x:c r="AD595" s="80" t="str">
        <x:v>Eligible</x:v>
      </x:c>
      <x:c r="AE595" s="80" t="str">
        <x:f>IF(OR($AH595&lt;&gt;"Valid",$AI595&lt;&gt;"Valid",$AJ595&lt;&gt;"Valid",LEFT($AM595,7)="Invalid",IFERROR(ABS($AQ595)&gt;0.01,FALSE),IFERROR(ABS($AR595)&gt;0.01,FALSE),COUNTIF($AS595,"*Conflicting duplicate*")&gt;0,COUNTIF($AS595,"*Completed order not paid*")&gt;0),"Invalid",IF(OR($H595="Unknown",$N595="Unknown",$AM595="Missing discount imputed as 0"),"Warning","Clean"))</x:f>
        <x:v>Clean</x:v>
      </x:c>
      <x:c r="AF595" s="80" t="str">
        <x:v>Pass</x:v>
      </x:c>
      <x:c r="AG595" s="80" t="str">
        <x:v>No text cleanup required</x:v>
      </x:c>
      <x:c r="AH595" s="12" t="str">
        <x:f>IF(C595="","Missing date",IF(ISNUMBER(C595),"Valid","Unrecognized/invalid date"))</x:f>
        <x:v>Valid</x:v>
      </x:c>
      <x:c r="AI595" s="12" t="str">
        <x:f>IF(D595="","Missing date",IF(ISNUMBER(D595),"Valid","Unrecognized/invalid date"))</x:f>
        <x:v>Valid</x:v>
      </x:c>
      <x:c r="AJ595" s="12" t="str">
        <x:v>Valid</x:v>
      </x:c>
      <x:c r="AK595" s="12" t="str">
        <x:v>Pass</x:v>
      </x:c>
      <x:c r="AL595" s="12" t="str">
        <x:v>None</x:v>
      </x:c>
      <x:c r="AM595" s="12" t="str">
        <x:v>Valid</x:v>
      </x:c>
      <x:c r="AN595" s="12" t="str">
        <x:v>Include in completed sales</x:v>
      </x:c>
      <x:c r="AO595" s="12" t="str">
        <x:v>Not a refunded record</x:v>
      </x:c>
      <x:c r="AP595" s="37" t="n">
        <x:f>IF(LEFT($AM595,7)="Invalid","",IF($AM595="Missing discount imputed as 0",IF(AND(COUNT($O595,$P595,$R595,$S595)=4,$O595&gt;0,$P595&gt;=0,$R595&gt;=0,$S595&gt;=0),0,""),IF(AND(ISNUMBER($Q595),$Q595&gt;=0,$Q595&lt;=0.5),$Q595,"")))</x:f>
        <x:v>0.25</x:v>
      </x:c>
      <x:c r="AQ595" s="152" t="n">
        <x:f>IF(OR($W595="",NOT(ISNUMBER($R595))),"",ROUND($R595-$W595,2))</x:f>
        <x:v>0</x:v>
      </x:c>
      <x:c r="AR595" s="152" t="n">
        <x:f>IF(OR($X595="",NOT(ISNUMBER($T595))),"",ROUND($T595-$X595,2))</x:f>
        <x:v>0</x:v>
      </x:c>
      <x:c r="AS595" s="14" t="str">
        <x:v>OK</x:v>
      </x:c>
    </x:row>
    <x:row r="596">
      <x:c r="A596" s="80" t="n">
        <x:v>596</x:v>
      </x:c>
      <x:c r="B596" s="80" t="str">
        <x:v>ORD-2024-10595</x:v>
      </x:c>
      <x:c r="C596" s="81" t="n">
        <x:v>45554</x:v>
      </x:c>
      <x:c r="D596" s="81" t="n">
        <x:v>45556</x:v>
      </x:c>
      <x:c r="E596" s="80" t="str">
        <x:v>CUST-6850</x:v>
      </x:c>
      <x:c r="F596" s="80" t="str">
        <x:v>Karan Malhotra</x:v>
      </x:c>
      <x:c r="G596" s="80" t="str">
        <x:v>Small Business</x:v>
      </x:c>
      <x:c r="H596" s="80" t="str">
        <x:v>East</x:v>
      </x:c>
      <x:c r="I596" s="80" t="str">
        <x:v>West Bengal</x:v>
      </x:c>
      <x:c r="J596" s="80" t="str">
        <x:v>Kolkata</x:v>
      </x:c>
      <x:c r="K596" s="80" t="str">
        <x:v>Furniture</x:v>
      </x:c>
      <x:c r="L596" s="80" t="str">
        <x:v>Chairs</x:v>
      </x:c>
      <x:c r="M596" s="80" t="str">
        <x:v>Basic Chairs 932</x:v>
      </x:c>
      <x:c r="N596" s="80" t="str">
        <x:v>First Class</x:v>
      </x:c>
      <x:c r="O596" s="82" t="n">
        <x:v>3</x:v>
      </x:c>
      <x:c r="P596" s="83" t="n">
        <x:v>3981.76</x:v>
      </x:c>
      <x:c r="Q596" s="84" t="n">
        <x:v>0</x:v>
      </x:c>
      <x:c r="R596" s="83" t="n">
        <x:v>11945.28</x:v>
      </x:c>
      <x:c r="S596" s="83" t="n">
        <x:v>9700.31</x:v>
      </x:c>
      <x:c r="T596" s="83" t="n">
        <x:v>2244.97</x:v>
      </x:c>
      <x:c r="U596" s="83" t="str">
        <x:v>Paid</x:v>
      </x:c>
      <x:c r="V596" s="83" t="str">
        <x:v>Completed</x:v>
      </x:c>
      <x:c r="W596" s="151" t="n">
        <x:f>IF(OR(NOT(ISNUMBER($AP596)),COUNT($O596,$P596)&lt;2,$O596&lt;=0,$P596&lt;0),"",ROUND($O596*$P596*(1-$AP596),2))</x:f>
        <x:v>11945.28</x:v>
      </x:c>
      <x:c r="X596" s="151" t="n">
        <x:f>IF(OR(NOT(ISNUMBER($W596)),NOT(ISNUMBER($S596))),"",ROUND($W596-$S596,2))</x:f>
        <x:v>2244.97</x:v>
      </x:c>
      <x:c r="Y596" s="85" t="n">
        <x:f>IF(OR(NOT(ISNUMBER($W596)),NOT(ISNUMBER($X596)),$W596=0),"",ROUND($X596/$W596,4))</x:f>
        <x:v>0.1879</x:v>
      </x:c>
      <x:c r="Z596" s="82" t="n">
        <x:f>IF(OR($AH596&lt;&gt;"Valid",$AI596&lt;&gt;"Valid"),"",INT($D596-$C596))</x:f>
        <x:v>2</x:v>
      </x:c>
      <x:c r="AA596" s="86" t="str">
        <x:f>IF($AH596&lt;&gt;"Valid","",TEXT($C596,"mmmm"))</x:f>
        <x:v>September</x:v>
      </x:c>
      <x:c r="AB596" s="82" t="n">
        <x:f>IF($AH596&lt;&gt;"Valid","",YEAR($C596))</x:f>
        <x:v>2024</x:v>
      </x:c>
      <x:c r="AC596" s="80" t="str">
        <x:v>Consistent</x:v>
      </x:c>
      <x:c r="AD596" s="80" t="str">
        <x:v>Eligible</x:v>
      </x:c>
      <x:c r="AE596" s="80" t="str">
        <x:f>IF(OR($AH596&lt;&gt;"Valid",$AI596&lt;&gt;"Valid",$AJ596&lt;&gt;"Valid",LEFT($AM596,7)="Invalid",IFERROR(ABS($AQ596)&gt;0.01,FALSE),IFERROR(ABS($AR596)&gt;0.01,FALSE),COUNTIF($AS596,"*Conflicting duplicate*")&gt;0,COUNTIF($AS596,"*Completed order not paid*")&gt;0),"Invalid",IF(OR($H596="Unknown",$N596="Unknown",$AM596="Missing discount imputed as 0"),"Warning","Clean"))</x:f>
        <x:v>Clean</x:v>
      </x:c>
      <x:c r="AF596" s="80" t="str">
        <x:v>Pass</x:v>
      </x:c>
      <x:c r="AG596" s="80" t="str">
        <x:v>No text cleanup required</x:v>
      </x:c>
      <x:c r="AH596" s="12" t="str">
        <x:f>IF(C596="","Missing date",IF(ISNUMBER(C596),"Valid","Unrecognized/invalid date"))</x:f>
        <x:v>Valid</x:v>
      </x:c>
      <x:c r="AI596" s="12" t="str">
        <x:f>IF(D596="","Missing date",IF(ISNUMBER(D596),"Valid","Unrecognized/invalid date"))</x:f>
        <x:v>Valid</x:v>
      </x:c>
      <x:c r="AJ596" s="12" t="str">
        <x:v>Valid</x:v>
      </x:c>
      <x:c r="AK596" s="12" t="str">
        <x:v>Pass</x:v>
      </x:c>
      <x:c r="AL596" s="12" t="str">
        <x:v>None</x:v>
      </x:c>
      <x:c r="AM596" s="12" t="str">
        <x:v>Valid</x:v>
      </x:c>
      <x:c r="AN596" s="12" t="str">
        <x:v>Include in completed sales</x:v>
      </x:c>
      <x:c r="AO596" s="12" t="str">
        <x:v>Not a refunded record</x:v>
      </x:c>
      <x:c r="AP596" s="37" t="n">
        <x:f>IF(LEFT($AM596,7)="Invalid","",IF($AM596="Missing discount imputed as 0",IF(AND(COUNT($O596,$P596,$R596,$S596)=4,$O596&gt;0,$P596&gt;=0,$R596&gt;=0,$S596&gt;=0),0,""),IF(AND(ISNUMBER($Q596),$Q596&gt;=0,$Q596&lt;=0.5),$Q596,"")))</x:f>
        <x:v>0</x:v>
      </x:c>
      <x:c r="AQ596" s="152" t="n">
        <x:f>IF(OR($W596="",NOT(ISNUMBER($R596))),"",ROUND($R596-$W596,2))</x:f>
        <x:v>0</x:v>
      </x:c>
      <x:c r="AR596" s="152" t="n">
        <x:f>IF(OR($X596="",NOT(ISNUMBER($T596))),"",ROUND($T596-$X596,2))</x:f>
        <x:v>0</x:v>
      </x:c>
      <x:c r="AS596" s="14" t="str">
        <x:v>OK</x:v>
      </x:c>
    </x:row>
    <x:row r="597">
      <x:c r="A597" s="80" t="n">
        <x:v>597</x:v>
      </x:c>
      <x:c r="B597" s="80" t="str">
        <x:v>ORD-2025-10596</x:v>
      </x:c>
      <x:c r="C597" s="81" t="n">
        <x:v>45699</x:v>
      </x:c>
      <x:c r="D597" s="81" t="n">
        <x:v>45704</x:v>
      </x:c>
      <x:c r="E597" s="80" t="str">
        <x:v>CUST-5566</x:v>
      </x:c>
      <x:c r="F597" s="80" t="str">
        <x:v>Mira Das</x:v>
      </x:c>
      <x:c r="G597" s="80" t="str">
        <x:v>Corporate</x:v>
      </x:c>
      <x:c r="H597" s="80" t="str">
        <x:v>North</x:v>
      </x:c>
      <x:c r="I597" s="80" t="str">
        <x:v>Uttar Pradesh</x:v>
      </x:c>
      <x:c r="J597" s="80" t="str">
        <x:v>Noida</x:v>
      </x:c>
      <x:c r="K597" s="80" t="str">
        <x:v>Technology</x:v>
      </x:c>
      <x:c r="L597" s="80" t="str">
        <x:v>Phones</x:v>
      </x:c>
      <x:c r="M597" s="80" t="str">
        <x:v>Classic Phones 294</x:v>
      </x:c>
      <x:c r="N597" s="80" t="str">
        <x:v>First Class</x:v>
      </x:c>
      <x:c r="O597" s="82" t="n">
        <x:v>8</x:v>
      </x:c>
      <x:c r="P597" s="83" t="n">
        <x:v>1825.56</x:v>
      </x:c>
      <x:c r="Q597" s="84" t="n">
        <x:v>0.1</x:v>
      </x:c>
      <x:c r="R597" s="83" t="n">
        <x:v>13144.03</x:v>
      </x:c>
      <x:c r="S597" s="83" t="n">
        <x:v>9764</x:v>
      </x:c>
      <x:c r="T597" s="83" t="n">
        <x:v>3380.03</x:v>
      </x:c>
      <x:c r="U597" s="83" t="str">
        <x:v>Paid</x:v>
      </x:c>
      <x:c r="V597" s="83" t="str">
        <x:v>Completed</x:v>
      </x:c>
      <x:c r="W597" s="151" t="n">
        <x:f>IF(OR(NOT(ISNUMBER($AP597)),COUNT($O597,$P597)&lt;2,$O597&lt;=0,$P597&lt;0),"",ROUND($O597*$P597*(1-$AP597),2))</x:f>
        <x:v>13144.03</x:v>
      </x:c>
      <x:c r="X597" s="151" t="n">
        <x:f>IF(OR(NOT(ISNUMBER($W597)),NOT(ISNUMBER($S597))),"",ROUND($W597-$S597,2))</x:f>
        <x:v>3380.03</x:v>
      </x:c>
      <x:c r="Y597" s="85" t="n">
        <x:f>IF(OR(NOT(ISNUMBER($W597)),NOT(ISNUMBER($X597)),$W597=0),"",ROUND($X597/$W597,4))</x:f>
        <x:v>0.2572</x:v>
      </x:c>
      <x:c r="Z597" s="82" t="n">
        <x:f>IF(OR($AH597&lt;&gt;"Valid",$AI597&lt;&gt;"Valid"),"",INT($D597-$C597))</x:f>
        <x:v>5</x:v>
      </x:c>
      <x:c r="AA597" s="86" t="str">
        <x:f>IF($AH597&lt;&gt;"Valid","",TEXT($C597,"mmmm"))</x:f>
        <x:v>February</x:v>
      </x:c>
      <x:c r="AB597" s="82" t="n">
        <x:f>IF($AH597&lt;&gt;"Valid","",YEAR($C597))</x:f>
        <x:v>2025</x:v>
      </x:c>
      <x:c r="AC597" s="80" t="str">
        <x:v>Consistent</x:v>
      </x:c>
      <x:c r="AD597" s="80" t="str">
        <x:v>Eligible</x:v>
      </x:c>
      <x:c r="AE597" s="80" t="str">
        <x:f>IF(OR($AH597&lt;&gt;"Valid",$AI597&lt;&gt;"Valid",$AJ597&lt;&gt;"Valid",LEFT($AM597,7)="Invalid",IFERROR(ABS($AQ597)&gt;0.01,FALSE),IFERROR(ABS($AR597)&gt;0.01,FALSE),COUNTIF($AS597,"*Conflicting duplicate*")&gt;0,COUNTIF($AS597,"*Completed order not paid*")&gt;0),"Invalid",IF(OR($H597="Unknown",$N597="Unknown",$AM597="Missing discount imputed as 0"),"Warning","Clean"))</x:f>
        <x:v>Clean</x:v>
      </x:c>
      <x:c r="AF597" s="80" t="str">
        <x:v>Pass</x:v>
      </x:c>
      <x:c r="AG597" s="80" t="str">
        <x:v>No text cleanup required</x:v>
      </x:c>
      <x:c r="AH597" s="12" t="str">
        <x:f>IF(C597="","Missing date",IF(ISNUMBER(C597),"Valid","Unrecognized/invalid date"))</x:f>
        <x:v>Valid</x:v>
      </x:c>
      <x:c r="AI597" s="12" t="str">
        <x:f>IF(D597="","Missing date",IF(ISNUMBER(D597),"Valid","Unrecognized/invalid date"))</x:f>
        <x:v>Valid</x:v>
      </x:c>
      <x:c r="AJ597" s="12" t="str">
        <x:v>Valid</x:v>
      </x:c>
      <x:c r="AK597" s="12" t="str">
        <x:v>Pass</x:v>
      </x:c>
      <x:c r="AL597" s="12" t="str">
        <x:v>None</x:v>
      </x:c>
      <x:c r="AM597" s="12" t="str">
        <x:v>Valid</x:v>
      </x:c>
      <x:c r="AN597" s="12" t="str">
        <x:v>Include in completed sales</x:v>
      </x:c>
      <x:c r="AO597" s="12" t="str">
        <x:v>Not a refunded record</x:v>
      </x:c>
      <x:c r="AP597" s="37" t="n">
        <x:f>IF(LEFT($AM597,7)="Invalid","",IF($AM597="Missing discount imputed as 0",IF(AND(COUNT($O597,$P597,$R597,$S597)=4,$O597&gt;0,$P597&gt;=0,$R597&gt;=0,$S597&gt;=0),0,""),IF(AND(ISNUMBER($Q597),$Q597&gt;=0,$Q597&lt;=0.5),$Q597,"")))</x:f>
        <x:v>0.1</x:v>
      </x:c>
      <x:c r="AQ597" s="152" t="n">
        <x:f>IF(OR($W597="",NOT(ISNUMBER($R597))),"",ROUND($R597-$W597,2))</x:f>
        <x:v>0</x:v>
      </x:c>
      <x:c r="AR597" s="152" t="n">
        <x:f>IF(OR($X597="",NOT(ISNUMBER($T597))),"",ROUND($T597-$X597,2))</x:f>
        <x:v>0</x:v>
      </x:c>
      <x:c r="AS597" s="14" t="str">
        <x:v>OK</x:v>
      </x:c>
    </x:row>
    <x:row r="598">
      <x:c r="A598" s="80" t="n">
        <x:v>598</x:v>
      </x:c>
      <x:c r="B598" s="80" t="str">
        <x:v>ORD-2024-10597</x:v>
      </x:c>
      <x:c r="C598" s="81" t="n">
        <x:v>45392</x:v>
      </x:c>
      <x:c r="D598" s="81" t="n">
        <x:v>45398</x:v>
      </x:c>
      <x:c r="E598" s="80" t="str">
        <x:v>CUST-2593</x:v>
      </x:c>
      <x:c r="F598" s="80" t="str">
        <x:v>Aditi Sen</x:v>
      </x:c>
      <x:c r="G598" s="80" t="str">
        <x:v>Consumer</x:v>
      </x:c>
      <x:c r="H598" s="80" t="str">
        <x:v>South</x:v>
      </x:c>
      <x:c r="I598" s="80" t="str">
        <x:v>Kerala</x:v>
      </x:c>
      <x:c r="J598" s="80" t="str">
        <x:v>Kochi</x:v>
      </x:c>
      <x:c r="K598" s="80" t="str">
        <x:v>Furniture</x:v>
      </x:c>
      <x:c r="L598" s="80" t="str">
        <x:v>Chairs</x:v>
      </x:c>
      <x:c r="M598" s="80" t="str">
        <x:v>Elite Chairs 700</x:v>
      </x:c>
      <x:c r="N598" s="80" t="str">
        <x:v>Second Class</x:v>
      </x:c>
      <x:c r="O598" s="82" t="n">
        <x:v>9</x:v>
      </x:c>
      <x:c r="P598" s="83" t="n">
        <x:v>2723.26</x:v>
      </x:c>
      <x:c r="Q598" s="84" t="n">
        <x:v>0.25</x:v>
      </x:c>
      <x:c r="R598" s="83" t="n">
        <x:v>18382.01</x:v>
      </x:c>
      <x:c r="S598" s="83" t="n">
        <x:v>13108.2</x:v>
      </x:c>
      <x:c r="T598" s="83" t="n">
        <x:v>5273.81</x:v>
      </x:c>
      <x:c r="U598" s="83" t="str">
        <x:v>Paid</x:v>
      </x:c>
      <x:c r="V598" s="83" t="str">
        <x:v>Completed</x:v>
      </x:c>
      <x:c r="W598" s="151" t="n">
        <x:f>IF(OR(NOT(ISNUMBER($AP598)),COUNT($O598,$P598)&lt;2,$O598&lt;=0,$P598&lt;0),"",ROUND($O598*$P598*(1-$AP598),2))</x:f>
        <x:v>18382.01</x:v>
      </x:c>
      <x:c r="X598" s="151" t="n">
        <x:f>IF(OR(NOT(ISNUMBER($W598)),NOT(ISNUMBER($S598))),"",ROUND($W598-$S598,2))</x:f>
        <x:v>5273.81</x:v>
      </x:c>
      <x:c r="Y598" s="85" t="n">
        <x:f>IF(OR(NOT(ISNUMBER($W598)),NOT(ISNUMBER($X598)),$W598=0),"",ROUND($X598/$W598,4))</x:f>
        <x:v>0.2869</x:v>
      </x:c>
      <x:c r="Z598" s="82" t="n">
        <x:f>IF(OR($AH598&lt;&gt;"Valid",$AI598&lt;&gt;"Valid"),"",INT($D598-$C598))</x:f>
        <x:v>6</x:v>
      </x:c>
      <x:c r="AA598" s="86" t="str">
        <x:f>IF($AH598&lt;&gt;"Valid","",TEXT($C598,"mmmm"))</x:f>
        <x:v>April</x:v>
      </x:c>
      <x:c r="AB598" s="82" t="n">
        <x:f>IF($AH598&lt;&gt;"Valid","",YEAR($C598))</x:f>
        <x:v>2024</x:v>
      </x:c>
      <x:c r="AC598" s="80" t="str">
        <x:v>Consistent</x:v>
      </x:c>
      <x:c r="AD598" s="80" t="str">
        <x:v>Eligible</x:v>
      </x:c>
      <x:c r="AE598" s="80" t="str">
        <x:f>IF(OR($AH598&lt;&gt;"Valid",$AI598&lt;&gt;"Valid",$AJ598&lt;&gt;"Valid",LEFT($AM598,7)="Invalid",IFERROR(ABS($AQ598)&gt;0.01,FALSE),IFERROR(ABS($AR598)&gt;0.01,FALSE),COUNTIF($AS598,"*Conflicting duplicate*")&gt;0,COUNTIF($AS598,"*Completed order not paid*")&gt;0),"Invalid",IF(OR($H598="Unknown",$N598="Unknown",$AM598="Missing discount imputed as 0"),"Warning","Clean"))</x:f>
        <x:v>Clean</x:v>
      </x:c>
      <x:c r="AF598" s="80" t="str">
        <x:v>Pass</x:v>
      </x:c>
      <x:c r="AG598" s="80" t="str">
        <x:v>No text cleanup required</x:v>
      </x:c>
      <x:c r="AH598" s="12" t="str">
        <x:f>IF(C598="","Missing date",IF(ISNUMBER(C598),"Valid","Unrecognized/invalid date"))</x:f>
        <x:v>Valid</x:v>
      </x:c>
      <x:c r="AI598" s="12" t="str">
        <x:f>IF(D598="","Missing date",IF(ISNUMBER(D598),"Valid","Unrecognized/invalid date"))</x:f>
        <x:v>Valid</x:v>
      </x:c>
      <x:c r="AJ598" s="12" t="str">
        <x:v>Valid</x:v>
      </x:c>
      <x:c r="AK598" s="12" t="str">
        <x:v>Pass</x:v>
      </x:c>
      <x:c r="AL598" s="12" t="str">
        <x:v>None</x:v>
      </x:c>
      <x:c r="AM598" s="12" t="str">
        <x:v>Valid</x:v>
      </x:c>
      <x:c r="AN598" s="12" t="str">
        <x:v>Include in completed sales</x:v>
      </x:c>
      <x:c r="AO598" s="12" t="str">
        <x:v>Not a refunded record</x:v>
      </x:c>
      <x:c r="AP598" s="37" t="n">
        <x:f>IF(LEFT($AM598,7)="Invalid","",IF($AM598="Missing discount imputed as 0",IF(AND(COUNT($O598,$P598,$R598,$S598)=4,$O598&gt;0,$P598&gt;=0,$R598&gt;=0,$S598&gt;=0),0,""),IF(AND(ISNUMBER($Q598),$Q598&gt;=0,$Q598&lt;=0.5),$Q598,"")))</x:f>
        <x:v>0.25</x:v>
      </x:c>
      <x:c r="AQ598" s="152" t="n">
        <x:f>IF(OR($W598="",NOT(ISNUMBER($R598))),"",ROUND($R598-$W598,2))</x:f>
        <x:v>0</x:v>
      </x:c>
      <x:c r="AR598" s="152" t="n">
        <x:f>IF(OR($X598="",NOT(ISNUMBER($T598))),"",ROUND($T598-$X598,2))</x:f>
        <x:v>0</x:v>
      </x:c>
      <x:c r="AS598" s="14" t="str">
        <x:v>OK</x:v>
      </x:c>
    </x:row>
    <x:row r="599">
      <x:c r="A599" s="80" t="n">
        <x:v>599</x:v>
      </x:c>
      <x:c r="B599" s="80" t="str">
        <x:v>ORD-2025-10598</x:v>
      </x:c>
      <x:c r="C599" s="81" t="n">
        <x:v>45846</x:v>
      </x:c>
      <x:c r="D599" s="81" t="n">
        <x:v>45846</x:v>
      </x:c>
      <x:c r="E599" s="80" t="str">
        <x:v>CUST-6957</x:v>
      </x:c>
      <x:c r="F599" s="80" t="str">
        <x:v>Aditi Sen</x:v>
      </x:c>
      <x:c r="G599" s="80" t="str">
        <x:v>Consumer</x:v>
      </x:c>
      <x:c r="H599" s="80" t="str">
        <x:v>South</x:v>
      </x:c>
      <x:c r="I599" s="80" t="str">
        <x:v>Telangana</x:v>
      </x:c>
      <x:c r="J599" s="80" t="str">
        <x:v>Hyderabad</x:v>
      </x:c>
      <x:c r="K599" s="80" t="str">
        <x:v>Technology</x:v>
      </x:c>
      <x:c r="L599" s="80" t="str">
        <x:v>Copiers</x:v>
      </x:c>
      <x:c r="M599" s="80" t="str">
        <x:v>Prime Copiers 969</x:v>
      </x:c>
      <x:c r="N599" s="80" t="str">
        <x:v>Same Day</x:v>
      </x:c>
      <x:c r="O599" s="82" t="n">
        <x:v>9</x:v>
      </x:c>
      <x:c r="P599" s="83" t="n">
        <x:v>274.88</x:v>
      </x:c>
      <x:c r="Q599" s="84" t="n">
        <x:v>0.25</x:v>
      </x:c>
      <x:c r="R599" s="83" t="n">
        <x:v>1855.44</x:v>
      </x:c>
      <x:c r="S599" s="83" t="n">
        <x:v>1262.74</x:v>
      </x:c>
      <x:c r="T599" s="83" t="n">
        <x:v>592.7</x:v>
      </x:c>
      <x:c r="U599" s="83" t="str">
        <x:v>Paid</x:v>
      </x:c>
      <x:c r="V599" s="83" t="str">
        <x:v>Completed</x:v>
      </x:c>
      <x:c r="W599" s="151" t="n">
        <x:f>IF(OR(NOT(ISNUMBER($AP599)),COUNT($O599,$P599)&lt;2,$O599&lt;=0,$P599&lt;0),"",ROUND($O599*$P599*(1-$AP599),2))</x:f>
        <x:v>1855.44</x:v>
      </x:c>
      <x:c r="X599" s="151" t="n">
        <x:f>IF(OR(NOT(ISNUMBER($W599)),NOT(ISNUMBER($S599))),"",ROUND($W599-$S599,2))</x:f>
        <x:v>592.7</x:v>
      </x:c>
      <x:c r="Y599" s="85" t="n">
        <x:f>IF(OR(NOT(ISNUMBER($W599)),NOT(ISNUMBER($X599)),$W599=0),"",ROUND($X599/$W599,4))</x:f>
        <x:v>0.3194</x:v>
      </x:c>
      <x:c r="Z599" s="82" t="n">
        <x:f>IF(OR($AH599&lt;&gt;"Valid",$AI599&lt;&gt;"Valid"),"",INT($D599-$C599))</x:f>
        <x:v>0</x:v>
      </x:c>
      <x:c r="AA599" s="86" t="str">
        <x:f>IF($AH599&lt;&gt;"Valid","",TEXT($C599,"mmmm"))</x:f>
        <x:v>July</x:v>
      </x:c>
      <x:c r="AB599" s="82" t="n">
        <x:f>IF($AH599&lt;&gt;"Valid","",YEAR($C599))</x:f>
        <x:v>2025</x:v>
      </x:c>
      <x:c r="AC599" s="80" t="str">
        <x:v>Consistent</x:v>
      </x:c>
      <x:c r="AD599" s="80" t="str">
        <x:v>Eligible</x:v>
      </x:c>
      <x:c r="AE599" s="80" t="str">
        <x:f>IF(OR($AH599&lt;&gt;"Valid",$AI599&lt;&gt;"Valid",$AJ599&lt;&gt;"Valid",LEFT($AM599,7)="Invalid",IFERROR(ABS($AQ599)&gt;0.01,FALSE),IFERROR(ABS($AR599)&gt;0.01,FALSE),COUNTIF($AS599,"*Conflicting duplicate*")&gt;0,COUNTIF($AS599,"*Completed order not paid*")&gt;0),"Invalid",IF(OR($H599="Unknown",$N599="Unknown",$AM599="Missing discount imputed as 0"),"Warning","Clean"))</x:f>
        <x:v>Clean</x:v>
      </x:c>
      <x:c r="AF599" s="80" t="str">
        <x:v>Pass</x:v>
      </x:c>
      <x:c r="AG599" s="80" t="str">
        <x:v>No text cleanup required</x:v>
      </x:c>
      <x:c r="AH599" s="12" t="str">
        <x:f>IF(C599="","Missing date",IF(ISNUMBER(C599),"Valid","Unrecognized/invalid date"))</x:f>
        <x:v>Valid</x:v>
      </x:c>
      <x:c r="AI599" s="12" t="str">
        <x:f>IF(D599="","Missing date",IF(ISNUMBER(D599),"Valid","Unrecognized/invalid date"))</x:f>
        <x:v>Valid</x:v>
      </x:c>
      <x:c r="AJ599" s="12" t="str">
        <x:v>Valid</x:v>
      </x:c>
      <x:c r="AK599" s="12" t="str">
        <x:v>Pass</x:v>
      </x:c>
      <x:c r="AL599" s="12" t="str">
        <x:v>None</x:v>
      </x:c>
      <x:c r="AM599" s="12" t="str">
        <x:v>Valid</x:v>
      </x:c>
      <x:c r="AN599" s="12" t="str">
        <x:v>Include in completed sales</x:v>
      </x:c>
      <x:c r="AO599" s="12" t="str">
        <x:v>Not a refunded record</x:v>
      </x:c>
      <x:c r="AP599" s="37" t="n">
        <x:f>IF(LEFT($AM599,7)="Invalid","",IF($AM599="Missing discount imputed as 0",IF(AND(COUNT($O599,$P599,$R599,$S599)=4,$O599&gt;0,$P599&gt;=0,$R599&gt;=0,$S599&gt;=0),0,""),IF(AND(ISNUMBER($Q599),$Q599&gt;=0,$Q599&lt;=0.5),$Q599,"")))</x:f>
        <x:v>0.25</x:v>
      </x:c>
      <x:c r="AQ599" s="152" t="n">
        <x:f>IF(OR($W599="",NOT(ISNUMBER($R599))),"",ROUND($R599-$W599,2))</x:f>
        <x:v>0</x:v>
      </x:c>
      <x:c r="AR599" s="152" t="n">
        <x:f>IF(OR($X599="",NOT(ISNUMBER($T599))),"",ROUND($T599-$X599,2))</x:f>
        <x:v>0</x:v>
      </x:c>
      <x:c r="AS599" s="14" t="str">
        <x:v>OK</x:v>
      </x:c>
    </x:row>
    <x:row r="600">
      <x:c r="A600" s="80" t="n">
        <x:v>600</x:v>
      </x:c>
      <x:c r="B600" s="80" t="str">
        <x:v>ORD-2024-10599</x:v>
      </x:c>
      <x:c r="C600" s="81" t="n">
        <x:v>45521</x:v>
      </x:c>
      <x:c r="D600" s="81" t="n">
        <x:v>45528</x:v>
      </x:c>
      <x:c r="E600" s="80" t="str">
        <x:v>CUST-8498</x:v>
      </x:c>
      <x:c r="F600" s="80" t="str">
        <x:v>Ananya Rao</x:v>
      </x:c>
      <x:c r="G600" s="80" t="str">
        <x:v>Corporate</x:v>
      </x:c>
      <x:c r="H600" s="80" t="str">
        <x:v>East</x:v>
      </x:c>
      <x:c r="I600" s="80" t="str">
        <x:v>West Bengal</x:v>
      </x:c>
      <x:c r="J600" s="80" t="str">
        <x:v>Kolkata</x:v>
      </x:c>
      <x:c r="K600" s="80" t="str">
        <x:v>Technology</x:v>
      </x:c>
      <x:c r="L600" s="80" t="str">
        <x:v>Copiers</x:v>
      </x:c>
      <x:c r="M600" s="80" t="str">
        <x:v>Eco Copiers 268</x:v>
      </x:c>
      <x:c r="N600" s="80" t="str">
        <x:v>Same Day</x:v>
      </x:c>
      <x:c r="O600" s="82" t="n">
        <x:v>3</x:v>
      </x:c>
      <x:c r="P600" s="83" t="n">
        <x:v>1490.69</x:v>
      </x:c>
      <x:c r="Q600" s="84" t="n">
        <x:v>0.25</x:v>
      </x:c>
      <x:c r="R600" s="83" t="n">
        <x:v>3354.05</x:v>
      </x:c>
      <x:c r="S600" s="83" t="n">
        <x:v>2672.67</x:v>
      </x:c>
      <x:c r="T600" s="83" t="n">
        <x:v>681.38</x:v>
      </x:c>
      <x:c r="U600" s="83" t="str">
        <x:v>Paid</x:v>
      </x:c>
      <x:c r="V600" s="83" t="str">
        <x:v>Completed</x:v>
      </x:c>
      <x:c r="W600" s="151" t="n">
        <x:f>IF(OR(NOT(ISNUMBER($AP600)),COUNT($O600,$P600)&lt;2,$O600&lt;=0,$P600&lt;0),"",ROUND($O600*$P600*(1-$AP600),2))</x:f>
        <x:v>3354.05</x:v>
      </x:c>
      <x:c r="X600" s="151" t="n">
        <x:f>IF(OR(NOT(ISNUMBER($W600)),NOT(ISNUMBER($S600))),"",ROUND($W600-$S600,2))</x:f>
        <x:v>681.38</x:v>
      </x:c>
      <x:c r="Y600" s="85" t="n">
        <x:f>IF(OR(NOT(ISNUMBER($W600)),NOT(ISNUMBER($X600)),$W600=0),"",ROUND($X600/$W600,4))</x:f>
        <x:v>0.2032</x:v>
      </x:c>
      <x:c r="Z600" s="82" t="n">
        <x:f>IF(OR($AH600&lt;&gt;"Valid",$AI600&lt;&gt;"Valid"),"",INT($D600-$C600))</x:f>
        <x:v>7</x:v>
      </x:c>
      <x:c r="AA600" s="86" t="str">
        <x:f>IF($AH600&lt;&gt;"Valid","",TEXT($C600,"mmmm"))</x:f>
        <x:v>August</x:v>
      </x:c>
      <x:c r="AB600" s="82" t="n">
        <x:f>IF($AH600&lt;&gt;"Valid","",YEAR($C600))</x:f>
        <x:v>2024</x:v>
      </x:c>
      <x:c r="AC600" s="80" t="str">
        <x:v>Consistent</x:v>
      </x:c>
      <x:c r="AD600" s="80" t="str">
        <x:v>Eligible</x:v>
      </x:c>
      <x:c r="AE600" s="80" t="str">
        <x:f>IF(OR($AH600&lt;&gt;"Valid",$AI600&lt;&gt;"Valid",$AJ600&lt;&gt;"Valid",LEFT($AM600,7)="Invalid",IFERROR(ABS($AQ600)&gt;0.01,FALSE),IFERROR(ABS($AR600)&gt;0.01,FALSE),COUNTIF($AS600,"*Conflicting duplicate*")&gt;0,COUNTIF($AS600,"*Completed order not paid*")&gt;0),"Invalid",IF(OR($H600="Unknown",$N600="Unknown",$AM600="Missing discount imputed as 0"),"Warning","Clean"))</x:f>
        <x:v>Clean</x:v>
      </x:c>
      <x:c r="AF600" s="80" t="str">
        <x:v>Pass</x:v>
      </x:c>
      <x:c r="AG600" s="80" t="str">
        <x:v>No text cleanup required</x:v>
      </x:c>
      <x:c r="AH600" s="12" t="str">
        <x:f>IF(C600="","Missing date",IF(ISNUMBER(C600),"Valid","Unrecognized/invalid date"))</x:f>
        <x:v>Valid</x:v>
      </x:c>
      <x:c r="AI600" s="12" t="str">
        <x:f>IF(D600="","Missing date",IF(ISNUMBER(D600),"Valid","Unrecognized/invalid date"))</x:f>
        <x:v>Valid</x:v>
      </x:c>
      <x:c r="AJ600" s="12" t="str">
        <x:v>Valid</x:v>
      </x:c>
      <x:c r="AK600" s="12" t="str">
        <x:v>Pass</x:v>
      </x:c>
      <x:c r="AL600" s="12" t="str">
        <x:v>None</x:v>
      </x:c>
      <x:c r="AM600" s="12" t="str">
        <x:v>Valid</x:v>
      </x:c>
      <x:c r="AN600" s="12" t="str">
        <x:v>Include in completed sales</x:v>
      </x:c>
      <x:c r="AO600" s="12" t="str">
        <x:v>Not a refunded record</x:v>
      </x:c>
      <x:c r="AP600" s="37" t="n">
        <x:f>IF(LEFT($AM600,7)="Invalid","",IF($AM600="Missing discount imputed as 0",IF(AND(COUNT($O600,$P600,$R600,$S600)=4,$O600&gt;0,$P600&gt;=0,$R600&gt;=0,$S600&gt;=0),0,""),IF(AND(ISNUMBER($Q600),$Q600&gt;=0,$Q600&lt;=0.5),$Q600,"")))</x:f>
        <x:v>0.25</x:v>
      </x:c>
      <x:c r="AQ600" s="152" t="n">
        <x:f>IF(OR($W600="",NOT(ISNUMBER($R600))),"",ROUND($R600-$W600,2))</x:f>
        <x:v>0</x:v>
      </x:c>
      <x:c r="AR600" s="152" t="n">
        <x:f>IF(OR($X600="",NOT(ISNUMBER($T600))),"",ROUND($T600-$X600,2))</x:f>
        <x:v>0</x:v>
      </x:c>
      <x:c r="AS600" s="14" t="str">
        <x:v>OK</x:v>
      </x:c>
    </x:row>
    <x:row r="601">
      <x:c r="A601" s="80" t="n">
        <x:v>601</x:v>
      </x:c>
      <x:c r="B601" s="80" t="str">
        <x:v>ORD-2024-10600</x:v>
      </x:c>
      <x:c r="C601" s="81" t="n">
        <x:v>45523</x:v>
      </x:c>
      <x:c r="D601" s="81" t="n">
        <x:v>45525</x:v>
      </x:c>
      <x:c r="E601" s="80" t="str">
        <x:v>CUST-2612</x:v>
      </x:c>
      <x:c r="F601" s="80" t="str">
        <x:v>Arjun Bose</x:v>
      </x:c>
      <x:c r="G601" s="80" t="str">
        <x:v>Consumer</x:v>
      </x:c>
      <x:c r="H601" s="80" t="str">
        <x:v>North</x:v>
      </x:c>
      <x:c r="I601" s="80" t="str">
        <x:v>Punjab</x:v>
      </x:c>
      <x:c r="J601" s="80" t="str">
        <x:v>Ludhiana</x:v>
      </x:c>
      <x:c r="K601" s="80" t="str">
        <x:v>Technology</x:v>
      </x:c>
      <x:c r="L601" s="80" t="str">
        <x:v>Phones</x:v>
      </x:c>
      <x:c r="M601" s="80" t="str">
        <x:v>Pro Phones 588</x:v>
      </x:c>
      <x:c r="N601" s="80" t="str">
        <x:v>First Class</x:v>
      </x:c>
      <x:c r="O601" s="82" t="n">
        <x:v>3</x:v>
      </x:c>
      <x:c r="P601" s="83" t="n">
        <x:v>1103.54</x:v>
      </x:c>
      <x:c r="Q601" s="84" t="n">
        <x:v>0.25</x:v>
      </x:c>
      <x:c r="R601" s="83" t="n">
        <x:v>2482.97</x:v>
      </x:c>
      <x:c r="S601" s="83" t="n">
        <x:v>1621.72</x:v>
      </x:c>
      <x:c r="T601" s="83" t="n">
        <x:v>861.25</x:v>
      </x:c>
      <x:c r="U601" s="83" t="str">
        <x:v>Paid</x:v>
      </x:c>
      <x:c r="V601" s="83" t="str">
        <x:v>Completed</x:v>
      </x:c>
      <x:c r="W601" s="151" t="n">
        <x:f>IF(OR(NOT(ISNUMBER($AP601)),COUNT($O601,$P601)&lt;2,$O601&lt;=0,$P601&lt;0),"",ROUND($O601*$P601*(1-$AP601),2))</x:f>
        <x:v>2482.97</x:v>
      </x:c>
      <x:c r="X601" s="151" t="n">
        <x:f>IF(OR(NOT(ISNUMBER($W601)),NOT(ISNUMBER($S601))),"",ROUND($W601-$S601,2))</x:f>
        <x:v>861.25</x:v>
      </x:c>
      <x:c r="Y601" s="85" t="n">
        <x:f>IF(OR(NOT(ISNUMBER($W601)),NOT(ISNUMBER($X601)),$W601=0),"",ROUND($X601/$W601,4))</x:f>
        <x:v>0.3469</x:v>
      </x:c>
      <x:c r="Z601" s="82" t="n">
        <x:f>IF(OR($AH601&lt;&gt;"Valid",$AI601&lt;&gt;"Valid"),"",INT($D601-$C601))</x:f>
        <x:v>2</x:v>
      </x:c>
      <x:c r="AA601" s="86" t="str">
        <x:f>IF($AH601&lt;&gt;"Valid","",TEXT($C601,"mmmm"))</x:f>
        <x:v>August</x:v>
      </x:c>
      <x:c r="AB601" s="82" t="n">
        <x:f>IF($AH601&lt;&gt;"Valid","",YEAR($C601))</x:f>
        <x:v>2024</x:v>
      </x:c>
      <x:c r="AC601" s="80" t="str">
        <x:v>Consistent</x:v>
      </x:c>
      <x:c r="AD601" s="80" t="str">
        <x:v>Eligible</x:v>
      </x:c>
      <x:c r="AE601" s="80" t="str">
        <x:f>IF(OR($AH601&lt;&gt;"Valid",$AI601&lt;&gt;"Valid",$AJ601&lt;&gt;"Valid",LEFT($AM601,7)="Invalid",IFERROR(ABS($AQ601)&gt;0.01,FALSE),IFERROR(ABS($AR601)&gt;0.01,FALSE),COUNTIF($AS601,"*Conflicting duplicate*")&gt;0,COUNTIF($AS601,"*Completed order not paid*")&gt;0),"Invalid",IF(OR($H601="Unknown",$N601="Unknown",$AM601="Missing discount imputed as 0"),"Warning","Clean"))</x:f>
        <x:v>Clean</x:v>
      </x:c>
      <x:c r="AF601" s="80" t="str">
        <x:v>Pass</x:v>
      </x:c>
      <x:c r="AG601" s="80" t="str">
        <x:v>No text cleanup required</x:v>
      </x:c>
      <x:c r="AH601" s="12" t="str">
        <x:f>IF(C601="","Missing date",IF(ISNUMBER(C601),"Valid","Unrecognized/invalid date"))</x:f>
        <x:v>Valid</x:v>
      </x:c>
      <x:c r="AI601" s="12" t="str">
        <x:f>IF(D601="","Missing date",IF(ISNUMBER(D601),"Valid","Unrecognized/invalid date"))</x:f>
        <x:v>Valid</x:v>
      </x:c>
      <x:c r="AJ601" s="12" t="str">
        <x:v>Valid</x:v>
      </x:c>
      <x:c r="AK601" s="12" t="str">
        <x:v>Pass</x:v>
      </x:c>
      <x:c r="AL601" s="12" t="str">
        <x:v>None</x:v>
      </x:c>
      <x:c r="AM601" s="12" t="str">
        <x:v>Valid</x:v>
      </x:c>
      <x:c r="AN601" s="12" t="str">
        <x:v>Include in completed sales</x:v>
      </x:c>
      <x:c r="AO601" s="12" t="str">
        <x:v>Not a refunded record</x:v>
      </x:c>
      <x:c r="AP601" s="37" t="n">
        <x:f>IF(LEFT($AM601,7)="Invalid","",IF($AM601="Missing discount imputed as 0",IF(AND(COUNT($O601,$P601,$R601,$S601)=4,$O601&gt;0,$P601&gt;=0,$R601&gt;=0,$S601&gt;=0),0,""),IF(AND(ISNUMBER($Q601),$Q601&gt;=0,$Q601&lt;=0.5),$Q601,"")))</x:f>
        <x:v>0.25</x:v>
      </x:c>
      <x:c r="AQ601" s="152" t="n">
        <x:f>IF(OR($W601="",NOT(ISNUMBER($R601))),"",ROUND($R601-$W601,2))</x:f>
        <x:v>0</x:v>
      </x:c>
      <x:c r="AR601" s="152" t="n">
        <x:f>IF(OR($X601="",NOT(ISNUMBER($T601))),"",ROUND($T601-$X601,2))</x:f>
        <x:v>0</x:v>
      </x:c>
      <x:c r="AS601" s="14" t="str">
        <x:v>OK</x:v>
      </x:c>
    </x:row>
    <x:row r="602">
      <x:c r="A602" s="80" t="n">
        <x:v>602</x:v>
      </x:c>
      <x:c r="B602" s="80" t="str">
        <x:v>ORD-2025-10601</x:v>
      </x:c>
      <x:c r="C602" s="81" t="n">
        <x:v>45721</x:v>
      </x:c>
      <x:c r="D602" s="81" t="n">
        <x:v>45728</x:v>
      </x:c>
      <x:c r="E602" s="80" t="str">
        <x:v>CUST-6013</x:v>
      </x:c>
      <x:c r="F602" s="80" t="str">
        <x:v>Ananya Rao</x:v>
      </x:c>
      <x:c r="G602" s="80" t="str">
        <x:v>Corporate</x:v>
      </x:c>
      <x:c r="H602" s="80" t="str">
        <x:v>West</x:v>
      </x:c>
      <x:c r="I602" s="80" t="str">
        <x:v>Madhya Pradesh</x:v>
      </x:c>
      <x:c r="J602" s="80" t="str">
        <x:v>Indore</x:v>
      </x:c>
      <x:c r="K602" s="80" t="str">
        <x:v>Office Supplies</x:v>
      </x:c>
      <x:c r="L602" s="80" t="str">
        <x:v>Storage</x:v>
      </x:c>
      <x:c r="M602" s="80" t="str">
        <x:v>Prime Storage 432</x:v>
      </x:c>
      <x:c r="N602" s="80" t="str">
        <x:v>Same Day</x:v>
      </x:c>
      <x:c r="O602" s="82" t="n">
        <x:v>3</x:v>
      </x:c>
      <x:c r="P602" s="83" t="n">
        <x:v>3682.75</x:v>
      </x:c>
      <x:c r="Q602" s="84" t="n">
        <x:v>0</x:v>
      </x:c>
      <x:c r="R602" s="83" t="n">
        <x:v>11048.25</x:v>
      </x:c>
      <x:c r="S602" s="83" t="n">
        <x:v>9062.72</x:v>
      </x:c>
      <x:c r="T602" s="83" t="n">
        <x:v>1985.53</x:v>
      </x:c>
      <x:c r="U602" s="83" t="str">
        <x:v>Paid</x:v>
      </x:c>
      <x:c r="V602" s="83" t="str">
        <x:v>Completed</x:v>
      </x:c>
      <x:c r="W602" s="151" t="n">
        <x:f>IF(OR(NOT(ISNUMBER($AP602)),COUNT($O602,$P602)&lt;2,$O602&lt;=0,$P602&lt;0),"",ROUND($O602*$P602*(1-$AP602),2))</x:f>
        <x:v>11048.25</x:v>
      </x:c>
      <x:c r="X602" s="151" t="n">
        <x:f>IF(OR(NOT(ISNUMBER($W602)),NOT(ISNUMBER($S602))),"",ROUND($W602-$S602,2))</x:f>
        <x:v>1985.53</x:v>
      </x:c>
      <x:c r="Y602" s="85" t="n">
        <x:f>IF(OR(NOT(ISNUMBER($W602)),NOT(ISNUMBER($X602)),$W602=0),"",ROUND($X602/$W602,4))</x:f>
        <x:v>0.1797</x:v>
      </x:c>
      <x:c r="Z602" s="82" t="n">
        <x:f>IF(OR($AH602&lt;&gt;"Valid",$AI602&lt;&gt;"Valid"),"",INT($D602-$C602))</x:f>
        <x:v>7</x:v>
      </x:c>
      <x:c r="AA602" s="86" t="str">
        <x:f>IF($AH602&lt;&gt;"Valid","",TEXT($C602,"mmmm"))</x:f>
        <x:v>March</x:v>
      </x:c>
      <x:c r="AB602" s="82" t="n">
        <x:f>IF($AH602&lt;&gt;"Valid","",YEAR($C602))</x:f>
        <x:v>2025</x:v>
      </x:c>
      <x:c r="AC602" s="80" t="str">
        <x:v>Consistent</x:v>
      </x:c>
      <x:c r="AD602" s="80" t="str">
        <x:v>Eligible</x:v>
      </x:c>
      <x:c r="AE602" s="80" t="str">
        <x:f>IF(OR($AH602&lt;&gt;"Valid",$AI602&lt;&gt;"Valid",$AJ602&lt;&gt;"Valid",LEFT($AM602,7)="Invalid",IFERROR(ABS($AQ602)&gt;0.01,FALSE),IFERROR(ABS($AR602)&gt;0.01,FALSE),COUNTIF($AS602,"*Conflicting duplicate*")&gt;0,COUNTIF($AS602,"*Completed order not paid*")&gt;0),"Invalid",IF(OR($H602="Unknown",$N602="Unknown",$AM602="Missing discount imputed as 0"),"Warning","Clean"))</x:f>
        <x:v>Warning</x:v>
      </x:c>
      <x:c r="AF602" s="80" t="str">
        <x:v>Cleaned</x:v>
      </x:c>
      <x:c r="AG602" s="80" t="str">
        <x:v>discount: Imputed 0; discount: Missing value set to 0 after sales-field validation</x:v>
      </x:c>
      <x:c r="AH602" s="12" t="str">
        <x:f>IF(C602="","Missing date",IF(ISNUMBER(C602),"Valid","Unrecognized/invalid date"))</x:f>
        <x:v>Valid</x:v>
      </x:c>
      <x:c r="AI602" s="12" t="str">
        <x:f>IF(D602="","Missing date",IF(ISNUMBER(D602),"Valid","Unrecognized/invalid date"))</x:f>
        <x:v>Valid</x:v>
      </x:c>
      <x:c r="AJ602" s="12" t="str">
        <x:v>Valid</x:v>
      </x:c>
      <x:c r="AK602" s="12" t="str">
        <x:v>Pass</x:v>
      </x:c>
      <x:c r="AL602" s="12" t="str">
        <x:v>Missing discount imputed as 0</x:v>
      </x:c>
      <x:c r="AM602" s="12" t="str">
        <x:v>Missing discount imputed as 0</x:v>
      </x:c>
      <x:c r="AN602" s="12" t="str">
        <x:v>Include in completed sales</x:v>
      </x:c>
      <x:c r="AO602" s="12" t="str">
        <x:v>Not a refunded record</x:v>
      </x:c>
      <x:c r="AP602" s="37" t="n">
        <x:f>IF(LEFT($AM602,7)="Invalid","",IF($AM602="Missing discount imputed as 0",IF(AND(COUNT($O602,$P602,$R602,$S602)=4,$O602&gt;0,$P602&gt;=0,$R602&gt;=0,$S602&gt;=0),0,""),IF(AND(ISNUMBER($Q602),$Q602&gt;=0,$Q602&lt;=0.5),$Q602,"")))</x:f>
        <x:v>0</x:v>
      </x:c>
      <x:c r="AQ602" s="152" t="n">
        <x:f>IF(OR($W602="",NOT(ISNUMBER($R602))),"",ROUND($R602-$W602,2))</x:f>
        <x:v>0</x:v>
      </x:c>
      <x:c r="AR602" s="152" t="n">
        <x:f>IF(OR($X602="",NOT(ISNUMBER($T602))),"",ROUND($T602-$X602,2))</x:f>
        <x:v>0</x:v>
      </x:c>
      <x:c r="AS602" s="14" t="str">
        <x:v>OK</x:v>
      </x:c>
    </x:row>
    <x:row r="603">
      <x:c r="A603" s="80" t="n">
        <x:v>603</x:v>
      </x:c>
      <x:c r="B603" s="80" t="str">
        <x:v>ORD-2024-10602</x:v>
      </x:c>
      <x:c r="C603" s="81" t="n">
        <x:v>45317</x:v>
      </x:c>
      <x:c r="D603" s="81" t="n">
        <x:v>45322</x:v>
      </x:c>
      <x:c r="E603" s="80" t="str">
        <x:v>CUST-8289</x:v>
      </x:c>
      <x:c r="F603" s="80" t="str">
        <x:v>Ananya Rao</x:v>
      </x:c>
      <x:c r="G603" s="80" t="str">
        <x:v>Home Office</x:v>
      </x:c>
      <x:c r="H603" s="80" t="str">
        <x:v>East</x:v>
      </x:c>
      <x:c r="I603" s="80" t="str">
        <x:v>West Bengal</x:v>
      </x:c>
      <x:c r="J603" s="80" t="str">
        <x:v>Kolkata</x:v>
      </x:c>
      <x:c r="K603" s="80" t="str">
        <x:v>Office Supplies</x:v>
      </x:c>
      <x:c r="L603" s="80" t="str">
        <x:v>Paper</x:v>
      </x:c>
      <x:c r="M603" s="80" t="str">
        <x:v>Basic Paper 452</x:v>
      </x:c>
      <x:c r="N603" s="80" t="str">
        <x:v>Second Class</x:v>
      </x:c>
      <x:c r="O603" s="82" t="n">
        <x:v>5</x:v>
      </x:c>
      <x:c r="P603" s="83" t="n">
        <x:v>1615.03</x:v>
      </x:c>
      <x:c r="Q603" s="84" t="n">
        <x:v>0.2</x:v>
      </x:c>
      <x:c r="R603" s="83" t="n">
        <x:v>6460.12</x:v>
      </x:c>
      <x:c r="S603" s="83" t="n">
        <x:v>3604.03</x:v>
      </x:c>
      <x:c r="T603" s="83" t="n">
        <x:v>2856.09</x:v>
      </x:c>
      <x:c r="U603" s="83" t="str">
        <x:v>Paid</x:v>
      </x:c>
      <x:c r="V603" s="83" t="str">
        <x:v>Completed</x:v>
      </x:c>
      <x:c r="W603" s="151" t="n">
        <x:f>IF(OR(NOT(ISNUMBER($AP603)),COUNT($O603,$P603)&lt;2,$O603&lt;=0,$P603&lt;0),"",ROUND($O603*$P603*(1-$AP603),2))</x:f>
        <x:v>6460.12</x:v>
      </x:c>
      <x:c r="X603" s="151" t="n">
        <x:f>IF(OR(NOT(ISNUMBER($W603)),NOT(ISNUMBER($S603))),"",ROUND($W603-$S603,2))</x:f>
        <x:v>2856.09</x:v>
      </x:c>
      <x:c r="Y603" s="85" t="n">
        <x:f>IF(OR(NOT(ISNUMBER($W603)),NOT(ISNUMBER($X603)),$W603=0),"",ROUND($X603/$W603,4))</x:f>
        <x:v>0.4421</x:v>
      </x:c>
      <x:c r="Z603" s="82" t="n">
        <x:f>IF(OR($AH603&lt;&gt;"Valid",$AI603&lt;&gt;"Valid"),"",INT($D603-$C603))</x:f>
        <x:v>5</x:v>
      </x:c>
      <x:c r="AA603" s="86" t="str">
        <x:f>IF($AH603&lt;&gt;"Valid","",TEXT($C603,"mmmm"))</x:f>
        <x:v>January</x:v>
      </x:c>
      <x:c r="AB603" s="82" t="n">
        <x:f>IF($AH603&lt;&gt;"Valid","",YEAR($C603))</x:f>
        <x:v>2024</x:v>
      </x:c>
      <x:c r="AC603" s="80" t="str">
        <x:v>Consistent</x:v>
      </x:c>
      <x:c r="AD603" s="80" t="str">
        <x:v>Eligible</x:v>
      </x:c>
      <x:c r="AE603" s="80" t="str">
        <x:f>IF(OR($AH603&lt;&gt;"Valid",$AI603&lt;&gt;"Valid",$AJ603&lt;&gt;"Valid",LEFT($AM603,7)="Invalid",IFERROR(ABS($AQ603)&gt;0.01,FALSE),IFERROR(ABS($AR603)&gt;0.01,FALSE),COUNTIF($AS603,"*Conflicting duplicate*")&gt;0,COUNTIF($AS603,"*Completed order not paid*")&gt;0),"Invalid",IF(OR($H603="Unknown",$N603="Unknown",$AM603="Missing discount imputed as 0"),"Warning","Clean"))</x:f>
        <x:v>Clean</x:v>
      </x:c>
      <x:c r="AF603" s="80" t="str">
        <x:v>Pass</x:v>
      </x:c>
      <x:c r="AG603" s="80" t="str">
        <x:v>No text cleanup required</x:v>
      </x:c>
      <x:c r="AH603" s="12" t="str">
        <x:f>IF(C603="","Missing date",IF(ISNUMBER(C603),"Valid","Unrecognized/invalid date"))</x:f>
        <x:v>Valid</x:v>
      </x:c>
      <x:c r="AI603" s="12" t="str">
        <x:f>IF(D603="","Missing date",IF(ISNUMBER(D603),"Valid","Unrecognized/invalid date"))</x:f>
        <x:v>Valid</x:v>
      </x:c>
      <x:c r="AJ603" s="12" t="str">
        <x:v>Valid</x:v>
      </x:c>
      <x:c r="AK603" s="12" t="str">
        <x:v>Pass</x:v>
      </x:c>
      <x:c r="AL603" s="12" t="str">
        <x:v>None</x:v>
      </x:c>
      <x:c r="AM603" s="12" t="str">
        <x:v>Valid</x:v>
      </x:c>
      <x:c r="AN603" s="12" t="str">
        <x:v>Include in completed sales</x:v>
      </x:c>
      <x:c r="AO603" s="12" t="str">
        <x:v>Not a refunded record</x:v>
      </x:c>
      <x:c r="AP603" s="37" t="n">
        <x:f>IF(LEFT($AM603,7)="Invalid","",IF($AM603="Missing discount imputed as 0",IF(AND(COUNT($O603,$P603,$R603,$S603)=4,$O603&gt;0,$P603&gt;=0,$R603&gt;=0,$S603&gt;=0),0,""),IF(AND(ISNUMBER($Q603),$Q603&gt;=0,$Q603&lt;=0.5),$Q603,"")))</x:f>
        <x:v>0.2</x:v>
      </x:c>
      <x:c r="AQ603" s="152" t="n">
        <x:f>IF(OR($W603="",NOT(ISNUMBER($R603))),"",ROUND($R603-$W603,2))</x:f>
        <x:v>0</x:v>
      </x:c>
      <x:c r="AR603" s="152" t="n">
        <x:f>IF(OR($X603="",NOT(ISNUMBER($T603))),"",ROUND($T603-$X603,2))</x:f>
        <x:v>0</x:v>
      </x:c>
      <x:c r="AS603" s="14" t="str">
        <x:v>OK</x:v>
      </x:c>
    </x:row>
    <x:row r="604">
      <x:c r="A604" s="80" t="n">
        <x:v>604</x:v>
      </x:c>
      <x:c r="B604" s="80" t="str">
        <x:v>ORD-2024-10603</x:v>
      </x:c>
      <x:c r="C604" s="81" t="n">
        <x:v>45588</x:v>
      </x:c>
      <x:c r="D604" s="81" t="n">
        <x:v>45595</x:v>
      </x:c>
      <x:c r="E604" s="80" t="str">
        <x:v>CUST-5668</x:v>
      </x:c>
      <x:c r="F604" s="80" t="str">
        <x:v>Aarav Sharma</x:v>
      </x:c>
      <x:c r="G604" s="80" t="str">
        <x:v>Consumer</x:v>
      </x:c>
      <x:c r="H604" s="80" t="str">
        <x:v>East</x:v>
      </x:c>
      <x:c r="I604" s="80" t="str">
        <x:v>Jharkhand</x:v>
      </x:c>
      <x:c r="J604" s="80" t="str">
        <x:v>Ranchi</x:v>
      </x:c>
      <x:c r="K604" s="80" t="str">
        <x:v>Technology</x:v>
      </x:c>
      <x:c r="L604" s="80" t="str">
        <x:v>Copiers</x:v>
      </x:c>
      <x:c r="M604" s="80" t="str">
        <x:v>Max Copiers 477</x:v>
      </x:c>
      <x:c r="N604" s="80" t="str">
        <x:v>Second Class</x:v>
      </x:c>
      <x:c r="O604" s="82" t="n">
        <x:v>9</x:v>
      </x:c>
      <x:c r="P604" s="83" t="n">
        <x:v>3423.82</x:v>
      </x:c>
      <x:c r="Q604" s="84" t="n">
        <x:v>0.15</x:v>
      </x:c>
      <x:c r="R604" s="83" t="n">
        <x:v>26192.22</x:v>
      </x:c>
      <x:c r="S604" s="83" t="n">
        <x:v>20795.55</x:v>
      </x:c>
      <x:c r="T604" s="83" t="n">
        <x:v>5396.67</x:v>
      </x:c>
      <x:c r="U604" s="83" t="str">
        <x:v>Paid</x:v>
      </x:c>
      <x:c r="V604" s="83" t="str">
        <x:v>Completed</x:v>
      </x:c>
      <x:c r="W604" s="151" t="n">
        <x:f>IF(OR(NOT(ISNUMBER($AP604)),COUNT($O604,$P604)&lt;2,$O604&lt;=0,$P604&lt;0),"",ROUND($O604*$P604*(1-$AP604),2))</x:f>
        <x:v>26192.22</x:v>
      </x:c>
      <x:c r="X604" s="151" t="n">
        <x:f>IF(OR(NOT(ISNUMBER($W604)),NOT(ISNUMBER($S604))),"",ROUND($W604-$S604,2))</x:f>
        <x:v>5396.67</x:v>
      </x:c>
      <x:c r="Y604" s="85" t="n">
        <x:f>IF(OR(NOT(ISNUMBER($W604)),NOT(ISNUMBER($X604)),$W604=0),"",ROUND($X604/$W604,4))</x:f>
        <x:v>0.206</x:v>
      </x:c>
      <x:c r="Z604" s="82" t="n">
        <x:f>IF(OR($AH604&lt;&gt;"Valid",$AI604&lt;&gt;"Valid"),"",INT($D604-$C604))</x:f>
        <x:v>7</x:v>
      </x:c>
      <x:c r="AA604" s="86" t="str">
        <x:f>IF($AH604&lt;&gt;"Valid","",TEXT($C604,"mmmm"))</x:f>
        <x:v>October</x:v>
      </x:c>
      <x:c r="AB604" s="82" t="n">
        <x:f>IF($AH604&lt;&gt;"Valid","",YEAR($C604))</x:f>
        <x:v>2024</x:v>
      </x:c>
      <x:c r="AC604" s="80" t="str">
        <x:v>Consistent</x:v>
      </x:c>
      <x:c r="AD604" s="80" t="str">
        <x:v>Eligible</x:v>
      </x:c>
      <x:c r="AE604" s="80" t="str">
        <x:f>IF(OR($AH604&lt;&gt;"Valid",$AI604&lt;&gt;"Valid",$AJ604&lt;&gt;"Valid",LEFT($AM604,7)="Invalid",IFERROR(ABS($AQ604)&gt;0.01,FALSE),IFERROR(ABS($AR604)&gt;0.01,FALSE),COUNTIF($AS604,"*Conflicting duplicate*")&gt;0,COUNTIF($AS604,"*Completed order not paid*")&gt;0),"Invalid",IF(OR($H604="Unknown",$N604="Unknown",$AM604="Missing discount imputed as 0"),"Warning","Clean"))</x:f>
        <x:v>Clean</x:v>
      </x:c>
      <x:c r="AF604" s="80" t="str">
        <x:v>Pass</x:v>
      </x:c>
      <x:c r="AG604" s="80" t="str">
        <x:v>No text cleanup required</x:v>
      </x:c>
      <x:c r="AH604" s="12" t="str">
        <x:f>IF(C604="","Missing date",IF(ISNUMBER(C604),"Valid","Unrecognized/invalid date"))</x:f>
        <x:v>Valid</x:v>
      </x:c>
      <x:c r="AI604" s="12" t="str">
        <x:f>IF(D604="","Missing date",IF(ISNUMBER(D604),"Valid","Unrecognized/invalid date"))</x:f>
        <x:v>Valid</x:v>
      </x:c>
      <x:c r="AJ604" s="12" t="str">
        <x:v>Valid</x:v>
      </x:c>
      <x:c r="AK604" s="12" t="str">
        <x:v>Pass</x:v>
      </x:c>
      <x:c r="AL604" s="12" t="str">
        <x:v>None</x:v>
      </x:c>
      <x:c r="AM604" s="12" t="str">
        <x:v>Valid</x:v>
      </x:c>
      <x:c r="AN604" s="12" t="str">
        <x:v>Include in completed sales</x:v>
      </x:c>
      <x:c r="AO604" s="12" t="str">
        <x:v>Not a refunded record</x:v>
      </x:c>
      <x:c r="AP604" s="37" t="n">
        <x:f>IF(LEFT($AM604,7)="Invalid","",IF($AM604="Missing discount imputed as 0",IF(AND(COUNT($O604,$P604,$R604,$S604)=4,$O604&gt;0,$P604&gt;=0,$R604&gt;=0,$S604&gt;=0),0,""),IF(AND(ISNUMBER($Q604),$Q604&gt;=0,$Q604&lt;=0.5),$Q604,"")))</x:f>
        <x:v>0.15</x:v>
      </x:c>
      <x:c r="AQ604" s="152" t="n">
        <x:f>IF(OR($W604="",NOT(ISNUMBER($R604))),"",ROUND($R604-$W604,2))</x:f>
        <x:v>0</x:v>
      </x:c>
      <x:c r="AR604" s="152" t="n">
        <x:f>IF(OR($X604="",NOT(ISNUMBER($T604))),"",ROUND($T604-$X604,2))</x:f>
        <x:v>0</x:v>
      </x:c>
      <x:c r="AS604" s="14" t="str">
        <x:v>OK</x:v>
      </x:c>
    </x:row>
    <x:row r="605">
      <x:c r="A605" s="80" t="n">
        <x:v>605</x:v>
      </x:c>
      <x:c r="B605" s="80" t="str">
        <x:v>ORD-2025-10604</x:v>
      </x:c>
      <x:c r="C605" s="81" t="n">
        <x:v>45660</x:v>
      </x:c>
      <x:c r="D605" s="81" t="n">
        <x:v>45668</x:v>
      </x:c>
      <x:c r="E605" s="80" t="str">
        <x:v>CUST-5808</x:v>
      </x:c>
      <x:c r="F605" s="80" t="str">
        <x:v>Vikram Iyer</x:v>
      </x:c>
      <x:c r="G605" s="80" t="str">
        <x:v>Corporate</x:v>
      </x:c>
      <x:c r="H605" s="80" t="str">
        <x:v>East</x:v>
      </x:c>
      <x:c r="I605" s="80" t="str">
        <x:v>Bihar</x:v>
      </x:c>
      <x:c r="J605" s="80" t="str">
        <x:v>Patna</x:v>
      </x:c>
      <x:c r="K605" s="80" t="str">
        <x:v>Technology</x:v>
      </x:c>
      <x:c r="L605" s="80" t="str">
        <x:v>Accessories</x:v>
      </x:c>
      <x:c r="M605" s="80" t="str">
        <x:v>Prime Accessories 300</x:v>
      </x:c>
      <x:c r="N605" s="80" t="str">
        <x:v>First Class</x:v>
      </x:c>
      <x:c r="O605" s="82" t="n">
        <x:v>8</x:v>
      </x:c>
      <x:c r="P605" s="83" t="n">
        <x:v>2574.29</x:v>
      </x:c>
      <x:c r="Q605" s="84" t="n">
        <x:v>0.05</x:v>
      </x:c>
      <x:c r="R605" s="83" t="n">
        <x:v>19564.6</x:v>
      </x:c>
      <x:c r="S605" s="83" t="n">
        <x:v>11154.59</x:v>
      </x:c>
      <x:c r="T605" s="83" t="n">
        <x:v>8410.01</x:v>
      </x:c>
      <x:c r="U605" s="83" t="str">
        <x:v>Pending</x:v>
      </x:c>
      <x:c r="V605" s="83" t="str">
        <x:v>Cancelled</x:v>
      </x:c>
      <x:c r="W605" s="151" t="n">
        <x:f>IF(OR(NOT(ISNUMBER($AP605)),COUNT($O605,$P605)&lt;2,$O605&lt;=0,$P605&lt;0),"",ROUND($O605*$P605*(1-$AP605),2))</x:f>
        <x:v>19564.6</x:v>
      </x:c>
      <x:c r="X605" s="151" t="n">
        <x:f>IF(OR(NOT(ISNUMBER($W605)),NOT(ISNUMBER($S605))),"",ROUND($W605-$S605,2))</x:f>
        <x:v>8410.01</x:v>
      </x:c>
      <x:c r="Y605" s="85" t="n">
        <x:f>IF(OR(NOT(ISNUMBER($W605)),NOT(ISNUMBER($X605)),$W605=0),"",ROUND($X605/$W605,4))</x:f>
        <x:v>0.4299</x:v>
      </x:c>
      <x:c r="Z605" s="82" t="n">
        <x:f>IF(OR($AH605&lt;&gt;"Valid",$AI605&lt;&gt;"Valid"),"",INT($D605-$C605))</x:f>
        <x:v>8</x:v>
      </x:c>
      <x:c r="AA605" s="86" t="str">
        <x:f>IF($AH605&lt;&gt;"Valid","",TEXT($C605,"mmmm"))</x:f>
        <x:v>January</x:v>
      </x:c>
      <x:c r="AB605" s="82" t="n">
        <x:f>IF($AH605&lt;&gt;"Valid","",YEAR($C605))</x:f>
        <x:v>2025</x:v>
      </x:c>
      <x:c r="AC605" s="80" t="str">
        <x:v>Cancelled (excluded from completed-sales summary)</x:v>
      </x:c>
      <x:c r="AD605" s="80" t="str">
        <x:v>Excluded</x:v>
      </x:c>
      <x:c r="AE605" s="80" t="str">
        <x:f>IF(OR($AH605&lt;&gt;"Valid",$AI605&lt;&gt;"Valid",$AJ605&lt;&gt;"Valid",LEFT($AM605,7)="Invalid",IFERROR(ABS($AQ605)&gt;0.01,FALSE),IFERROR(ABS($AR605)&gt;0.01,FALSE),COUNTIF($AS605,"*Conflicting duplicate*")&gt;0,COUNTIF($AS605,"*Completed order not paid*")&gt;0),"Invalid",IF(OR($H605="Unknown",$N605="Unknown",$AM605="Missing discount imputed as 0"),"Warning","Clean"))</x:f>
        <x:v>Clean</x:v>
      </x:c>
      <x:c r="AF605" s="80" t="str">
        <x:v>Cleaned</x:v>
      </x:c>
      <x:c r="AG605" s="80" t="str">
        <x:v>category: TRIM/SUBSTITUTE whitespace cleanup</x:v>
      </x:c>
      <x:c r="AH605" s="12" t="str">
        <x:f>IF(C605="","Missing date",IF(ISNUMBER(C605),"Valid","Unrecognized/invalid date"))</x:f>
        <x:v>Valid</x:v>
      </x:c>
      <x:c r="AI605" s="12" t="str">
        <x:f>IF(D605="","Missing date",IF(ISNUMBER(D605),"Valid","Unrecognized/invalid date"))</x:f>
        <x:v>Valid</x:v>
      </x:c>
      <x:c r="AJ605" s="12" t="str">
        <x:v>Valid</x:v>
      </x:c>
      <x:c r="AK605" s="12" t="str">
        <x:v>Pass</x:v>
      </x:c>
      <x:c r="AL605" s="12" t="str">
        <x:v>Cancelled order – excluded from completed sales</x:v>
      </x:c>
      <x:c r="AM605" s="12" t="str">
        <x:v>Valid</x:v>
      </x:c>
      <x:c r="AN605" s="12" t="str">
        <x:v>Exclude from completed sales</x:v>
      </x:c>
      <x:c r="AO605" s="12" t="str">
        <x:v>Not a refunded record</x:v>
      </x:c>
      <x:c r="AP605" s="37" t="n">
        <x:f>IF(LEFT($AM605,7)="Invalid","",IF($AM605="Missing discount imputed as 0",IF(AND(COUNT($O605,$P605,$R605,$S605)=4,$O605&gt;0,$P605&gt;=0,$R605&gt;=0,$S605&gt;=0),0,""),IF(AND(ISNUMBER($Q605),$Q605&gt;=0,$Q605&lt;=0.5),$Q605,"")))</x:f>
        <x:v>0.05</x:v>
      </x:c>
      <x:c r="AQ605" s="152" t="n">
        <x:f>IF(OR($W605="",NOT(ISNUMBER($R605))),"",ROUND($R605-$W605,2))</x:f>
        <x:v>0</x:v>
      </x:c>
      <x:c r="AR605" s="152" t="n">
        <x:f>IF(OR($X605="",NOT(ISNUMBER($T605))),"",ROUND($T605-$X605,2))</x:f>
        <x:v>0</x:v>
      </x:c>
      <x:c r="AS605" s="14" t="str">
        <x:v>OK</x:v>
      </x:c>
    </x:row>
    <x:row r="606">
      <x:c r="A606" s="80" t="n">
        <x:v>606</x:v>
      </x:c>
      <x:c r="B606" s="80" t="str">
        <x:v>ORD-2025-10605</x:v>
      </x:c>
      <x:c r="C606" s="81" t="n">
        <x:v>45693</x:v>
      </x:c>
      <x:c r="D606" s="81" t="n">
        <x:v>45694</x:v>
      </x:c>
      <x:c r="E606" s="80" t="str">
        <x:v>CUST-4526</x:v>
      </x:c>
      <x:c r="F606" s="80" t="str">
        <x:v>Ananya Rao</x:v>
      </x:c>
      <x:c r="G606" s="80" t="str">
        <x:v>Consumer</x:v>
      </x:c>
      <x:c r="H606" s="80" t="str">
        <x:v>West</x:v>
      </x:c>
      <x:c r="I606" s="80" t="str">
        <x:v>Madhya Pradesh</x:v>
      </x:c>
      <x:c r="J606" s="80" t="str">
        <x:v>Indore</x:v>
      </x:c>
      <x:c r="K606" s="80" t="str">
        <x:v>Office Supplies</x:v>
      </x:c>
      <x:c r="L606" s="80" t="str">
        <x:v>Binders</x:v>
      </x:c>
      <x:c r="M606" s="80" t="str">
        <x:v>Max Binders 547</x:v>
      </x:c>
      <x:c r="N606" s="80" t="str">
        <x:v>Same Day</x:v>
      </x:c>
      <x:c r="O606" s="82" t="n">
        <x:v>3</x:v>
      </x:c>
      <x:c r="P606" s="83" t="n">
        <x:v>1076.3</x:v>
      </x:c>
      <x:c r="Q606" s="84" t="n">
        <x:v>0</x:v>
      </x:c>
      <x:c r="R606" s="83" t="n">
        <x:v>3228.9</x:v>
      </x:c>
      <x:c r="S606" s="83" t="n">
        <x:v>1853.23</x:v>
      </x:c>
      <x:c r="T606" s="83" t="n">
        <x:v>1375.67</x:v>
      </x:c>
      <x:c r="U606" s="83" t="str">
        <x:v>Paid</x:v>
      </x:c>
      <x:c r="V606" s="83" t="str">
        <x:v>Completed</x:v>
      </x:c>
      <x:c r="W606" s="151" t="n">
        <x:f>IF(OR(NOT(ISNUMBER($AP606)),COUNT($O606,$P606)&lt;2,$O606&lt;=0,$P606&lt;0),"",ROUND($O606*$P606*(1-$AP606),2))</x:f>
        <x:v>3228.9</x:v>
      </x:c>
      <x:c r="X606" s="151" t="n">
        <x:f>IF(OR(NOT(ISNUMBER($W606)),NOT(ISNUMBER($S606))),"",ROUND($W606-$S606,2))</x:f>
        <x:v>1375.67</x:v>
      </x:c>
      <x:c r="Y606" s="85" t="n">
        <x:f>IF(OR(NOT(ISNUMBER($W606)),NOT(ISNUMBER($X606)),$W606=0),"",ROUND($X606/$W606,4))</x:f>
        <x:v>0.426</x:v>
      </x:c>
      <x:c r="Z606" s="82" t="n">
        <x:f>IF(OR($AH606&lt;&gt;"Valid",$AI606&lt;&gt;"Valid"),"",INT($D606-$C606))</x:f>
        <x:v>1</x:v>
      </x:c>
      <x:c r="AA606" s="86" t="str">
        <x:f>IF($AH606&lt;&gt;"Valid","",TEXT($C606,"mmmm"))</x:f>
        <x:v>February</x:v>
      </x:c>
      <x:c r="AB606" s="82" t="n">
        <x:f>IF($AH606&lt;&gt;"Valid","",YEAR($C606))</x:f>
        <x:v>2025</x:v>
      </x:c>
      <x:c r="AC606" s="80" t="str">
        <x:v>Consistent</x:v>
      </x:c>
      <x:c r="AD606" s="80" t="str">
        <x:v>Eligible</x:v>
      </x:c>
      <x:c r="AE606" s="80" t="str">
        <x:f>IF(OR($AH606&lt;&gt;"Valid",$AI606&lt;&gt;"Valid",$AJ606&lt;&gt;"Valid",LEFT($AM606,7)="Invalid",IFERROR(ABS($AQ606)&gt;0.01,FALSE),IFERROR(ABS($AR606)&gt;0.01,FALSE),COUNTIF($AS606,"*Conflicting duplicate*")&gt;0,COUNTIF($AS606,"*Completed order not paid*")&gt;0),"Invalid",IF(OR($H606="Unknown",$N606="Unknown",$AM606="Missing discount imputed as 0"),"Warning","Clean"))</x:f>
        <x:v>Clean</x:v>
      </x:c>
      <x:c r="AF606" s="80" t="str">
        <x:v>Pass</x:v>
      </x:c>
      <x:c r="AG606" s="80" t="str">
        <x:v>No text cleanup required</x:v>
      </x:c>
      <x:c r="AH606" s="12" t="str">
        <x:f>IF(C606="","Missing date",IF(ISNUMBER(C606),"Valid","Unrecognized/invalid date"))</x:f>
        <x:v>Valid</x:v>
      </x:c>
      <x:c r="AI606" s="12" t="str">
        <x:f>IF(D606="","Missing date",IF(ISNUMBER(D606),"Valid","Unrecognized/invalid date"))</x:f>
        <x:v>Valid</x:v>
      </x:c>
      <x:c r="AJ606" s="12" t="str">
        <x:v>Valid</x:v>
      </x:c>
      <x:c r="AK606" s="12" t="str">
        <x:v>Pass</x:v>
      </x:c>
      <x:c r="AL606" s="12" t="str">
        <x:v>None</x:v>
      </x:c>
      <x:c r="AM606" s="12" t="str">
        <x:v>Valid</x:v>
      </x:c>
      <x:c r="AN606" s="12" t="str">
        <x:v>Include in completed sales</x:v>
      </x:c>
      <x:c r="AO606" s="12" t="str">
        <x:v>Not a refunded record</x:v>
      </x:c>
      <x:c r="AP606" s="37" t="n">
        <x:f>IF(LEFT($AM606,7)="Invalid","",IF($AM606="Missing discount imputed as 0",IF(AND(COUNT($O606,$P606,$R606,$S606)=4,$O606&gt;0,$P606&gt;=0,$R606&gt;=0,$S606&gt;=0),0,""),IF(AND(ISNUMBER($Q606),$Q606&gt;=0,$Q606&lt;=0.5),$Q606,"")))</x:f>
        <x:v>0</x:v>
      </x:c>
      <x:c r="AQ606" s="152" t="n">
        <x:f>IF(OR($W606="",NOT(ISNUMBER($R606))),"",ROUND($R606-$W606,2))</x:f>
        <x:v>0</x:v>
      </x:c>
      <x:c r="AR606" s="152" t="n">
        <x:f>IF(OR($X606="",NOT(ISNUMBER($T606))),"",ROUND($T606-$X606,2))</x:f>
        <x:v>0</x:v>
      </x:c>
      <x:c r="AS606" s="14" t="str">
        <x:v>OK</x:v>
      </x:c>
    </x:row>
    <x:row r="607">
      <x:c r="A607" s="80" t="n">
        <x:v>607</x:v>
      </x:c>
      <x:c r="B607" s="80" t="str">
        <x:v>ORD-2025-10606</x:v>
      </x:c>
      <x:c r="C607" s="81" t="n">
        <x:v>45847</x:v>
      </x:c>
      <x:c r="D607" s="81" t="n">
        <x:v>45851</x:v>
      </x:c>
      <x:c r="E607" s="80" t="str">
        <x:v>CUST-4447</x:v>
      </x:c>
      <x:c r="F607" s="80" t="str">
        <x:v>Kabir Singh</x:v>
      </x:c>
      <x:c r="G607" s="80" t="str">
        <x:v>Corporate</x:v>
      </x:c>
      <x:c r="H607" s="80" t="str">
        <x:v>West</x:v>
      </x:c>
      <x:c r="I607" s="80" t="str">
        <x:v>Goa</x:v>
      </x:c>
      <x:c r="J607" s="80" t="str">
        <x:v>Panaji</x:v>
      </x:c>
      <x:c r="K607" s="80" t="str">
        <x:v>Furniture</x:v>
      </x:c>
      <x:c r="L607" s="80" t="str">
        <x:v>Furnishings</x:v>
      </x:c>
      <x:c r="M607" s="80" t="str">
        <x:v>Pro Furnishings 267</x:v>
      </x:c>
      <x:c r="N607" s="80" t="str">
        <x:v>Second Class</x:v>
      </x:c>
      <x:c r="O607" s="82" t="n">
        <x:v>5</x:v>
      </x:c>
      <x:c r="P607" s="83" t="n">
        <x:v>1680.01</x:v>
      </x:c>
      <x:c r="Q607" s="84" t="n">
        <x:v>0.85</x:v>
      </x:c>
      <x:c r="R607" s="83" t="n">
        <x:v>7560.04</x:v>
      </x:c>
      <x:c r="S607" s="83" t="n">
        <x:v>6448.05</x:v>
      </x:c>
      <x:c r="T607" s="83" t="n">
        <x:v>1111.99</x:v>
      </x:c>
      <x:c r="U607" s="83" t="str">
        <x:v>Paid</x:v>
      </x:c>
      <x:c r="V607" s="83" t="str">
        <x:v>Cancelled</x:v>
      </x:c>
      <x:c r="W607" s="151" t="str">
        <x:f>IF(OR(NOT(ISNUMBER($AP607)),COUNT($O607,$P607)&lt;2,$O607&lt;=0,$P607&lt;0),"",ROUND($O607*$P607*(1-$AP607),2))</x:f>
      </x:c>
      <x:c r="X607" s="151" t="str">
        <x:f>IF(OR(NOT(ISNUMBER($W607)),NOT(ISNUMBER($S607))),"",ROUND($W607-$S607,2))</x:f>
      </x:c>
      <x:c r="Y607" s="85" t="str">
        <x:f>IF(OR(NOT(ISNUMBER($W607)),NOT(ISNUMBER($X607)),$W607=0),"",ROUND($X607/$W607,4))</x:f>
      </x:c>
      <x:c r="Z607" s="82" t="n">
        <x:f>IF(OR($AH607&lt;&gt;"Valid",$AI607&lt;&gt;"Valid"),"",INT($D607-$C607))</x:f>
        <x:v>4</x:v>
      </x:c>
      <x:c r="AA607" s="86" t="str">
        <x:f>IF($AH607&lt;&gt;"Valid","",TEXT($C607,"mmmm"))</x:f>
        <x:v>July</x:v>
      </x:c>
      <x:c r="AB607" s="82" t="n">
        <x:f>IF($AH607&lt;&gt;"Valid","",YEAR($C607))</x:f>
        <x:v>2025</x:v>
      </x:c>
      <x:c r="AC607" s="80" t="str">
        <x:v>Cancelled (excluded from completed-sales summary)</x:v>
      </x:c>
      <x:c r="AD607" s="80" t="str">
        <x:v>Excluded</x:v>
      </x:c>
      <x:c r="AE607" s="80" t="str">
        <x:f>IF(OR($AH607&lt;&gt;"Valid",$AI607&lt;&gt;"Valid",$AJ607&lt;&gt;"Valid",LEFT($AM607,7)="Invalid",IFERROR(ABS($AQ607)&gt;0.01,FALSE),IFERROR(ABS($AR607)&gt;0.01,FALSE),COUNTIF($AS607,"*Conflicting duplicate*")&gt;0,COUNTIF($AS607,"*Completed order not paid*")&gt;0),"Invalid",IF(OR($H607="Unknown",$N607="Unknown",$AM607="Missing discount imputed as 0"),"Warning","Clean"))</x:f>
        <x:v>Invalid</x:v>
      </x:c>
      <x:c r="AF607" s="80" t="str">
        <x:v>Review</x:v>
      </x:c>
      <x:c r="AG607" s="80" t="str">
        <x:v>discount: Percent text converted</x:v>
      </x:c>
      <x:c r="AH607" s="12" t="str">
        <x:f>IF(C607="","Missing date",IF(ISNUMBER(C607),"Valid","Unrecognized/invalid date"))</x:f>
        <x:v>Valid</x:v>
      </x:c>
      <x:c r="AI607" s="12" t="str">
        <x:f>IF(D607="","Missing date",IF(ISNUMBER(D607),"Valid","Unrecognized/invalid date"))</x:f>
        <x:v>Valid</x:v>
      </x:c>
      <x:c r="AJ607" s="12" t="str">
        <x:v>Valid</x:v>
      </x:c>
      <x:c r="AK607" s="12" t="str">
        <x:v>Pass</x:v>
      </x:c>
      <x:c r="AL607" s="12" t="str">
        <x:v>Cancelled order – excluded from completed sales</x:v>
      </x:c>
      <x:c r="AM607" s="12" t="str">
        <x:v>Invalid discount – above 50% allowed range</x:v>
      </x:c>
      <x:c r="AN607" s="12" t="str">
        <x:v>Exclude from completed sales</x:v>
      </x:c>
      <x:c r="AO607" s="12" t="str">
        <x:v>Not a refunded record</x:v>
      </x:c>
      <x:c r="AP607" s="37" t="str">
        <x:f>IF(LEFT($AM607,7)="Invalid","",IF($AM607="Missing discount imputed as 0",IF(AND(COUNT($O607,$P607,$R607,$S607)=4,$O607&gt;0,$P607&gt;=0,$R607&gt;=0,$S607&gt;=0),0,""),IF(AND(ISNUMBER($Q607),$Q607&gt;=0,$Q607&lt;=0.5),$Q607,"")))</x:f>
      </x:c>
      <x:c r="AQ607" s="152" t="str">
        <x:f>IF(OR($W607="",NOT(ISNUMBER($R607))),"",ROUND($R607-$W607,2))</x:f>
      </x:c>
      <x:c r="AR607" s="152" t="str">
        <x:f>IF(OR($X607="",NOT(ISNUMBER($T607))),"",ROUND($T607-$X607,2))</x:f>
      </x:c>
      <x:c r="AS607" s="14" t="str">
        <x:v>Discount above allowed range (&gt;50%)</x:v>
      </x:c>
    </x:row>
    <x:row r="608">
      <x:c r="A608" s="80" t="n">
        <x:v>608</x:v>
      </x:c>
      <x:c r="B608" s="80" t="str">
        <x:v>ORD-2025-10607</x:v>
      </x:c>
      <x:c r="C608" s="81" t="n">
        <x:v>45710</x:v>
      </x:c>
      <x:c r="D608" s="81" t="n">
        <x:v>45716</x:v>
      </x:c>
      <x:c r="E608" s="80" t="str">
        <x:v>CUST-2698</x:v>
      </x:c>
      <x:c r="F608" s="80" t="str">
        <x:v>Rahul Verma</x:v>
      </x:c>
      <x:c r="G608" s="80" t="str">
        <x:v>Home Office</x:v>
      </x:c>
      <x:c r="H608" s="80" t="str">
        <x:v>West</x:v>
      </x:c>
      <x:c r="I608" s="80" t="str">
        <x:v>Madhya Pradesh</x:v>
      </x:c>
      <x:c r="J608" s="80" t="str">
        <x:v>Indore</x:v>
      </x:c>
      <x:c r="K608" s="80" t="str">
        <x:v>Technology</x:v>
      </x:c>
      <x:c r="L608" s="80" t="str">
        <x:v>Copiers</x:v>
      </x:c>
      <x:c r="M608" s="80" t="str">
        <x:v>Max Copiers 520</x:v>
      </x:c>
      <x:c r="N608" s="80" t="str">
        <x:v>Same Day</x:v>
      </x:c>
      <x:c r="O608" s="82" t="n">
        <x:v>3</x:v>
      </x:c>
      <x:c r="P608" s="83" t="n">
        <x:v>3890.81</x:v>
      </x:c>
      <x:c r="Q608" s="84" t="n">
        <x:v>0.25</x:v>
      </x:c>
      <x:c r="R608" s="83" t="n">
        <x:v>8754.32</x:v>
      </x:c>
      <x:c r="S608" s="83" t="n">
        <x:v>6238.9</x:v>
      </x:c>
      <x:c r="T608" s="83" t="n">
        <x:v>2515.42</x:v>
      </x:c>
      <x:c r="U608" s="83" t="str">
        <x:v>Paid</x:v>
      </x:c>
      <x:c r="V608" s="83" t="str">
        <x:v>Completed</x:v>
      </x:c>
      <x:c r="W608" s="151" t="n">
        <x:f>IF(OR(NOT(ISNUMBER($AP608)),COUNT($O608,$P608)&lt;2,$O608&lt;=0,$P608&lt;0),"",ROUND($O608*$P608*(1-$AP608),2))</x:f>
        <x:v>8754.32</x:v>
      </x:c>
      <x:c r="X608" s="151" t="n">
        <x:f>IF(OR(NOT(ISNUMBER($W608)),NOT(ISNUMBER($S608))),"",ROUND($W608-$S608,2))</x:f>
        <x:v>2515.42</x:v>
      </x:c>
      <x:c r="Y608" s="85" t="n">
        <x:f>IF(OR(NOT(ISNUMBER($W608)),NOT(ISNUMBER($X608)),$W608=0),"",ROUND($X608/$W608,4))</x:f>
        <x:v>0.2873</x:v>
      </x:c>
      <x:c r="Z608" s="82" t="n">
        <x:f>IF(OR($AH608&lt;&gt;"Valid",$AI608&lt;&gt;"Valid"),"",INT($D608-$C608))</x:f>
        <x:v>6</x:v>
      </x:c>
      <x:c r="AA608" s="86" t="str">
        <x:f>IF($AH608&lt;&gt;"Valid","",TEXT($C608,"mmmm"))</x:f>
        <x:v>February</x:v>
      </x:c>
      <x:c r="AB608" s="82" t="n">
        <x:f>IF($AH608&lt;&gt;"Valid","",YEAR($C608))</x:f>
        <x:v>2025</x:v>
      </x:c>
      <x:c r="AC608" s="80" t="str">
        <x:v>Consistent</x:v>
      </x:c>
      <x:c r="AD608" s="80" t="str">
        <x:v>Eligible</x:v>
      </x:c>
      <x:c r="AE608" s="80" t="str">
        <x:f>IF(OR($AH608&lt;&gt;"Valid",$AI608&lt;&gt;"Valid",$AJ608&lt;&gt;"Valid",LEFT($AM608,7)="Invalid",IFERROR(ABS($AQ608)&gt;0.01,FALSE),IFERROR(ABS($AR608)&gt;0.01,FALSE),COUNTIF($AS608,"*Conflicting duplicate*")&gt;0,COUNTIF($AS608,"*Completed order not paid*")&gt;0),"Invalid",IF(OR($H608="Unknown",$N608="Unknown",$AM608="Missing discount imputed as 0"),"Warning","Clean"))</x:f>
        <x:v>Clean</x:v>
      </x:c>
      <x:c r="AF608" s="80" t="str">
        <x:v>Pass</x:v>
      </x:c>
      <x:c r="AG608" s="80" t="str">
        <x:v>No text cleanup required</x:v>
      </x:c>
      <x:c r="AH608" s="12" t="str">
        <x:f>IF(C608="","Missing date",IF(ISNUMBER(C608),"Valid","Unrecognized/invalid date"))</x:f>
        <x:v>Valid</x:v>
      </x:c>
      <x:c r="AI608" s="12" t="str">
        <x:f>IF(D608="","Missing date",IF(ISNUMBER(D608),"Valid","Unrecognized/invalid date"))</x:f>
        <x:v>Valid</x:v>
      </x:c>
      <x:c r="AJ608" s="12" t="str">
        <x:v>Valid</x:v>
      </x:c>
      <x:c r="AK608" s="12" t="str">
        <x:v>Pass</x:v>
      </x:c>
      <x:c r="AL608" s="12" t="str">
        <x:v>None</x:v>
      </x:c>
      <x:c r="AM608" s="12" t="str">
        <x:v>Valid</x:v>
      </x:c>
      <x:c r="AN608" s="12" t="str">
        <x:v>Include in completed sales</x:v>
      </x:c>
      <x:c r="AO608" s="12" t="str">
        <x:v>Not a refunded record</x:v>
      </x:c>
      <x:c r="AP608" s="37" t="n">
        <x:f>IF(LEFT($AM608,7)="Invalid","",IF($AM608="Missing discount imputed as 0",IF(AND(COUNT($O608,$P608,$R608,$S608)=4,$O608&gt;0,$P608&gt;=0,$R608&gt;=0,$S608&gt;=0),0,""),IF(AND(ISNUMBER($Q608),$Q608&gt;=0,$Q608&lt;=0.5),$Q608,"")))</x:f>
        <x:v>0.25</x:v>
      </x:c>
      <x:c r="AQ608" s="152" t="n">
        <x:f>IF(OR($W608="",NOT(ISNUMBER($R608))),"",ROUND($R608-$W608,2))</x:f>
        <x:v>0</x:v>
      </x:c>
      <x:c r="AR608" s="152" t="n">
        <x:f>IF(OR($X608="",NOT(ISNUMBER($T608))),"",ROUND($T608-$X608,2))</x:f>
        <x:v>0</x:v>
      </x:c>
      <x:c r="AS608" s="14" t="str">
        <x:v>OK</x:v>
      </x:c>
    </x:row>
    <x:row r="609">
      <x:c r="A609" s="80" t="n">
        <x:v>609</x:v>
      </x:c>
      <x:c r="B609" s="80" t="str">
        <x:v>ORD-2025-10608</x:v>
      </x:c>
      <x:c r="C609" s="81" t="n">
        <x:v>45704</x:v>
      </x:c>
      <x:c r="D609" s="81" t="n">
        <x:v>45710</x:v>
      </x:c>
      <x:c r="E609" s="80" t="str">
        <x:v>CUST-6297</x:v>
      </x:c>
      <x:c r="F609" s="80" t="str">
        <x:v>Sneha Kapoor</x:v>
      </x:c>
      <x:c r="G609" s="80" t="str">
        <x:v>Home Office</x:v>
      </x:c>
      <x:c r="H609" s="80" t="str">
        <x:v>East</x:v>
      </x:c>
      <x:c r="I609" s="80" t="str">
        <x:v>Bihar</x:v>
      </x:c>
      <x:c r="J609" s="80" t="str">
        <x:v>Patna</x:v>
      </x:c>
      <x:c r="K609" s="80" t="str">
        <x:v>Office Supplies</x:v>
      </x:c>
      <x:c r="L609" s="80" t="str">
        <x:v>Storage</x:v>
      </x:c>
      <x:c r="M609" s="80" t="str">
        <x:v>Max Storage 424</x:v>
      </x:c>
      <x:c r="N609" s="80" t="str">
        <x:v>Same Day</x:v>
      </x:c>
      <x:c r="O609" s="82" t="n">
        <x:v>5</x:v>
      </x:c>
      <x:c r="P609" s="83" t="n">
        <x:v>954.67</x:v>
      </x:c>
      <x:c r="Q609" s="84" t="n">
        <x:v>0.15</x:v>
      </x:c>
      <x:c r="R609" s="83" t="n">
        <x:v>4057.35</x:v>
      </x:c>
      <x:c r="S609" s="83" t="n">
        <x:v>2862.03</x:v>
      </x:c>
      <x:c r="T609" s="83" t="n">
        <x:v>1195.32</x:v>
      </x:c>
      <x:c r="U609" s="83" t="str">
        <x:v>Paid</x:v>
      </x:c>
      <x:c r="V609" s="83" t="str">
        <x:v>Completed</x:v>
      </x:c>
      <x:c r="W609" s="151" t="n">
        <x:f>IF(OR(NOT(ISNUMBER($AP609)),COUNT($O609,$P609)&lt;2,$O609&lt;=0,$P609&lt;0),"",ROUND($O609*$P609*(1-$AP609),2))</x:f>
        <x:v>4057.35</x:v>
      </x:c>
      <x:c r="X609" s="151" t="n">
        <x:f>IF(OR(NOT(ISNUMBER($W609)),NOT(ISNUMBER($S609))),"",ROUND($W609-$S609,2))</x:f>
        <x:v>1195.32</x:v>
      </x:c>
      <x:c r="Y609" s="85" t="n">
        <x:f>IF(OR(NOT(ISNUMBER($W609)),NOT(ISNUMBER($X609)),$W609=0),"",ROUND($X609/$W609,4))</x:f>
        <x:v>0.2946</x:v>
      </x:c>
      <x:c r="Z609" s="82" t="n">
        <x:f>IF(OR($AH609&lt;&gt;"Valid",$AI609&lt;&gt;"Valid"),"",INT($D609-$C609))</x:f>
        <x:v>6</x:v>
      </x:c>
      <x:c r="AA609" s="86" t="str">
        <x:f>IF($AH609&lt;&gt;"Valid","",TEXT($C609,"mmmm"))</x:f>
        <x:v>February</x:v>
      </x:c>
      <x:c r="AB609" s="82" t="n">
        <x:f>IF($AH609&lt;&gt;"Valid","",YEAR($C609))</x:f>
        <x:v>2025</x:v>
      </x:c>
      <x:c r="AC609" s="80" t="str">
        <x:v>Consistent</x:v>
      </x:c>
      <x:c r="AD609" s="80" t="str">
        <x:v>Eligible</x:v>
      </x:c>
      <x:c r="AE609" s="80" t="str">
        <x:f>IF(OR($AH609&lt;&gt;"Valid",$AI609&lt;&gt;"Valid",$AJ609&lt;&gt;"Valid",LEFT($AM609,7)="Invalid",IFERROR(ABS($AQ609)&gt;0.01,FALSE),IFERROR(ABS($AR609)&gt;0.01,FALSE),COUNTIF($AS609,"*Conflicting duplicate*")&gt;0,COUNTIF($AS609,"*Completed order not paid*")&gt;0),"Invalid",IF(OR($H609="Unknown",$N609="Unknown",$AM609="Missing discount imputed as 0"),"Warning","Clean"))</x:f>
        <x:v>Clean</x:v>
      </x:c>
      <x:c r="AF609" s="80" t="str">
        <x:v>Pass</x:v>
      </x:c>
      <x:c r="AG609" s="80" t="str">
        <x:v>No text cleanup required</x:v>
      </x:c>
      <x:c r="AH609" s="12" t="str">
        <x:f>IF(C609="","Missing date",IF(ISNUMBER(C609),"Valid","Unrecognized/invalid date"))</x:f>
        <x:v>Valid</x:v>
      </x:c>
      <x:c r="AI609" s="12" t="str">
        <x:f>IF(D609="","Missing date",IF(ISNUMBER(D609),"Valid","Unrecognized/invalid date"))</x:f>
        <x:v>Valid</x:v>
      </x:c>
      <x:c r="AJ609" s="12" t="str">
        <x:v>Valid</x:v>
      </x:c>
      <x:c r="AK609" s="12" t="str">
        <x:v>Pass</x:v>
      </x:c>
      <x:c r="AL609" s="12" t="str">
        <x:v>None</x:v>
      </x:c>
      <x:c r="AM609" s="12" t="str">
        <x:v>Valid</x:v>
      </x:c>
      <x:c r="AN609" s="12" t="str">
        <x:v>Include in completed sales</x:v>
      </x:c>
      <x:c r="AO609" s="12" t="str">
        <x:v>Not a refunded record</x:v>
      </x:c>
      <x:c r="AP609" s="37" t="n">
        <x:f>IF(LEFT($AM609,7)="Invalid","",IF($AM609="Missing discount imputed as 0",IF(AND(COUNT($O609,$P609,$R609,$S609)=4,$O609&gt;0,$P609&gt;=0,$R609&gt;=0,$S609&gt;=0),0,""),IF(AND(ISNUMBER($Q609),$Q609&gt;=0,$Q609&lt;=0.5),$Q609,"")))</x:f>
        <x:v>0.15</x:v>
      </x:c>
      <x:c r="AQ609" s="152" t="n">
        <x:f>IF(OR($W609="",NOT(ISNUMBER($R609))),"",ROUND($R609-$W609,2))</x:f>
        <x:v>0</x:v>
      </x:c>
      <x:c r="AR609" s="152" t="n">
        <x:f>IF(OR($X609="",NOT(ISNUMBER($T609))),"",ROUND($T609-$X609,2))</x:f>
        <x:v>0</x:v>
      </x:c>
      <x:c r="AS609" s="14" t="str">
        <x:v>OK</x:v>
      </x:c>
    </x:row>
    <x:row r="610">
      <x:c r="A610" s="80" t="n">
        <x:v>610</x:v>
      </x:c>
      <x:c r="B610" s="80" t="str">
        <x:v>ORD-2024-10609</x:v>
      </x:c>
      <x:c r="C610" s="81" t="n">
        <x:v>45464</x:v>
      </x:c>
      <x:c r="D610" s="81" t="n">
        <x:v>45466</x:v>
      </x:c>
      <x:c r="E610" s="80" t="str">
        <x:v>CUST-7690</x:v>
      </x:c>
      <x:c r="F610" s="80" t="str">
        <x:v>Karan Malhotra</x:v>
      </x:c>
      <x:c r="G610" s="80" t="str">
        <x:v>Home Office</x:v>
      </x:c>
      <x:c r="H610" s="80" t="str">
        <x:v>West</x:v>
      </x:c>
      <x:c r="I610" s="80" t="str">
        <x:v>Goa</x:v>
      </x:c>
      <x:c r="J610" s="80" t="str">
        <x:v>Panaji</x:v>
      </x:c>
      <x:c r="K610" s="80" t="str">
        <x:v>Furniture</x:v>
      </x:c>
      <x:c r="L610" s="80" t="str">
        <x:v>Furnishings</x:v>
      </x:c>
      <x:c r="M610" s="80" t="str">
        <x:v>Elite Furnishings 706</x:v>
      </x:c>
      <x:c r="N610" s="80" t="str">
        <x:v>Second Class</x:v>
      </x:c>
      <x:c r="O610" s="82" t="n">
        <x:v>9</x:v>
      </x:c>
      <x:c r="P610" s="83" t="n">
        <x:v>2153.75</x:v>
      </x:c>
      <x:c r="Q610" s="84" t="n">
        <x:v>0</x:v>
      </x:c>
      <x:c r="R610" s="83" t="n">
        <x:v>19383.75</x:v>
      </x:c>
      <x:c r="S610" s="83" t="n">
        <x:v>11667.43</x:v>
      </x:c>
      <x:c r="T610" s="83" t="n">
        <x:v>7716.32</x:v>
      </x:c>
      <x:c r="U610" s="83" t="str">
        <x:v>Paid</x:v>
      </x:c>
      <x:c r="V610" s="83" t="str">
        <x:v>Completed</x:v>
      </x:c>
      <x:c r="W610" s="151" t="n">
        <x:f>IF(OR(NOT(ISNUMBER($AP610)),COUNT($O610,$P610)&lt;2,$O610&lt;=0,$P610&lt;0),"",ROUND($O610*$P610*(1-$AP610),2))</x:f>
        <x:v>19383.75</x:v>
      </x:c>
      <x:c r="X610" s="151" t="n">
        <x:f>IF(OR(NOT(ISNUMBER($W610)),NOT(ISNUMBER($S610))),"",ROUND($W610-$S610,2))</x:f>
        <x:v>7716.32</x:v>
      </x:c>
      <x:c r="Y610" s="85" t="n">
        <x:f>IF(OR(NOT(ISNUMBER($W610)),NOT(ISNUMBER($X610)),$W610=0),"",ROUND($X610/$W610,4))</x:f>
        <x:v>0.3981</x:v>
      </x:c>
      <x:c r="Z610" s="82" t="n">
        <x:f>IF(OR($AH610&lt;&gt;"Valid",$AI610&lt;&gt;"Valid"),"",INT($D610-$C610))</x:f>
        <x:v>2</x:v>
      </x:c>
      <x:c r="AA610" s="86" t="str">
        <x:f>IF($AH610&lt;&gt;"Valid","",TEXT($C610,"mmmm"))</x:f>
        <x:v>June</x:v>
      </x:c>
      <x:c r="AB610" s="82" t="n">
        <x:f>IF($AH610&lt;&gt;"Valid","",YEAR($C610))</x:f>
        <x:v>2024</x:v>
      </x:c>
      <x:c r="AC610" s="80" t="str">
        <x:v>Consistent</x:v>
      </x:c>
      <x:c r="AD610" s="80" t="str">
        <x:v>Eligible</x:v>
      </x:c>
      <x:c r="AE610" s="80" t="str">
        <x:f>IF(OR($AH610&lt;&gt;"Valid",$AI610&lt;&gt;"Valid",$AJ610&lt;&gt;"Valid",LEFT($AM610,7)="Invalid",IFERROR(ABS($AQ610)&gt;0.01,FALSE),IFERROR(ABS($AR610)&gt;0.01,FALSE),COUNTIF($AS610,"*Conflicting duplicate*")&gt;0,COUNTIF($AS610,"*Completed order not paid*")&gt;0),"Invalid",IF(OR($H610="Unknown",$N610="Unknown",$AM610="Missing discount imputed as 0"),"Warning","Clean"))</x:f>
        <x:v>Clean</x:v>
      </x:c>
      <x:c r="AF610" s="80" t="str">
        <x:v>Pass</x:v>
      </x:c>
      <x:c r="AG610" s="80" t="str">
        <x:v>No text cleanup required</x:v>
      </x:c>
      <x:c r="AH610" s="12" t="str">
        <x:f>IF(C610="","Missing date",IF(ISNUMBER(C610),"Valid","Unrecognized/invalid date"))</x:f>
        <x:v>Valid</x:v>
      </x:c>
      <x:c r="AI610" s="12" t="str">
        <x:f>IF(D610="","Missing date",IF(ISNUMBER(D610),"Valid","Unrecognized/invalid date"))</x:f>
        <x:v>Valid</x:v>
      </x:c>
      <x:c r="AJ610" s="12" t="str">
        <x:v>Valid</x:v>
      </x:c>
      <x:c r="AK610" s="12" t="str">
        <x:v>Pass</x:v>
      </x:c>
      <x:c r="AL610" s="12" t="str">
        <x:v>None</x:v>
      </x:c>
      <x:c r="AM610" s="12" t="str">
        <x:v>Valid</x:v>
      </x:c>
      <x:c r="AN610" s="12" t="str">
        <x:v>Include in completed sales</x:v>
      </x:c>
      <x:c r="AO610" s="12" t="str">
        <x:v>Not a refunded record</x:v>
      </x:c>
      <x:c r="AP610" s="37" t="n">
        <x:f>IF(LEFT($AM610,7)="Invalid","",IF($AM610="Missing discount imputed as 0",IF(AND(COUNT($O610,$P610,$R610,$S610)=4,$O610&gt;0,$P610&gt;=0,$R610&gt;=0,$S610&gt;=0),0,""),IF(AND(ISNUMBER($Q610),$Q610&gt;=0,$Q610&lt;=0.5),$Q610,"")))</x:f>
        <x:v>0</x:v>
      </x:c>
      <x:c r="AQ610" s="152" t="n">
        <x:f>IF(OR($W610="",NOT(ISNUMBER($R610))),"",ROUND($R610-$W610,2))</x:f>
        <x:v>0</x:v>
      </x:c>
      <x:c r="AR610" s="152" t="n">
        <x:f>IF(OR($X610="",NOT(ISNUMBER($T610))),"",ROUND($T610-$X610,2))</x:f>
        <x:v>0</x:v>
      </x:c>
      <x:c r="AS610" s="14" t="str">
        <x:v>OK</x:v>
      </x:c>
    </x:row>
    <x:row r="611">
      <x:c r="A611" s="80" t="n">
        <x:v>611</x:v>
      </x:c>
      <x:c r="B611" s="80" t="str">
        <x:v>ORD-2025-10610</x:v>
      </x:c>
      <x:c r="C611" s="81" t="n">
        <x:v>45665</x:v>
      </x:c>
      <x:c r="D611" s="81" t="n">
        <x:v>45669</x:v>
      </x:c>
      <x:c r="E611" s="80" t="str">
        <x:v>CUST-4380</x:v>
      </x:c>
      <x:c r="F611" s="80" t="str">
        <x:v>Sneha Kapoor</x:v>
      </x:c>
      <x:c r="G611" s="80" t="str">
        <x:v>Home Office</x:v>
      </x:c>
      <x:c r="H611" s="80" t="str">
        <x:v>South</x:v>
      </x:c>
      <x:c r="I611" s="80" t="str">
        <x:v>Karnataka</x:v>
      </x:c>
      <x:c r="J611" s="80" t="str">
        <x:v>Bengaluru</x:v>
      </x:c>
      <x:c r="K611" s="80" t="str">
        <x:v>Furniture</x:v>
      </x:c>
      <x:c r="L611" s="80" t="str">
        <x:v>Chairs</x:v>
      </x:c>
      <x:c r="M611" s="80" t="str">
        <x:v>Pro Chairs 908</x:v>
      </x:c>
      <x:c r="N611" s="80" t="str">
        <x:v>Standard Class</x:v>
      </x:c>
      <x:c r="O611" s="82" t="n">
        <x:v>7</x:v>
      </x:c>
      <x:c r="P611" s="83" t="n">
        <x:v>4337.48</x:v>
      </x:c>
      <x:c r="Q611" s="84" t="n">
        <x:v>0</x:v>
      </x:c>
      <x:c r="R611" s="83" t="n">
        <x:v>30362.36</x:v>
      </x:c>
      <x:c r="S611" s="83" t="n">
        <x:v>25065.4</x:v>
      </x:c>
      <x:c r="T611" s="83" t="n">
        <x:v>5296.96</x:v>
      </x:c>
      <x:c r="U611" s="83" t="str">
        <x:v>Paid</x:v>
      </x:c>
      <x:c r="V611" s="83" t="str">
        <x:v>Completed</x:v>
      </x:c>
      <x:c r="W611" s="151" t="n">
        <x:f>IF(OR(NOT(ISNUMBER($AP611)),COUNT($O611,$P611)&lt;2,$O611&lt;=0,$P611&lt;0),"",ROUND($O611*$P611*(1-$AP611),2))</x:f>
        <x:v>30362.36</x:v>
      </x:c>
      <x:c r="X611" s="151" t="n">
        <x:f>IF(OR(NOT(ISNUMBER($W611)),NOT(ISNUMBER($S611))),"",ROUND($W611-$S611,2))</x:f>
        <x:v>5296.96</x:v>
      </x:c>
      <x:c r="Y611" s="85" t="n">
        <x:f>IF(OR(NOT(ISNUMBER($W611)),NOT(ISNUMBER($X611)),$W611=0),"",ROUND($X611/$W611,4))</x:f>
        <x:v>0.1745</x:v>
      </x:c>
      <x:c r="Z611" s="82" t="n">
        <x:f>IF(OR($AH611&lt;&gt;"Valid",$AI611&lt;&gt;"Valid"),"",INT($D611-$C611))</x:f>
        <x:v>4</x:v>
      </x:c>
      <x:c r="AA611" s="86" t="str">
        <x:f>IF($AH611&lt;&gt;"Valid","",TEXT($C611,"mmmm"))</x:f>
        <x:v>January</x:v>
      </x:c>
      <x:c r="AB611" s="82" t="n">
        <x:f>IF($AH611&lt;&gt;"Valid","",YEAR($C611))</x:f>
        <x:v>2025</x:v>
      </x:c>
      <x:c r="AC611" s="80" t="str">
        <x:v>Consistent</x:v>
      </x:c>
      <x:c r="AD611" s="80" t="str">
        <x:v>Eligible</x:v>
      </x:c>
      <x:c r="AE611" s="80" t="str">
        <x:f>IF(OR($AH611&lt;&gt;"Valid",$AI611&lt;&gt;"Valid",$AJ611&lt;&gt;"Valid",LEFT($AM611,7)="Invalid",IFERROR(ABS($AQ611)&gt;0.01,FALSE),IFERROR(ABS($AR611)&gt;0.01,FALSE),COUNTIF($AS611,"*Conflicting duplicate*")&gt;0,COUNTIF($AS611,"*Completed order not paid*")&gt;0),"Invalid",IF(OR($H611="Unknown",$N611="Unknown",$AM611="Missing discount imputed as 0"),"Warning","Clean"))</x:f>
        <x:v>Clean</x:v>
      </x:c>
      <x:c r="AF611" s="80" t="str">
        <x:v>Pass</x:v>
      </x:c>
      <x:c r="AG611" s="80" t="str">
        <x:v>No text cleanup required</x:v>
      </x:c>
      <x:c r="AH611" s="12" t="str">
        <x:f>IF(C611="","Missing date",IF(ISNUMBER(C611),"Valid","Unrecognized/invalid date"))</x:f>
        <x:v>Valid</x:v>
      </x:c>
      <x:c r="AI611" s="12" t="str">
        <x:f>IF(D611="","Missing date",IF(ISNUMBER(D611),"Valid","Unrecognized/invalid date"))</x:f>
        <x:v>Valid</x:v>
      </x:c>
      <x:c r="AJ611" s="12" t="str">
        <x:v>Valid</x:v>
      </x:c>
      <x:c r="AK611" s="12" t="str">
        <x:v>Pass</x:v>
      </x:c>
      <x:c r="AL611" s="12" t="str">
        <x:v>None</x:v>
      </x:c>
      <x:c r="AM611" s="12" t="str">
        <x:v>Valid</x:v>
      </x:c>
      <x:c r="AN611" s="12" t="str">
        <x:v>Include in completed sales</x:v>
      </x:c>
      <x:c r="AO611" s="12" t="str">
        <x:v>Not a refunded record</x:v>
      </x:c>
      <x:c r="AP611" s="37" t="n">
        <x:f>IF(LEFT($AM611,7)="Invalid","",IF($AM611="Missing discount imputed as 0",IF(AND(COUNT($O611,$P611,$R611,$S611)=4,$O611&gt;0,$P611&gt;=0,$R611&gt;=0,$S611&gt;=0),0,""),IF(AND(ISNUMBER($Q611),$Q611&gt;=0,$Q611&lt;=0.5),$Q611,"")))</x:f>
        <x:v>0</x:v>
      </x:c>
      <x:c r="AQ611" s="152" t="n">
        <x:f>IF(OR($W611="",NOT(ISNUMBER($R611))),"",ROUND($R611-$W611,2))</x:f>
        <x:v>0</x:v>
      </x:c>
      <x:c r="AR611" s="152" t="n">
        <x:f>IF(OR($X611="",NOT(ISNUMBER($T611))),"",ROUND($T611-$X611,2))</x:f>
        <x:v>0</x:v>
      </x:c>
      <x:c r="AS611" s="14" t="str">
        <x:v>OK</x:v>
      </x:c>
    </x:row>
    <x:row r="612">
      <x:c r="A612" s="80" t="n">
        <x:v>612</x:v>
      </x:c>
      <x:c r="B612" s="80" t="str">
        <x:v>ORD-2024-10611</x:v>
      </x:c>
      <x:c r="C612" s="81" t="n">
        <x:v>45432</x:v>
      </x:c>
      <x:c r="D612" s="81" t="n">
        <x:v>45432</x:v>
      </x:c>
      <x:c r="E612" s="80" t="str">
        <x:v>CUST-2779</x:v>
      </x:c>
      <x:c r="F612" s="80" t="str">
        <x:v>Karan Malhotra</x:v>
      </x:c>
      <x:c r="G612" s="80" t="str">
        <x:v>Home Office</x:v>
      </x:c>
      <x:c r="H612" s="80" t="str">
        <x:v>West</x:v>
      </x:c>
      <x:c r="I612" s="80" t="str">
        <x:v>Madhya Pradesh</x:v>
      </x:c>
      <x:c r="J612" s="80" t="str">
        <x:v>Indore</x:v>
      </x:c>
      <x:c r="K612" s="80" t="str">
        <x:v>Furniture</x:v>
      </x:c>
      <x:c r="L612" s="80" t="str">
        <x:v>Chairs</x:v>
      </x:c>
      <x:c r="M612" s="80" t="str">
        <x:v>Pro Chairs 712</x:v>
      </x:c>
      <x:c r="N612" s="80" t="str">
        <x:v>Standard Class</x:v>
      </x:c>
      <x:c r="O612" s="82" t="n">
        <x:v>1</x:v>
      </x:c>
      <x:c r="P612" s="83" t="n">
        <x:v>3032.95</x:v>
      </x:c>
      <x:c r="Q612" s="84" t="n">
        <x:v>0.1</x:v>
      </x:c>
      <x:c r="R612" s="83" t="n">
        <x:v>2729.65</x:v>
      </x:c>
      <x:c r="S612" s="83" t="n">
        <x:v>1715.36</x:v>
      </x:c>
      <x:c r="T612" s="83" t="n">
        <x:v>1014.29</x:v>
      </x:c>
      <x:c r="U612" s="83" t="str">
        <x:v>Paid</x:v>
      </x:c>
      <x:c r="V612" s="83" t="str">
        <x:v>Completed</x:v>
      </x:c>
      <x:c r="W612" s="151" t="n">
        <x:f>IF(OR(NOT(ISNUMBER($AP612)),COUNT($O612,$P612)&lt;2,$O612&lt;=0,$P612&lt;0),"",ROUND($O612*$P612*(1-$AP612),2))</x:f>
        <x:v>2729.66</x:v>
      </x:c>
      <x:c r="X612" s="151" t="n">
        <x:f>IF(OR(NOT(ISNUMBER($W612)),NOT(ISNUMBER($S612))),"",ROUND($W612-$S612,2))</x:f>
        <x:v>1014.3</x:v>
      </x:c>
      <x:c r="Y612" s="85" t="n">
        <x:f>IF(OR(NOT(ISNUMBER($W612)),NOT(ISNUMBER($X612)),$W612=0),"",ROUND($X612/$W612,4))</x:f>
        <x:v>0.3716</x:v>
      </x:c>
      <x:c r="Z612" s="82" t="n">
        <x:f>IF(OR($AH612&lt;&gt;"Valid",$AI612&lt;&gt;"Valid"),"",INT($D612-$C612))</x:f>
        <x:v>0</x:v>
      </x:c>
      <x:c r="AA612" s="86" t="str">
        <x:f>IF($AH612&lt;&gt;"Valid","",TEXT($C612,"mmmm"))</x:f>
        <x:v>May</x:v>
      </x:c>
      <x:c r="AB612" s="82" t="n">
        <x:f>IF($AH612&lt;&gt;"Valid","",YEAR($C612))</x:f>
        <x:v>2024</x:v>
      </x:c>
      <x:c r="AC612" s="80" t="str">
        <x:v>Consistent</x:v>
      </x:c>
      <x:c r="AD612" s="80" t="str">
        <x:v>Eligible</x:v>
      </x:c>
      <x:c r="AE612" s="80" t="str">
        <x:f>IF(OR($AH612&lt;&gt;"Valid",$AI612&lt;&gt;"Valid",$AJ612&lt;&gt;"Valid",LEFT($AM612,7)="Invalid",IFERROR(ABS($AQ612)&gt;0.01,FALSE),IFERROR(ABS($AR612)&gt;0.01,FALSE),COUNTIF($AS612,"*Conflicting duplicate*")&gt;0,COUNTIF($AS612,"*Completed order not paid*")&gt;0),"Invalid",IF(OR($H612="Unknown",$N612="Unknown",$AM612="Missing discount imputed as 0"),"Warning","Clean"))</x:f>
        <x:v>Clean</x:v>
      </x:c>
      <x:c r="AF612" s="80" t="str">
        <x:v>Pass</x:v>
      </x:c>
      <x:c r="AG612" s="80" t="str">
        <x:v>No text cleanup required</x:v>
      </x:c>
      <x:c r="AH612" s="12" t="str">
        <x:f>IF(C612="","Missing date",IF(ISNUMBER(C612),"Valid","Unrecognized/invalid date"))</x:f>
        <x:v>Valid</x:v>
      </x:c>
      <x:c r="AI612" s="12" t="str">
        <x:f>IF(D612="","Missing date",IF(ISNUMBER(D612),"Valid","Unrecognized/invalid date"))</x:f>
        <x:v>Valid</x:v>
      </x:c>
      <x:c r="AJ612" s="12" t="str">
        <x:v>Valid</x:v>
      </x:c>
      <x:c r="AK612" s="12" t="str">
        <x:v>Pass</x:v>
      </x:c>
      <x:c r="AL612" s="12" t="str">
        <x:v>None</x:v>
      </x:c>
      <x:c r="AM612" s="12" t="str">
        <x:v>Valid</x:v>
      </x:c>
      <x:c r="AN612" s="12" t="str">
        <x:v>Include in completed sales</x:v>
      </x:c>
      <x:c r="AO612" s="12" t="str">
        <x:v>Not a refunded record</x:v>
      </x:c>
      <x:c r="AP612" s="37" t="n">
        <x:f>IF(LEFT($AM612,7)="Invalid","",IF($AM612="Missing discount imputed as 0",IF(AND(COUNT($O612,$P612,$R612,$S612)=4,$O612&gt;0,$P612&gt;=0,$R612&gt;=0,$S612&gt;=0),0,""),IF(AND(ISNUMBER($Q612),$Q612&gt;=0,$Q612&lt;=0.5),$Q612,"")))</x:f>
        <x:v>0.1</x:v>
      </x:c>
      <x:c r="AQ612" s="152" t="n">
        <x:f>IF(OR($W612="",NOT(ISNUMBER($R612))),"",ROUND($R612-$W612,2))</x:f>
        <x:v>-0.01</x:v>
      </x:c>
      <x:c r="AR612" s="152" t="n">
        <x:f>IF(OR($X612="",NOT(ISNUMBER($T612))),"",ROUND($T612-$X612,2))</x:f>
        <x:v>-0.01</x:v>
      </x:c>
      <x:c r="AS612" s="14" t="str">
        <x:v>OK</x:v>
      </x:c>
    </x:row>
    <x:row r="613">
      <x:c r="A613" s="80" t="n">
        <x:v>613</x:v>
      </x:c>
      <x:c r="B613" s="80" t="str">
        <x:v>ORD-2025-10612</x:v>
      </x:c>
      <x:c r="C613" s="81" t="n">
        <x:v>45846</x:v>
      </x:c>
      <x:c r="D613" s="81" t="n">
        <x:v>45853</x:v>
      </x:c>
      <x:c r="E613" s="80" t="str">
        <x:v>CUST-6108</x:v>
      </x:c>
      <x:c r="F613" s="80" t="str">
        <x:v>Ananya Rao</x:v>
      </x:c>
      <x:c r="G613" s="80" t="str">
        <x:v>Small Business</x:v>
      </x:c>
      <x:c r="H613" s="80" t="str">
        <x:v>North</x:v>
      </x:c>
      <x:c r="I613" s="80" t="str">
        <x:v>Rajasthan</x:v>
      </x:c>
      <x:c r="J613" s="80" t="str">
        <x:v>Jaipur</x:v>
      </x:c>
      <x:c r="K613" s="80" t="str">
        <x:v>Office Supplies</x:v>
      </x:c>
      <x:c r="L613" s="80" t="str">
        <x:v>Binders</x:v>
      </x:c>
      <x:c r="M613" s="80" t="str">
        <x:v>Max Binders 785</x:v>
      </x:c>
      <x:c r="N613" s="80" t="str">
        <x:v>Same Day</x:v>
      </x:c>
      <x:c r="O613" s="82" t="n">
        <x:v>8</x:v>
      </x:c>
      <x:c r="P613" s="83" t="n">
        <x:v>655.28</x:v>
      </x:c>
      <x:c r="Q613" s="84" t="n">
        <x:v>0.1</x:v>
      </x:c>
      <x:c r="R613" s="83" t="n">
        <x:v>4718.02</x:v>
      </x:c>
      <x:c r="S613" s="83" t="n">
        <x:v>3908.23</x:v>
      </x:c>
      <x:c r="T613" s="83" t="n">
        <x:v>809.79</x:v>
      </x:c>
      <x:c r="U613" s="83" t="str">
        <x:v>Paid</x:v>
      </x:c>
      <x:c r="V613" s="83" t="str">
        <x:v>Completed</x:v>
      </x:c>
      <x:c r="W613" s="151" t="n">
        <x:f>IF(OR(NOT(ISNUMBER($AP613)),COUNT($O613,$P613)&lt;2,$O613&lt;=0,$P613&lt;0),"",ROUND($O613*$P613*(1-$AP613),2))</x:f>
        <x:v>4718.02</x:v>
      </x:c>
      <x:c r="X613" s="151" t="n">
        <x:f>IF(OR(NOT(ISNUMBER($W613)),NOT(ISNUMBER($S613))),"",ROUND($W613-$S613,2))</x:f>
        <x:v>809.79</x:v>
      </x:c>
      <x:c r="Y613" s="85" t="n">
        <x:f>IF(OR(NOT(ISNUMBER($W613)),NOT(ISNUMBER($X613)),$W613=0),"",ROUND($X613/$W613,4))</x:f>
        <x:v>0.1716</x:v>
      </x:c>
      <x:c r="Z613" s="82" t="n">
        <x:f>IF(OR($AH613&lt;&gt;"Valid",$AI613&lt;&gt;"Valid"),"",INT($D613-$C613))</x:f>
        <x:v>7</x:v>
      </x:c>
      <x:c r="AA613" s="86" t="str">
        <x:f>IF($AH613&lt;&gt;"Valid","",TEXT($C613,"mmmm"))</x:f>
        <x:v>July</x:v>
      </x:c>
      <x:c r="AB613" s="82" t="n">
        <x:f>IF($AH613&lt;&gt;"Valid","",YEAR($C613))</x:f>
        <x:v>2025</x:v>
      </x:c>
      <x:c r="AC613" s="80" t="str">
        <x:v>Consistent</x:v>
      </x:c>
      <x:c r="AD613" s="80" t="str">
        <x:v>Eligible</x:v>
      </x:c>
      <x:c r="AE613" s="80" t="str">
        <x:f>IF(OR($AH613&lt;&gt;"Valid",$AI613&lt;&gt;"Valid",$AJ613&lt;&gt;"Valid",LEFT($AM613,7)="Invalid",IFERROR(ABS($AQ613)&gt;0.01,FALSE),IFERROR(ABS($AR613)&gt;0.01,FALSE),COUNTIF($AS613,"*Conflicting duplicate*")&gt;0,COUNTIF($AS613,"*Completed order not paid*")&gt;0),"Invalid",IF(OR($H613="Unknown",$N613="Unknown",$AM613="Missing discount imputed as 0"),"Warning","Clean"))</x:f>
        <x:v>Clean</x:v>
      </x:c>
      <x:c r="AF613" s="80" t="str">
        <x:v>Cleaned</x:v>
      </x:c>
      <x:c r="AG613" s="80" t="str">
        <x:v>segment: TRIM/SUBSTITUTE whitespace cleanup</x:v>
      </x:c>
      <x:c r="AH613" s="12" t="str">
        <x:f>IF(C613="","Missing date",IF(ISNUMBER(C613),"Valid","Unrecognized/invalid date"))</x:f>
        <x:v>Valid</x:v>
      </x:c>
      <x:c r="AI613" s="12" t="str">
        <x:f>IF(D613="","Missing date",IF(ISNUMBER(D613),"Valid","Unrecognized/invalid date"))</x:f>
        <x:v>Valid</x:v>
      </x:c>
      <x:c r="AJ613" s="12" t="str">
        <x:v>Valid</x:v>
      </x:c>
      <x:c r="AK613" s="12" t="str">
        <x:v>Pass</x:v>
      </x:c>
      <x:c r="AL613" s="12" t="str">
        <x:v>None</x:v>
      </x:c>
      <x:c r="AM613" s="12" t="str">
        <x:v>Valid</x:v>
      </x:c>
      <x:c r="AN613" s="12" t="str">
        <x:v>Include in completed sales</x:v>
      </x:c>
      <x:c r="AO613" s="12" t="str">
        <x:v>Not a refunded record</x:v>
      </x:c>
      <x:c r="AP613" s="37" t="n">
        <x:f>IF(LEFT($AM613,7)="Invalid","",IF($AM613="Missing discount imputed as 0",IF(AND(COUNT($O613,$P613,$R613,$S613)=4,$O613&gt;0,$P613&gt;=0,$R613&gt;=0,$S613&gt;=0),0,""),IF(AND(ISNUMBER($Q613),$Q613&gt;=0,$Q613&lt;=0.5),$Q613,"")))</x:f>
        <x:v>0.1</x:v>
      </x:c>
      <x:c r="AQ613" s="152" t="n">
        <x:f>IF(OR($W613="",NOT(ISNUMBER($R613))),"",ROUND($R613-$W613,2))</x:f>
        <x:v>0</x:v>
      </x:c>
      <x:c r="AR613" s="152" t="n">
        <x:f>IF(OR($X613="",NOT(ISNUMBER($T613))),"",ROUND($T613-$X613,2))</x:f>
        <x:v>0</x:v>
      </x:c>
      <x:c r="AS613" s="14" t="str">
        <x:v>OK</x:v>
      </x:c>
    </x:row>
    <x:row r="614">
      <x:c r="A614" s="80" t="n">
        <x:v>614</x:v>
      </x:c>
      <x:c r="B614" s="80" t="str">
        <x:v>ORD-2025-10613</x:v>
      </x:c>
      <x:c r="C614" s="81" t="n">
        <x:v>45753</x:v>
      </x:c>
      <x:c r="D614" s="81" t="n">
        <x:v>45760</x:v>
      </x:c>
      <x:c r="E614" s="80" t="str">
        <x:v>CUST-5663</x:v>
      </x:c>
      <x:c r="F614" s="80" t="str">
        <x:v>Aditi Sen</x:v>
      </x:c>
      <x:c r="G614" s="80" t="str">
        <x:v>Consumer</x:v>
      </x:c>
      <x:c r="H614" s="80" t="str">
        <x:v>Unknown</x:v>
      </x:c>
      <x:c r="I614" s="80" t="str">
        <x:v>Odisha</x:v>
      </x:c>
      <x:c r="J614" s="80" t="str">
        <x:v>Bhubaneswar</x:v>
      </x:c>
      <x:c r="K614" s="80" t="str">
        <x:v>Technology</x:v>
      </x:c>
      <x:c r="L614" s="80" t="str">
        <x:v>Phones</x:v>
      </x:c>
      <x:c r="M614" s="80" t="str">
        <x:v>Elite Phones 239</x:v>
      </x:c>
      <x:c r="N614" s="80" t="str">
        <x:v>Standard Class</x:v>
      </x:c>
      <x:c r="O614" s="82" t="n">
        <x:v>1</x:v>
      </x:c>
      <x:c r="P614" s="83" t="n">
        <x:v>3844.01</x:v>
      </x:c>
      <x:c r="Q614" s="84" t="n">
        <x:v>0</x:v>
      </x:c>
      <x:c r="R614" s="83" t="n">
        <x:v>3844.01</x:v>
      </x:c>
      <x:c r="S614" s="83" t="n">
        <x:v>2195.79</x:v>
      </x:c>
      <x:c r="T614" s="83" t="n">
        <x:v>1648.22</x:v>
      </x:c>
      <x:c r="U614" s="83" t="str">
        <x:v>Paid</x:v>
      </x:c>
      <x:c r="V614" s="83" t="str">
        <x:v>Completed</x:v>
      </x:c>
      <x:c r="W614" s="151" t="n">
        <x:f>IF(OR(NOT(ISNUMBER($AP614)),COUNT($O614,$P614)&lt;2,$O614&lt;=0,$P614&lt;0),"",ROUND($O614*$P614*(1-$AP614),2))</x:f>
        <x:v>3844.01</x:v>
      </x:c>
      <x:c r="X614" s="151" t="n">
        <x:f>IF(OR(NOT(ISNUMBER($W614)),NOT(ISNUMBER($S614))),"",ROUND($W614-$S614,2))</x:f>
        <x:v>1648.22</x:v>
      </x:c>
      <x:c r="Y614" s="85" t="n">
        <x:f>IF(OR(NOT(ISNUMBER($W614)),NOT(ISNUMBER($X614)),$W614=0),"",ROUND($X614/$W614,4))</x:f>
        <x:v>0.4288</x:v>
      </x:c>
      <x:c r="Z614" s="82" t="n">
        <x:f>IF(OR($AH614&lt;&gt;"Valid",$AI614&lt;&gt;"Valid"),"",INT($D614-$C614))</x:f>
        <x:v>7</x:v>
      </x:c>
      <x:c r="AA614" s="86" t="str">
        <x:f>IF($AH614&lt;&gt;"Valid","",TEXT($C614,"mmmm"))</x:f>
        <x:v>April</x:v>
      </x:c>
      <x:c r="AB614" s="82" t="n">
        <x:f>IF($AH614&lt;&gt;"Valid","",YEAR($C614))</x:f>
        <x:v>2025</x:v>
      </x:c>
      <x:c r="AC614" s="80" t="str">
        <x:v>Consistent</x:v>
      </x:c>
      <x:c r="AD614" s="80" t="str">
        <x:v>Eligible</x:v>
      </x:c>
      <x:c r="AE614" s="80" t="str">
        <x:f>IF(OR($AH614&lt;&gt;"Valid",$AI614&lt;&gt;"Valid",$AJ614&lt;&gt;"Valid",LEFT($AM614,7)="Invalid",IFERROR(ABS($AQ614)&gt;0.01,FALSE),IFERROR(ABS($AR614)&gt;0.01,FALSE),COUNTIF($AS614,"*Conflicting duplicate*")&gt;0,COUNTIF($AS614,"*Completed order not paid*")&gt;0),"Invalid",IF(OR($H614="Unknown",$N614="Unknown",$AM614="Missing discount imputed as 0"),"Warning","Clean"))</x:f>
        <x:v>Warning</x:v>
      </x:c>
      <x:c r="AF614" s="80" t="str">
        <x:v>Cleaned</x:v>
      </x:c>
      <x:c r="AG614" s="80" t="str">
        <x:v>region: Missing value filled as Unknown</x:v>
      </x:c>
      <x:c r="AH614" s="12" t="str">
        <x:f>IF(C614="","Missing date",IF(ISNUMBER(C614),"Valid","Unrecognized/invalid date"))</x:f>
        <x:v>Valid</x:v>
      </x:c>
      <x:c r="AI614" s="12" t="str">
        <x:f>IF(D614="","Missing date",IF(ISNUMBER(D614),"Valid","Unrecognized/invalid date"))</x:f>
        <x:v>Valid</x:v>
      </x:c>
      <x:c r="AJ614" s="12" t="str">
        <x:v>Valid</x:v>
      </x:c>
      <x:c r="AK614" s="12" t="str">
        <x:v>Pass</x:v>
      </x:c>
      <x:c r="AL614" s="12" t="str">
        <x:v>Missing region filled as Unknown</x:v>
      </x:c>
      <x:c r="AM614" s="12" t="str">
        <x:v>Valid</x:v>
      </x:c>
      <x:c r="AN614" s="12" t="str">
        <x:v>Include in completed sales</x:v>
      </x:c>
      <x:c r="AO614" s="12" t="str">
        <x:v>Not a refunded record</x:v>
      </x:c>
      <x:c r="AP614" s="37" t="n">
        <x:f>IF(LEFT($AM614,7)="Invalid","",IF($AM614="Missing discount imputed as 0",IF(AND(COUNT($O614,$P614,$R614,$S614)=4,$O614&gt;0,$P614&gt;=0,$R614&gt;=0,$S614&gt;=0),0,""),IF(AND(ISNUMBER($Q614),$Q614&gt;=0,$Q614&lt;=0.5),$Q614,"")))</x:f>
        <x:v>0</x:v>
      </x:c>
      <x:c r="AQ614" s="152" t="n">
        <x:f>IF(OR($W614="",NOT(ISNUMBER($R614))),"",ROUND($R614-$W614,2))</x:f>
        <x:v>0</x:v>
      </x:c>
      <x:c r="AR614" s="152" t="n">
        <x:f>IF(OR($X614="",NOT(ISNUMBER($T614))),"",ROUND($T614-$X614,2))</x:f>
        <x:v>0</x:v>
      </x:c>
      <x:c r="AS614" s="14" t="str">
        <x:v>OK</x:v>
      </x:c>
    </x:row>
    <x:row r="615">
      <x:c r="A615" s="80" t="n">
        <x:v>615</x:v>
      </x:c>
      <x:c r="B615" s="80" t="str">
        <x:v>ORD-2024-10614</x:v>
      </x:c>
      <x:c r="C615" s="81" t="n">
        <x:v>45570</x:v>
      </x:c>
      <x:c r="D615" s="81" t="n">
        <x:v>45575</x:v>
      </x:c>
      <x:c r="E615" s="80" t="str">
        <x:v>CUST-9311</x:v>
      </x:c>
      <x:c r="F615" s="80" t="str">
        <x:v>Diya Patel</x:v>
      </x:c>
      <x:c r="G615" s="80" t="str">
        <x:v>Home Office</x:v>
      </x:c>
      <x:c r="H615" s="80" t="str">
        <x:v>West</x:v>
      </x:c>
      <x:c r="I615" s="80" t="str">
        <x:v>Gujarat</x:v>
      </x:c>
      <x:c r="J615" s="80" t="str">
        <x:v>Ahmedabad</x:v>
      </x:c>
      <x:c r="K615" s="80" t="str">
        <x:v>Technology</x:v>
      </x:c>
      <x:c r="L615" s="80" t="str">
        <x:v>Machines</x:v>
      </x:c>
      <x:c r="M615" s="80" t="str">
        <x:v>Basic Machines 413</x:v>
      </x:c>
      <x:c r="N615" s="80" t="str">
        <x:v>Same Day</x:v>
      </x:c>
      <x:c r="O615" s="82" t="n">
        <x:v>9</x:v>
      </x:c>
      <x:c r="P615" s="83" t="n">
        <x:v>3361.3</x:v>
      </x:c>
      <x:c r="Q615" s="84" t="n">
        <x:v>0.25</x:v>
      </x:c>
      <x:c r="R615" s="83" t="n">
        <x:v>22688.78</x:v>
      </x:c>
      <x:c r="S615" s="83" t="n">
        <x:v>14672.41</x:v>
      </x:c>
      <x:c r="T615" s="83" t="n">
        <x:v>8016.37</x:v>
      </x:c>
      <x:c r="U615" s="83" t="str">
        <x:v>Paid</x:v>
      </x:c>
      <x:c r="V615" s="83" t="str">
        <x:v>Completed</x:v>
      </x:c>
      <x:c r="W615" s="151" t="n">
        <x:f>IF(OR(NOT(ISNUMBER($AP615)),COUNT($O615,$P615)&lt;2,$O615&lt;=0,$P615&lt;0),"",ROUND($O615*$P615*(1-$AP615),2))</x:f>
        <x:v>22688.78</x:v>
      </x:c>
      <x:c r="X615" s="151" t="n">
        <x:f>IF(OR(NOT(ISNUMBER($W615)),NOT(ISNUMBER($S615))),"",ROUND($W615-$S615,2))</x:f>
        <x:v>8016.37</x:v>
      </x:c>
      <x:c r="Y615" s="85" t="n">
        <x:f>IF(OR(NOT(ISNUMBER($W615)),NOT(ISNUMBER($X615)),$W615=0),"",ROUND($X615/$W615,4))</x:f>
        <x:v>0.3533</x:v>
      </x:c>
      <x:c r="Z615" s="82" t="n">
        <x:f>IF(OR($AH615&lt;&gt;"Valid",$AI615&lt;&gt;"Valid"),"",INT($D615-$C615))</x:f>
        <x:v>5</x:v>
      </x:c>
      <x:c r="AA615" s="86" t="str">
        <x:f>IF($AH615&lt;&gt;"Valid","",TEXT($C615,"mmmm"))</x:f>
        <x:v>October</x:v>
      </x:c>
      <x:c r="AB615" s="82" t="n">
        <x:f>IF($AH615&lt;&gt;"Valid","",YEAR($C615))</x:f>
        <x:v>2024</x:v>
      </x:c>
      <x:c r="AC615" s="80" t="str">
        <x:v>Consistent</x:v>
      </x:c>
      <x:c r="AD615" s="80" t="str">
        <x:v>Eligible</x:v>
      </x:c>
      <x:c r="AE615" s="80" t="str">
        <x:f>IF(OR($AH615&lt;&gt;"Valid",$AI615&lt;&gt;"Valid",$AJ615&lt;&gt;"Valid",LEFT($AM615,7)="Invalid",IFERROR(ABS($AQ615)&gt;0.01,FALSE),IFERROR(ABS($AR615)&gt;0.01,FALSE),COUNTIF($AS615,"*Conflicting duplicate*")&gt;0,COUNTIF($AS615,"*Completed order not paid*")&gt;0),"Invalid",IF(OR($H615="Unknown",$N615="Unknown",$AM615="Missing discount imputed as 0"),"Warning","Clean"))</x:f>
        <x:v>Clean</x:v>
      </x:c>
      <x:c r="AF615" s="80" t="str">
        <x:v>Pass</x:v>
      </x:c>
      <x:c r="AG615" s="80" t="str">
        <x:v>No text cleanup required</x:v>
      </x:c>
      <x:c r="AH615" s="12" t="str">
        <x:f>IF(C615="","Missing date",IF(ISNUMBER(C615),"Valid","Unrecognized/invalid date"))</x:f>
        <x:v>Valid</x:v>
      </x:c>
      <x:c r="AI615" s="12" t="str">
        <x:f>IF(D615="","Missing date",IF(ISNUMBER(D615),"Valid","Unrecognized/invalid date"))</x:f>
        <x:v>Valid</x:v>
      </x:c>
      <x:c r="AJ615" s="12" t="str">
        <x:v>Valid</x:v>
      </x:c>
      <x:c r="AK615" s="12" t="str">
        <x:v>Pass</x:v>
      </x:c>
      <x:c r="AL615" s="12" t="str">
        <x:v>None</x:v>
      </x:c>
      <x:c r="AM615" s="12" t="str">
        <x:v>Valid</x:v>
      </x:c>
      <x:c r="AN615" s="12" t="str">
        <x:v>Include in completed sales</x:v>
      </x:c>
      <x:c r="AO615" s="12" t="str">
        <x:v>Not a refunded record</x:v>
      </x:c>
      <x:c r="AP615" s="37" t="n">
        <x:f>IF(LEFT($AM615,7)="Invalid","",IF($AM615="Missing discount imputed as 0",IF(AND(COUNT($O615,$P615,$R615,$S615)=4,$O615&gt;0,$P615&gt;=0,$R615&gt;=0,$S615&gt;=0),0,""),IF(AND(ISNUMBER($Q615),$Q615&gt;=0,$Q615&lt;=0.5),$Q615,"")))</x:f>
        <x:v>0.25</x:v>
      </x:c>
      <x:c r="AQ615" s="152" t="n">
        <x:f>IF(OR($W615="",NOT(ISNUMBER($R615))),"",ROUND($R615-$W615,2))</x:f>
        <x:v>0</x:v>
      </x:c>
      <x:c r="AR615" s="152" t="n">
        <x:f>IF(OR($X615="",NOT(ISNUMBER($T615))),"",ROUND($T615-$X615,2))</x:f>
        <x:v>0</x:v>
      </x:c>
      <x:c r="AS615" s="14" t="str">
        <x:v>OK</x:v>
      </x:c>
    </x:row>
    <x:row r="616">
      <x:c r="A616" s="80" t="n">
        <x:v>616</x:v>
      </x:c>
      <x:c r="B616" s="80" t="str">
        <x:v>ORD-2024-10615</x:v>
      </x:c>
      <x:c r="C616" s="81" t="n">
        <x:v>45333</x:v>
      </x:c>
      <x:c r="D616" s="81" t="n">
        <x:v>45341</x:v>
      </x:c>
      <x:c r="E616" s="80" t="str">
        <x:v>CUST-8154</x:v>
      </x:c>
      <x:c r="F616" s="80" t="str">
        <x:v>Ananya Rao</x:v>
      </x:c>
      <x:c r="G616" s="80" t="str">
        <x:v>Home Office</x:v>
      </x:c>
      <x:c r="H616" s="80" t="str">
        <x:v>South</x:v>
      </x:c>
      <x:c r="I616" s="80" t="str">
        <x:v>Telangana</x:v>
      </x:c>
      <x:c r="J616" s="80" t="str">
        <x:v>Hyderabad</x:v>
      </x:c>
      <x:c r="K616" s="80" t="str">
        <x:v>Furniture</x:v>
      </x:c>
      <x:c r="L616" s="80" t="str">
        <x:v>Chairs</x:v>
      </x:c>
      <x:c r="M616" s="80" t="str">
        <x:v>Elite Chairs 140</x:v>
      </x:c>
      <x:c r="N616" s="80" t="str">
        <x:v>Standard Class</x:v>
      </x:c>
      <x:c r="O616" s="82" t="n">
        <x:v>8</x:v>
      </x:c>
      <x:c r="P616" s="83" t="n">
        <x:v>3398.32</x:v>
      </x:c>
      <x:c r="Q616" s="84" t="n">
        <x:v>0.25</x:v>
      </x:c>
      <x:c r="R616" s="83" t="n">
        <x:v>20389.92</x:v>
      </x:c>
      <x:c r="S616" s="83" t="n">
        <x:v>16661.08</x:v>
      </x:c>
      <x:c r="T616" s="83" t="n">
        <x:v>3728.84</x:v>
      </x:c>
      <x:c r="U616" s="83" t="str">
        <x:v>Refunded</x:v>
      </x:c>
      <x:c r="V616" s="83" t="str">
        <x:v>Cancelled</x:v>
      </x:c>
      <x:c r="W616" s="151" t="n">
        <x:f>IF(OR(NOT(ISNUMBER($AP616)),COUNT($O616,$P616)&lt;2,$O616&lt;=0,$P616&lt;0),"",ROUND($O616*$P616*(1-$AP616),2))</x:f>
        <x:v>20389.92</x:v>
      </x:c>
      <x:c r="X616" s="151" t="n">
        <x:f>IF(OR(NOT(ISNUMBER($W616)),NOT(ISNUMBER($S616))),"",ROUND($W616-$S616,2))</x:f>
        <x:v>3728.84</x:v>
      </x:c>
      <x:c r="Y616" s="85" t="n">
        <x:f>IF(OR(NOT(ISNUMBER($W616)),NOT(ISNUMBER($X616)),$W616=0),"",ROUND($X616/$W616,4))</x:f>
        <x:v>0.1829</x:v>
      </x:c>
      <x:c r="Z616" s="82" t="n">
        <x:f>IF(OR($AH616&lt;&gt;"Valid",$AI616&lt;&gt;"Valid"),"",INT($D616-$C616))</x:f>
        <x:v>8</x:v>
      </x:c>
      <x:c r="AA616" s="86" t="str">
        <x:f>IF($AH616&lt;&gt;"Valid","",TEXT($C616,"mmmm"))</x:f>
        <x:v>February</x:v>
      </x:c>
      <x:c r="AB616" s="82" t="n">
        <x:f>IF($AH616&lt;&gt;"Valid","",YEAR($C616))</x:f>
        <x:v>2024</x:v>
      </x:c>
      <x:c r="AC616" s="80" t="str">
        <x:v>Cancelled (excluded from completed-sales summary)</x:v>
      </x:c>
      <x:c r="AD616" s="80" t="str">
        <x:v>Excluded</x:v>
      </x:c>
      <x:c r="AE616" s="80" t="str">
        <x:f>IF(OR($AH616&lt;&gt;"Valid",$AI616&lt;&gt;"Valid",$AJ616&lt;&gt;"Valid",LEFT($AM616,7)="Invalid",IFERROR(ABS($AQ616)&gt;0.01,FALSE),IFERROR(ABS($AR616)&gt;0.01,FALSE),COUNTIF($AS616,"*Conflicting duplicate*")&gt;0,COUNTIF($AS616,"*Completed order not paid*")&gt;0),"Invalid",IF(OR($H616="Unknown",$N616="Unknown",$AM616="Missing discount imputed as 0"),"Warning","Clean"))</x:f>
        <x:v>Clean</x:v>
      </x:c>
      <x:c r="AF616" s="80" t="str">
        <x:v>Pass</x:v>
      </x:c>
      <x:c r="AG616" s="80" t="str">
        <x:v>No text cleanup required</x:v>
      </x:c>
      <x:c r="AH616" s="12" t="str">
        <x:f>IF(C616="","Missing date",IF(ISNUMBER(C616),"Valid","Unrecognized/invalid date"))</x:f>
        <x:v>Valid</x:v>
      </x:c>
      <x:c r="AI616" s="12" t="str">
        <x:f>IF(D616="","Missing date",IF(ISNUMBER(D616),"Valid","Unrecognized/invalid date"))</x:f>
        <x:v>Valid</x:v>
      </x:c>
      <x:c r="AJ616" s="12" t="str">
        <x:v>Valid</x:v>
      </x:c>
      <x:c r="AK616" s="12" t="str">
        <x:v>Pass</x:v>
      </x:c>
      <x:c r="AL616" s="12" t="str">
        <x:v>Cancelled order – excluded from completed sales; Refunded payment – separately summarized</x:v>
      </x:c>
      <x:c r="AM616" s="12" t="str">
        <x:v>Valid</x:v>
      </x:c>
      <x:c r="AN616" s="12" t="str">
        <x:v>Exclude from completed sales</x:v>
      </x:c>
      <x:c r="AO616" s="12" t="str">
        <x:v>Include in refunded summary</x:v>
      </x:c>
      <x:c r="AP616" s="37" t="n">
        <x:f>IF(LEFT($AM616,7)="Invalid","",IF($AM616="Missing discount imputed as 0",IF(AND(COUNT($O616,$P616,$R616,$S616)=4,$O616&gt;0,$P616&gt;=0,$R616&gt;=0,$S616&gt;=0),0,""),IF(AND(ISNUMBER($Q616),$Q616&gt;=0,$Q616&lt;=0.5),$Q616,"")))</x:f>
        <x:v>0.25</x:v>
      </x:c>
      <x:c r="AQ616" s="152" t="n">
        <x:f>IF(OR($W616="",NOT(ISNUMBER($R616))),"",ROUND($R616-$W616,2))</x:f>
        <x:v>0</x:v>
      </x:c>
      <x:c r="AR616" s="152" t="n">
        <x:f>IF(OR($X616="",NOT(ISNUMBER($T616))),"",ROUND($T616-$X616,2))</x:f>
        <x:v>0</x:v>
      </x:c>
      <x:c r="AS616" s="14" t="str">
        <x:v>OK</x:v>
      </x:c>
    </x:row>
    <x:row r="617">
      <x:c r="A617" s="80" t="n">
        <x:v>617</x:v>
      </x:c>
      <x:c r="B617" s="80" t="str">
        <x:v>ORD-2024-10616</x:v>
      </x:c>
      <x:c r="C617" s="81" t="n">
        <x:v>45569</x:v>
      </x:c>
      <x:c r="D617" s="81" t="n">
        <x:v>45572</x:v>
      </x:c>
      <x:c r="E617" s="80" t="str">
        <x:v>CUST-4462</x:v>
      </x:c>
      <x:c r="F617" s="80" t="str">
        <x:v>Rahul Verma</x:v>
      </x:c>
      <x:c r="G617" s="80" t="str">
        <x:v>Corporate</x:v>
      </x:c>
      <x:c r="H617" s="80" t="str">
        <x:v>South</x:v>
      </x:c>
      <x:c r="I617" s="80" t="str">
        <x:v>Kerala</x:v>
      </x:c>
      <x:c r="J617" s="80" t="str">
        <x:v>Kochi</x:v>
      </x:c>
      <x:c r="K617" s="80" t="str">
        <x:v>Office Supplies</x:v>
      </x:c>
      <x:c r="L617" s="80" t="str">
        <x:v>Art</x:v>
      </x:c>
      <x:c r="M617" s="80" t="str">
        <x:v>Basic Art 771</x:v>
      </x:c>
      <x:c r="N617" s="80" t="str">
        <x:v>Second Class</x:v>
      </x:c>
      <x:c r="O617" s="82" t="n">
        <x:v>2</x:v>
      </x:c>
      <x:c r="P617" s="83" t="n">
        <x:v>3144.38</x:v>
      </x:c>
      <x:c r="Q617" s="84" t="n">
        <x:v>0.1</x:v>
      </x:c>
      <x:c r="R617" s="83" t="n">
        <x:v>5904.57</x:v>
      </x:c>
      <x:c r="S617" s="83" t="n">
        <x:v>4337.79</x:v>
      </x:c>
      <x:c r="T617" s="83" t="n">
        <x:v>1322.09</x:v>
      </x:c>
      <x:c r="U617" s="83" t="str">
        <x:v>Paid</x:v>
      </x:c>
      <x:c r="V617" s="83" t="str">
        <x:v>Completed</x:v>
      </x:c>
      <x:c r="W617" s="151" t="n">
        <x:f>IF(OR(NOT(ISNUMBER($AP617)),COUNT($O617,$P617)&lt;2,$O617&lt;=0,$P617&lt;0),"",ROUND($O617*$P617*(1-$AP617),2))</x:f>
        <x:v>5659.88</x:v>
      </x:c>
      <x:c r="X617" s="151" t="n">
        <x:f>IF(OR(NOT(ISNUMBER($W617)),NOT(ISNUMBER($S617))),"",ROUND($W617-$S617,2))</x:f>
        <x:v>1322.09</x:v>
      </x:c>
      <x:c r="Y617" s="85" t="n">
        <x:f>IF(OR(NOT(ISNUMBER($W617)),NOT(ISNUMBER($X617)),$W617=0),"",ROUND($X617/$W617,4))</x:f>
        <x:v>0.2336</x:v>
      </x:c>
      <x:c r="Z617" s="82" t="n">
        <x:f>IF(OR($AH617&lt;&gt;"Valid",$AI617&lt;&gt;"Valid"),"",INT($D617-$C617))</x:f>
        <x:v>3</x:v>
      </x:c>
      <x:c r="AA617" s="86" t="str">
        <x:f>IF($AH617&lt;&gt;"Valid","",TEXT($C617,"mmmm"))</x:f>
        <x:v>October</x:v>
      </x:c>
      <x:c r="AB617" s="82" t="n">
        <x:f>IF($AH617&lt;&gt;"Valid","",YEAR($C617))</x:f>
        <x:v>2024</x:v>
      </x:c>
      <x:c r="AC617" s="80" t="str">
        <x:v>Consistent</x:v>
      </x:c>
      <x:c r="AD617" s="80" t="str">
        <x:v>Excluded</x:v>
      </x:c>
      <x:c r="AE617" s="80" t="str">
        <x:f>IF(OR($AH617&lt;&gt;"Valid",$AI617&lt;&gt;"Valid",$AJ617&lt;&gt;"Valid",LEFT($AM617,7)="Invalid",IFERROR(ABS($AQ617)&gt;0.01,FALSE),IFERROR(ABS($AR617)&gt;0.01,FALSE),COUNTIF($AS617,"*Conflicting duplicate*")&gt;0,COUNTIF($AS617,"*Completed order not paid*")&gt;0),"Invalid",IF(OR($H617="Unknown",$N617="Unknown",$AM617="Missing discount imputed as 0"),"Warning","Clean"))</x:f>
        <x:v>Invalid</x:v>
      </x:c>
      <x:c r="AF617" s="80" t="str">
        <x:v>Review</x:v>
      </x:c>
      <x:c r="AG617" s="80" t="str">
        <x:v>order_status: TRIM/SUBSTITUTE whitespace cleanup</x:v>
      </x:c>
      <x:c r="AH617" s="12" t="str">
        <x:f>IF(C617="","Missing date",IF(ISNUMBER(C617),"Valid","Unrecognized/invalid date"))</x:f>
        <x:v>Valid</x:v>
      </x:c>
      <x:c r="AI617" s="12" t="str">
        <x:f>IF(D617="","Missing date",IF(ISNUMBER(D617),"Valid","Unrecognized/invalid date"))</x:f>
        <x:v>Valid</x:v>
      </x:c>
      <x:c r="AJ617" s="12" t="str">
        <x:v>Valid</x:v>
      </x:c>
      <x:c r="AK617" s="12" t="str">
        <x:v>Pass</x:v>
      </x:c>
      <x:c r="AL617" s="12" t="str">
        <x:v>None</x:v>
      </x:c>
      <x:c r="AM617" s="12" t="str">
        <x:v>Valid</x:v>
      </x:c>
      <x:c r="AN617" s="12" t="str">
        <x:v>Exclude from completed sales</x:v>
      </x:c>
      <x:c r="AO617" s="12" t="str">
        <x:v>Not a refunded record</x:v>
      </x:c>
      <x:c r="AP617" s="37" t="n">
        <x:f>IF(LEFT($AM617,7)="Invalid","",IF($AM617="Missing discount imputed as 0",IF(AND(COUNT($O617,$P617,$R617,$S617)=4,$O617&gt;0,$P617&gt;=0,$R617&gt;=0,$S617&gt;=0),0,""),IF(AND(ISNUMBER($Q617),$Q617&gt;=0,$Q617&lt;=0.5),$Q617,"")))</x:f>
        <x:v>0.1</x:v>
      </x:c>
      <x:c r="AQ617" s="152" t="n">
        <x:f>IF(OR($W617="",NOT(ISNUMBER($R617))),"",ROUND($R617-$W617,2))</x:f>
        <x:v>244.69</x:v>
      </x:c>
      <x:c r="AR617" s="152" t="n">
        <x:f>IF(OR($X617="",NOT(ISNUMBER($T617))),"",ROUND($T617-$X617,2))</x:f>
        <x:v>0</x:v>
      </x:c>
      <x:c r="AS617" s="14" t="str">
        <x:v>Sales calculation mismatch; Profit calculation mismatch</x:v>
      </x:c>
    </x:row>
    <x:row r="618">
      <x:c r="A618" s="80" t="n">
        <x:v>618</x:v>
      </x:c>
      <x:c r="B618" s="80" t="str">
        <x:v>ORD-2024-10617</x:v>
      </x:c>
      <x:c r="C618" s="81" t="n">
        <x:v>45520</x:v>
      </x:c>
      <x:c r="D618" s="81" t="n">
        <x:v>45523</x:v>
      </x:c>
      <x:c r="E618" s="80" t="str">
        <x:v>CUST-4660</x:v>
      </x:c>
      <x:c r="F618" s="80" t="str">
        <x:v>Kabir Singh</x:v>
      </x:c>
      <x:c r="G618" s="80" t="str">
        <x:v>Consumer</x:v>
      </x:c>
      <x:c r="H618" s="80" t="str">
        <x:v>South</x:v>
      </x:c>
      <x:c r="I618" s="80" t="str">
        <x:v>Telangana</x:v>
      </x:c>
      <x:c r="J618" s="80" t="str">
        <x:v>Hyderabad</x:v>
      </x:c>
      <x:c r="K618" s="80" t="str">
        <x:v>Office Supplies</x:v>
      </x:c>
      <x:c r="L618" s="80" t="str">
        <x:v>Paper</x:v>
      </x:c>
      <x:c r="M618" s="80" t="str">
        <x:v>Prime Paper 664</x:v>
      </x:c>
      <x:c r="N618" s="80" t="str">
        <x:v>Standard Class</x:v>
      </x:c>
      <x:c r="O618" s="82" t="n">
        <x:v>6</x:v>
      </x:c>
      <x:c r="P618" s="83" t="n">
        <x:v>3925.55</x:v>
      </x:c>
      <x:c r="Q618" s="84" t="n">
        <x:v>0.2</x:v>
      </x:c>
      <x:c r="R618" s="83" t="n">
        <x:v>18842.64</x:v>
      </x:c>
      <x:c r="S618" s="83" t="n">
        <x:v>11840.58</x:v>
      </x:c>
      <x:c r="T618" s="83" t="n">
        <x:v>7002.06</x:v>
      </x:c>
      <x:c r="U618" s="83" t="str">
        <x:v>Paid</x:v>
      </x:c>
      <x:c r="V618" s="83" t="str">
        <x:v>Completed</x:v>
      </x:c>
      <x:c r="W618" s="151" t="n">
        <x:f>IF(OR(NOT(ISNUMBER($AP618)),COUNT($O618,$P618)&lt;2,$O618&lt;=0,$P618&lt;0),"",ROUND($O618*$P618*(1-$AP618),2))</x:f>
        <x:v>18842.64</x:v>
      </x:c>
      <x:c r="X618" s="151" t="n">
        <x:f>IF(OR(NOT(ISNUMBER($W618)),NOT(ISNUMBER($S618))),"",ROUND($W618-$S618,2))</x:f>
        <x:v>7002.06</x:v>
      </x:c>
      <x:c r="Y618" s="85" t="n">
        <x:f>IF(OR(NOT(ISNUMBER($W618)),NOT(ISNUMBER($X618)),$W618=0),"",ROUND($X618/$W618,4))</x:f>
        <x:v>0.3716</x:v>
      </x:c>
      <x:c r="Z618" s="82" t="n">
        <x:f>IF(OR($AH618&lt;&gt;"Valid",$AI618&lt;&gt;"Valid"),"",INT($D618-$C618))</x:f>
        <x:v>3</x:v>
      </x:c>
      <x:c r="AA618" s="86" t="str">
        <x:f>IF($AH618&lt;&gt;"Valid","",TEXT($C618,"mmmm"))</x:f>
        <x:v>August</x:v>
      </x:c>
      <x:c r="AB618" s="82" t="n">
        <x:f>IF($AH618&lt;&gt;"Valid","",YEAR($C618))</x:f>
        <x:v>2024</x:v>
      </x:c>
      <x:c r="AC618" s="80" t="str">
        <x:v>Consistent</x:v>
      </x:c>
      <x:c r="AD618" s="80" t="str">
        <x:v>Eligible</x:v>
      </x:c>
      <x:c r="AE618" s="80" t="str">
        <x:f>IF(OR($AH618&lt;&gt;"Valid",$AI618&lt;&gt;"Valid",$AJ618&lt;&gt;"Valid",LEFT($AM618,7)="Invalid",IFERROR(ABS($AQ618)&gt;0.01,FALSE),IFERROR(ABS($AR618)&gt;0.01,FALSE),COUNTIF($AS618,"*Conflicting duplicate*")&gt;0,COUNTIF($AS618,"*Completed order not paid*")&gt;0),"Invalid",IF(OR($H618="Unknown",$N618="Unknown",$AM618="Missing discount imputed as 0"),"Warning","Clean"))</x:f>
        <x:v>Clean</x:v>
      </x:c>
      <x:c r="AF618" s="80" t="str">
        <x:v>Pass</x:v>
      </x:c>
      <x:c r="AG618" s="80" t="str">
        <x:v>No text cleanup required</x:v>
      </x:c>
      <x:c r="AH618" s="12" t="str">
        <x:f>IF(C618="","Missing date",IF(ISNUMBER(C618),"Valid","Unrecognized/invalid date"))</x:f>
        <x:v>Valid</x:v>
      </x:c>
      <x:c r="AI618" s="12" t="str">
        <x:f>IF(D618="","Missing date",IF(ISNUMBER(D618),"Valid","Unrecognized/invalid date"))</x:f>
        <x:v>Valid</x:v>
      </x:c>
      <x:c r="AJ618" s="12" t="str">
        <x:v>Valid</x:v>
      </x:c>
      <x:c r="AK618" s="12" t="str">
        <x:v>Pass</x:v>
      </x:c>
      <x:c r="AL618" s="12" t="str">
        <x:v>None</x:v>
      </x:c>
      <x:c r="AM618" s="12" t="str">
        <x:v>Valid</x:v>
      </x:c>
      <x:c r="AN618" s="12" t="str">
        <x:v>Include in completed sales</x:v>
      </x:c>
      <x:c r="AO618" s="12" t="str">
        <x:v>Not a refunded record</x:v>
      </x:c>
      <x:c r="AP618" s="37" t="n">
        <x:f>IF(LEFT($AM618,7)="Invalid","",IF($AM618="Missing discount imputed as 0",IF(AND(COUNT($O618,$P618,$R618,$S618)=4,$O618&gt;0,$P618&gt;=0,$R618&gt;=0,$S618&gt;=0),0,""),IF(AND(ISNUMBER($Q618),$Q618&gt;=0,$Q618&lt;=0.5),$Q618,"")))</x:f>
        <x:v>0.2</x:v>
      </x:c>
      <x:c r="AQ618" s="152" t="n">
        <x:f>IF(OR($W618="",NOT(ISNUMBER($R618))),"",ROUND($R618-$W618,2))</x:f>
        <x:v>0</x:v>
      </x:c>
      <x:c r="AR618" s="152" t="n">
        <x:f>IF(OR($X618="",NOT(ISNUMBER($T618))),"",ROUND($T618-$X618,2))</x:f>
        <x:v>0</x:v>
      </x:c>
      <x:c r="AS618" s="14" t="str">
        <x:v>OK</x:v>
      </x:c>
    </x:row>
    <x:row r="619">
      <x:c r="A619" s="80" t="n">
        <x:v>619</x:v>
      </x:c>
      <x:c r="B619" s="80" t="str">
        <x:v>ORD-2024-10618</x:v>
      </x:c>
      <x:c r="C619" s="81" t="n">
        <x:v>45564</x:v>
      </x:c>
      <x:c r="D619" s="81" t="n">
        <x:v>45565</x:v>
      </x:c>
      <x:c r="E619" s="80" t="str">
        <x:v>CUST-9002</x:v>
      </x:c>
      <x:c r="F619" s="80" t="str">
        <x:v>Mira Das</x:v>
      </x:c>
      <x:c r="G619" s="80" t="str">
        <x:v>Home Office</x:v>
      </x:c>
      <x:c r="H619" s="80" t="str">
        <x:v>South</x:v>
      </x:c>
      <x:c r="I619" s="80" t="str">
        <x:v>Telangana</x:v>
      </x:c>
      <x:c r="J619" s="80" t="str">
        <x:v>Hyderabad</x:v>
      </x:c>
      <x:c r="K619" s="80" t="str">
        <x:v>Technology</x:v>
      </x:c>
      <x:c r="L619" s="80" t="str">
        <x:v>Phones</x:v>
      </x:c>
      <x:c r="M619" s="80" t="str">
        <x:v>Pro Phones 226</x:v>
      </x:c>
      <x:c r="N619" s="80" t="str">
        <x:v>Standard Class</x:v>
      </x:c>
      <x:c r="O619" s="82" t="n">
        <x:v>9</x:v>
      </x:c>
      <x:c r="P619" s="83" t="n">
        <x:v>2741.91</x:v>
      </x:c>
      <x:c r="Q619" s="84" t="n">
        <x:v>0</x:v>
      </x:c>
      <x:c r="R619" s="83" t="n">
        <x:v>24677.19</x:v>
      </x:c>
      <x:c r="S619" s="83" t="n">
        <x:v>20350.85</x:v>
      </x:c>
      <x:c r="T619" s="83" t="n">
        <x:v>4326.34</x:v>
      </x:c>
      <x:c r="U619" s="83" t="str">
        <x:v>Paid</x:v>
      </x:c>
      <x:c r="V619" s="83" t="str">
        <x:v>Completed</x:v>
      </x:c>
      <x:c r="W619" s="151" t="n">
        <x:f>IF(OR(NOT(ISNUMBER($AP619)),COUNT($O619,$P619)&lt;2,$O619&lt;=0,$P619&lt;0),"",ROUND($O619*$P619*(1-$AP619),2))</x:f>
        <x:v>24677.19</x:v>
      </x:c>
      <x:c r="X619" s="151" t="n">
        <x:f>IF(OR(NOT(ISNUMBER($W619)),NOT(ISNUMBER($S619))),"",ROUND($W619-$S619,2))</x:f>
        <x:v>4326.34</x:v>
      </x:c>
      <x:c r="Y619" s="85" t="n">
        <x:f>IF(OR(NOT(ISNUMBER($W619)),NOT(ISNUMBER($X619)),$W619=0),"",ROUND($X619/$W619,4))</x:f>
        <x:v>0.1753</x:v>
      </x:c>
      <x:c r="Z619" s="82" t="n">
        <x:f>IF(OR($AH619&lt;&gt;"Valid",$AI619&lt;&gt;"Valid"),"",INT($D619-$C619))</x:f>
        <x:v>1</x:v>
      </x:c>
      <x:c r="AA619" s="86" t="str">
        <x:f>IF($AH619&lt;&gt;"Valid","",TEXT($C619,"mmmm"))</x:f>
        <x:v>September</x:v>
      </x:c>
      <x:c r="AB619" s="82" t="n">
        <x:f>IF($AH619&lt;&gt;"Valid","",YEAR($C619))</x:f>
        <x:v>2024</x:v>
      </x:c>
      <x:c r="AC619" s="80" t="str">
        <x:v>Consistent</x:v>
      </x:c>
      <x:c r="AD619" s="80" t="str">
        <x:v>Eligible</x:v>
      </x:c>
      <x:c r="AE619" s="80" t="str">
        <x:f>IF(OR($AH619&lt;&gt;"Valid",$AI619&lt;&gt;"Valid",$AJ619&lt;&gt;"Valid",LEFT($AM619,7)="Invalid",IFERROR(ABS($AQ619)&gt;0.01,FALSE),IFERROR(ABS($AR619)&gt;0.01,FALSE),COUNTIF($AS619,"*Conflicting duplicate*")&gt;0,COUNTIF($AS619,"*Completed order not paid*")&gt;0),"Invalid",IF(OR($H619="Unknown",$N619="Unknown",$AM619="Missing discount imputed as 0"),"Warning","Clean"))</x:f>
        <x:v>Clean</x:v>
      </x:c>
      <x:c r="AF619" s="80" t="str">
        <x:v>Pass</x:v>
      </x:c>
      <x:c r="AG619" s="80" t="str">
        <x:v>No text cleanup required</x:v>
      </x:c>
      <x:c r="AH619" s="12" t="str">
        <x:f>IF(C619="","Missing date",IF(ISNUMBER(C619),"Valid","Unrecognized/invalid date"))</x:f>
        <x:v>Valid</x:v>
      </x:c>
      <x:c r="AI619" s="12" t="str">
        <x:f>IF(D619="","Missing date",IF(ISNUMBER(D619),"Valid","Unrecognized/invalid date"))</x:f>
        <x:v>Valid</x:v>
      </x:c>
      <x:c r="AJ619" s="12" t="str">
        <x:v>Valid</x:v>
      </x:c>
      <x:c r="AK619" s="12" t="str">
        <x:v>Pass</x:v>
      </x:c>
      <x:c r="AL619" s="12" t="str">
        <x:v>None</x:v>
      </x:c>
      <x:c r="AM619" s="12" t="str">
        <x:v>Valid</x:v>
      </x:c>
      <x:c r="AN619" s="12" t="str">
        <x:v>Include in completed sales</x:v>
      </x:c>
      <x:c r="AO619" s="12" t="str">
        <x:v>Not a refunded record</x:v>
      </x:c>
      <x:c r="AP619" s="37" t="n">
        <x:f>IF(LEFT($AM619,7)="Invalid","",IF($AM619="Missing discount imputed as 0",IF(AND(COUNT($O619,$P619,$R619,$S619)=4,$O619&gt;0,$P619&gt;=0,$R619&gt;=0,$S619&gt;=0),0,""),IF(AND(ISNUMBER($Q619),$Q619&gt;=0,$Q619&lt;=0.5),$Q619,"")))</x:f>
        <x:v>0</x:v>
      </x:c>
      <x:c r="AQ619" s="152" t="n">
        <x:f>IF(OR($W619="",NOT(ISNUMBER($R619))),"",ROUND($R619-$W619,2))</x:f>
        <x:v>0</x:v>
      </x:c>
      <x:c r="AR619" s="152" t="n">
        <x:f>IF(OR($X619="",NOT(ISNUMBER($T619))),"",ROUND($T619-$X619,2))</x:f>
        <x:v>0</x:v>
      </x:c>
      <x:c r="AS619" s="14" t="str">
        <x:v>OK</x:v>
      </x:c>
    </x:row>
    <x:row r="620">
      <x:c r="A620" s="80" t="n">
        <x:v>620</x:v>
      </x:c>
      <x:c r="B620" s="80" t="str">
        <x:v>ORD-2024-10619</x:v>
      </x:c>
      <x:c r="C620" s="81" t="n">
        <x:v>45496</x:v>
      </x:c>
      <x:c r="D620" s="81" t="n">
        <x:v>45503</x:v>
      </x:c>
      <x:c r="E620" s="80" t="str">
        <x:v>CUST-1057</x:v>
      </x:c>
      <x:c r="F620" s="80" t="str">
        <x:v>Kabir Singh</x:v>
      </x:c>
      <x:c r="G620" s="80" t="str">
        <x:v>Corporate</x:v>
      </x:c>
      <x:c r="H620" s="80" t="str">
        <x:v>North</x:v>
      </x:c>
      <x:c r="I620" s="80" t="str">
        <x:v>Rajasthan</x:v>
      </x:c>
      <x:c r="J620" s="80" t="str">
        <x:v>Jaipur</x:v>
      </x:c>
      <x:c r="K620" s="80" t="str">
        <x:v>Furniture</x:v>
      </x:c>
      <x:c r="L620" s="80" t="str">
        <x:v>Tables</x:v>
      </x:c>
      <x:c r="M620" s="80" t="str">
        <x:v>Basic Tables 684</x:v>
      </x:c>
      <x:c r="N620" s="80" t="str">
        <x:v>Same Day</x:v>
      </x:c>
      <x:c r="O620" s="82" t="n">
        <x:v>9</x:v>
      </x:c>
      <x:c r="P620" s="83" t="n">
        <x:v>1870.11</x:v>
      </x:c>
      <x:c r="Q620" s="84" t="n">
        <x:v>0.25</x:v>
      </x:c>
      <x:c r="R620" s="83" t="n">
        <x:v>12623.24</x:v>
      </x:c>
      <x:c r="S620" s="83" t="n">
        <x:v>10540.8</x:v>
      </x:c>
      <x:c r="T620" s="83" t="n">
        <x:v>2082.44</x:v>
      </x:c>
      <x:c r="U620" s="83" t="str">
        <x:v>Failed</x:v>
      </x:c>
      <x:c r="V620" s="83" t="str">
        <x:v>Cancelled</x:v>
      </x:c>
      <x:c r="W620" s="151" t="n">
        <x:f>IF(OR(NOT(ISNUMBER($AP620)),COUNT($O620,$P620)&lt;2,$O620&lt;=0,$P620&lt;0),"",ROUND($O620*$P620*(1-$AP620),2))</x:f>
        <x:v>12623.24</x:v>
      </x:c>
      <x:c r="X620" s="151" t="n">
        <x:f>IF(OR(NOT(ISNUMBER($W620)),NOT(ISNUMBER($S620))),"",ROUND($W620-$S620,2))</x:f>
        <x:v>2082.44</x:v>
      </x:c>
      <x:c r="Y620" s="85" t="n">
        <x:f>IF(OR(NOT(ISNUMBER($W620)),NOT(ISNUMBER($X620)),$W620=0),"",ROUND($X620/$W620,4))</x:f>
        <x:v>0.165</x:v>
      </x:c>
      <x:c r="Z620" s="82" t="n">
        <x:f>IF(OR($AH620&lt;&gt;"Valid",$AI620&lt;&gt;"Valid"),"",INT($D620-$C620))</x:f>
        <x:v>7</x:v>
      </x:c>
      <x:c r="AA620" s="86" t="str">
        <x:f>IF($AH620&lt;&gt;"Valid","",TEXT($C620,"mmmm"))</x:f>
        <x:v>July</x:v>
      </x:c>
      <x:c r="AB620" s="82" t="n">
        <x:f>IF($AH620&lt;&gt;"Valid","",YEAR($C620))</x:f>
        <x:v>2024</x:v>
      </x:c>
      <x:c r="AC620" s="80" t="str">
        <x:v>Cancelled (excluded from completed-sales summary)</x:v>
      </x:c>
      <x:c r="AD620" s="80" t="str">
        <x:v>Excluded</x:v>
      </x:c>
      <x:c r="AE620" s="80" t="str">
        <x:f>IF(OR($AH620&lt;&gt;"Valid",$AI620&lt;&gt;"Valid",$AJ620&lt;&gt;"Valid",LEFT($AM620,7)="Invalid",IFERROR(ABS($AQ620)&gt;0.01,FALSE),IFERROR(ABS($AR620)&gt;0.01,FALSE),COUNTIF($AS620,"*Conflicting duplicate*")&gt;0,COUNTIF($AS620,"*Completed order not paid*")&gt;0),"Invalid",IF(OR($H620="Unknown",$N620="Unknown",$AM620="Missing discount imputed as 0"),"Warning","Clean"))</x:f>
        <x:v>Clean</x:v>
      </x:c>
      <x:c r="AF620" s="80" t="str">
        <x:v>Pass</x:v>
      </x:c>
      <x:c r="AG620" s="80" t="str">
        <x:v>No text cleanup required</x:v>
      </x:c>
      <x:c r="AH620" s="12" t="str">
        <x:f>IF(C620="","Missing date",IF(ISNUMBER(C620),"Valid","Unrecognized/invalid date"))</x:f>
        <x:v>Valid</x:v>
      </x:c>
      <x:c r="AI620" s="12" t="str">
        <x:f>IF(D620="","Missing date",IF(ISNUMBER(D620),"Valid","Unrecognized/invalid date"))</x:f>
        <x:v>Valid</x:v>
      </x:c>
      <x:c r="AJ620" s="12" t="str">
        <x:v>Valid</x:v>
      </x:c>
      <x:c r="AK620" s="12" t="str">
        <x:v>Pass</x:v>
      </x:c>
      <x:c r="AL620" s="12" t="str">
        <x:v>Cancelled order – excluded from completed sales; Failed payment – excluded from completed sales</x:v>
      </x:c>
      <x:c r="AM620" s="12" t="str">
        <x:v>Valid</x:v>
      </x:c>
      <x:c r="AN620" s="12" t="str">
        <x:v>Exclude from completed sales</x:v>
      </x:c>
      <x:c r="AO620" s="12" t="str">
        <x:v>Not a refunded record</x:v>
      </x:c>
      <x:c r="AP620" s="37" t="n">
        <x:f>IF(LEFT($AM620,7)="Invalid","",IF($AM620="Missing discount imputed as 0",IF(AND(COUNT($O620,$P620,$R620,$S620)=4,$O620&gt;0,$P620&gt;=0,$R620&gt;=0,$S620&gt;=0),0,""),IF(AND(ISNUMBER($Q620),$Q620&gt;=0,$Q620&lt;=0.5),$Q620,"")))</x:f>
        <x:v>0.25</x:v>
      </x:c>
      <x:c r="AQ620" s="152" t="n">
        <x:f>IF(OR($W620="",NOT(ISNUMBER($R620))),"",ROUND($R620-$W620,2))</x:f>
        <x:v>0</x:v>
      </x:c>
      <x:c r="AR620" s="152" t="n">
        <x:f>IF(OR($X620="",NOT(ISNUMBER($T620))),"",ROUND($T620-$X620,2))</x:f>
        <x:v>0</x:v>
      </x:c>
      <x:c r="AS620" s="14" t="str">
        <x:v>OK</x:v>
      </x:c>
    </x:row>
    <x:row r="621">
      <x:c r="A621" s="80" t="n">
        <x:v>621</x:v>
      </x:c>
      <x:c r="B621" s="80" t="str">
        <x:v>ORD-2024-10620</x:v>
      </x:c>
      <x:c r="C621" s="81" t="n">
        <x:v>45618</x:v>
      </x:c>
      <x:c r="D621" s="81" t="n">
        <x:v>45623</x:v>
      </x:c>
      <x:c r="E621" s="80" t="str">
        <x:v>CUST-9596</x:v>
      </x:c>
      <x:c r="F621" s="80" t="str">
        <x:v>Priya Menon</x:v>
      </x:c>
      <x:c r="G621" s="80" t="str">
        <x:v>Corporate</x:v>
      </x:c>
      <x:c r="H621" s="80" t="str">
        <x:v>South</x:v>
      </x:c>
      <x:c r="I621" s="80" t="str">
        <x:v>Tamil Nadu</x:v>
      </x:c>
      <x:c r="J621" s="80" t="str">
        <x:v>Chennai</x:v>
      </x:c>
      <x:c r="K621" s="80" t="str">
        <x:v>Office Supplies</x:v>
      </x:c>
      <x:c r="L621" s="80" t="str">
        <x:v>Binders</x:v>
      </x:c>
      <x:c r="M621" s="80" t="str">
        <x:v>Prime Binders 938</x:v>
      </x:c>
      <x:c r="N621" s="80" t="str">
        <x:v>First Class</x:v>
      </x:c>
      <x:c r="O621" s="82" t="n">
        <x:v>1</x:v>
      </x:c>
      <x:c r="P621" s="83" t="n">
        <x:v>4251.26</x:v>
      </x:c>
      <x:c r="Q621" s="84" t="n">
        <x:v>0.2</x:v>
      </x:c>
      <x:c r="R621" s="83" t="n">
        <x:v>3401.01</x:v>
      </x:c>
      <x:c r="S621" s="83" t="n">
        <x:v>2917.54</x:v>
      </x:c>
      <x:c r="T621" s="83" t="n">
        <x:v>483.47</x:v>
      </x:c>
      <x:c r="U621" s="83" t="str">
        <x:v>Refunded</x:v>
      </x:c>
      <x:c r="V621" s="83" t="str">
        <x:v>Returned</x:v>
      </x:c>
      <x:c r="W621" s="151" t="n">
        <x:f>IF(OR(NOT(ISNUMBER($AP621)),COUNT($O621,$P621)&lt;2,$O621&lt;=0,$P621&lt;0),"",ROUND($O621*$P621*(1-$AP621),2))</x:f>
        <x:v>3401.01</x:v>
      </x:c>
      <x:c r="X621" s="151" t="n">
        <x:f>IF(OR(NOT(ISNUMBER($W621)),NOT(ISNUMBER($S621))),"",ROUND($W621-$S621,2))</x:f>
        <x:v>483.47</x:v>
      </x:c>
      <x:c r="Y621" s="85" t="n">
        <x:f>IF(OR(NOT(ISNUMBER($W621)),NOT(ISNUMBER($X621)),$W621=0),"",ROUND($X621/$W621,4))</x:f>
        <x:v>0.1422</x:v>
      </x:c>
      <x:c r="Z621" s="82" t="n">
        <x:f>IF(OR($AH621&lt;&gt;"Valid",$AI621&lt;&gt;"Valid"),"",INT($D621-$C621))</x:f>
        <x:v>5</x:v>
      </x:c>
      <x:c r="AA621" s="86" t="str">
        <x:f>IF($AH621&lt;&gt;"Valid","",TEXT($C621,"mmmm"))</x:f>
        <x:v>November</x:v>
      </x:c>
      <x:c r="AB621" s="82" t="n">
        <x:f>IF($AH621&lt;&gt;"Valid","",YEAR($C621))</x:f>
        <x:v>2024</x:v>
      </x:c>
      <x:c r="AC621" s="80" t="str">
        <x:v>Refunded (separately summarized)</x:v>
      </x:c>
      <x:c r="AD621" s="80" t="str">
        <x:v>Excluded</x:v>
      </x:c>
      <x:c r="AE621" s="80" t="str">
        <x:f>IF(OR($AH621&lt;&gt;"Valid",$AI621&lt;&gt;"Valid",$AJ621&lt;&gt;"Valid",LEFT($AM621,7)="Invalid",IFERROR(ABS($AQ621)&gt;0.01,FALSE),IFERROR(ABS($AR621)&gt;0.01,FALSE),COUNTIF($AS621,"*Conflicting duplicate*")&gt;0,COUNTIF($AS621,"*Completed order not paid*")&gt;0),"Invalid",IF(OR($H621="Unknown",$N621="Unknown",$AM621="Missing discount imputed as 0"),"Warning","Clean"))</x:f>
        <x:v>Clean</x:v>
      </x:c>
      <x:c r="AF621" s="80" t="str">
        <x:v>Pass</x:v>
      </x:c>
      <x:c r="AG621" s="80" t="str">
        <x:v>No text cleanup required</x:v>
      </x:c>
      <x:c r="AH621" s="12" t="str">
        <x:f>IF(C621="","Missing date",IF(ISNUMBER(C621),"Valid","Unrecognized/invalid date"))</x:f>
        <x:v>Valid</x:v>
      </x:c>
      <x:c r="AI621" s="12" t="str">
        <x:f>IF(D621="","Missing date",IF(ISNUMBER(D621),"Valid","Unrecognized/invalid date"))</x:f>
        <x:v>Valid</x:v>
      </x:c>
      <x:c r="AJ621" s="12" t="str">
        <x:v>Valid</x:v>
      </x:c>
      <x:c r="AK621" s="12" t="str">
        <x:v>Pass</x:v>
      </x:c>
      <x:c r="AL621" s="12" t="str">
        <x:v>Refunded payment – separately summarized</x:v>
      </x:c>
      <x:c r="AM621" s="12" t="str">
        <x:v>Valid</x:v>
      </x:c>
      <x:c r="AN621" s="12" t="str">
        <x:v>Exclude from completed sales</x:v>
      </x:c>
      <x:c r="AO621" s="12" t="str">
        <x:v>Include in refunded summary</x:v>
      </x:c>
      <x:c r="AP621" s="37" t="n">
        <x:f>IF(LEFT($AM621,7)="Invalid","",IF($AM621="Missing discount imputed as 0",IF(AND(COUNT($O621,$P621,$R621,$S621)=4,$O621&gt;0,$P621&gt;=0,$R621&gt;=0,$S621&gt;=0),0,""),IF(AND(ISNUMBER($Q621),$Q621&gt;=0,$Q621&lt;=0.5),$Q621,"")))</x:f>
        <x:v>0.2</x:v>
      </x:c>
      <x:c r="AQ621" s="152" t="n">
        <x:f>IF(OR($W621="",NOT(ISNUMBER($R621))),"",ROUND($R621-$W621,2))</x:f>
        <x:v>0</x:v>
      </x:c>
      <x:c r="AR621" s="152" t="n">
        <x:f>IF(OR($X621="",NOT(ISNUMBER($T621))),"",ROUND($T621-$X621,2))</x:f>
        <x:v>0</x:v>
      </x:c>
      <x:c r="AS621" s="14" t="str">
        <x:v>OK</x:v>
      </x:c>
    </x:row>
    <x:row r="622">
      <x:c r="A622" s="80" t="n">
        <x:v>622</x:v>
      </x:c>
      <x:c r="B622" s="80" t="str">
        <x:v>ORD-2024-10621</x:v>
      </x:c>
      <x:c r="C622" s="81" t="n">
        <x:v>45522</x:v>
      </x:c>
      <x:c r="D622" s="81" t="n">
        <x:v>45525</x:v>
      </x:c>
      <x:c r="E622" s="80" t="str">
        <x:v>CUST-6947</x:v>
      </x:c>
      <x:c r="F622" s="80" t="str">
        <x:v>Vikram Iyer</x:v>
      </x:c>
      <x:c r="G622" s="80" t="str">
        <x:v>Consumer</x:v>
      </x:c>
      <x:c r="H622" s="80" t="str">
        <x:v>North</x:v>
      </x:c>
      <x:c r="I622" s="80" t="str">
        <x:v>Uttar Pradesh</x:v>
      </x:c>
      <x:c r="J622" s="80" t="str">
        <x:v>Noida</x:v>
      </x:c>
      <x:c r="K622" s="80" t="str">
        <x:v>Technology</x:v>
      </x:c>
      <x:c r="L622" s="80" t="str">
        <x:v>Machines</x:v>
      </x:c>
      <x:c r="M622" s="80" t="str">
        <x:v>Classic Machines 337</x:v>
      </x:c>
      <x:c r="N622" s="80" t="str">
        <x:v>Standard Class</x:v>
      </x:c>
      <x:c r="O622" s="82" t="n">
        <x:v>9</x:v>
      </x:c>
      <x:c r="P622" s="83" t="n">
        <x:v>734.34</x:v>
      </x:c>
      <x:c r="Q622" s="84" t="n">
        <x:v>0</x:v>
      </x:c>
      <x:c r="R622" s="83" t="n">
        <x:v>6609.06</x:v>
      </x:c>
      <x:c r="S622" s="83" t="n">
        <x:v>4946.78</x:v>
      </x:c>
      <x:c r="T622" s="83" t="n">
        <x:v>1662.28</x:v>
      </x:c>
      <x:c r="U622" s="83" t="str">
        <x:v>Paid</x:v>
      </x:c>
      <x:c r="V622" s="83" t="str">
        <x:v>Completed</x:v>
      </x:c>
      <x:c r="W622" s="151" t="n">
        <x:f>IF(OR(NOT(ISNUMBER($AP622)),COUNT($O622,$P622)&lt;2,$O622&lt;=0,$P622&lt;0),"",ROUND($O622*$P622*(1-$AP622),2))</x:f>
        <x:v>6609.06</x:v>
      </x:c>
      <x:c r="X622" s="151" t="n">
        <x:f>IF(OR(NOT(ISNUMBER($W622)),NOT(ISNUMBER($S622))),"",ROUND($W622-$S622,2))</x:f>
        <x:v>1662.28</x:v>
      </x:c>
      <x:c r="Y622" s="85" t="n">
        <x:f>IF(OR(NOT(ISNUMBER($W622)),NOT(ISNUMBER($X622)),$W622=0),"",ROUND($X622/$W622,4))</x:f>
        <x:v>0.2515</x:v>
      </x:c>
      <x:c r="Z622" s="82" t="n">
        <x:f>IF(OR($AH622&lt;&gt;"Valid",$AI622&lt;&gt;"Valid"),"",INT($D622-$C622))</x:f>
        <x:v>3</x:v>
      </x:c>
      <x:c r="AA622" s="86" t="str">
        <x:f>IF($AH622&lt;&gt;"Valid","",TEXT($C622,"mmmm"))</x:f>
        <x:v>August</x:v>
      </x:c>
      <x:c r="AB622" s="82" t="n">
        <x:f>IF($AH622&lt;&gt;"Valid","",YEAR($C622))</x:f>
        <x:v>2024</x:v>
      </x:c>
      <x:c r="AC622" s="80" t="str">
        <x:v>Consistent</x:v>
      </x:c>
      <x:c r="AD622" s="80" t="str">
        <x:v>Eligible</x:v>
      </x:c>
      <x:c r="AE622" s="80" t="str">
        <x:f>IF(OR($AH622&lt;&gt;"Valid",$AI622&lt;&gt;"Valid",$AJ622&lt;&gt;"Valid",LEFT($AM622,7)="Invalid",IFERROR(ABS($AQ622)&gt;0.01,FALSE),IFERROR(ABS($AR622)&gt;0.01,FALSE),COUNTIF($AS622,"*Conflicting duplicate*")&gt;0,COUNTIF($AS622,"*Completed order not paid*")&gt;0),"Invalid",IF(OR($H622="Unknown",$N622="Unknown",$AM622="Missing discount imputed as 0"),"Warning","Clean"))</x:f>
        <x:v>Clean</x:v>
      </x:c>
      <x:c r="AF622" s="80" t="str">
        <x:v>Pass</x:v>
      </x:c>
      <x:c r="AG622" s="80" t="str">
        <x:v>No text cleanup required</x:v>
      </x:c>
      <x:c r="AH622" s="12" t="str">
        <x:f>IF(C622="","Missing date",IF(ISNUMBER(C622),"Valid","Unrecognized/invalid date"))</x:f>
        <x:v>Valid</x:v>
      </x:c>
      <x:c r="AI622" s="12" t="str">
        <x:f>IF(D622="","Missing date",IF(ISNUMBER(D622),"Valid","Unrecognized/invalid date"))</x:f>
        <x:v>Valid</x:v>
      </x:c>
      <x:c r="AJ622" s="12" t="str">
        <x:v>Valid</x:v>
      </x:c>
      <x:c r="AK622" s="12" t="str">
        <x:v>Pass</x:v>
      </x:c>
      <x:c r="AL622" s="12" t="str">
        <x:v>None</x:v>
      </x:c>
      <x:c r="AM622" s="12" t="str">
        <x:v>Valid</x:v>
      </x:c>
      <x:c r="AN622" s="12" t="str">
        <x:v>Include in completed sales</x:v>
      </x:c>
      <x:c r="AO622" s="12" t="str">
        <x:v>Not a refunded record</x:v>
      </x:c>
      <x:c r="AP622" s="37" t="n">
        <x:f>IF(LEFT($AM622,7)="Invalid","",IF($AM622="Missing discount imputed as 0",IF(AND(COUNT($O622,$P622,$R622,$S622)=4,$O622&gt;0,$P622&gt;=0,$R622&gt;=0,$S622&gt;=0),0,""),IF(AND(ISNUMBER($Q622),$Q622&gt;=0,$Q622&lt;=0.5),$Q622,"")))</x:f>
        <x:v>0</x:v>
      </x:c>
      <x:c r="AQ622" s="152" t="n">
        <x:f>IF(OR($W622="",NOT(ISNUMBER($R622))),"",ROUND($R622-$W622,2))</x:f>
        <x:v>0</x:v>
      </x:c>
      <x:c r="AR622" s="152" t="n">
        <x:f>IF(OR($X622="",NOT(ISNUMBER($T622))),"",ROUND($T622-$X622,2))</x:f>
        <x:v>0</x:v>
      </x:c>
      <x:c r="AS622" s="14" t="str">
        <x:v>OK</x:v>
      </x:c>
    </x:row>
    <x:row r="623">
      <x:c r="A623" s="80" t="n">
        <x:v>623</x:v>
      </x:c>
      <x:c r="B623" s="80" t="str">
        <x:v>ORD-2024-10622</x:v>
      </x:c>
      <x:c r="C623" s="81" t="n">
        <x:v>45624</x:v>
      </x:c>
      <x:c r="D623" s="81" t="n">
        <x:v>45632</x:v>
      </x:c>
      <x:c r="E623" s="80" t="str">
        <x:v>CUST-7236</x:v>
      </x:c>
      <x:c r="F623" s="80" t="str">
        <x:v>Aditi Sen</x:v>
      </x:c>
      <x:c r="G623" s="80" t="str">
        <x:v>Consumer</x:v>
      </x:c>
      <x:c r="H623" s="80" t="str">
        <x:v>West</x:v>
      </x:c>
      <x:c r="I623" s="80" t="str">
        <x:v>Maharashtra</x:v>
      </x:c>
      <x:c r="J623" s="80" t="str">
        <x:v>Mumbai</x:v>
      </x:c>
      <x:c r="K623" s="80" t="str">
        <x:v>Furniture</x:v>
      </x:c>
      <x:c r="L623" s="80" t="str">
        <x:v>Chairs</x:v>
      </x:c>
      <x:c r="M623" s="80" t="str">
        <x:v>Max Chairs 748</x:v>
      </x:c>
      <x:c r="N623" s="80" t="str">
        <x:v>Same Day</x:v>
      </x:c>
      <x:c r="O623" s="82" t="n">
        <x:v>5</x:v>
      </x:c>
      <x:c r="P623" s="83" t="n">
        <x:v>1092.84</x:v>
      </x:c>
      <x:c r="Q623" s="84" t="n">
        <x:v>0</x:v>
      </x:c>
      <x:c r="R623" s="83" t="n">
        <x:v>5464.2</x:v>
      </x:c>
      <x:c r="S623" s="83" t="n">
        <x:v>3318.09</x:v>
      </x:c>
      <x:c r="T623" s="83" t="n">
        <x:v>2146.11</x:v>
      </x:c>
      <x:c r="U623" s="83" t="str">
        <x:v>Paid</x:v>
      </x:c>
      <x:c r="V623" s="83" t="str">
        <x:v>Completed</x:v>
      </x:c>
      <x:c r="W623" s="151" t="n">
        <x:f>IF(OR(NOT(ISNUMBER($AP623)),COUNT($O623,$P623)&lt;2,$O623&lt;=0,$P623&lt;0),"",ROUND($O623*$P623*(1-$AP623),2))</x:f>
        <x:v>5464.2</x:v>
      </x:c>
      <x:c r="X623" s="151" t="n">
        <x:f>IF(OR(NOT(ISNUMBER($W623)),NOT(ISNUMBER($S623))),"",ROUND($W623-$S623,2))</x:f>
        <x:v>2146.11</x:v>
      </x:c>
      <x:c r="Y623" s="85" t="n">
        <x:f>IF(OR(NOT(ISNUMBER($W623)),NOT(ISNUMBER($X623)),$W623=0),"",ROUND($X623/$W623,4))</x:f>
        <x:v>0.3928</x:v>
      </x:c>
      <x:c r="Z623" s="82" t="n">
        <x:f>IF(OR($AH623&lt;&gt;"Valid",$AI623&lt;&gt;"Valid"),"",INT($D623-$C623))</x:f>
        <x:v>8</x:v>
      </x:c>
      <x:c r="AA623" s="86" t="str">
        <x:f>IF($AH623&lt;&gt;"Valid","",TEXT($C623,"mmmm"))</x:f>
        <x:v>November</x:v>
      </x:c>
      <x:c r="AB623" s="82" t="n">
        <x:f>IF($AH623&lt;&gt;"Valid","",YEAR($C623))</x:f>
        <x:v>2024</x:v>
      </x:c>
      <x:c r="AC623" s="80" t="str">
        <x:v>Consistent</x:v>
      </x:c>
      <x:c r="AD623" s="80" t="str">
        <x:v>Eligible</x:v>
      </x:c>
      <x:c r="AE623" s="80" t="str">
        <x:f>IF(OR($AH623&lt;&gt;"Valid",$AI623&lt;&gt;"Valid",$AJ623&lt;&gt;"Valid",LEFT($AM623,7)="Invalid",IFERROR(ABS($AQ623)&gt;0.01,FALSE),IFERROR(ABS($AR623)&gt;0.01,FALSE),COUNTIF($AS623,"*Conflicting duplicate*")&gt;0,COUNTIF($AS623,"*Completed order not paid*")&gt;0),"Invalid",IF(OR($H623="Unknown",$N623="Unknown",$AM623="Missing discount imputed as 0"),"Warning","Clean"))</x:f>
        <x:v>Warning</x:v>
      </x:c>
      <x:c r="AF623" s="80" t="str">
        <x:v>Cleaned</x:v>
      </x:c>
      <x:c r="AG623" s="80" t="str">
        <x:v>discount: Imputed 0; discount: Missing value set to 0 after sales-field validation</x:v>
      </x:c>
      <x:c r="AH623" s="12" t="str">
        <x:f>IF(C623="","Missing date",IF(ISNUMBER(C623),"Valid","Unrecognized/invalid date"))</x:f>
        <x:v>Valid</x:v>
      </x:c>
      <x:c r="AI623" s="12" t="str">
        <x:f>IF(D623="","Missing date",IF(ISNUMBER(D623),"Valid","Unrecognized/invalid date"))</x:f>
        <x:v>Valid</x:v>
      </x:c>
      <x:c r="AJ623" s="12" t="str">
        <x:v>Valid</x:v>
      </x:c>
      <x:c r="AK623" s="12" t="str">
        <x:v>Pass</x:v>
      </x:c>
      <x:c r="AL623" s="12" t="str">
        <x:v>Missing discount imputed as 0</x:v>
      </x:c>
      <x:c r="AM623" s="12" t="str">
        <x:v>Missing discount imputed as 0</x:v>
      </x:c>
      <x:c r="AN623" s="12" t="str">
        <x:v>Include in completed sales</x:v>
      </x:c>
      <x:c r="AO623" s="12" t="str">
        <x:v>Not a refunded record</x:v>
      </x:c>
      <x:c r="AP623" s="37" t="n">
        <x:f>IF(LEFT($AM623,7)="Invalid","",IF($AM623="Missing discount imputed as 0",IF(AND(COUNT($O623,$P623,$R623,$S623)=4,$O623&gt;0,$P623&gt;=0,$R623&gt;=0,$S623&gt;=0),0,""),IF(AND(ISNUMBER($Q623),$Q623&gt;=0,$Q623&lt;=0.5),$Q623,"")))</x:f>
        <x:v>0</x:v>
      </x:c>
      <x:c r="AQ623" s="152" t="n">
        <x:f>IF(OR($W623="",NOT(ISNUMBER($R623))),"",ROUND($R623-$W623,2))</x:f>
        <x:v>0</x:v>
      </x:c>
      <x:c r="AR623" s="152" t="n">
        <x:f>IF(OR($X623="",NOT(ISNUMBER($T623))),"",ROUND($T623-$X623,2))</x:f>
        <x:v>0</x:v>
      </x:c>
      <x:c r="AS623" s="14" t="str">
        <x:v>OK</x:v>
      </x:c>
    </x:row>
    <x:row r="624">
      <x:c r="A624" s="80" t="n">
        <x:v>624</x:v>
      </x:c>
      <x:c r="B624" s="80" t="str">
        <x:v>ORD-2025-10623</x:v>
      </x:c>
      <x:c r="C624" s="81" t="n">
        <x:v>45686</x:v>
      </x:c>
      <x:c r="D624" s="81" t="n">
        <x:v>45694</x:v>
      </x:c>
      <x:c r="E624" s="80" t="str">
        <x:v>CUST-1127</x:v>
      </x:c>
      <x:c r="F624" s="80" t="str">
        <x:v>Vikram Iyer</x:v>
      </x:c>
      <x:c r="G624" s="80" t="str">
        <x:v>Consumer</x:v>
      </x:c>
      <x:c r="H624" s="80" t="str">
        <x:v>East</x:v>
      </x:c>
      <x:c r="I624" s="80" t="str">
        <x:v>Bihar</x:v>
      </x:c>
      <x:c r="J624" s="80" t="str">
        <x:v>Patna</x:v>
      </x:c>
      <x:c r="K624" s="80" t="str">
        <x:v>Office Supplies</x:v>
      </x:c>
      <x:c r="L624" s="80" t="str">
        <x:v>Storage</x:v>
      </x:c>
      <x:c r="M624" s="80" t="str">
        <x:v>Basic Storage 934</x:v>
      </x:c>
      <x:c r="N624" s="80" t="str">
        <x:v>Standard Class</x:v>
      </x:c>
      <x:c r="O624" s="82" t="n">
        <x:v>4</x:v>
      </x:c>
      <x:c r="P624" s="83" t="n">
        <x:v>2759.01</x:v>
      </x:c>
      <x:c r="Q624" s="84" t="n">
        <x:v>0.05</x:v>
      </x:c>
      <x:c r="R624" s="83" t="n">
        <x:v>10484.24</x:v>
      </x:c>
      <x:c r="S624" s="83" t="n">
        <x:v>6680.15</x:v>
      </x:c>
      <x:c r="T624" s="83" t="n">
        <x:v>3804.09</x:v>
      </x:c>
      <x:c r="U624" s="83" t="str">
        <x:v>Paid</x:v>
      </x:c>
      <x:c r="V624" s="83" t="str">
        <x:v>Completed</x:v>
      </x:c>
      <x:c r="W624" s="151" t="n">
        <x:f>IF(OR(NOT(ISNUMBER($AP624)),COUNT($O624,$P624)&lt;2,$O624&lt;=0,$P624&lt;0),"",ROUND($O624*$P624*(1-$AP624),2))</x:f>
        <x:v>10484.24</x:v>
      </x:c>
      <x:c r="X624" s="151" t="n">
        <x:f>IF(OR(NOT(ISNUMBER($W624)),NOT(ISNUMBER($S624))),"",ROUND($W624-$S624,2))</x:f>
        <x:v>3804.09</x:v>
      </x:c>
      <x:c r="Y624" s="85" t="n">
        <x:f>IF(OR(NOT(ISNUMBER($W624)),NOT(ISNUMBER($X624)),$W624=0),"",ROUND($X624/$W624,4))</x:f>
        <x:v>0.3628</x:v>
      </x:c>
      <x:c r="Z624" s="82" t="n">
        <x:f>IF(OR($AH624&lt;&gt;"Valid",$AI624&lt;&gt;"Valid"),"",INT($D624-$C624))</x:f>
        <x:v>8</x:v>
      </x:c>
      <x:c r="AA624" s="86" t="str">
        <x:f>IF($AH624&lt;&gt;"Valid","",TEXT($C624,"mmmm"))</x:f>
        <x:v>January</x:v>
      </x:c>
      <x:c r="AB624" s="82" t="n">
        <x:f>IF($AH624&lt;&gt;"Valid","",YEAR($C624))</x:f>
        <x:v>2025</x:v>
      </x:c>
      <x:c r="AC624" s="80" t="str">
        <x:v>Consistent</x:v>
      </x:c>
      <x:c r="AD624" s="80" t="str">
        <x:v>Eligible</x:v>
      </x:c>
      <x:c r="AE624" s="80" t="str">
        <x:f>IF(OR($AH624&lt;&gt;"Valid",$AI624&lt;&gt;"Valid",$AJ624&lt;&gt;"Valid",LEFT($AM624,7)="Invalid",IFERROR(ABS($AQ624)&gt;0.01,FALSE),IFERROR(ABS($AR624)&gt;0.01,FALSE),COUNTIF($AS624,"*Conflicting duplicate*")&gt;0,COUNTIF($AS624,"*Completed order not paid*")&gt;0),"Invalid",IF(OR($H624="Unknown",$N624="Unknown",$AM624="Missing discount imputed as 0"),"Warning","Clean"))</x:f>
        <x:v>Clean</x:v>
      </x:c>
      <x:c r="AF624" s="80" t="str">
        <x:v>Pass</x:v>
      </x:c>
      <x:c r="AG624" s="80" t="str">
        <x:v>No text cleanup required</x:v>
      </x:c>
      <x:c r="AH624" s="12" t="str">
        <x:f>IF(C624="","Missing date",IF(ISNUMBER(C624),"Valid","Unrecognized/invalid date"))</x:f>
        <x:v>Valid</x:v>
      </x:c>
      <x:c r="AI624" s="12" t="str">
        <x:f>IF(D624="","Missing date",IF(ISNUMBER(D624),"Valid","Unrecognized/invalid date"))</x:f>
        <x:v>Valid</x:v>
      </x:c>
      <x:c r="AJ624" s="12" t="str">
        <x:v>Valid</x:v>
      </x:c>
      <x:c r="AK624" s="12" t="str">
        <x:v>Pass</x:v>
      </x:c>
      <x:c r="AL624" s="12" t="str">
        <x:v>None</x:v>
      </x:c>
      <x:c r="AM624" s="12" t="str">
        <x:v>Valid</x:v>
      </x:c>
      <x:c r="AN624" s="12" t="str">
        <x:v>Include in completed sales</x:v>
      </x:c>
      <x:c r="AO624" s="12" t="str">
        <x:v>Not a refunded record</x:v>
      </x:c>
      <x:c r="AP624" s="37" t="n">
        <x:f>IF(LEFT($AM624,7)="Invalid","",IF($AM624="Missing discount imputed as 0",IF(AND(COUNT($O624,$P624,$R624,$S624)=4,$O624&gt;0,$P624&gt;=0,$R624&gt;=0,$S624&gt;=0),0,""),IF(AND(ISNUMBER($Q624),$Q624&gt;=0,$Q624&lt;=0.5),$Q624,"")))</x:f>
        <x:v>0.05</x:v>
      </x:c>
      <x:c r="AQ624" s="152" t="n">
        <x:f>IF(OR($W624="",NOT(ISNUMBER($R624))),"",ROUND($R624-$W624,2))</x:f>
        <x:v>0</x:v>
      </x:c>
      <x:c r="AR624" s="152" t="n">
        <x:f>IF(OR($X624="",NOT(ISNUMBER($T624))),"",ROUND($T624-$X624,2))</x:f>
        <x:v>0</x:v>
      </x:c>
      <x:c r="AS624" s="14" t="str">
        <x:v>OK</x:v>
      </x:c>
    </x:row>
    <x:row r="625">
      <x:c r="A625" s="80" t="n">
        <x:v>625</x:v>
      </x:c>
      <x:c r="B625" s="80" t="str">
        <x:v>ORD-2024-10624</x:v>
      </x:c>
      <x:c r="C625" s="81" t="n">
        <x:v>45512</x:v>
      </x:c>
      <x:c r="D625" s="81" t="n">
        <x:v>45518</x:v>
      </x:c>
      <x:c r="E625" s="80" t="str">
        <x:v>CUST-6262</x:v>
      </x:c>
      <x:c r="F625" s="80" t="str">
        <x:v>Vikram Iyer</x:v>
      </x:c>
      <x:c r="G625" s="80" t="str">
        <x:v>Home Office</x:v>
      </x:c>
      <x:c r="H625" s="80" t="str">
        <x:v>North</x:v>
      </x:c>
      <x:c r="I625" s="80" t="str">
        <x:v>Punjab</x:v>
      </x:c>
      <x:c r="J625" s="80" t="str">
        <x:v>Ludhiana</x:v>
      </x:c>
      <x:c r="K625" s="80" t="str">
        <x:v>Office Supplies</x:v>
      </x:c>
      <x:c r="L625" s="80" t="str">
        <x:v>Storage</x:v>
      </x:c>
      <x:c r="M625" s="80" t="str">
        <x:v>Pro Storage 509</x:v>
      </x:c>
      <x:c r="N625" s="80" t="str">
        <x:v>Second Class</x:v>
      </x:c>
      <x:c r="O625" s="82" t="n">
        <x:v>8</x:v>
      </x:c>
      <x:c r="P625" s="83" t="n">
        <x:v>1359.19</x:v>
      </x:c>
      <x:c r="Q625" s="84" t="n">
        <x:v>0.05</x:v>
      </x:c>
      <x:c r="R625" s="83" t="n">
        <x:v>10329.84</x:v>
      </x:c>
      <x:c r="S625" s="83" t="n">
        <x:v>7512.22</x:v>
      </x:c>
      <x:c r="T625" s="83" t="n">
        <x:v>2817.62</x:v>
      </x:c>
      <x:c r="U625" s="83" t="str">
        <x:v>Paid</x:v>
      </x:c>
      <x:c r="V625" s="83" t="str">
        <x:v>Completed</x:v>
      </x:c>
      <x:c r="W625" s="151" t="n">
        <x:f>IF(OR(NOT(ISNUMBER($AP625)),COUNT($O625,$P625)&lt;2,$O625&lt;=0,$P625&lt;0),"",ROUND($O625*$P625*(1-$AP625),2))</x:f>
        <x:v>10329.84</x:v>
      </x:c>
      <x:c r="X625" s="151" t="n">
        <x:f>IF(OR(NOT(ISNUMBER($W625)),NOT(ISNUMBER($S625))),"",ROUND($W625-$S625,2))</x:f>
        <x:v>2817.62</x:v>
      </x:c>
      <x:c r="Y625" s="85" t="n">
        <x:f>IF(OR(NOT(ISNUMBER($W625)),NOT(ISNUMBER($X625)),$W625=0),"",ROUND($X625/$W625,4))</x:f>
        <x:v>0.2728</x:v>
      </x:c>
      <x:c r="Z625" s="82" t="n">
        <x:f>IF(OR($AH625&lt;&gt;"Valid",$AI625&lt;&gt;"Valid"),"",INT($D625-$C625))</x:f>
        <x:v>6</x:v>
      </x:c>
      <x:c r="AA625" s="86" t="str">
        <x:f>IF($AH625&lt;&gt;"Valid","",TEXT($C625,"mmmm"))</x:f>
        <x:v>August</x:v>
      </x:c>
      <x:c r="AB625" s="82" t="n">
        <x:f>IF($AH625&lt;&gt;"Valid","",YEAR($C625))</x:f>
        <x:v>2024</x:v>
      </x:c>
      <x:c r="AC625" s="80" t="str">
        <x:v>Consistent</x:v>
      </x:c>
      <x:c r="AD625" s="80" t="str">
        <x:v>Eligible</x:v>
      </x:c>
      <x:c r="AE625" s="80" t="str">
        <x:f>IF(OR($AH625&lt;&gt;"Valid",$AI625&lt;&gt;"Valid",$AJ625&lt;&gt;"Valid",LEFT($AM625,7)="Invalid",IFERROR(ABS($AQ625)&gt;0.01,FALSE),IFERROR(ABS($AR625)&gt;0.01,FALSE),COUNTIF($AS625,"*Conflicting duplicate*")&gt;0,COUNTIF($AS625,"*Completed order not paid*")&gt;0),"Invalid",IF(OR($H625="Unknown",$N625="Unknown",$AM625="Missing discount imputed as 0"),"Warning","Clean"))</x:f>
        <x:v>Clean</x:v>
      </x:c>
      <x:c r="AF625" s="80" t="str">
        <x:v>Pass</x:v>
      </x:c>
      <x:c r="AG625" s="80" t="str">
        <x:v>No text cleanup required</x:v>
      </x:c>
      <x:c r="AH625" s="12" t="str">
        <x:f>IF(C625="","Missing date",IF(ISNUMBER(C625),"Valid","Unrecognized/invalid date"))</x:f>
        <x:v>Valid</x:v>
      </x:c>
      <x:c r="AI625" s="12" t="str">
        <x:f>IF(D625="","Missing date",IF(ISNUMBER(D625),"Valid","Unrecognized/invalid date"))</x:f>
        <x:v>Valid</x:v>
      </x:c>
      <x:c r="AJ625" s="12" t="str">
        <x:v>Valid</x:v>
      </x:c>
      <x:c r="AK625" s="12" t="str">
        <x:v>Pass</x:v>
      </x:c>
      <x:c r="AL625" s="12" t="str">
        <x:v>None</x:v>
      </x:c>
      <x:c r="AM625" s="12" t="str">
        <x:v>Valid</x:v>
      </x:c>
      <x:c r="AN625" s="12" t="str">
        <x:v>Include in completed sales</x:v>
      </x:c>
      <x:c r="AO625" s="12" t="str">
        <x:v>Not a refunded record</x:v>
      </x:c>
      <x:c r="AP625" s="37" t="n">
        <x:f>IF(LEFT($AM625,7)="Invalid","",IF($AM625="Missing discount imputed as 0",IF(AND(COUNT($O625,$P625,$R625,$S625)=4,$O625&gt;0,$P625&gt;=0,$R625&gt;=0,$S625&gt;=0),0,""),IF(AND(ISNUMBER($Q625),$Q625&gt;=0,$Q625&lt;=0.5),$Q625,"")))</x:f>
        <x:v>0.05</x:v>
      </x:c>
      <x:c r="AQ625" s="152" t="n">
        <x:f>IF(OR($W625="",NOT(ISNUMBER($R625))),"",ROUND($R625-$W625,2))</x:f>
        <x:v>0</x:v>
      </x:c>
      <x:c r="AR625" s="152" t="n">
        <x:f>IF(OR($X625="",NOT(ISNUMBER($T625))),"",ROUND($T625-$X625,2))</x:f>
        <x:v>0</x:v>
      </x:c>
      <x:c r="AS625" s="14" t="str">
        <x:v>OK</x:v>
      </x:c>
    </x:row>
    <x:row r="626">
      <x:c r="A626" s="80" t="n">
        <x:v>626</x:v>
      </x:c>
      <x:c r="B626" s="80" t="str">
        <x:v>ORD-2024-10625</x:v>
      </x:c>
      <x:c r="C626" s="81" t="n">
        <x:v>45321</x:v>
      </x:c>
      <x:c r="D626" s="81" t="n">
        <x:v>45323</x:v>
      </x:c>
      <x:c r="E626" s="80" t="str">
        <x:v>CUST-5070</x:v>
      </x:c>
      <x:c r="F626" s="80" t="str">
        <x:v>Neha Gupta</x:v>
      </x:c>
      <x:c r="G626" s="80" t="str">
        <x:v>Home Office</x:v>
      </x:c>
      <x:c r="H626" s="80" t="str">
        <x:v>East</x:v>
      </x:c>
      <x:c r="I626" s="80" t="str">
        <x:v>Assam</x:v>
      </x:c>
      <x:c r="J626" s="80" t="str">
        <x:v>Guwahati</x:v>
      </x:c>
      <x:c r="K626" s="80" t="str">
        <x:v>Furniture</x:v>
      </x:c>
      <x:c r="L626" s="80" t="str">
        <x:v>Chairs</x:v>
      </x:c>
      <x:c r="M626" s="80" t="str">
        <x:v>Prime Chairs 765</x:v>
      </x:c>
      <x:c r="N626" s="80" t="str">
        <x:v>First Class</x:v>
      </x:c>
      <x:c r="O626" s="82" t="n">
        <x:v>2</x:v>
      </x:c>
      <x:c r="P626" s="83" t="n">
        <x:v>4451.03</x:v>
      </x:c>
      <x:c r="Q626" s="84" t="n">
        <x:v>0.05</x:v>
      </x:c>
      <x:c r="R626" s="83" t="n">
        <x:v>8456.96</x:v>
      </x:c>
      <x:c r="S626" s="83" t="n">
        <x:v>5462.85</x:v>
      </x:c>
      <x:c r="T626" s="83" t="n">
        <x:v>2994.11</x:v>
      </x:c>
      <x:c r="U626" s="83" t="str">
        <x:v>Paid</x:v>
      </x:c>
      <x:c r="V626" s="83" t="str">
        <x:v>Completed</x:v>
      </x:c>
      <x:c r="W626" s="151" t="n">
        <x:f>IF(OR(NOT(ISNUMBER($AP626)),COUNT($O626,$P626)&lt;2,$O626&lt;=0,$P626&lt;0),"",ROUND($O626*$P626*(1-$AP626),2))</x:f>
        <x:v>8456.96</x:v>
      </x:c>
      <x:c r="X626" s="151" t="n">
        <x:f>IF(OR(NOT(ISNUMBER($W626)),NOT(ISNUMBER($S626))),"",ROUND($W626-$S626,2))</x:f>
        <x:v>2994.11</x:v>
      </x:c>
      <x:c r="Y626" s="85" t="n">
        <x:f>IF(OR(NOT(ISNUMBER($W626)),NOT(ISNUMBER($X626)),$W626=0),"",ROUND($X626/$W626,4))</x:f>
        <x:v>0.354</x:v>
      </x:c>
      <x:c r="Z626" s="82" t="n">
        <x:f>IF(OR($AH626&lt;&gt;"Valid",$AI626&lt;&gt;"Valid"),"",INT($D626-$C626))</x:f>
        <x:v>2</x:v>
      </x:c>
      <x:c r="AA626" s="86" t="str">
        <x:f>IF($AH626&lt;&gt;"Valid","",TEXT($C626,"mmmm"))</x:f>
        <x:v>January</x:v>
      </x:c>
      <x:c r="AB626" s="82" t="n">
        <x:f>IF($AH626&lt;&gt;"Valid","",YEAR($C626))</x:f>
        <x:v>2024</x:v>
      </x:c>
      <x:c r="AC626" s="80" t="str">
        <x:v>Consistent</x:v>
      </x:c>
      <x:c r="AD626" s="80" t="str">
        <x:v>Eligible</x:v>
      </x:c>
      <x:c r="AE626" s="80" t="str">
        <x:f>IF(OR($AH626&lt;&gt;"Valid",$AI626&lt;&gt;"Valid",$AJ626&lt;&gt;"Valid",LEFT($AM626,7)="Invalid",IFERROR(ABS($AQ626)&gt;0.01,FALSE),IFERROR(ABS($AR626)&gt;0.01,FALSE),COUNTIF($AS626,"*Conflicting duplicate*")&gt;0,COUNTIF($AS626,"*Completed order not paid*")&gt;0),"Invalid",IF(OR($H626="Unknown",$N626="Unknown",$AM626="Missing discount imputed as 0"),"Warning","Clean"))</x:f>
        <x:v>Clean</x:v>
      </x:c>
      <x:c r="AF626" s="80" t="str">
        <x:v>Pass</x:v>
      </x:c>
      <x:c r="AG626" s="80" t="str">
        <x:v>No text cleanup required</x:v>
      </x:c>
      <x:c r="AH626" s="12" t="str">
        <x:f>IF(C626="","Missing date",IF(ISNUMBER(C626),"Valid","Unrecognized/invalid date"))</x:f>
        <x:v>Valid</x:v>
      </x:c>
      <x:c r="AI626" s="12" t="str">
        <x:f>IF(D626="","Missing date",IF(ISNUMBER(D626),"Valid","Unrecognized/invalid date"))</x:f>
        <x:v>Valid</x:v>
      </x:c>
      <x:c r="AJ626" s="12" t="str">
        <x:v>Valid</x:v>
      </x:c>
      <x:c r="AK626" s="12" t="str">
        <x:v>Pass</x:v>
      </x:c>
      <x:c r="AL626" s="12" t="str">
        <x:v>None</x:v>
      </x:c>
      <x:c r="AM626" s="12" t="str">
        <x:v>Valid</x:v>
      </x:c>
      <x:c r="AN626" s="12" t="str">
        <x:v>Include in completed sales</x:v>
      </x:c>
      <x:c r="AO626" s="12" t="str">
        <x:v>Not a refunded record</x:v>
      </x:c>
      <x:c r="AP626" s="37" t="n">
        <x:f>IF(LEFT($AM626,7)="Invalid","",IF($AM626="Missing discount imputed as 0",IF(AND(COUNT($O626,$P626,$R626,$S626)=4,$O626&gt;0,$P626&gt;=0,$R626&gt;=0,$S626&gt;=0),0,""),IF(AND(ISNUMBER($Q626),$Q626&gt;=0,$Q626&lt;=0.5),$Q626,"")))</x:f>
        <x:v>0.05</x:v>
      </x:c>
      <x:c r="AQ626" s="152" t="n">
        <x:f>IF(OR($W626="",NOT(ISNUMBER($R626))),"",ROUND($R626-$W626,2))</x:f>
        <x:v>0</x:v>
      </x:c>
      <x:c r="AR626" s="152" t="n">
        <x:f>IF(OR($X626="",NOT(ISNUMBER($T626))),"",ROUND($T626-$X626,2))</x:f>
        <x:v>0</x:v>
      </x:c>
      <x:c r="AS626" s="14" t="str">
        <x:v>OK</x:v>
      </x:c>
    </x:row>
    <x:row r="627">
      <x:c r="A627" s="80" t="n">
        <x:v>627</x:v>
      </x:c>
      <x:c r="B627" s="80" t="str">
        <x:v>ORD-2024-10626</x:v>
      </x:c>
      <x:c r="C627" s="81" t="n">
        <x:v>45641</x:v>
      </x:c>
      <x:c r="D627" s="81" t="n">
        <x:v>45647</x:v>
      </x:c>
      <x:c r="E627" s="80" t="str">
        <x:v>CUST-7946</x:v>
      </x:c>
      <x:c r="F627" s="80" t="str">
        <x:v>Diya Patel</x:v>
      </x:c>
      <x:c r="G627" s="80" t="str">
        <x:v>Corporate</x:v>
      </x:c>
      <x:c r="H627" s="80" t="str">
        <x:v>West</x:v>
      </x:c>
      <x:c r="I627" s="80" t="str">
        <x:v>Rajasthan</x:v>
      </x:c>
      <x:c r="J627" s="80" t="str">
        <x:v>Udaipur</x:v>
      </x:c>
      <x:c r="K627" s="80" t="str">
        <x:v>Furniture</x:v>
      </x:c>
      <x:c r="L627" s="80" t="str">
        <x:v>Chairs</x:v>
      </x:c>
      <x:c r="M627" s="80" t="str">
        <x:v>Elite Chairs 358</x:v>
      </x:c>
      <x:c r="N627" s="80" t="str">
        <x:v>Same Day</x:v>
      </x:c>
      <x:c r="O627" s="82" t="n">
        <x:v>3</x:v>
      </x:c>
      <x:c r="P627" s="83" t="n">
        <x:v>527.67</x:v>
      </x:c>
      <x:c r="Q627" s="84" t="n">
        <x:v>0.2</x:v>
      </x:c>
      <x:c r="R627" s="83" t="n">
        <x:v>1266.41</x:v>
      </x:c>
      <x:c r="S627" s="83" t="n">
        <x:v>983.92</x:v>
      </x:c>
      <x:c r="T627" s="83" t="n">
        <x:v>282.49</x:v>
      </x:c>
      <x:c r="U627" s="83" t="str">
        <x:v>Paid</x:v>
      </x:c>
      <x:c r="V627" s="83" t="str">
        <x:v>Completed</x:v>
      </x:c>
      <x:c r="W627" s="151" t="n">
        <x:f>IF(OR(NOT(ISNUMBER($AP627)),COUNT($O627,$P627)&lt;2,$O627&lt;=0,$P627&lt;0),"",ROUND($O627*$P627*(1-$AP627),2))</x:f>
        <x:v>1266.41</x:v>
      </x:c>
      <x:c r="X627" s="151" t="n">
        <x:f>IF(OR(NOT(ISNUMBER($W627)),NOT(ISNUMBER($S627))),"",ROUND($W627-$S627,2))</x:f>
        <x:v>282.49</x:v>
      </x:c>
      <x:c r="Y627" s="85" t="n">
        <x:f>IF(OR(NOT(ISNUMBER($W627)),NOT(ISNUMBER($X627)),$W627=0),"",ROUND($X627/$W627,4))</x:f>
        <x:v>0.2231</x:v>
      </x:c>
      <x:c r="Z627" s="82" t="n">
        <x:f>IF(OR($AH627&lt;&gt;"Valid",$AI627&lt;&gt;"Valid"),"",INT($D627-$C627))</x:f>
        <x:v>6</x:v>
      </x:c>
      <x:c r="AA627" s="86" t="str">
        <x:f>IF($AH627&lt;&gt;"Valid","",TEXT($C627,"mmmm"))</x:f>
        <x:v>December</x:v>
      </x:c>
      <x:c r="AB627" s="82" t="n">
        <x:f>IF($AH627&lt;&gt;"Valid","",YEAR($C627))</x:f>
        <x:v>2024</x:v>
      </x:c>
      <x:c r="AC627" s="80" t="str">
        <x:v>Consistent</x:v>
      </x:c>
      <x:c r="AD627" s="80" t="str">
        <x:v>Eligible</x:v>
      </x:c>
      <x:c r="AE627" s="80" t="str">
        <x:f>IF(OR($AH627&lt;&gt;"Valid",$AI627&lt;&gt;"Valid",$AJ627&lt;&gt;"Valid",LEFT($AM627,7)="Invalid",IFERROR(ABS($AQ627)&gt;0.01,FALSE),IFERROR(ABS($AR627)&gt;0.01,FALSE),COUNTIF($AS627,"*Conflicting duplicate*")&gt;0,COUNTIF($AS627,"*Completed order not paid*")&gt;0),"Invalid",IF(OR($H627="Unknown",$N627="Unknown",$AM627="Missing discount imputed as 0"),"Warning","Clean"))</x:f>
        <x:v>Clean</x:v>
      </x:c>
      <x:c r="AF627" s="80" t="str">
        <x:v>Pass</x:v>
      </x:c>
      <x:c r="AG627" s="80" t="str">
        <x:v>No text cleanup required</x:v>
      </x:c>
      <x:c r="AH627" s="12" t="str">
        <x:f>IF(C627="","Missing date",IF(ISNUMBER(C627),"Valid","Unrecognized/invalid date"))</x:f>
        <x:v>Valid</x:v>
      </x:c>
      <x:c r="AI627" s="12" t="str">
        <x:f>IF(D627="","Missing date",IF(ISNUMBER(D627),"Valid","Unrecognized/invalid date"))</x:f>
        <x:v>Valid</x:v>
      </x:c>
      <x:c r="AJ627" s="12" t="str">
        <x:v>Valid</x:v>
      </x:c>
      <x:c r="AK627" s="12" t="str">
        <x:v>Pass</x:v>
      </x:c>
      <x:c r="AL627" s="12" t="str">
        <x:v>None</x:v>
      </x:c>
      <x:c r="AM627" s="12" t="str">
        <x:v>Valid</x:v>
      </x:c>
      <x:c r="AN627" s="12" t="str">
        <x:v>Include in completed sales</x:v>
      </x:c>
      <x:c r="AO627" s="12" t="str">
        <x:v>Not a refunded record</x:v>
      </x:c>
      <x:c r="AP627" s="37" t="n">
        <x:f>IF(LEFT($AM627,7)="Invalid","",IF($AM627="Missing discount imputed as 0",IF(AND(COUNT($O627,$P627,$R627,$S627)=4,$O627&gt;0,$P627&gt;=0,$R627&gt;=0,$S627&gt;=0),0,""),IF(AND(ISNUMBER($Q627),$Q627&gt;=0,$Q627&lt;=0.5),$Q627,"")))</x:f>
        <x:v>0.2</x:v>
      </x:c>
      <x:c r="AQ627" s="152" t="n">
        <x:f>IF(OR($W627="",NOT(ISNUMBER($R627))),"",ROUND($R627-$W627,2))</x:f>
        <x:v>0</x:v>
      </x:c>
      <x:c r="AR627" s="152" t="n">
        <x:f>IF(OR($X627="",NOT(ISNUMBER($T627))),"",ROUND($T627-$X627,2))</x:f>
        <x:v>0</x:v>
      </x:c>
      <x:c r="AS627" s="14" t="str">
        <x:v>OK</x:v>
      </x:c>
    </x:row>
    <x:row r="628">
      <x:c r="A628" s="80" t="n">
        <x:v>628</x:v>
      </x:c>
      <x:c r="B628" s="80" t="str">
        <x:v>ORD-2025-10627</x:v>
      </x:c>
      <x:c r="C628" s="81" t="n">
        <x:v>45812</x:v>
      </x:c>
      <x:c r="D628" s="81" t="n">
        <x:v>45815</x:v>
      </x:c>
      <x:c r="E628" s="80" t="str">
        <x:v>CUST-1793</x:v>
      </x:c>
      <x:c r="F628" s="80" t="str">
        <x:v>Sneha Kapoor</x:v>
      </x:c>
      <x:c r="G628" s="80" t="str">
        <x:v>Home Office</x:v>
      </x:c>
      <x:c r="H628" s="80" t="str">
        <x:v>East</x:v>
      </x:c>
      <x:c r="I628" s="80" t="str">
        <x:v>Assam</x:v>
      </x:c>
      <x:c r="J628" s="80" t="str">
        <x:v>Guwahati</x:v>
      </x:c>
      <x:c r="K628" s="80" t="str">
        <x:v>Technology</x:v>
      </x:c>
      <x:c r="L628" s="80" t="str">
        <x:v>Machines</x:v>
      </x:c>
      <x:c r="M628" s="80" t="str">
        <x:v>Elite Machines 971</x:v>
      </x:c>
      <x:c r="N628" s="80" t="str">
        <x:v>Standard Class</x:v>
      </x:c>
      <x:c r="O628" s="82" t="n">
        <x:v>8</x:v>
      </x:c>
      <x:c r="P628" s="83" t="n">
        <x:v>1434.13</x:v>
      </x:c>
      <x:c r="Q628" s="84" t="n">
        <x:v>0</x:v>
      </x:c>
      <x:c r="R628" s="83" t="n">
        <x:v>11473.04</x:v>
      </x:c>
      <x:c r="S628" s="83" t="n">
        <x:v>8931.33</x:v>
      </x:c>
      <x:c r="T628" s="83" t="n">
        <x:v>2541.71</x:v>
      </x:c>
      <x:c r="U628" s="83" t="str">
        <x:v>Pending</x:v>
      </x:c>
      <x:c r="V628" s="83" t="str">
        <x:v>Returned</x:v>
      </x:c>
      <x:c r="W628" s="151" t="n">
        <x:f>IF(OR(NOT(ISNUMBER($AP628)),COUNT($O628,$P628)&lt;2,$O628&lt;=0,$P628&lt;0),"",ROUND($O628*$P628*(1-$AP628),2))</x:f>
        <x:v>11473.04</x:v>
      </x:c>
      <x:c r="X628" s="151" t="n">
        <x:f>IF(OR(NOT(ISNUMBER($W628)),NOT(ISNUMBER($S628))),"",ROUND($W628-$S628,2))</x:f>
        <x:v>2541.71</x:v>
      </x:c>
      <x:c r="Y628" s="85" t="n">
        <x:f>IF(OR(NOT(ISNUMBER($W628)),NOT(ISNUMBER($X628)),$W628=0),"",ROUND($X628/$W628,4))</x:f>
        <x:v>0.2215</x:v>
      </x:c>
      <x:c r="Z628" s="82" t="n">
        <x:f>IF(OR($AH628&lt;&gt;"Valid",$AI628&lt;&gt;"Valid"),"",INT($D628-$C628))</x:f>
        <x:v>3</x:v>
      </x:c>
      <x:c r="AA628" s="86" t="str">
        <x:f>IF($AH628&lt;&gt;"Valid","",TEXT($C628,"mmmm"))</x:f>
        <x:v>June</x:v>
      </x:c>
      <x:c r="AB628" s="82" t="n">
        <x:f>IF($AH628&lt;&gt;"Valid","",YEAR($C628))</x:f>
        <x:v>2025</x:v>
      </x:c>
      <x:c r="AC628" s="80" t="str">
        <x:v>Consistent</x:v>
      </x:c>
      <x:c r="AD628" s="80" t="str">
        <x:v>Excluded</x:v>
      </x:c>
      <x:c r="AE628" s="80" t="str">
        <x:f>IF(OR($AH628&lt;&gt;"Valid",$AI628&lt;&gt;"Valid",$AJ628&lt;&gt;"Valid",LEFT($AM628,7)="Invalid",IFERROR(ABS($AQ628)&gt;0.01,FALSE),IFERROR(ABS($AR628)&gt;0.01,FALSE),COUNTIF($AS628,"*Conflicting duplicate*")&gt;0,COUNTIF($AS628,"*Completed order not paid*")&gt;0),"Invalid",IF(OR($H628="Unknown",$N628="Unknown",$AM628="Missing discount imputed as 0"),"Warning","Clean"))</x:f>
        <x:v>Clean</x:v>
      </x:c>
      <x:c r="AF628" s="80" t="str">
        <x:v>Cleaned</x:v>
      </x:c>
      <x:c r="AG628" s="80" t="str">
        <x:v>category: TRIM/SUBSTITUTE whitespace cleanup</x:v>
      </x:c>
      <x:c r="AH628" s="12" t="str">
        <x:f>IF(C628="","Missing date",IF(ISNUMBER(C628),"Valid","Unrecognized/invalid date"))</x:f>
        <x:v>Valid</x:v>
      </x:c>
      <x:c r="AI628" s="12" t="str">
        <x:f>IF(D628="","Missing date",IF(ISNUMBER(D628),"Valid","Unrecognized/invalid date"))</x:f>
        <x:v>Valid</x:v>
      </x:c>
      <x:c r="AJ628" s="12" t="str">
        <x:v>Valid</x:v>
      </x:c>
      <x:c r="AK628" s="12" t="str">
        <x:v>Pass</x:v>
      </x:c>
      <x:c r="AL628" s="12" t="str">
        <x:v>None</x:v>
      </x:c>
      <x:c r="AM628" s="12" t="str">
        <x:v>Valid</x:v>
      </x:c>
      <x:c r="AN628" s="12" t="str">
        <x:v>Exclude from completed sales</x:v>
      </x:c>
      <x:c r="AO628" s="12" t="str">
        <x:v>Not a refunded record</x:v>
      </x:c>
      <x:c r="AP628" s="37" t="n">
        <x:f>IF(LEFT($AM628,7)="Invalid","",IF($AM628="Missing discount imputed as 0",IF(AND(COUNT($O628,$P628,$R628,$S628)=4,$O628&gt;0,$P628&gt;=0,$R628&gt;=0,$S628&gt;=0),0,""),IF(AND(ISNUMBER($Q628),$Q628&gt;=0,$Q628&lt;=0.5),$Q628,"")))</x:f>
        <x:v>0</x:v>
      </x:c>
      <x:c r="AQ628" s="152" t="n">
        <x:f>IF(OR($W628="",NOT(ISNUMBER($R628))),"",ROUND($R628-$W628,2))</x:f>
        <x:v>0</x:v>
      </x:c>
      <x:c r="AR628" s="152" t="n">
        <x:f>IF(OR($X628="",NOT(ISNUMBER($T628))),"",ROUND($T628-$X628,2))</x:f>
        <x:v>0</x:v>
      </x:c>
      <x:c r="AS628" s="14" t="str">
        <x:v>OK</x:v>
      </x:c>
    </x:row>
    <x:row r="629">
      <x:c r="A629" s="80" t="n">
        <x:v>629</x:v>
      </x:c>
      <x:c r="B629" s="80" t="str">
        <x:v>ORD-2025-10628</x:v>
      </x:c>
      <x:c r="C629" s="81" t="n">
        <x:v>45701</x:v>
      </x:c>
      <x:c r="D629" s="81" t="n">
        <x:v>45709</x:v>
      </x:c>
      <x:c r="E629" s="80" t="str">
        <x:v>CUST-8839</x:v>
      </x:c>
      <x:c r="F629" s="80" t="str">
        <x:v>Karan Malhotra</x:v>
      </x:c>
      <x:c r="G629" s="80" t="str">
        <x:v>Small Business</x:v>
      </x:c>
      <x:c r="H629" s="80" t="str">
        <x:v>South</x:v>
      </x:c>
      <x:c r="I629" s="80" t="str">
        <x:v>Kerala</x:v>
      </x:c>
      <x:c r="J629" s="80" t="str">
        <x:v>Kochi</x:v>
      </x:c>
      <x:c r="K629" s="80" t="str">
        <x:v>Technology</x:v>
      </x:c>
      <x:c r="L629" s="80" t="str">
        <x:v>Phones</x:v>
      </x:c>
      <x:c r="M629" s="80" t="str">
        <x:v>Max Phones 825</x:v>
      </x:c>
      <x:c r="N629" s="80" t="str">
        <x:v>Second Class</x:v>
      </x:c>
      <x:c r="O629" s="82" t="n">
        <x:v>2</x:v>
      </x:c>
      <x:c r="P629" s="83" t="n">
        <x:v>2360.02</x:v>
      </x:c>
      <x:c r="Q629" s="84" t="n">
        <x:v>0.15</x:v>
      </x:c>
      <x:c r="R629" s="83" t="n">
        <x:v>4012.03</x:v>
      </x:c>
      <x:c r="S629" s="83" t="n">
        <x:v>3142.92</x:v>
      </x:c>
      <x:c r="T629" s="83" t="n">
        <x:v>869.11</x:v>
      </x:c>
      <x:c r="U629" s="83" t="str">
        <x:v>Pending</x:v>
      </x:c>
      <x:c r="V629" s="83" t="str">
        <x:v>Cancelled</x:v>
      </x:c>
      <x:c r="W629" s="151" t="n">
        <x:f>IF(OR(NOT(ISNUMBER($AP629)),COUNT($O629,$P629)&lt;2,$O629&lt;=0,$P629&lt;0),"",ROUND($O629*$P629*(1-$AP629),2))</x:f>
        <x:v>4012.03</x:v>
      </x:c>
      <x:c r="X629" s="151" t="n">
        <x:f>IF(OR(NOT(ISNUMBER($W629)),NOT(ISNUMBER($S629))),"",ROUND($W629-$S629,2))</x:f>
        <x:v>869.11</x:v>
      </x:c>
      <x:c r="Y629" s="85" t="n">
        <x:f>IF(OR(NOT(ISNUMBER($W629)),NOT(ISNUMBER($X629)),$W629=0),"",ROUND($X629/$W629,4))</x:f>
        <x:v>0.2166</x:v>
      </x:c>
      <x:c r="Z629" s="82" t="n">
        <x:f>IF(OR($AH629&lt;&gt;"Valid",$AI629&lt;&gt;"Valid"),"",INT($D629-$C629))</x:f>
        <x:v>8</x:v>
      </x:c>
      <x:c r="AA629" s="86" t="str">
        <x:f>IF($AH629&lt;&gt;"Valid","",TEXT($C629,"mmmm"))</x:f>
        <x:v>February</x:v>
      </x:c>
      <x:c r="AB629" s="82" t="n">
        <x:f>IF($AH629&lt;&gt;"Valid","",YEAR($C629))</x:f>
        <x:v>2025</x:v>
      </x:c>
      <x:c r="AC629" s="80" t="str">
        <x:v>Cancelled (excluded from completed-sales summary)</x:v>
      </x:c>
      <x:c r="AD629" s="80" t="str">
        <x:v>Excluded</x:v>
      </x:c>
      <x:c r="AE629" s="80" t="str">
        <x:f>IF(OR($AH629&lt;&gt;"Valid",$AI629&lt;&gt;"Valid",$AJ629&lt;&gt;"Valid",LEFT($AM629,7)="Invalid",IFERROR(ABS($AQ629)&gt;0.01,FALSE),IFERROR(ABS($AR629)&gt;0.01,FALSE),COUNTIF($AS629,"*Conflicting duplicate*")&gt;0,COUNTIF($AS629,"*Completed order not paid*")&gt;0),"Invalid",IF(OR($H629="Unknown",$N629="Unknown",$AM629="Missing discount imputed as 0"),"Warning","Clean"))</x:f>
        <x:v>Clean</x:v>
      </x:c>
      <x:c r="AF629" s="80" t="str">
        <x:v>Pass</x:v>
      </x:c>
      <x:c r="AG629" s="80" t="str">
        <x:v>No text cleanup required</x:v>
      </x:c>
      <x:c r="AH629" s="12" t="str">
        <x:f>IF(C629="","Missing date",IF(ISNUMBER(C629),"Valid","Unrecognized/invalid date"))</x:f>
        <x:v>Valid</x:v>
      </x:c>
      <x:c r="AI629" s="12" t="str">
        <x:f>IF(D629="","Missing date",IF(ISNUMBER(D629),"Valid","Unrecognized/invalid date"))</x:f>
        <x:v>Valid</x:v>
      </x:c>
      <x:c r="AJ629" s="12" t="str">
        <x:v>Valid</x:v>
      </x:c>
      <x:c r="AK629" s="12" t="str">
        <x:v>Pass</x:v>
      </x:c>
      <x:c r="AL629" s="12" t="str">
        <x:v>Cancelled order – excluded from completed sales</x:v>
      </x:c>
      <x:c r="AM629" s="12" t="str">
        <x:v>Valid</x:v>
      </x:c>
      <x:c r="AN629" s="12" t="str">
        <x:v>Exclude from completed sales</x:v>
      </x:c>
      <x:c r="AO629" s="12" t="str">
        <x:v>Not a refunded record</x:v>
      </x:c>
      <x:c r="AP629" s="37" t="n">
        <x:f>IF(LEFT($AM629,7)="Invalid","",IF($AM629="Missing discount imputed as 0",IF(AND(COUNT($O629,$P629,$R629,$S629)=4,$O629&gt;0,$P629&gt;=0,$R629&gt;=0,$S629&gt;=0),0,""),IF(AND(ISNUMBER($Q629),$Q629&gt;=0,$Q629&lt;=0.5),$Q629,"")))</x:f>
        <x:v>0.15</x:v>
      </x:c>
      <x:c r="AQ629" s="152" t="n">
        <x:f>IF(OR($W629="",NOT(ISNUMBER($R629))),"",ROUND($R629-$W629,2))</x:f>
        <x:v>0</x:v>
      </x:c>
      <x:c r="AR629" s="152" t="n">
        <x:f>IF(OR($X629="",NOT(ISNUMBER($T629))),"",ROUND($T629-$X629,2))</x:f>
        <x:v>0</x:v>
      </x:c>
      <x:c r="AS629" s="14" t="str">
        <x:v>OK</x:v>
      </x:c>
    </x:row>
    <x:row r="630">
      <x:c r="A630" s="80" t="n">
        <x:v>630</x:v>
      </x:c>
      <x:c r="B630" s="80" t="str">
        <x:v>ORD-2025-10629</x:v>
      </x:c>
      <x:c r="C630" s="81" t="n">
        <x:v>45935</x:v>
      </x:c>
      <x:c r="D630" s="81" t="n">
        <x:v>45942</x:v>
      </x:c>
      <x:c r="E630" s="80" t="str">
        <x:v>CUST-6725</x:v>
      </x:c>
      <x:c r="F630" s="80" t="str">
        <x:v>Ananya Rao</x:v>
      </x:c>
      <x:c r="G630" s="80" t="str">
        <x:v>Home Office</x:v>
      </x:c>
      <x:c r="H630" s="80" t="str">
        <x:v>East</x:v>
      </x:c>
      <x:c r="I630" s="80" t="str">
        <x:v>Jharkhand</x:v>
      </x:c>
      <x:c r="J630" s="80" t="str">
        <x:v>Ranchi</x:v>
      </x:c>
      <x:c r="K630" s="80" t="str">
        <x:v>Technology</x:v>
      </x:c>
      <x:c r="L630" s="80" t="str">
        <x:v>Accessories</x:v>
      </x:c>
      <x:c r="M630" s="80" t="str">
        <x:v>Eco Accessories 933</x:v>
      </x:c>
      <x:c r="N630" s="80" t="str">
        <x:v>Same Day</x:v>
      </x:c>
      <x:c r="O630" s="82" t="n">
        <x:v>7</x:v>
      </x:c>
      <x:c r="P630" s="83" t="n">
        <x:v>806.67</x:v>
      </x:c>
      <x:c r="Q630" s="84" t="n">
        <x:v>0.05</x:v>
      </x:c>
      <x:c r="R630" s="83" t="n">
        <x:v>5364.36</x:v>
      </x:c>
      <x:c r="S630" s="83" t="n">
        <x:v>4391.29</x:v>
      </x:c>
      <x:c r="T630" s="83" t="n">
        <x:v>973.07</x:v>
      </x:c>
      <x:c r="U630" s="83" t="str">
        <x:v>Paid</x:v>
      </x:c>
      <x:c r="V630" s="83" t="str">
        <x:v>Completed</x:v>
      </x:c>
      <x:c r="W630" s="151" t="n">
        <x:f>IF(OR(NOT(ISNUMBER($AP630)),COUNT($O630,$P630)&lt;2,$O630&lt;=0,$P630&lt;0),"",ROUND($O630*$P630*(1-$AP630),2))</x:f>
        <x:v>5364.36</x:v>
      </x:c>
      <x:c r="X630" s="151" t="n">
        <x:f>IF(OR(NOT(ISNUMBER($W630)),NOT(ISNUMBER($S630))),"",ROUND($W630-$S630,2))</x:f>
        <x:v>973.07</x:v>
      </x:c>
      <x:c r="Y630" s="85" t="n">
        <x:f>IF(OR(NOT(ISNUMBER($W630)),NOT(ISNUMBER($X630)),$W630=0),"",ROUND($X630/$W630,4))</x:f>
        <x:v>0.1814</x:v>
      </x:c>
      <x:c r="Z630" s="82" t="n">
        <x:f>IF(OR($AH630&lt;&gt;"Valid",$AI630&lt;&gt;"Valid"),"",INT($D630-$C630))</x:f>
        <x:v>7</x:v>
      </x:c>
      <x:c r="AA630" s="86" t="str">
        <x:f>IF($AH630&lt;&gt;"Valid","",TEXT($C630,"mmmm"))</x:f>
        <x:v>October</x:v>
      </x:c>
      <x:c r="AB630" s="82" t="n">
        <x:f>IF($AH630&lt;&gt;"Valid","",YEAR($C630))</x:f>
        <x:v>2025</x:v>
      </x:c>
      <x:c r="AC630" s="80" t="str">
        <x:v>Consistent</x:v>
      </x:c>
      <x:c r="AD630" s="80" t="str">
        <x:v>Eligible</x:v>
      </x:c>
      <x:c r="AE630" s="80" t="str">
        <x:f>IF(OR($AH630&lt;&gt;"Valid",$AI630&lt;&gt;"Valid",$AJ630&lt;&gt;"Valid",LEFT($AM630,7)="Invalid",IFERROR(ABS($AQ630)&gt;0.01,FALSE),IFERROR(ABS($AR630)&gt;0.01,FALSE),COUNTIF($AS630,"*Conflicting duplicate*")&gt;0,COUNTIF($AS630,"*Completed order not paid*")&gt;0),"Invalid",IF(OR($H630="Unknown",$N630="Unknown",$AM630="Missing discount imputed as 0"),"Warning","Clean"))</x:f>
        <x:v>Clean</x:v>
      </x:c>
      <x:c r="AF630" s="80" t="str">
        <x:v>Pass</x:v>
      </x:c>
      <x:c r="AG630" s="80" t="str">
        <x:v>No text cleanup required</x:v>
      </x:c>
      <x:c r="AH630" s="12" t="str">
        <x:f>IF(C630="","Missing date",IF(ISNUMBER(C630),"Valid","Unrecognized/invalid date"))</x:f>
        <x:v>Valid</x:v>
      </x:c>
      <x:c r="AI630" s="12" t="str">
        <x:f>IF(D630="","Missing date",IF(ISNUMBER(D630),"Valid","Unrecognized/invalid date"))</x:f>
        <x:v>Valid</x:v>
      </x:c>
      <x:c r="AJ630" s="12" t="str">
        <x:v>Valid</x:v>
      </x:c>
      <x:c r="AK630" s="12" t="str">
        <x:v>Pass</x:v>
      </x:c>
      <x:c r="AL630" s="12" t="str">
        <x:v>None</x:v>
      </x:c>
      <x:c r="AM630" s="12" t="str">
        <x:v>Valid</x:v>
      </x:c>
      <x:c r="AN630" s="12" t="str">
        <x:v>Include in completed sales</x:v>
      </x:c>
      <x:c r="AO630" s="12" t="str">
        <x:v>Not a refunded record</x:v>
      </x:c>
      <x:c r="AP630" s="37" t="n">
        <x:f>IF(LEFT($AM630,7)="Invalid","",IF($AM630="Missing discount imputed as 0",IF(AND(COUNT($O630,$P630,$R630,$S630)=4,$O630&gt;0,$P630&gt;=0,$R630&gt;=0,$S630&gt;=0),0,""),IF(AND(ISNUMBER($Q630),$Q630&gt;=0,$Q630&lt;=0.5),$Q630,"")))</x:f>
        <x:v>0.05</x:v>
      </x:c>
      <x:c r="AQ630" s="152" t="n">
        <x:f>IF(OR($W630="",NOT(ISNUMBER($R630))),"",ROUND($R630-$W630,2))</x:f>
        <x:v>0</x:v>
      </x:c>
      <x:c r="AR630" s="152" t="n">
        <x:f>IF(OR($X630="",NOT(ISNUMBER($T630))),"",ROUND($T630-$X630,2))</x:f>
        <x:v>0</x:v>
      </x:c>
      <x:c r="AS630" s="14" t="str">
        <x:v>OK</x:v>
      </x:c>
    </x:row>
    <x:row r="631">
      <x:c r="A631" s="80" t="n">
        <x:v>631</x:v>
      </x:c>
      <x:c r="B631" s="80" t="str">
        <x:v>ORD-2025-10630</x:v>
      </x:c>
      <x:c r="C631" s="81" t="n">
        <x:v>45910</x:v>
      </x:c>
      <x:c r="D631" s="81" t="n">
        <x:v>45914</x:v>
      </x:c>
      <x:c r="E631" s="80" t="str">
        <x:v>CUST-3793</x:v>
      </x:c>
      <x:c r="F631" s="80" t="str">
        <x:v>Arjun Bose</x:v>
      </x:c>
      <x:c r="G631" s="80" t="str">
        <x:v>Home Office</x:v>
      </x:c>
      <x:c r="H631" s="80" t="str">
        <x:v>West</x:v>
      </x:c>
      <x:c r="I631" s="80" t="str">
        <x:v>Gujarat</x:v>
      </x:c>
      <x:c r="J631" s="80" t="str">
        <x:v>Ahmedabad</x:v>
      </x:c>
      <x:c r="K631" s="80" t="str">
        <x:v>Furniture</x:v>
      </x:c>
      <x:c r="L631" s="80" t="str">
        <x:v>Tables</x:v>
      </x:c>
      <x:c r="M631" s="80" t="str">
        <x:v>Max Tables 908</x:v>
      </x:c>
      <x:c r="N631" s="80" t="str">
        <x:v>Same Day</x:v>
      </x:c>
      <x:c r="O631" s="82" t="n">
        <x:v>3</x:v>
      </x:c>
      <x:c r="P631" s="83" t="n">
        <x:v>4198.46</x:v>
      </x:c>
      <x:c r="Q631" s="84" t="n">
        <x:v>0.15</x:v>
      </x:c>
      <x:c r="R631" s="83" t="n">
        <x:v>10706.07</x:v>
      </x:c>
      <x:c r="S631" s="83" t="n">
        <x:v>5927.1</x:v>
      </x:c>
      <x:c r="T631" s="83" t="n">
        <x:v>4778.97</x:v>
      </x:c>
      <x:c r="U631" s="83" t="str">
        <x:v>Paid</x:v>
      </x:c>
      <x:c r="V631" s="83" t="str">
        <x:v>Completed</x:v>
      </x:c>
      <x:c r="W631" s="151" t="n">
        <x:f>IF(OR(NOT(ISNUMBER($AP631)),COUNT($O631,$P631)&lt;2,$O631&lt;=0,$P631&lt;0),"",ROUND($O631*$P631*(1-$AP631),2))</x:f>
        <x:v>10706.07</x:v>
      </x:c>
      <x:c r="X631" s="151" t="n">
        <x:f>IF(OR(NOT(ISNUMBER($W631)),NOT(ISNUMBER($S631))),"",ROUND($W631-$S631,2))</x:f>
        <x:v>4778.97</x:v>
      </x:c>
      <x:c r="Y631" s="85" t="n">
        <x:f>IF(OR(NOT(ISNUMBER($W631)),NOT(ISNUMBER($X631)),$W631=0),"",ROUND($X631/$W631,4))</x:f>
        <x:v>0.4464</x:v>
      </x:c>
      <x:c r="Z631" s="82" t="n">
        <x:f>IF(OR($AH631&lt;&gt;"Valid",$AI631&lt;&gt;"Valid"),"",INT($D631-$C631))</x:f>
        <x:v>4</x:v>
      </x:c>
      <x:c r="AA631" s="86" t="str">
        <x:f>IF($AH631&lt;&gt;"Valid","",TEXT($C631,"mmmm"))</x:f>
        <x:v>September</x:v>
      </x:c>
      <x:c r="AB631" s="82" t="n">
        <x:f>IF($AH631&lt;&gt;"Valid","",YEAR($C631))</x:f>
        <x:v>2025</x:v>
      </x:c>
      <x:c r="AC631" s="80" t="str">
        <x:v>Consistent</x:v>
      </x:c>
      <x:c r="AD631" s="80" t="str">
        <x:v>Eligible</x:v>
      </x:c>
      <x:c r="AE631" s="80" t="str">
        <x:f>IF(OR($AH631&lt;&gt;"Valid",$AI631&lt;&gt;"Valid",$AJ631&lt;&gt;"Valid",LEFT($AM631,7)="Invalid",IFERROR(ABS($AQ631)&gt;0.01,FALSE),IFERROR(ABS($AR631)&gt;0.01,FALSE),COUNTIF($AS631,"*Conflicting duplicate*")&gt;0,COUNTIF($AS631,"*Completed order not paid*")&gt;0),"Invalid",IF(OR($H631="Unknown",$N631="Unknown",$AM631="Missing discount imputed as 0"),"Warning","Clean"))</x:f>
        <x:v>Clean</x:v>
      </x:c>
      <x:c r="AF631" s="80" t="str">
        <x:v>Pass</x:v>
      </x:c>
      <x:c r="AG631" s="80" t="str">
        <x:v>No text cleanup required</x:v>
      </x:c>
      <x:c r="AH631" s="12" t="str">
        <x:f>IF(C631="","Missing date",IF(ISNUMBER(C631),"Valid","Unrecognized/invalid date"))</x:f>
        <x:v>Valid</x:v>
      </x:c>
      <x:c r="AI631" s="12" t="str">
        <x:f>IF(D631="","Missing date",IF(ISNUMBER(D631),"Valid","Unrecognized/invalid date"))</x:f>
        <x:v>Valid</x:v>
      </x:c>
      <x:c r="AJ631" s="12" t="str">
        <x:v>Valid</x:v>
      </x:c>
      <x:c r="AK631" s="12" t="str">
        <x:v>Pass</x:v>
      </x:c>
      <x:c r="AL631" s="12" t="str">
        <x:v>None</x:v>
      </x:c>
      <x:c r="AM631" s="12" t="str">
        <x:v>Valid</x:v>
      </x:c>
      <x:c r="AN631" s="12" t="str">
        <x:v>Include in completed sales</x:v>
      </x:c>
      <x:c r="AO631" s="12" t="str">
        <x:v>Not a refunded record</x:v>
      </x:c>
      <x:c r="AP631" s="37" t="n">
        <x:f>IF(LEFT($AM631,7)="Invalid","",IF($AM631="Missing discount imputed as 0",IF(AND(COUNT($O631,$P631,$R631,$S631)=4,$O631&gt;0,$P631&gt;=0,$R631&gt;=0,$S631&gt;=0),0,""),IF(AND(ISNUMBER($Q631),$Q631&gt;=0,$Q631&lt;=0.5),$Q631,"")))</x:f>
        <x:v>0.15</x:v>
      </x:c>
      <x:c r="AQ631" s="152" t="n">
        <x:f>IF(OR($W631="",NOT(ISNUMBER($R631))),"",ROUND($R631-$W631,2))</x:f>
        <x:v>0</x:v>
      </x:c>
      <x:c r="AR631" s="152" t="n">
        <x:f>IF(OR($X631="",NOT(ISNUMBER($T631))),"",ROUND($T631-$X631,2))</x:f>
        <x:v>0</x:v>
      </x:c>
      <x:c r="AS631" s="14" t="str">
        <x:v>OK</x:v>
      </x:c>
    </x:row>
    <x:row r="632">
      <x:c r="A632" s="80" t="n">
        <x:v>632</x:v>
      </x:c>
      <x:c r="B632" s="80" t="str">
        <x:v>ORD-2024-10631</x:v>
      </x:c>
      <x:c r="C632" s="81" t="n">
        <x:v>45391</x:v>
      </x:c>
      <x:c r="D632" s="81" t="n">
        <x:v>45392</x:v>
      </x:c>
      <x:c r="E632" s="80" t="str">
        <x:v>CUST-6075</x:v>
      </x:c>
      <x:c r="F632" s="80" t="str">
        <x:v>Priya Menon</x:v>
      </x:c>
      <x:c r="G632" s="80" t="str">
        <x:v>Corporate</x:v>
      </x:c>
      <x:c r="H632" s="80" t="str">
        <x:v>East</x:v>
      </x:c>
      <x:c r="I632" s="80" t="str">
        <x:v>Assam</x:v>
      </x:c>
      <x:c r="J632" s="80" t="str">
        <x:v>Guwahati</x:v>
      </x:c>
      <x:c r="K632" s="80" t="str">
        <x:v>Office Supplies</x:v>
      </x:c>
      <x:c r="L632" s="80" t="str">
        <x:v>Paper</x:v>
      </x:c>
      <x:c r="M632" s="80" t="str">
        <x:v>Elite Paper 239</x:v>
      </x:c>
      <x:c r="N632" s="80" t="str">
        <x:v>Standard Class</x:v>
      </x:c>
      <x:c r="O632" s="82" t="n">
        <x:v>4</x:v>
      </x:c>
      <x:c r="P632" s="83" t="n">
        <x:v>3047.05</x:v>
      </x:c>
      <x:c r="Q632" s="84" t="n">
        <x:v>0.1</x:v>
      </x:c>
      <x:c r="R632" s="83" t="n">
        <x:v>10969.38</x:v>
      </x:c>
      <x:c r="S632" s="83" t="n">
        <x:v>9254.46</x:v>
      </x:c>
      <x:c r="T632" s="83" t="n">
        <x:v>1714.92</x:v>
      </x:c>
      <x:c r="U632" s="83" t="str">
        <x:v>Paid</x:v>
      </x:c>
      <x:c r="V632" s="83" t="str">
        <x:v>Completed</x:v>
      </x:c>
      <x:c r="W632" s="151" t="n">
        <x:f>IF(OR(NOT(ISNUMBER($AP632)),COUNT($O632,$P632)&lt;2,$O632&lt;=0,$P632&lt;0),"",ROUND($O632*$P632*(1-$AP632),2))</x:f>
        <x:v>10969.38</x:v>
      </x:c>
      <x:c r="X632" s="151" t="n">
        <x:f>IF(OR(NOT(ISNUMBER($W632)),NOT(ISNUMBER($S632))),"",ROUND($W632-$S632,2))</x:f>
        <x:v>1714.92</x:v>
      </x:c>
      <x:c r="Y632" s="85" t="n">
        <x:f>IF(OR(NOT(ISNUMBER($W632)),NOT(ISNUMBER($X632)),$W632=0),"",ROUND($X632/$W632,4))</x:f>
        <x:v>0.1563</x:v>
      </x:c>
      <x:c r="Z632" s="82" t="n">
        <x:f>IF(OR($AH632&lt;&gt;"Valid",$AI632&lt;&gt;"Valid"),"",INT($D632-$C632))</x:f>
        <x:v>1</x:v>
      </x:c>
      <x:c r="AA632" s="86" t="str">
        <x:f>IF($AH632&lt;&gt;"Valid","",TEXT($C632,"mmmm"))</x:f>
        <x:v>April</x:v>
      </x:c>
      <x:c r="AB632" s="82" t="n">
        <x:f>IF($AH632&lt;&gt;"Valid","",YEAR($C632))</x:f>
        <x:v>2024</x:v>
      </x:c>
      <x:c r="AC632" s="80" t="str">
        <x:v>Consistent</x:v>
      </x:c>
      <x:c r="AD632" s="80" t="str">
        <x:v>Eligible</x:v>
      </x:c>
      <x:c r="AE632" s="80" t="str">
        <x:f>IF(OR($AH632&lt;&gt;"Valid",$AI632&lt;&gt;"Valid",$AJ632&lt;&gt;"Valid",LEFT($AM632,7)="Invalid",IFERROR(ABS($AQ632)&gt;0.01,FALSE),IFERROR(ABS($AR632)&gt;0.01,FALSE),COUNTIF($AS632,"*Conflicting duplicate*")&gt;0,COUNTIF($AS632,"*Completed order not paid*")&gt;0),"Invalid",IF(OR($H632="Unknown",$N632="Unknown",$AM632="Missing discount imputed as 0"),"Warning","Clean"))</x:f>
        <x:v>Clean</x:v>
      </x:c>
      <x:c r="AF632" s="80" t="str">
        <x:v>Pass</x:v>
      </x:c>
      <x:c r="AG632" s="80" t="str">
        <x:v>No text cleanup required</x:v>
      </x:c>
      <x:c r="AH632" s="12" t="str">
        <x:f>IF(C632="","Missing date",IF(ISNUMBER(C632),"Valid","Unrecognized/invalid date"))</x:f>
        <x:v>Valid</x:v>
      </x:c>
      <x:c r="AI632" s="12" t="str">
        <x:f>IF(D632="","Missing date",IF(ISNUMBER(D632),"Valid","Unrecognized/invalid date"))</x:f>
        <x:v>Valid</x:v>
      </x:c>
      <x:c r="AJ632" s="12" t="str">
        <x:v>Valid</x:v>
      </x:c>
      <x:c r="AK632" s="12" t="str">
        <x:v>Pass</x:v>
      </x:c>
      <x:c r="AL632" s="12" t="str">
        <x:v>None</x:v>
      </x:c>
      <x:c r="AM632" s="12" t="str">
        <x:v>Valid</x:v>
      </x:c>
      <x:c r="AN632" s="12" t="str">
        <x:v>Include in completed sales</x:v>
      </x:c>
      <x:c r="AO632" s="12" t="str">
        <x:v>Not a refunded record</x:v>
      </x:c>
      <x:c r="AP632" s="37" t="n">
        <x:f>IF(LEFT($AM632,7)="Invalid","",IF($AM632="Missing discount imputed as 0",IF(AND(COUNT($O632,$P632,$R632,$S632)=4,$O632&gt;0,$P632&gt;=0,$R632&gt;=0,$S632&gt;=0),0,""),IF(AND(ISNUMBER($Q632),$Q632&gt;=0,$Q632&lt;=0.5),$Q632,"")))</x:f>
        <x:v>0.1</x:v>
      </x:c>
      <x:c r="AQ632" s="152" t="n">
        <x:f>IF(OR($W632="",NOT(ISNUMBER($R632))),"",ROUND($R632-$W632,2))</x:f>
        <x:v>0</x:v>
      </x:c>
      <x:c r="AR632" s="152" t="n">
        <x:f>IF(OR($X632="",NOT(ISNUMBER($T632))),"",ROUND($T632-$X632,2))</x:f>
        <x:v>0</x:v>
      </x:c>
      <x:c r="AS632" s="14" t="str">
        <x:v>OK</x:v>
      </x:c>
    </x:row>
    <x:row r="633">
      <x:c r="A633" s="80" t="n">
        <x:v>633</x:v>
      </x:c>
      <x:c r="B633" s="80" t="str">
        <x:v>ORD-2024-10632</x:v>
      </x:c>
      <x:c r="C633" s="81" t="n">
        <x:v>45392</x:v>
      </x:c>
      <x:c r="D633" s="81" t="n">
        <x:v>45397</x:v>
      </x:c>
      <x:c r="E633" s="80" t="str">
        <x:v>CUST-6381</x:v>
      </x:c>
      <x:c r="F633" s="80" t="str">
        <x:v>Aarav Sharma</x:v>
      </x:c>
      <x:c r="G633" s="80" t="str">
        <x:v>Home Office</x:v>
      </x:c>
      <x:c r="H633" s="80" t="str">
        <x:v>West</x:v>
      </x:c>
      <x:c r="I633" s="80" t="str">
        <x:v>Rajasthan</x:v>
      </x:c>
      <x:c r="J633" s="80" t="str">
        <x:v>Udaipur</x:v>
      </x:c>
      <x:c r="K633" s="80" t="str">
        <x:v>Furniture</x:v>
      </x:c>
      <x:c r="L633" s="80" t="str">
        <x:v>Chairs</x:v>
      </x:c>
      <x:c r="M633" s="80" t="str">
        <x:v>Eco Chairs 452</x:v>
      </x:c>
      <x:c r="N633" s="80" t="str">
        <x:v>Standard Class</x:v>
      </x:c>
      <x:c r="O633" s="82" t="n">
        <x:v>8</x:v>
      </x:c>
      <x:c r="P633" s="83" t="n">
        <x:v>4362.48</x:v>
      </x:c>
      <x:c r="Q633" s="84" t="n">
        <x:v>0.1</x:v>
      </x:c>
      <x:c r="R633" s="83" t="n">
        <x:v>31409.86</x:v>
      </x:c>
      <x:c r="S633" s="83" t="n">
        <x:v>22523.54</x:v>
      </x:c>
      <x:c r="T633" s="83" t="n">
        <x:v>8886.32</x:v>
      </x:c>
      <x:c r="U633" s="83" t="str">
        <x:v>Paid</x:v>
      </x:c>
      <x:c r="V633" s="83" t="str">
        <x:v>Completed</x:v>
      </x:c>
      <x:c r="W633" s="151" t="n">
        <x:f>IF(OR(NOT(ISNUMBER($AP633)),COUNT($O633,$P633)&lt;2,$O633&lt;=0,$P633&lt;0),"",ROUND($O633*$P633*(1-$AP633),2))</x:f>
        <x:v>31409.86</x:v>
      </x:c>
      <x:c r="X633" s="151" t="n">
        <x:f>IF(OR(NOT(ISNUMBER($W633)),NOT(ISNUMBER($S633))),"",ROUND($W633-$S633,2))</x:f>
        <x:v>8886.32</x:v>
      </x:c>
      <x:c r="Y633" s="85" t="n">
        <x:f>IF(OR(NOT(ISNUMBER($W633)),NOT(ISNUMBER($X633)),$W633=0),"",ROUND($X633/$W633,4))</x:f>
        <x:v>0.2829</x:v>
      </x:c>
      <x:c r="Z633" s="82" t="n">
        <x:f>IF(OR($AH633&lt;&gt;"Valid",$AI633&lt;&gt;"Valid"),"",INT($D633-$C633))</x:f>
        <x:v>5</x:v>
      </x:c>
      <x:c r="AA633" s="86" t="str">
        <x:f>IF($AH633&lt;&gt;"Valid","",TEXT($C633,"mmmm"))</x:f>
        <x:v>April</x:v>
      </x:c>
      <x:c r="AB633" s="82" t="n">
        <x:f>IF($AH633&lt;&gt;"Valid","",YEAR($C633))</x:f>
        <x:v>2024</x:v>
      </x:c>
      <x:c r="AC633" s="80" t="str">
        <x:v>Consistent</x:v>
      </x:c>
      <x:c r="AD633" s="80" t="str">
        <x:v>Eligible</x:v>
      </x:c>
      <x:c r="AE633" s="80" t="str">
        <x:f>IF(OR($AH633&lt;&gt;"Valid",$AI633&lt;&gt;"Valid",$AJ633&lt;&gt;"Valid",LEFT($AM633,7)="Invalid",IFERROR(ABS($AQ633)&gt;0.01,FALSE),IFERROR(ABS($AR633)&gt;0.01,FALSE),COUNTIF($AS633,"*Conflicting duplicate*")&gt;0,COUNTIF($AS633,"*Completed order not paid*")&gt;0),"Invalid",IF(OR($H633="Unknown",$N633="Unknown",$AM633="Missing discount imputed as 0"),"Warning","Clean"))</x:f>
        <x:v>Clean</x:v>
      </x:c>
      <x:c r="AF633" s="80" t="str">
        <x:v>Pass</x:v>
      </x:c>
      <x:c r="AG633" s="80" t="str">
        <x:v>No text cleanup required</x:v>
      </x:c>
      <x:c r="AH633" s="12" t="str">
        <x:f>IF(C633="","Missing date",IF(ISNUMBER(C633),"Valid","Unrecognized/invalid date"))</x:f>
        <x:v>Valid</x:v>
      </x:c>
      <x:c r="AI633" s="12" t="str">
        <x:f>IF(D633="","Missing date",IF(ISNUMBER(D633),"Valid","Unrecognized/invalid date"))</x:f>
        <x:v>Valid</x:v>
      </x:c>
      <x:c r="AJ633" s="12" t="str">
        <x:v>Valid</x:v>
      </x:c>
      <x:c r="AK633" s="12" t="str">
        <x:v>Pass</x:v>
      </x:c>
      <x:c r="AL633" s="12" t="str">
        <x:v>None</x:v>
      </x:c>
      <x:c r="AM633" s="12" t="str">
        <x:v>Valid</x:v>
      </x:c>
      <x:c r="AN633" s="12" t="str">
        <x:v>Include in completed sales</x:v>
      </x:c>
      <x:c r="AO633" s="12" t="str">
        <x:v>Not a refunded record</x:v>
      </x:c>
      <x:c r="AP633" s="37" t="n">
        <x:f>IF(LEFT($AM633,7)="Invalid","",IF($AM633="Missing discount imputed as 0",IF(AND(COUNT($O633,$P633,$R633,$S633)=4,$O633&gt;0,$P633&gt;=0,$R633&gt;=0,$S633&gt;=0),0,""),IF(AND(ISNUMBER($Q633),$Q633&gt;=0,$Q633&lt;=0.5),$Q633,"")))</x:f>
        <x:v>0.1</x:v>
      </x:c>
      <x:c r="AQ633" s="152" t="n">
        <x:f>IF(OR($W633="",NOT(ISNUMBER($R633))),"",ROUND($R633-$W633,2))</x:f>
        <x:v>0</x:v>
      </x:c>
      <x:c r="AR633" s="152" t="n">
        <x:f>IF(OR($X633="",NOT(ISNUMBER($T633))),"",ROUND($T633-$X633,2))</x:f>
        <x:v>0</x:v>
      </x:c>
      <x:c r="AS633" s="14" t="str">
        <x:v>OK</x:v>
      </x:c>
    </x:row>
    <x:row r="634">
      <x:c r="A634" s="80" t="n">
        <x:v>634</x:v>
      </x:c>
      <x:c r="B634" s="80" t="str">
        <x:v>ORD-2025-10633</x:v>
      </x:c>
      <x:c r="C634" s="81" t="n">
        <x:v>45762</x:v>
      </x:c>
      <x:c r="D634" s="81" t="n">
        <x:v>45763</x:v>
      </x:c>
      <x:c r="E634" s="80" t="str">
        <x:v>CUST-4593</x:v>
      </x:c>
      <x:c r="F634" s="80" t="str">
        <x:v>Sneha Kapoor</x:v>
      </x:c>
      <x:c r="G634" s="80" t="str">
        <x:v>Small Business</x:v>
      </x:c>
      <x:c r="H634" s="80" t="str">
        <x:v>South</x:v>
      </x:c>
      <x:c r="I634" s="80" t="str">
        <x:v>Karnataka</x:v>
      </x:c>
      <x:c r="J634" s="80" t="str">
        <x:v>Bengaluru</x:v>
      </x:c>
      <x:c r="K634" s="80" t="str">
        <x:v>Furniture</x:v>
      </x:c>
      <x:c r="L634" s="80" t="str">
        <x:v>Furnishings</x:v>
      </x:c>
      <x:c r="M634" s="80" t="str">
        <x:v>Smart Furnishings 721</x:v>
      </x:c>
      <x:c r="N634" s="80" t="str">
        <x:v>First Class</x:v>
      </x:c>
      <x:c r="O634" s="82" t="n">
        <x:v>5</x:v>
      </x:c>
      <x:c r="P634" s="83" t="n">
        <x:v>2850.53</x:v>
      </x:c>
      <x:c r="Q634" s="84" t="n">
        <x:v>0</x:v>
      </x:c>
      <x:c r="R634" s="83" t="n">
        <x:v>14252.65</x:v>
      </x:c>
      <x:c r="S634" s="83" t="n">
        <x:v>11558.31</x:v>
      </x:c>
      <x:c r="T634" s="83" t="n">
        <x:v>2694.34</x:v>
      </x:c>
      <x:c r="U634" s="83" t="str">
        <x:v>Paid</x:v>
      </x:c>
      <x:c r="V634" s="83" t="str">
        <x:v>Completed</x:v>
      </x:c>
      <x:c r="W634" s="151" t="n">
        <x:f>IF(OR(NOT(ISNUMBER($AP634)),COUNT($O634,$P634)&lt;2,$O634&lt;=0,$P634&lt;0),"",ROUND($O634*$P634*(1-$AP634),2))</x:f>
        <x:v>14252.65</x:v>
      </x:c>
      <x:c r="X634" s="151" t="n">
        <x:f>IF(OR(NOT(ISNUMBER($W634)),NOT(ISNUMBER($S634))),"",ROUND($W634-$S634,2))</x:f>
        <x:v>2694.34</x:v>
      </x:c>
      <x:c r="Y634" s="85" t="n">
        <x:f>IF(OR(NOT(ISNUMBER($W634)),NOT(ISNUMBER($X634)),$W634=0),"",ROUND($X634/$W634,4))</x:f>
        <x:v>0.189</x:v>
      </x:c>
      <x:c r="Z634" s="82" t="n">
        <x:f>IF(OR($AH634&lt;&gt;"Valid",$AI634&lt;&gt;"Valid"),"",INT($D634-$C634))</x:f>
        <x:v>1</x:v>
      </x:c>
      <x:c r="AA634" s="86" t="str">
        <x:f>IF($AH634&lt;&gt;"Valid","",TEXT($C634,"mmmm"))</x:f>
        <x:v>April</x:v>
      </x:c>
      <x:c r="AB634" s="82" t="n">
        <x:f>IF($AH634&lt;&gt;"Valid","",YEAR($C634))</x:f>
        <x:v>2025</x:v>
      </x:c>
      <x:c r="AC634" s="80" t="str">
        <x:v>Consistent</x:v>
      </x:c>
      <x:c r="AD634" s="80" t="str">
        <x:v>Eligible</x:v>
      </x:c>
      <x:c r="AE634" s="80" t="str">
        <x:f>IF(OR($AH634&lt;&gt;"Valid",$AI634&lt;&gt;"Valid",$AJ634&lt;&gt;"Valid",LEFT($AM634,7)="Invalid",IFERROR(ABS($AQ634)&gt;0.01,FALSE),IFERROR(ABS($AR634)&gt;0.01,FALSE),COUNTIF($AS634,"*Conflicting duplicate*")&gt;0,COUNTIF($AS634,"*Completed order not paid*")&gt;0),"Invalid",IF(OR($H634="Unknown",$N634="Unknown",$AM634="Missing discount imputed as 0"),"Warning","Clean"))</x:f>
        <x:v>Clean</x:v>
      </x:c>
      <x:c r="AF634" s="80" t="str">
        <x:v>Pass</x:v>
      </x:c>
      <x:c r="AG634" s="80" t="str">
        <x:v>No text cleanup required</x:v>
      </x:c>
      <x:c r="AH634" s="12" t="str">
        <x:f>IF(C634="","Missing date",IF(ISNUMBER(C634),"Valid","Unrecognized/invalid date"))</x:f>
        <x:v>Valid</x:v>
      </x:c>
      <x:c r="AI634" s="12" t="str">
        <x:f>IF(D634="","Missing date",IF(ISNUMBER(D634),"Valid","Unrecognized/invalid date"))</x:f>
        <x:v>Valid</x:v>
      </x:c>
      <x:c r="AJ634" s="12" t="str">
        <x:v>Valid</x:v>
      </x:c>
      <x:c r="AK634" s="12" t="str">
        <x:v>Pass</x:v>
      </x:c>
      <x:c r="AL634" s="12" t="str">
        <x:v>None</x:v>
      </x:c>
      <x:c r="AM634" s="12" t="str">
        <x:v>Valid</x:v>
      </x:c>
      <x:c r="AN634" s="12" t="str">
        <x:v>Include in completed sales</x:v>
      </x:c>
      <x:c r="AO634" s="12" t="str">
        <x:v>Not a refunded record</x:v>
      </x:c>
      <x:c r="AP634" s="37" t="n">
        <x:f>IF(LEFT($AM634,7)="Invalid","",IF($AM634="Missing discount imputed as 0",IF(AND(COUNT($O634,$P634,$R634,$S634)=4,$O634&gt;0,$P634&gt;=0,$R634&gt;=0,$S634&gt;=0),0,""),IF(AND(ISNUMBER($Q634),$Q634&gt;=0,$Q634&lt;=0.5),$Q634,"")))</x:f>
        <x:v>0</x:v>
      </x:c>
      <x:c r="AQ634" s="152" t="n">
        <x:f>IF(OR($W634="",NOT(ISNUMBER($R634))),"",ROUND($R634-$W634,2))</x:f>
        <x:v>0</x:v>
      </x:c>
      <x:c r="AR634" s="152" t="n">
        <x:f>IF(OR($X634="",NOT(ISNUMBER($T634))),"",ROUND($T634-$X634,2))</x:f>
        <x:v>0</x:v>
      </x:c>
      <x:c r="AS634" s="14" t="str">
        <x:v>OK</x:v>
      </x:c>
    </x:row>
    <x:row r="635">
      <x:c r="A635" s="80" t="n">
        <x:v>635</x:v>
      </x:c>
      <x:c r="B635" s="80" t="str">
        <x:v>ORD-2025-10634</x:v>
      </x:c>
      <x:c r="C635" s="81" t="n">
        <x:v>45765</x:v>
      </x:c>
      <x:c r="D635" s="81" t="n">
        <x:v>45767</x:v>
      </x:c>
      <x:c r="E635" s="80" t="str">
        <x:v>CUST-5043</x:v>
      </x:c>
      <x:c r="F635" s="80" t="str">
        <x:v>Aarav Sharma</x:v>
      </x:c>
      <x:c r="G635" s="80" t="str">
        <x:v>Small Business</x:v>
      </x:c>
      <x:c r="H635" s="80" t="str">
        <x:v>South</x:v>
      </x:c>
      <x:c r="I635" s="80" t="str">
        <x:v>Tamil Nadu</x:v>
      </x:c>
      <x:c r="J635" s="80" t="str">
        <x:v>Chennai</x:v>
      </x:c>
      <x:c r="K635" s="80" t="str">
        <x:v>Technology</x:v>
      </x:c>
      <x:c r="L635" s="80" t="str">
        <x:v>Accessories</x:v>
      </x:c>
      <x:c r="M635" s="80" t="str">
        <x:v>Basic Accessories 729</x:v>
      </x:c>
      <x:c r="N635" s="80" t="str">
        <x:v>Second Class</x:v>
      </x:c>
      <x:c r="O635" s="82" t="n">
        <x:v>1</x:v>
      </x:c>
      <x:c r="P635" s="83" t="n">
        <x:v>1626.08</x:v>
      </x:c>
      <x:c r="Q635" s="84" t="n">
        <x:v>0.15</x:v>
      </x:c>
      <x:c r="R635" s="83" t="n">
        <x:v>1382.17</x:v>
      </x:c>
      <x:c r="S635" s="83" t="n">
        <x:v>810.03</x:v>
      </x:c>
      <x:c r="T635" s="83" t="n">
        <x:v>572.14</x:v>
      </x:c>
      <x:c r="U635" s="83" t="str">
        <x:v>Paid</x:v>
      </x:c>
      <x:c r="V635" s="83" t="str">
        <x:v>Completed</x:v>
      </x:c>
      <x:c r="W635" s="151" t="n">
        <x:f>IF(OR(NOT(ISNUMBER($AP635)),COUNT($O635,$P635)&lt;2,$O635&lt;=0,$P635&lt;0),"",ROUND($O635*$P635*(1-$AP635),2))</x:f>
        <x:v>1382.17</x:v>
      </x:c>
      <x:c r="X635" s="151" t="n">
        <x:f>IF(OR(NOT(ISNUMBER($W635)),NOT(ISNUMBER($S635))),"",ROUND($W635-$S635,2))</x:f>
        <x:v>572.14</x:v>
      </x:c>
      <x:c r="Y635" s="85" t="n">
        <x:f>IF(OR(NOT(ISNUMBER($W635)),NOT(ISNUMBER($X635)),$W635=0),"",ROUND($X635/$W635,4))</x:f>
        <x:v>0.4139</x:v>
      </x:c>
      <x:c r="Z635" s="82" t="n">
        <x:f>IF(OR($AH635&lt;&gt;"Valid",$AI635&lt;&gt;"Valid"),"",INT($D635-$C635))</x:f>
        <x:v>2</x:v>
      </x:c>
      <x:c r="AA635" s="86" t="str">
        <x:f>IF($AH635&lt;&gt;"Valid","",TEXT($C635,"mmmm"))</x:f>
        <x:v>April</x:v>
      </x:c>
      <x:c r="AB635" s="82" t="n">
        <x:f>IF($AH635&lt;&gt;"Valid","",YEAR($C635))</x:f>
        <x:v>2025</x:v>
      </x:c>
      <x:c r="AC635" s="80" t="str">
        <x:v>Consistent</x:v>
      </x:c>
      <x:c r="AD635" s="80" t="str">
        <x:v>Eligible</x:v>
      </x:c>
      <x:c r="AE635" s="80" t="str">
        <x:f>IF(OR($AH635&lt;&gt;"Valid",$AI635&lt;&gt;"Valid",$AJ635&lt;&gt;"Valid",LEFT($AM635,7)="Invalid",IFERROR(ABS($AQ635)&gt;0.01,FALSE),IFERROR(ABS($AR635)&gt;0.01,FALSE),COUNTIF($AS635,"*Conflicting duplicate*")&gt;0,COUNTIF($AS635,"*Completed order not paid*")&gt;0),"Invalid",IF(OR($H635="Unknown",$N635="Unknown",$AM635="Missing discount imputed as 0"),"Warning","Clean"))</x:f>
        <x:v>Clean</x:v>
      </x:c>
      <x:c r="AF635" s="80" t="str">
        <x:v>Pass</x:v>
      </x:c>
      <x:c r="AG635" s="80" t="str">
        <x:v>No text cleanup required</x:v>
      </x:c>
      <x:c r="AH635" s="12" t="str">
        <x:f>IF(C635="","Missing date",IF(ISNUMBER(C635),"Valid","Unrecognized/invalid date"))</x:f>
        <x:v>Valid</x:v>
      </x:c>
      <x:c r="AI635" s="12" t="str">
        <x:f>IF(D635="","Missing date",IF(ISNUMBER(D635),"Valid","Unrecognized/invalid date"))</x:f>
        <x:v>Valid</x:v>
      </x:c>
      <x:c r="AJ635" s="12" t="str">
        <x:v>Valid</x:v>
      </x:c>
      <x:c r="AK635" s="12" t="str">
        <x:v>Pass</x:v>
      </x:c>
      <x:c r="AL635" s="12" t="str">
        <x:v>None</x:v>
      </x:c>
      <x:c r="AM635" s="12" t="str">
        <x:v>Valid</x:v>
      </x:c>
      <x:c r="AN635" s="12" t="str">
        <x:v>Include in completed sales</x:v>
      </x:c>
      <x:c r="AO635" s="12" t="str">
        <x:v>Not a refunded record</x:v>
      </x:c>
      <x:c r="AP635" s="37" t="n">
        <x:f>IF(LEFT($AM635,7)="Invalid","",IF($AM635="Missing discount imputed as 0",IF(AND(COUNT($O635,$P635,$R635,$S635)=4,$O635&gt;0,$P635&gt;=0,$R635&gt;=0,$S635&gt;=0),0,""),IF(AND(ISNUMBER($Q635),$Q635&gt;=0,$Q635&lt;=0.5),$Q635,"")))</x:f>
        <x:v>0.15</x:v>
      </x:c>
      <x:c r="AQ635" s="152" t="n">
        <x:f>IF(OR($W635="",NOT(ISNUMBER($R635))),"",ROUND($R635-$W635,2))</x:f>
        <x:v>0</x:v>
      </x:c>
      <x:c r="AR635" s="152" t="n">
        <x:f>IF(OR($X635="",NOT(ISNUMBER($T635))),"",ROUND($T635-$X635,2))</x:f>
        <x:v>0</x:v>
      </x:c>
      <x:c r="AS635" s="14" t="str">
        <x:v>OK</x:v>
      </x:c>
    </x:row>
    <x:row r="636">
      <x:c r="A636" s="80" t="n">
        <x:v>636</x:v>
      </x:c>
      <x:c r="B636" s="80" t="str">
        <x:v>ORD-2025-10635</x:v>
      </x:c>
      <x:c r="C636" s="81" t="n">
        <x:v>45668</x:v>
      </x:c>
      <x:c r="D636" s="81" t="n">
        <x:v>45669</x:v>
      </x:c>
      <x:c r="E636" s="80" t="str">
        <x:v>CUST-4722</x:v>
      </x:c>
      <x:c r="F636" s="80" t="str">
        <x:v>Aditi Sen</x:v>
      </x:c>
      <x:c r="G636" s="80" t="str">
        <x:v>Consumer</x:v>
      </x:c>
      <x:c r="H636" s="80" t="str">
        <x:v>South</x:v>
      </x:c>
      <x:c r="I636" s="80" t="str">
        <x:v>Telangana</x:v>
      </x:c>
      <x:c r="J636" s="80" t="str">
        <x:v>Hyderabad</x:v>
      </x:c>
      <x:c r="K636" s="80" t="str">
        <x:v>Furniture</x:v>
      </x:c>
      <x:c r="L636" s="80" t="str">
        <x:v>Chairs</x:v>
      </x:c>
      <x:c r="M636" s="80" t="str">
        <x:v>Classic Chairs 220</x:v>
      </x:c>
      <x:c r="N636" s="80" t="str">
        <x:v>Second Class</x:v>
      </x:c>
      <x:c r="O636" s="82" t="n">
        <x:v>4</x:v>
      </x:c>
      <x:c r="P636" s="83" t="n">
        <x:v>2427.15</x:v>
      </x:c>
      <x:c r="Q636" s="84" t="n">
        <x:v>0.05</x:v>
      </x:c>
      <x:c r="R636" s="83" t="n">
        <x:v>9223.17</x:v>
      </x:c>
      <x:c r="S636" s="83" t="n">
        <x:v>5103.7</x:v>
      </x:c>
      <x:c r="T636" s="83" t="n">
        <x:v>4119.47</x:v>
      </x:c>
      <x:c r="U636" s="83" t="str">
        <x:v>Paid</x:v>
      </x:c>
      <x:c r="V636" s="83" t="str">
        <x:v>Completed</x:v>
      </x:c>
      <x:c r="W636" s="151" t="n">
        <x:f>IF(OR(NOT(ISNUMBER($AP636)),COUNT($O636,$P636)&lt;2,$O636&lt;=0,$P636&lt;0),"",ROUND($O636*$P636*(1-$AP636),2))</x:f>
        <x:v>9223.17</x:v>
      </x:c>
      <x:c r="X636" s="151" t="n">
        <x:f>IF(OR(NOT(ISNUMBER($W636)),NOT(ISNUMBER($S636))),"",ROUND($W636-$S636,2))</x:f>
        <x:v>4119.47</x:v>
      </x:c>
      <x:c r="Y636" s="85" t="n">
        <x:f>IF(OR(NOT(ISNUMBER($W636)),NOT(ISNUMBER($X636)),$W636=0),"",ROUND($X636/$W636,4))</x:f>
        <x:v>0.4466</x:v>
      </x:c>
      <x:c r="Z636" s="82" t="n">
        <x:f>IF(OR($AH636&lt;&gt;"Valid",$AI636&lt;&gt;"Valid"),"",INT($D636-$C636))</x:f>
        <x:v>1</x:v>
      </x:c>
      <x:c r="AA636" s="86" t="str">
        <x:f>IF($AH636&lt;&gt;"Valid","",TEXT($C636,"mmmm"))</x:f>
        <x:v>January</x:v>
      </x:c>
      <x:c r="AB636" s="82" t="n">
        <x:f>IF($AH636&lt;&gt;"Valid","",YEAR($C636))</x:f>
        <x:v>2025</x:v>
      </x:c>
      <x:c r="AC636" s="80" t="str">
        <x:v>Consistent</x:v>
      </x:c>
      <x:c r="AD636" s="80" t="str">
        <x:v>Eligible</x:v>
      </x:c>
      <x:c r="AE636" s="80" t="str">
        <x:f>IF(OR($AH636&lt;&gt;"Valid",$AI636&lt;&gt;"Valid",$AJ636&lt;&gt;"Valid",LEFT($AM636,7)="Invalid",IFERROR(ABS($AQ636)&gt;0.01,FALSE),IFERROR(ABS($AR636)&gt;0.01,FALSE),COUNTIF($AS636,"*Conflicting duplicate*")&gt;0,COUNTIF($AS636,"*Completed order not paid*")&gt;0),"Invalid",IF(OR($H636="Unknown",$N636="Unknown",$AM636="Missing discount imputed as 0"),"Warning","Clean"))</x:f>
        <x:v>Clean</x:v>
      </x:c>
      <x:c r="AF636" s="80" t="str">
        <x:v>Pass</x:v>
      </x:c>
      <x:c r="AG636" s="80" t="str">
        <x:v>No text cleanup required</x:v>
      </x:c>
      <x:c r="AH636" s="12" t="str">
        <x:f>IF(C636="","Missing date",IF(ISNUMBER(C636),"Valid","Unrecognized/invalid date"))</x:f>
        <x:v>Valid</x:v>
      </x:c>
      <x:c r="AI636" s="12" t="str">
        <x:f>IF(D636="","Missing date",IF(ISNUMBER(D636),"Valid","Unrecognized/invalid date"))</x:f>
        <x:v>Valid</x:v>
      </x:c>
      <x:c r="AJ636" s="12" t="str">
        <x:v>Valid</x:v>
      </x:c>
      <x:c r="AK636" s="12" t="str">
        <x:v>Pass</x:v>
      </x:c>
      <x:c r="AL636" s="12" t="str">
        <x:v>None</x:v>
      </x:c>
      <x:c r="AM636" s="12" t="str">
        <x:v>Valid</x:v>
      </x:c>
      <x:c r="AN636" s="12" t="str">
        <x:v>Include in completed sales</x:v>
      </x:c>
      <x:c r="AO636" s="12" t="str">
        <x:v>Not a refunded record</x:v>
      </x:c>
      <x:c r="AP636" s="37" t="n">
        <x:f>IF(LEFT($AM636,7)="Invalid","",IF($AM636="Missing discount imputed as 0",IF(AND(COUNT($O636,$P636,$R636,$S636)=4,$O636&gt;0,$P636&gt;=0,$R636&gt;=0,$S636&gt;=0),0,""),IF(AND(ISNUMBER($Q636),$Q636&gt;=0,$Q636&lt;=0.5),$Q636,"")))</x:f>
        <x:v>0.05</x:v>
      </x:c>
      <x:c r="AQ636" s="152" t="n">
        <x:f>IF(OR($W636="",NOT(ISNUMBER($R636))),"",ROUND($R636-$W636,2))</x:f>
        <x:v>0</x:v>
      </x:c>
      <x:c r="AR636" s="152" t="n">
        <x:f>IF(OR($X636="",NOT(ISNUMBER($T636))),"",ROUND($T636-$X636,2))</x:f>
        <x:v>0</x:v>
      </x:c>
      <x:c r="AS636" s="14" t="str">
        <x:v>OK</x:v>
      </x:c>
    </x:row>
    <x:row r="637">
      <x:c r="A637" s="80" t="n">
        <x:v>637</x:v>
      </x:c>
      <x:c r="B637" s="80" t="str">
        <x:v>ORD-2024-10636</x:v>
      </x:c>
      <x:c r="C637" s="81" t="n">
        <x:v>45432</x:v>
      </x:c>
      <x:c r="D637" s="81" t="n">
        <x:v>45437</x:v>
      </x:c>
      <x:c r="E637" s="80" t="str">
        <x:v>CUST-7931</x:v>
      </x:c>
      <x:c r="F637" s="80" t="str">
        <x:v>Mira Das</x:v>
      </x:c>
      <x:c r="G637" s="80" t="str">
        <x:v>Corporate</x:v>
      </x:c>
      <x:c r="H637" s="80" t="str">
        <x:v>South</x:v>
      </x:c>
      <x:c r="I637" s="80" t="str">
        <x:v>Andhra Pradesh</x:v>
      </x:c>
      <x:c r="J637" s="80" t="str">
        <x:v>Vijayawada</x:v>
      </x:c>
      <x:c r="K637" s="80" t="str">
        <x:v>Furniture</x:v>
      </x:c>
      <x:c r="L637" s="80" t="str">
        <x:v>Chairs</x:v>
      </x:c>
      <x:c r="M637" s="80" t="str">
        <x:v>Max Chairs 305</x:v>
      </x:c>
      <x:c r="N637" s="80" t="str">
        <x:v>Same Day</x:v>
      </x:c>
      <x:c r="O637" s="82" t="n">
        <x:v>7</x:v>
      </x:c>
      <x:c r="P637" s="83" t="n">
        <x:v>3122.85</x:v>
      </x:c>
      <x:c r="Q637" s="84" t="n">
        <x:v>0.25</x:v>
      </x:c>
      <x:c r="R637" s="83" t="n">
        <x:v>16394.96</x:v>
      </x:c>
      <x:c r="S637" s="83" t="n">
        <x:v>10404.17</x:v>
      </x:c>
      <x:c r="T637" s="83" t="n">
        <x:v>5990.79</x:v>
      </x:c>
      <x:c r="U637" s="83" t="str">
        <x:v>Paid</x:v>
      </x:c>
      <x:c r="V637" s="83" t="str">
        <x:v>Completed</x:v>
      </x:c>
      <x:c r="W637" s="151" t="n">
        <x:f>IF(OR(NOT(ISNUMBER($AP637)),COUNT($O637,$P637)&lt;2,$O637&lt;=0,$P637&lt;0),"",ROUND($O637*$P637*(1-$AP637),2))</x:f>
        <x:v>16394.96</x:v>
      </x:c>
      <x:c r="X637" s="151" t="n">
        <x:f>IF(OR(NOT(ISNUMBER($W637)),NOT(ISNUMBER($S637))),"",ROUND($W637-$S637,2))</x:f>
        <x:v>5990.79</x:v>
      </x:c>
      <x:c r="Y637" s="85" t="n">
        <x:f>IF(OR(NOT(ISNUMBER($W637)),NOT(ISNUMBER($X637)),$W637=0),"",ROUND($X637/$W637,4))</x:f>
        <x:v>0.3654</x:v>
      </x:c>
      <x:c r="Z637" s="82" t="n">
        <x:f>IF(OR($AH637&lt;&gt;"Valid",$AI637&lt;&gt;"Valid"),"",INT($D637-$C637))</x:f>
        <x:v>5</x:v>
      </x:c>
      <x:c r="AA637" s="86" t="str">
        <x:f>IF($AH637&lt;&gt;"Valid","",TEXT($C637,"mmmm"))</x:f>
        <x:v>May</x:v>
      </x:c>
      <x:c r="AB637" s="82" t="n">
        <x:f>IF($AH637&lt;&gt;"Valid","",YEAR($C637))</x:f>
        <x:v>2024</x:v>
      </x:c>
      <x:c r="AC637" s="80" t="str">
        <x:v>Consistent</x:v>
      </x:c>
      <x:c r="AD637" s="80" t="str">
        <x:v>Eligible</x:v>
      </x:c>
      <x:c r="AE637" s="80" t="str">
        <x:f>IF(OR($AH637&lt;&gt;"Valid",$AI637&lt;&gt;"Valid",$AJ637&lt;&gt;"Valid",LEFT($AM637,7)="Invalid",IFERROR(ABS($AQ637)&gt;0.01,FALSE),IFERROR(ABS($AR637)&gt;0.01,FALSE),COUNTIF($AS637,"*Conflicting duplicate*")&gt;0,COUNTIF($AS637,"*Completed order not paid*")&gt;0),"Invalid",IF(OR($H637="Unknown",$N637="Unknown",$AM637="Missing discount imputed as 0"),"Warning","Clean"))</x:f>
        <x:v>Clean</x:v>
      </x:c>
      <x:c r="AF637" s="80" t="str">
        <x:v>Pass</x:v>
      </x:c>
      <x:c r="AG637" s="80" t="str">
        <x:v>No text cleanup required</x:v>
      </x:c>
      <x:c r="AH637" s="12" t="str">
        <x:f>IF(C637="","Missing date",IF(ISNUMBER(C637),"Valid","Unrecognized/invalid date"))</x:f>
        <x:v>Valid</x:v>
      </x:c>
      <x:c r="AI637" s="12" t="str">
        <x:f>IF(D637="","Missing date",IF(ISNUMBER(D637),"Valid","Unrecognized/invalid date"))</x:f>
        <x:v>Valid</x:v>
      </x:c>
      <x:c r="AJ637" s="12" t="str">
        <x:v>Valid</x:v>
      </x:c>
      <x:c r="AK637" s="12" t="str">
        <x:v>Pass</x:v>
      </x:c>
      <x:c r="AL637" s="12" t="str">
        <x:v>None</x:v>
      </x:c>
      <x:c r="AM637" s="12" t="str">
        <x:v>Valid</x:v>
      </x:c>
      <x:c r="AN637" s="12" t="str">
        <x:v>Include in completed sales</x:v>
      </x:c>
      <x:c r="AO637" s="12" t="str">
        <x:v>Not a refunded record</x:v>
      </x:c>
      <x:c r="AP637" s="37" t="n">
        <x:f>IF(LEFT($AM637,7)="Invalid","",IF($AM637="Missing discount imputed as 0",IF(AND(COUNT($O637,$P637,$R637,$S637)=4,$O637&gt;0,$P637&gt;=0,$R637&gt;=0,$S637&gt;=0),0,""),IF(AND(ISNUMBER($Q637),$Q637&gt;=0,$Q637&lt;=0.5),$Q637,"")))</x:f>
        <x:v>0.25</x:v>
      </x:c>
      <x:c r="AQ637" s="152" t="n">
        <x:f>IF(OR($W637="",NOT(ISNUMBER($R637))),"",ROUND($R637-$W637,2))</x:f>
        <x:v>0</x:v>
      </x:c>
      <x:c r="AR637" s="152" t="n">
        <x:f>IF(OR($X637="",NOT(ISNUMBER($T637))),"",ROUND($T637-$X637,2))</x:f>
        <x:v>0</x:v>
      </x:c>
      <x:c r="AS637" s="14" t="str">
        <x:v>OK</x:v>
      </x:c>
    </x:row>
    <x:row r="638">
      <x:c r="A638" s="80" t="n">
        <x:v>638</x:v>
      </x:c>
      <x:c r="B638" s="80" t="str">
        <x:v>ORD-2024-10637</x:v>
      </x:c>
      <x:c r="C638" s="81" t="n">
        <x:v>45567</x:v>
      </x:c>
      <x:c r="D638" s="81" t="n">
        <x:v>45574</x:v>
      </x:c>
      <x:c r="E638" s="80" t="str">
        <x:v>CUST-7221</x:v>
      </x:c>
      <x:c r="F638" s="80" t="str">
        <x:v>Ananya Rao</x:v>
      </x:c>
      <x:c r="G638" s="80" t="str">
        <x:v>Consumer</x:v>
      </x:c>
      <x:c r="H638" s="80" t="str">
        <x:v>South</x:v>
      </x:c>
      <x:c r="I638" s="80" t="str">
        <x:v>Tamil Nadu</x:v>
      </x:c>
      <x:c r="J638" s="80" t="str">
        <x:v>Chennai</x:v>
      </x:c>
      <x:c r="K638" s="80" t="str">
        <x:v>Office Supplies</x:v>
      </x:c>
      <x:c r="L638" s="80" t="str">
        <x:v>Paper</x:v>
      </x:c>
      <x:c r="M638" s="80" t="str">
        <x:v>Smart Paper 872</x:v>
      </x:c>
      <x:c r="N638" s="80" t="str">
        <x:v>Standard Class</x:v>
      </x:c>
      <x:c r="O638" s="82" t="n">
        <x:v>8</x:v>
      </x:c>
      <x:c r="P638" s="83" t="n">
        <x:v>1910.31</x:v>
      </x:c>
      <x:c r="Q638" s="84" t="n">
        <x:v>0.15</x:v>
      </x:c>
      <x:c r="R638" s="83" t="n">
        <x:v>12990.11</x:v>
      </x:c>
      <x:c r="S638" s="83" t="n">
        <x:v>10200.8</x:v>
      </x:c>
      <x:c r="T638" s="83" t="n">
        <x:v>2789.31</x:v>
      </x:c>
      <x:c r="U638" s="83" t="str">
        <x:v>Paid</x:v>
      </x:c>
      <x:c r="V638" s="83" t="str">
        <x:v>Completed</x:v>
      </x:c>
      <x:c r="W638" s="151" t="n">
        <x:f>IF(OR(NOT(ISNUMBER($AP638)),COUNT($O638,$P638)&lt;2,$O638&lt;=0,$P638&lt;0),"",ROUND($O638*$P638*(1-$AP638),2))</x:f>
        <x:v>12990.11</x:v>
      </x:c>
      <x:c r="X638" s="151" t="n">
        <x:f>IF(OR(NOT(ISNUMBER($W638)),NOT(ISNUMBER($S638))),"",ROUND($W638-$S638,2))</x:f>
        <x:v>2789.31</x:v>
      </x:c>
      <x:c r="Y638" s="85" t="n">
        <x:f>IF(OR(NOT(ISNUMBER($W638)),NOT(ISNUMBER($X638)),$W638=0),"",ROUND($X638/$W638,4))</x:f>
        <x:v>0.2147</x:v>
      </x:c>
      <x:c r="Z638" s="82" t="n">
        <x:f>IF(OR($AH638&lt;&gt;"Valid",$AI638&lt;&gt;"Valid"),"",INT($D638-$C638))</x:f>
        <x:v>7</x:v>
      </x:c>
      <x:c r="AA638" s="86" t="str">
        <x:f>IF($AH638&lt;&gt;"Valid","",TEXT($C638,"mmmm"))</x:f>
        <x:v>October</x:v>
      </x:c>
      <x:c r="AB638" s="82" t="n">
        <x:f>IF($AH638&lt;&gt;"Valid","",YEAR($C638))</x:f>
        <x:v>2024</x:v>
      </x:c>
      <x:c r="AC638" s="80" t="str">
        <x:v>Consistent</x:v>
      </x:c>
      <x:c r="AD638" s="80" t="str">
        <x:v>Eligible</x:v>
      </x:c>
      <x:c r="AE638" s="80" t="str">
        <x:f>IF(OR($AH638&lt;&gt;"Valid",$AI638&lt;&gt;"Valid",$AJ638&lt;&gt;"Valid",LEFT($AM638,7)="Invalid",IFERROR(ABS($AQ638)&gt;0.01,FALSE),IFERROR(ABS($AR638)&gt;0.01,FALSE),COUNTIF($AS638,"*Conflicting duplicate*")&gt;0,COUNTIF($AS638,"*Completed order not paid*")&gt;0),"Invalid",IF(OR($H638="Unknown",$N638="Unknown",$AM638="Missing discount imputed as 0"),"Warning","Clean"))</x:f>
        <x:v>Clean</x:v>
      </x:c>
      <x:c r="AF638" s="80" t="str">
        <x:v>Pass</x:v>
      </x:c>
      <x:c r="AG638" s="80" t="str">
        <x:v>No text cleanup required</x:v>
      </x:c>
      <x:c r="AH638" s="12" t="str">
        <x:f>IF(C638="","Missing date",IF(ISNUMBER(C638),"Valid","Unrecognized/invalid date"))</x:f>
        <x:v>Valid</x:v>
      </x:c>
      <x:c r="AI638" s="12" t="str">
        <x:f>IF(D638="","Missing date",IF(ISNUMBER(D638),"Valid","Unrecognized/invalid date"))</x:f>
        <x:v>Valid</x:v>
      </x:c>
      <x:c r="AJ638" s="12" t="str">
        <x:v>Valid</x:v>
      </x:c>
      <x:c r="AK638" s="12" t="str">
        <x:v>Pass</x:v>
      </x:c>
      <x:c r="AL638" s="12" t="str">
        <x:v>None</x:v>
      </x:c>
      <x:c r="AM638" s="12" t="str">
        <x:v>Valid</x:v>
      </x:c>
      <x:c r="AN638" s="12" t="str">
        <x:v>Include in completed sales</x:v>
      </x:c>
      <x:c r="AO638" s="12" t="str">
        <x:v>Not a refunded record</x:v>
      </x:c>
      <x:c r="AP638" s="37" t="n">
        <x:f>IF(LEFT($AM638,7)="Invalid","",IF($AM638="Missing discount imputed as 0",IF(AND(COUNT($O638,$P638,$R638,$S638)=4,$O638&gt;0,$P638&gt;=0,$R638&gt;=0,$S638&gt;=0),0,""),IF(AND(ISNUMBER($Q638),$Q638&gt;=0,$Q638&lt;=0.5),$Q638,"")))</x:f>
        <x:v>0.15</x:v>
      </x:c>
      <x:c r="AQ638" s="152" t="n">
        <x:f>IF(OR($W638="",NOT(ISNUMBER($R638))),"",ROUND($R638-$W638,2))</x:f>
        <x:v>0</x:v>
      </x:c>
      <x:c r="AR638" s="152" t="n">
        <x:f>IF(OR($X638="",NOT(ISNUMBER($T638))),"",ROUND($T638-$X638,2))</x:f>
        <x:v>0</x:v>
      </x:c>
      <x:c r="AS638" s="14" t="str">
        <x:v>OK</x:v>
      </x:c>
    </x:row>
    <x:row r="639">
      <x:c r="A639" s="80" t="n">
        <x:v>639</x:v>
      </x:c>
      <x:c r="B639" s="80" t="str">
        <x:v>ORD-2024-10638</x:v>
      </x:c>
      <x:c r="C639" s="81" t="n">
        <x:v>45438</x:v>
      </x:c>
      <x:c r="D639" s="81" t="n">
        <x:v>45438</x:v>
      </x:c>
      <x:c r="E639" s="80" t="str">
        <x:v>CUST-2594</x:v>
      </x:c>
      <x:c r="F639" s="80" t="str">
        <x:v>Rahul Verma</x:v>
      </x:c>
      <x:c r="G639" s="80" t="str">
        <x:v>Small Business</x:v>
      </x:c>
      <x:c r="H639" s="80" t="str">
        <x:v>West</x:v>
      </x:c>
      <x:c r="I639" s="80" t="str">
        <x:v>Goa</x:v>
      </x:c>
      <x:c r="J639" s="80" t="str">
        <x:v>Panaji</x:v>
      </x:c>
      <x:c r="K639" s="80" t="str">
        <x:v>Technology</x:v>
      </x:c>
      <x:c r="L639" s="80" t="str">
        <x:v>Copiers</x:v>
      </x:c>
      <x:c r="M639" s="80" t="str">
        <x:v>Max Copiers 994</x:v>
      </x:c>
      <x:c r="N639" s="80" t="str">
        <x:v>First Class</x:v>
      </x:c>
      <x:c r="O639" s="82" t="n">
        <x:v>2</x:v>
      </x:c>
      <x:c r="P639" s="83" t="n">
        <x:v>3192.47</x:v>
      </x:c>
      <x:c r="Q639" s="84" t="n">
        <x:v>0.2</x:v>
      </x:c>
      <x:c r="R639" s="83" t="n">
        <x:v>5107.95</x:v>
      </x:c>
      <x:c r="S639" s="83" t="n">
        <x:v>3133.08</x:v>
      </x:c>
      <x:c r="T639" s="83" t="n">
        <x:v>1974.87</x:v>
      </x:c>
      <x:c r="U639" s="83" t="str">
        <x:v>Paid</x:v>
      </x:c>
      <x:c r="V639" s="83" t="str">
        <x:v>Completed</x:v>
      </x:c>
      <x:c r="W639" s="151" t="n">
        <x:f>IF(OR(NOT(ISNUMBER($AP639)),COUNT($O639,$P639)&lt;2,$O639&lt;=0,$P639&lt;0),"",ROUND($O639*$P639*(1-$AP639),2))</x:f>
        <x:v>5107.95</x:v>
      </x:c>
      <x:c r="X639" s="151" t="n">
        <x:f>IF(OR(NOT(ISNUMBER($W639)),NOT(ISNUMBER($S639))),"",ROUND($W639-$S639,2))</x:f>
        <x:v>1974.87</x:v>
      </x:c>
      <x:c r="Y639" s="85" t="n">
        <x:f>IF(OR(NOT(ISNUMBER($W639)),NOT(ISNUMBER($X639)),$W639=0),"",ROUND($X639/$W639,4))</x:f>
        <x:v>0.3866</x:v>
      </x:c>
      <x:c r="Z639" s="82" t="n">
        <x:f>IF(OR($AH639&lt;&gt;"Valid",$AI639&lt;&gt;"Valid"),"",INT($D639-$C639))</x:f>
        <x:v>0</x:v>
      </x:c>
      <x:c r="AA639" s="86" t="str">
        <x:f>IF($AH639&lt;&gt;"Valid","",TEXT($C639,"mmmm"))</x:f>
        <x:v>May</x:v>
      </x:c>
      <x:c r="AB639" s="82" t="n">
        <x:f>IF($AH639&lt;&gt;"Valid","",YEAR($C639))</x:f>
        <x:v>2024</x:v>
      </x:c>
      <x:c r="AC639" s="80" t="str">
        <x:v>Consistent</x:v>
      </x:c>
      <x:c r="AD639" s="80" t="str">
        <x:v>Eligible</x:v>
      </x:c>
      <x:c r="AE639" s="80" t="str">
        <x:f>IF(OR($AH639&lt;&gt;"Valid",$AI639&lt;&gt;"Valid",$AJ639&lt;&gt;"Valid",LEFT($AM639,7)="Invalid",IFERROR(ABS($AQ639)&gt;0.01,FALSE),IFERROR(ABS($AR639)&gt;0.01,FALSE),COUNTIF($AS639,"*Conflicting duplicate*")&gt;0,COUNTIF($AS639,"*Completed order not paid*")&gt;0),"Invalid",IF(OR($H639="Unknown",$N639="Unknown",$AM639="Missing discount imputed as 0"),"Warning","Clean"))</x:f>
        <x:v>Clean</x:v>
      </x:c>
      <x:c r="AF639" s="80" t="str">
        <x:v>Pass</x:v>
      </x:c>
      <x:c r="AG639" s="80" t="str">
        <x:v>No text cleanup required</x:v>
      </x:c>
      <x:c r="AH639" s="12" t="str">
        <x:f>IF(C639="","Missing date",IF(ISNUMBER(C639),"Valid","Unrecognized/invalid date"))</x:f>
        <x:v>Valid</x:v>
      </x:c>
      <x:c r="AI639" s="12" t="str">
        <x:f>IF(D639="","Missing date",IF(ISNUMBER(D639),"Valid","Unrecognized/invalid date"))</x:f>
        <x:v>Valid</x:v>
      </x:c>
      <x:c r="AJ639" s="12" t="str">
        <x:v>Valid</x:v>
      </x:c>
      <x:c r="AK639" s="12" t="str">
        <x:v>Pass</x:v>
      </x:c>
      <x:c r="AL639" s="12" t="str">
        <x:v>None</x:v>
      </x:c>
      <x:c r="AM639" s="12" t="str">
        <x:v>Valid</x:v>
      </x:c>
      <x:c r="AN639" s="12" t="str">
        <x:v>Include in completed sales</x:v>
      </x:c>
      <x:c r="AO639" s="12" t="str">
        <x:v>Not a refunded record</x:v>
      </x:c>
      <x:c r="AP639" s="37" t="n">
        <x:f>IF(LEFT($AM639,7)="Invalid","",IF($AM639="Missing discount imputed as 0",IF(AND(COUNT($O639,$P639,$R639,$S639)=4,$O639&gt;0,$P639&gt;=0,$R639&gt;=0,$S639&gt;=0),0,""),IF(AND(ISNUMBER($Q639),$Q639&gt;=0,$Q639&lt;=0.5),$Q639,"")))</x:f>
        <x:v>0.2</x:v>
      </x:c>
      <x:c r="AQ639" s="152" t="n">
        <x:f>IF(OR($W639="",NOT(ISNUMBER($R639))),"",ROUND($R639-$W639,2))</x:f>
        <x:v>0</x:v>
      </x:c>
      <x:c r="AR639" s="152" t="n">
        <x:f>IF(OR($X639="",NOT(ISNUMBER($T639))),"",ROUND($T639-$X639,2))</x:f>
        <x:v>0</x:v>
      </x:c>
      <x:c r="AS639" s="14" t="str">
        <x:v>OK</x:v>
      </x:c>
    </x:row>
    <x:row r="640">
      <x:c r="A640" s="80" t="n">
        <x:v>640</x:v>
      </x:c>
      <x:c r="B640" s="80" t="str">
        <x:v>ORD-2024-10639</x:v>
      </x:c>
      <x:c r="C640" s="81" t="n">
        <x:v>45317</x:v>
      </x:c>
      <x:c r="D640" s="81" t="n">
        <x:v>45322</x:v>
      </x:c>
      <x:c r="E640" s="80" t="str">
        <x:v>CUST-2111</x:v>
      </x:c>
      <x:c r="F640" s="80" t="str">
        <x:v>Karan Malhotra</x:v>
      </x:c>
      <x:c r="G640" s="80" t="str">
        <x:v>Corporate</x:v>
      </x:c>
      <x:c r="H640" s="80" t="str">
        <x:v>South</x:v>
      </x:c>
      <x:c r="I640" s="80" t="str">
        <x:v>Kerala</x:v>
      </x:c>
      <x:c r="J640" s="80" t="str">
        <x:v>Kochi</x:v>
      </x:c>
      <x:c r="K640" s="80" t="str">
        <x:v>Office Supplies</x:v>
      </x:c>
      <x:c r="L640" s="80" t="str">
        <x:v>Storage</x:v>
      </x:c>
      <x:c r="M640" s="80" t="str">
        <x:v>Pro Storage 744</x:v>
      </x:c>
      <x:c r="N640" s="80" t="str">
        <x:v>Second Class</x:v>
      </x:c>
      <x:c r="O640" s="82" t="n">
        <x:v>3</x:v>
      </x:c>
      <x:c r="P640" s="83" t="n">
        <x:v>3224.32</x:v>
      </x:c>
      <x:c r="Q640" s="84" t="n">
        <x:v>0.2</x:v>
      </x:c>
      <x:c r="R640" s="83" t="n">
        <x:v>7738.37</x:v>
      </x:c>
      <x:c r="S640" s="83" t="n">
        <x:v>4626.85</x:v>
      </x:c>
      <x:c r="T640" s="83" t="n">
        <x:v>3111.52</x:v>
      </x:c>
      <x:c r="U640" s="83" t="str">
        <x:v>Failed</x:v>
      </x:c>
      <x:c r="V640" s="83" t="str">
        <x:v>Returned</x:v>
      </x:c>
      <x:c r="W640" s="151" t="n">
        <x:f>IF(OR(NOT(ISNUMBER($AP640)),COUNT($O640,$P640)&lt;2,$O640&lt;=0,$P640&lt;0),"",ROUND($O640*$P640*(1-$AP640),2))</x:f>
        <x:v>7738.37</x:v>
      </x:c>
      <x:c r="X640" s="151" t="n">
        <x:f>IF(OR(NOT(ISNUMBER($W640)),NOT(ISNUMBER($S640))),"",ROUND($W640-$S640,2))</x:f>
        <x:v>3111.52</x:v>
      </x:c>
      <x:c r="Y640" s="85" t="n">
        <x:f>IF(OR(NOT(ISNUMBER($W640)),NOT(ISNUMBER($X640)),$W640=0),"",ROUND($X640/$W640,4))</x:f>
        <x:v>0.4021</x:v>
      </x:c>
      <x:c r="Z640" s="82" t="n">
        <x:f>IF(OR($AH640&lt;&gt;"Valid",$AI640&lt;&gt;"Valid"),"",INT($D640-$C640))</x:f>
        <x:v>5</x:v>
      </x:c>
      <x:c r="AA640" s="86" t="str">
        <x:f>IF($AH640&lt;&gt;"Valid","",TEXT($C640,"mmmm"))</x:f>
        <x:v>January</x:v>
      </x:c>
      <x:c r="AB640" s="82" t="n">
        <x:f>IF($AH640&lt;&gt;"Valid","",YEAR($C640))</x:f>
        <x:v>2024</x:v>
      </x:c>
      <x:c r="AC640" s="80" t="str">
        <x:v>Failed payment (excluded from completed-sales summary)</x:v>
      </x:c>
      <x:c r="AD640" s="80" t="str">
        <x:v>Excluded</x:v>
      </x:c>
      <x:c r="AE640" s="80" t="str">
        <x:f>IF(OR($AH640&lt;&gt;"Valid",$AI640&lt;&gt;"Valid",$AJ640&lt;&gt;"Valid",LEFT($AM640,7)="Invalid",IFERROR(ABS($AQ640)&gt;0.01,FALSE),IFERROR(ABS($AR640)&gt;0.01,FALSE),COUNTIF($AS640,"*Conflicting duplicate*")&gt;0,COUNTIF($AS640,"*Completed order not paid*")&gt;0),"Invalid",IF(OR($H640="Unknown",$N640="Unknown",$AM640="Missing discount imputed as 0"),"Warning","Clean"))</x:f>
        <x:v>Clean</x:v>
      </x:c>
      <x:c r="AF640" s="80" t="str">
        <x:v>Pass</x:v>
      </x:c>
      <x:c r="AG640" s="80" t="str">
        <x:v>No text cleanup required</x:v>
      </x:c>
      <x:c r="AH640" s="12" t="str">
        <x:f>IF(C640="","Missing date",IF(ISNUMBER(C640),"Valid","Unrecognized/invalid date"))</x:f>
        <x:v>Valid</x:v>
      </x:c>
      <x:c r="AI640" s="12" t="str">
        <x:f>IF(D640="","Missing date",IF(ISNUMBER(D640),"Valid","Unrecognized/invalid date"))</x:f>
        <x:v>Valid</x:v>
      </x:c>
      <x:c r="AJ640" s="12" t="str">
        <x:v>Valid</x:v>
      </x:c>
      <x:c r="AK640" s="12" t="str">
        <x:v>Pass</x:v>
      </x:c>
      <x:c r="AL640" s="12" t="str">
        <x:v>Failed payment – excluded from completed sales</x:v>
      </x:c>
      <x:c r="AM640" s="12" t="str">
        <x:v>Valid</x:v>
      </x:c>
      <x:c r="AN640" s="12" t="str">
        <x:v>Exclude from completed sales</x:v>
      </x:c>
      <x:c r="AO640" s="12" t="str">
        <x:v>Not a refunded record</x:v>
      </x:c>
      <x:c r="AP640" s="37" t="n">
        <x:f>IF(LEFT($AM640,7)="Invalid","",IF($AM640="Missing discount imputed as 0",IF(AND(COUNT($O640,$P640,$R640,$S640)=4,$O640&gt;0,$P640&gt;=0,$R640&gt;=0,$S640&gt;=0),0,""),IF(AND(ISNUMBER($Q640),$Q640&gt;=0,$Q640&lt;=0.5),$Q640,"")))</x:f>
        <x:v>0.2</x:v>
      </x:c>
      <x:c r="AQ640" s="152" t="n">
        <x:f>IF(OR($W640="",NOT(ISNUMBER($R640))),"",ROUND($R640-$W640,2))</x:f>
        <x:v>0</x:v>
      </x:c>
      <x:c r="AR640" s="152" t="n">
        <x:f>IF(OR($X640="",NOT(ISNUMBER($T640))),"",ROUND($T640-$X640,2))</x:f>
        <x:v>0</x:v>
      </x:c>
      <x:c r="AS640" s="14" t="str">
        <x:v>OK</x:v>
      </x:c>
    </x:row>
    <x:row r="641">
      <x:c r="A641" s="80" t="n">
        <x:v>641</x:v>
      </x:c>
      <x:c r="B641" s="80" t="str">
        <x:v>ORD-2024-10640</x:v>
      </x:c>
      <x:c r="C641" s="81" t="n">
        <x:v>45653</x:v>
      </x:c>
      <x:c r="D641" s="81" t="n">
        <x:v>45657</x:v>
      </x:c>
      <x:c r="E641" s="80" t="str">
        <x:v>CUST-6829</x:v>
      </x:c>
      <x:c r="F641" s="80" t="str">
        <x:v>Isha Nair</x:v>
      </x:c>
      <x:c r="G641" s="80" t="str">
        <x:v>Small Business</x:v>
      </x:c>
      <x:c r="H641" s="80" t="str">
        <x:v>East</x:v>
      </x:c>
      <x:c r="I641" s="80" t="str">
        <x:v>Odisha</x:v>
      </x:c>
      <x:c r="J641" s="80" t="str">
        <x:v>Bhubaneswar</x:v>
      </x:c>
      <x:c r="K641" s="80" t="str">
        <x:v>Furniture</x:v>
      </x:c>
      <x:c r="L641" s="80" t="str">
        <x:v>Chairs</x:v>
      </x:c>
      <x:c r="M641" s="80" t="str">
        <x:v>Elite Chairs 744</x:v>
      </x:c>
      <x:c r="N641" s="80" t="str">
        <x:v>Second Class</x:v>
      </x:c>
      <x:c r="O641" s="82" t="n">
        <x:v>1</x:v>
      </x:c>
      <x:c r="P641" s="83" t="n">
        <x:v>1594.7</x:v>
      </x:c>
      <x:c r="Q641" s="84" t="n">
        <x:v>0.05</x:v>
      </x:c>
      <x:c r="R641" s="83" t="n">
        <x:v>1514.96</x:v>
      </x:c>
      <x:c r="S641" s="83" t="n">
        <x:v>1046.17</x:v>
      </x:c>
      <x:c r="T641" s="83" t="n">
        <x:v>468.79</x:v>
      </x:c>
      <x:c r="U641" s="83" t="str">
        <x:v>Paid</x:v>
      </x:c>
      <x:c r="V641" s="83" t="str">
        <x:v>Completed</x:v>
      </x:c>
      <x:c r="W641" s="151" t="n">
        <x:f>IF(OR(NOT(ISNUMBER($AP641)),COUNT($O641,$P641)&lt;2,$O641&lt;=0,$P641&lt;0),"",ROUND($O641*$P641*(1-$AP641),2))</x:f>
        <x:v>1514.97</x:v>
      </x:c>
      <x:c r="X641" s="151" t="n">
        <x:f>IF(OR(NOT(ISNUMBER($W641)),NOT(ISNUMBER($S641))),"",ROUND($W641-$S641,2))</x:f>
        <x:v>468.8</x:v>
      </x:c>
      <x:c r="Y641" s="85" t="n">
        <x:f>IF(OR(NOT(ISNUMBER($W641)),NOT(ISNUMBER($X641)),$W641=0),"",ROUND($X641/$W641,4))</x:f>
        <x:v>0.3094</x:v>
      </x:c>
      <x:c r="Z641" s="82" t="n">
        <x:f>IF(OR($AH641&lt;&gt;"Valid",$AI641&lt;&gt;"Valid"),"",INT($D641-$C641))</x:f>
        <x:v>4</x:v>
      </x:c>
      <x:c r="AA641" s="86" t="str">
        <x:f>IF($AH641&lt;&gt;"Valid","",TEXT($C641,"mmmm"))</x:f>
        <x:v>December</x:v>
      </x:c>
      <x:c r="AB641" s="82" t="n">
        <x:f>IF($AH641&lt;&gt;"Valid","",YEAR($C641))</x:f>
        <x:v>2024</x:v>
      </x:c>
      <x:c r="AC641" s="80" t="str">
        <x:v>Consistent</x:v>
      </x:c>
      <x:c r="AD641" s="80" t="str">
        <x:v>Eligible</x:v>
      </x:c>
      <x:c r="AE641" s="80" t="str">
        <x:f>IF(OR($AH641&lt;&gt;"Valid",$AI641&lt;&gt;"Valid",$AJ641&lt;&gt;"Valid",LEFT($AM641,7)="Invalid",IFERROR(ABS($AQ641)&gt;0.01,FALSE),IFERROR(ABS($AR641)&gt;0.01,FALSE),COUNTIF($AS641,"*Conflicting duplicate*")&gt;0,COUNTIF($AS641,"*Completed order not paid*")&gt;0),"Invalid",IF(OR($H641="Unknown",$N641="Unknown",$AM641="Missing discount imputed as 0"),"Warning","Clean"))</x:f>
        <x:v>Clean</x:v>
      </x:c>
      <x:c r="AF641" s="80" t="str">
        <x:v>Pass</x:v>
      </x:c>
      <x:c r="AG641" s="80" t="str">
        <x:v>No text cleanup required</x:v>
      </x:c>
      <x:c r="AH641" s="12" t="str">
        <x:f>IF(C641="","Missing date",IF(ISNUMBER(C641),"Valid","Unrecognized/invalid date"))</x:f>
        <x:v>Valid</x:v>
      </x:c>
      <x:c r="AI641" s="12" t="str">
        <x:f>IF(D641="","Missing date",IF(ISNUMBER(D641),"Valid","Unrecognized/invalid date"))</x:f>
        <x:v>Valid</x:v>
      </x:c>
      <x:c r="AJ641" s="12" t="str">
        <x:v>Valid</x:v>
      </x:c>
      <x:c r="AK641" s="12" t="str">
        <x:v>Pass</x:v>
      </x:c>
      <x:c r="AL641" s="12" t="str">
        <x:v>None</x:v>
      </x:c>
      <x:c r="AM641" s="12" t="str">
        <x:v>Valid</x:v>
      </x:c>
      <x:c r="AN641" s="12" t="str">
        <x:v>Include in completed sales</x:v>
      </x:c>
      <x:c r="AO641" s="12" t="str">
        <x:v>Not a refunded record</x:v>
      </x:c>
      <x:c r="AP641" s="37" t="n">
        <x:f>IF(LEFT($AM641,7)="Invalid","",IF($AM641="Missing discount imputed as 0",IF(AND(COUNT($O641,$P641,$R641,$S641)=4,$O641&gt;0,$P641&gt;=0,$R641&gt;=0,$S641&gt;=0),0,""),IF(AND(ISNUMBER($Q641),$Q641&gt;=0,$Q641&lt;=0.5),$Q641,"")))</x:f>
        <x:v>0.05</x:v>
      </x:c>
      <x:c r="AQ641" s="152" t="n">
        <x:f>IF(OR($W641="",NOT(ISNUMBER($R641))),"",ROUND($R641-$W641,2))</x:f>
        <x:v>-0.01</x:v>
      </x:c>
      <x:c r="AR641" s="152" t="n">
        <x:f>IF(OR($X641="",NOT(ISNUMBER($T641))),"",ROUND($T641-$X641,2))</x:f>
        <x:v>-0.01</x:v>
      </x:c>
      <x:c r="AS641" s="14" t="str">
        <x:v>OK</x:v>
      </x:c>
    </x:row>
    <x:row r="642">
      <x:c r="A642" s="80" t="n">
        <x:v>642</x:v>
      </x:c>
      <x:c r="B642" s="80" t="str">
        <x:v>ORD-2025-10641</x:v>
      </x:c>
      <x:c r="C642" s="81" t="n">
        <x:v>45671</x:v>
      </x:c>
      <x:c r="D642" s="81" t="n">
        <x:v>45674</x:v>
      </x:c>
      <x:c r="E642" s="80" t="str">
        <x:v>CUST-5061</x:v>
      </x:c>
      <x:c r="F642" s="80" t="str">
        <x:v>Vikram Iyer</x:v>
      </x:c>
      <x:c r="G642" s="80" t="str">
        <x:v>Consumer</x:v>
      </x:c>
      <x:c r="H642" s="80" t="str">
        <x:v>West</x:v>
      </x:c>
      <x:c r="I642" s="80" t="str">
        <x:v>Goa</x:v>
      </x:c>
      <x:c r="J642" s="80" t="str">
        <x:v>Panaji</x:v>
      </x:c>
      <x:c r="K642" s="80" t="str">
        <x:v>Office Supplies</x:v>
      </x:c>
      <x:c r="L642" s="80" t="str">
        <x:v>Storage</x:v>
      </x:c>
      <x:c r="M642" s="80" t="str">
        <x:v>Basic Storage 973</x:v>
      </x:c>
      <x:c r="N642" s="80" t="str">
        <x:v>First Class</x:v>
      </x:c>
      <x:c r="O642" s="82" t="n">
        <x:v>1</x:v>
      </x:c>
      <x:c r="P642" s="83" t="n">
        <x:v>1584.12</x:v>
      </x:c>
      <x:c r="Q642" s="84" t="n">
        <x:v>0.2</x:v>
      </x:c>
      <x:c r="R642" s="83" t="n">
        <x:v>1267.3</x:v>
      </x:c>
      <x:c r="S642" s="83" t="n">
        <x:v>923.53</x:v>
      </x:c>
      <x:c r="T642" s="83" t="n">
        <x:v>343.77</x:v>
      </x:c>
      <x:c r="U642" s="83" t="str">
        <x:v>Paid</x:v>
      </x:c>
      <x:c r="V642" s="83" t="str">
        <x:v>Completed</x:v>
      </x:c>
      <x:c r="W642" s="151" t="n">
        <x:f>IF(OR(NOT(ISNUMBER($AP642)),COUNT($O642,$P642)&lt;2,$O642&lt;=0,$P642&lt;0),"",ROUND($O642*$P642*(1-$AP642),2))</x:f>
        <x:v>1267.3</x:v>
      </x:c>
      <x:c r="X642" s="151" t="n">
        <x:f>IF(OR(NOT(ISNUMBER($W642)),NOT(ISNUMBER($S642))),"",ROUND($W642-$S642,2))</x:f>
        <x:v>343.77</x:v>
      </x:c>
      <x:c r="Y642" s="85" t="n">
        <x:f>IF(OR(NOT(ISNUMBER($W642)),NOT(ISNUMBER($X642)),$W642=0),"",ROUND($X642/$W642,4))</x:f>
        <x:v>0.2713</x:v>
      </x:c>
      <x:c r="Z642" s="82" t="n">
        <x:f>IF(OR($AH642&lt;&gt;"Valid",$AI642&lt;&gt;"Valid"),"",INT($D642-$C642))</x:f>
        <x:v>3</x:v>
      </x:c>
      <x:c r="AA642" s="86" t="str">
        <x:f>IF($AH642&lt;&gt;"Valid","",TEXT($C642,"mmmm"))</x:f>
        <x:v>January</x:v>
      </x:c>
      <x:c r="AB642" s="82" t="n">
        <x:f>IF($AH642&lt;&gt;"Valid","",YEAR($C642))</x:f>
        <x:v>2025</x:v>
      </x:c>
      <x:c r="AC642" s="80" t="str">
        <x:v>Consistent</x:v>
      </x:c>
      <x:c r="AD642" s="80" t="str">
        <x:v>Eligible</x:v>
      </x:c>
      <x:c r="AE642" s="80" t="str">
        <x:f>IF(OR($AH642&lt;&gt;"Valid",$AI642&lt;&gt;"Valid",$AJ642&lt;&gt;"Valid",LEFT($AM642,7)="Invalid",IFERROR(ABS($AQ642)&gt;0.01,FALSE),IFERROR(ABS($AR642)&gt;0.01,FALSE),COUNTIF($AS642,"*Conflicting duplicate*")&gt;0,COUNTIF($AS642,"*Completed order not paid*")&gt;0),"Invalid",IF(OR($H642="Unknown",$N642="Unknown",$AM642="Missing discount imputed as 0"),"Warning","Clean"))</x:f>
        <x:v>Clean</x:v>
      </x:c>
      <x:c r="AF642" s="80" t="str">
        <x:v>Pass</x:v>
      </x:c>
      <x:c r="AG642" s="80" t="str">
        <x:v>No text cleanup required</x:v>
      </x:c>
      <x:c r="AH642" s="12" t="str">
        <x:f>IF(C642="","Missing date",IF(ISNUMBER(C642),"Valid","Unrecognized/invalid date"))</x:f>
        <x:v>Valid</x:v>
      </x:c>
      <x:c r="AI642" s="12" t="str">
        <x:f>IF(D642="","Missing date",IF(ISNUMBER(D642),"Valid","Unrecognized/invalid date"))</x:f>
        <x:v>Valid</x:v>
      </x:c>
      <x:c r="AJ642" s="12" t="str">
        <x:v>Valid</x:v>
      </x:c>
      <x:c r="AK642" s="12" t="str">
        <x:v>Pass</x:v>
      </x:c>
      <x:c r="AL642" s="12" t="str">
        <x:v>None</x:v>
      </x:c>
      <x:c r="AM642" s="12" t="str">
        <x:v>Valid</x:v>
      </x:c>
      <x:c r="AN642" s="12" t="str">
        <x:v>Include in completed sales</x:v>
      </x:c>
      <x:c r="AO642" s="12" t="str">
        <x:v>Not a refunded record</x:v>
      </x:c>
      <x:c r="AP642" s="37" t="n">
        <x:f>IF(LEFT($AM642,7)="Invalid","",IF($AM642="Missing discount imputed as 0",IF(AND(COUNT($O642,$P642,$R642,$S642)=4,$O642&gt;0,$P642&gt;=0,$R642&gt;=0,$S642&gt;=0),0,""),IF(AND(ISNUMBER($Q642),$Q642&gt;=0,$Q642&lt;=0.5),$Q642,"")))</x:f>
        <x:v>0.2</x:v>
      </x:c>
      <x:c r="AQ642" s="152" t="n">
        <x:f>IF(OR($W642="",NOT(ISNUMBER($R642))),"",ROUND($R642-$W642,2))</x:f>
        <x:v>0</x:v>
      </x:c>
      <x:c r="AR642" s="152" t="n">
        <x:f>IF(OR($X642="",NOT(ISNUMBER($T642))),"",ROUND($T642-$X642,2))</x:f>
        <x:v>0</x:v>
      </x:c>
      <x:c r="AS642" s="14" t="str">
        <x:v>OK</x:v>
      </x:c>
    </x:row>
    <x:row r="643">
      <x:c r="A643" s="80" t="n">
        <x:v>643</x:v>
      </x:c>
      <x:c r="B643" s="80" t="str">
        <x:v>ORD-2025-10642</x:v>
      </x:c>
      <x:c r="C643" s="81" t="n">
        <x:v>45756</x:v>
      </x:c>
      <x:c r="D643" s="81" t="n">
        <x:v>45761</x:v>
      </x:c>
      <x:c r="E643" s="80" t="str">
        <x:v>CUST-7915</x:v>
      </x:c>
      <x:c r="F643" s="80" t="str">
        <x:v>Karan Malhotra</x:v>
      </x:c>
      <x:c r="G643" s="80" t="str">
        <x:v>Consumer</x:v>
      </x:c>
      <x:c r="H643" s="80" t="str">
        <x:v>North</x:v>
      </x:c>
      <x:c r="I643" s="80" t="str">
        <x:v>Delhi</x:v>
      </x:c>
      <x:c r="J643" s="80" t="str">
        <x:v>New Delhi</x:v>
      </x:c>
      <x:c r="K643" s="80" t="str">
        <x:v>Furniture</x:v>
      </x:c>
      <x:c r="L643" s="80" t="str">
        <x:v>Furnishings</x:v>
      </x:c>
      <x:c r="M643" s="80" t="str">
        <x:v>Smart Furnishings 783</x:v>
      </x:c>
      <x:c r="N643" s="80" t="str">
        <x:v>Same Day</x:v>
      </x:c>
      <x:c r="O643" s="82" t="n">
        <x:v>2</x:v>
      </x:c>
      <x:c r="P643" s="83" t="n">
        <x:v>3202.87</x:v>
      </x:c>
      <x:c r="Q643" s="84" t="n">
        <x:v>0</x:v>
      </x:c>
      <x:c r="R643" s="83" t="n">
        <x:v>6405.74</x:v>
      </x:c>
      <x:c r="S643" s="83" t="n">
        <x:v>3561.87</x:v>
      </x:c>
      <x:c r="T643" s="83" t="n">
        <x:v>2843.87</x:v>
      </x:c>
      <x:c r="U643" s="83" t="str">
        <x:v>Paid</x:v>
      </x:c>
      <x:c r="V643" s="83" t="str">
        <x:v>Completed</x:v>
      </x:c>
      <x:c r="W643" s="151" t="n">
        <x:f>IF(OR(NOT(ISNUMBER($AP643)),COUNT($O643,$P643)&lt;2,$O643&lt;=0,$P643&lt;0),"",ROUND($O643*$P643*(1-$AP643),2))</x:f>
        <x:v>6405.74</x:v>
      </x:c>
      <x:c r="X643" s="151" t="n">
        <x:f>IF(OR(NOT(ISNUMBER($W643)),NOT(ISNUMBER($S643))),"",ROUND($W643-$S643,2))</x:f>
        <x:v>2843.87</x:v>
      </x:c>
      <x:c r="Y643" s="85" t="n">
        <x:f>IF(OR(NOT(ISNUMBER($W643)),NOT(ISNUMBER($X643)),$W643=0),"",ROUND($X643/$W643,4))</x:f>
        <x:v>0.444</x:v>
      </x:c>
      <x:c r="Z643" s="82" t="n">
        <x:f>IF(OR($AH643&lt;&gt;"Valid",$AI643&lt;&gt;"Valid"),"",INT($D643-$C643))</x:f>
        <x:v>5</x:v>
      </x:c>
      <x:c r="AA643" s="86" t="str">
        <x:f>IF($AH643&lt;&gt;"Valid","",TEXT($C643,"mmmm"))</x:f>
        <x:v>April</x:v>
      </x:c>
      <x:c r="AB643" s="82" t="n">
        <x:f>IF($AH643&lt;&gt;"Valid","",YEAR($C643))</x:f>
        <x:v>2025</x:v>
      </x:c>
      <x:c r="AC643" s="80" t="str">
        <x:v>Consistent</x:v>
      </x:c>
      <x:c r="AD643" s="80" t="str">
        <x:v>Eligible</x:v>
      </x:c>
      <x:c r="AE643" s="80" t="str">
        <x:f>IF(OR($AH643&lt;&gt;"Valid",$AI643&lt;&gt;"Valid",$AJ643&lt;&gt;"Valid",LEFT($AM643,7)="Invalid",IFERROR(ABS($AQ643)&gt;0.01,FALSE),IFERROR(ABS($AR643)&gt;0.01,FALSE),COUNTIF($AS643,"*Conflicting duplicate*")&gt;0,COUNTIF($AS643,"*Completed order not paid*")&gt;0),"Invalid",IF(OR($H643="Unknown",$N643="Unknown",$AM643="Missing discount imputed as 0"),"Warning","Clean"))</x:f>
        <x:v>Clean</x:v>
      </x:c>
      <x:c r="AF643" s="80" t="str">
        <x:v>Pass</x:v>
      </x:c>
      <x:c r="AG643" s="80" t="str">
        <x:v>No text cleanup required</x:v>
      </x:c>
      <x:c r="AH643" s="12" t="str">
        <x:f>IF(C643="","Missing date",IF(ISNUMBER(C643),"Valid","Unrecognized/invalid date"))</x:f>
        <x:v>Valid</x:v>
      </x:c>
      <x:c r="AI643" s="12" t="str">
        <x:f>IF(D643="","Missing date",IF(ISNUMBER(D643),"Valid","Unrecognized/invalid date"))</x:f>
        <x:v>Valid</x:v>
      </x:c>
      <x:c r="AJ643" s="12" t="str">
        <x:v>Valid</x:v>
      </x:c>
      <x:c r="AK643" s="12" t="str">
        <x:v>Pass</x:v>
      </x:c>
      <x:c r="AL643" s="12" t="str">
        <x:v>None</x:v>
      </x:c>
      <x:c r="AM643" s="12" t="str">
        <x:v>Valid</x:v>
      </x:c>
      <x:c r="AN643" s="12" t="str">
        <x:v>Include in completed sales</x:v>
      </x:c>
      <x:c r="AO643" s="12" t="str">
        <x:v>Not a refunded record</x:v>
      </x:c>
      <x:c r="AP643" s="37" t="n">
        <x:f>IF(LEFT($AM643,7)="Invalid","",IF($AM643="Missing discount imputed as 0",IF(AND(COUNT($O643,$P643,$R643,$S643)=4,$O643&gt;0,$P643&gt;=0,$R643&gt;=0,$S643&gt;=0),0,""),IF(AND(ISNUMBER($Q643),$Q643&gt;=0,$Q643&lt;=0.5),$Q643,"")))</x:f>
        <x:v>0</x:v>
      </x:c>
      <x:c r="AQ643" s="152" t="n">
        <x:f>IF(OR($W643="",NOT(ISNUMBER($R643))),"",ROUND($R643-$W643,2))</x:f>
        <x:v>0</x:v>
      </x:c>
      <x:c r="AR643" s="152" t="n">
        <x:f>IF(OR($X643="",NOT(ISNUMBER($T643))),"",ROUND($T643-$X643,2))</x:f>
        <x:v>0</x:v>
      </x:c>
      <x:c r="AS643" s="14" t="str">
        <x:v>OK</x:v>
      </x:c>
    </x:row>
    <x:row r="644">
      <x:c r="A644" s="80" t="n">
        <x:v>644</x:v>
      </x:c>
      <x:c r="B644" s="80" t="str">
        <x:v>ORD-2024-10643</x:v>
      </x:c>
      <x:c r="C644" s="81" t="n">
        <x:v>45533</x:v>
      </x:c>
      <x:c r="D644" s="81" t="n">
        <x:v>45535</x:v>
      </x:c>
      <x:c r="E644" s="80" t="str">
        <x:v>CUST-1940</x:v>
      </x:c>
      <x:c r="F644" s="80" t="str">
        <x:v>Isha Nair</x:v>
      </x:c>
      <x:c r="G644" s="80" t="str">
        <x:v>Home Office</x:v>
      </x:c>
      <x:c r="H644" s="80" t="str">
        <x:v>East</x:v>
      </x:c>
      <x:c r="I644" s="80" t="str">
        <x:v>Assam</x:v>
      </x:c>
      <x:c r="J644" s="80" t="str">
        <x:v>Guwahati</x:v>
      </x:c>
      <x:c r="K644" s="80" t="str">
        <x:v>Office Supplies</x:v>
      </x:c>
      <x:c r="L644" s="80" t="str">
        <x:v>Binders</x:v>
      </x:c>
      <x:c r="M644" s="80" t="str">
        <x:v>Prime Binders 287</x:v>
      </x:c>
      <x:c r="N644" s="80" t="str">
        <x:v>Second Class</x:v>
      </x:c>
      <x:c r="O644" s="82" t="n">
        <x:v>9</x:v>
      </x:c>
      <x:c r="P644" s="83" t="n">
        <x:v>1275.21</x:v>
      </x:c>
      <x:c r="Q644" s="84" t="n">
        <x:v>0.25</x:v>
      </x:c>
      <x:c r="R644" s="83" t="n">
        <x:v>8607.67</x:v>
      </x:c>
      <x:c r="S644" s="83" t="n">
        <x:v>5337.64</x:v>
      </x:c>
      <x:c r="T644" s="83" t="n">
        <x:v>3270.03</x:v>
      </x:c>
      <x:c r="U644" s="83" t="str">
        <x:v>Failed</x:v>
      </x:c>
      <x:c r="V644" s="83" t="str">
        <x:v>Returned</x:v>
      </x:c>
      <x:c r="W644" s="151" t="n">
        <x:f>IF(OR(NOT(ISNUMBER($AP644)),COUNT($O644,$P644)&lt;2,$O644&lt;=0,$P644&lt;0),"",ROUND($O644*$P644*(1-$AP644),2))</x:f>
        <x:v>8607.67</x:v>
      </x:c>
      <x:c r="X644" s="151" t="n">
        <x:f>IF(OR(NOT(ISNUMBER($W644)),NOT(ISNUMBER($S644))),"",ROUND($W644-$S644,2))</x:f>
        <x:v>3270.03</x:v>
      </x:c>
      <x:c r="Y644" s="85" t="n">
        <x:f>IF(OR(NOT(ISNUMBER($W644)),NOT(ISNUMBER($X644)),$W644=0),"",ROUND($X644/$W644,4))</x:f>
        <x:v>0.3799</x:v>
      </x:c>
      <x:c r="Z644" s="82" t="n">
        <x:f>IF(OR($AH644&lt;&gt;"Valid",$AI644&lt;&gt;"Valid"),"",INT($D644-$C644))</x:f>
        <x:v>2</x:v>
      </x:c>
      <x:c r="AA644" s="86" t="str">
        <x:f>IF($AH644&lt;&gt;"Valid","",TEXT($C644,"mmmm"))</x:f>
        <x:v>August</x:v>
      </x:c>
      <x:c r="AB644" s="82" t="n">
        <x:f>IF($AH644&lt;&gt;"Valid","",YEAR($C644))</x:f>
        <x:v>2024</x:v>
      </x:c>
      <x:c r="AC644" s="80" t="str">
        <x:v>Failed payment (excluded from completed-sales summary)</x:v>
      </x:c>
      <x:c r="AD644" s="80" t="str">
        <x:v>Excluded</x:v>
      </x:c>
      <x:c r="AE644" s="80" t="str">
        <x:f>IF(OR($AH644&lt;&gt;"Valid",$AI644&lt;&gt;"Valid",$AJ644&lt;&gt;"Valid",LEFT($AM644,7)="Invalid",IFERROR(ABS($AQ644)&gt;0.01,FALSE),IFERROR(ABS($AR644)&gt;0.01,FALSE),COUNTIF($AS644,"*Conflicting duplicate*")&gt;0,COUNTIF($AS644,"*Completed order not paid*")&gt;0),"Invalid",IF(OR($H644="Unknown",$N644="Unknown",$AM644="Missing discount imputed as 0"),"Warning","Clean"))</x:f>
        <x:v>Clean</x:v>
      </x:c>
      <x:c r="AF644" s="80" t="str">
        <x:v>Cleaned</x:v>
      </x:c>
      <x:c r="AG644" s="80" t="str">
        <x:v>sub_category: Case standardization</x:v>
      </x:c>
      <x:c r="AH644" s="12" t="str">
        <x:f>IF(C644="","Missing date",IF(ISNUMBER(C644),"Valid","Unrecognized/invalid date"))</x:f>
        <x:v>Valid</x:v>
      </x:c>
      <x:c r="AI644" s="12" t="str">
        <x:f>IF(D644="","Missing date",IF(ISNUMBER(D644),"Valid","Unrecognized/invalid date"))</x:f>
        <x:v>Valid</x:v>
      </x:c>
      <x:c r="AJ644" s="12" t="str">
        <x:v>Valid</x:v>
      </x:c>
      <x:c r="AK644" s="12" t="str">
        <x:v>Pass</x:v>
      </x:c>
      <x:c r="AL644" s="12" t="str">
        <x:v>Failed payment – excluded from completed sales</x:v>
      </x:c>
      <x:c r="AM644" s="12" t="str">
        <x:v>Valid</x:v>
      </x:c>
      <x:c r="AN644" s="12" t="str">
        <x:v>Exclude from completed sales</x:v>
      </x:c>
      <x:c r="AO644" s="12" t="str">
        <x:v>Not a refunded record</x:v>
      </x:c>
      <x:c r="AP644" s="37" t="n">
        <x:f>IF(LEFT($AM644,7)="Invalid","",IF($AM644="Missing discount imputed as 0",IF(AND(COUNT($O644,$P644,$R644,$S644)=4,$O644&gt;0,$P644&gt;=0,$R644&gt;=0,$S644&gt;=0),0,""),IF(AND(ISNUMBER($Q644),$Q644&gt;=0,$Q644&lt;=0.5),$Q644,"")))</x:f>
        <x:v>0.25</x:v>
      </x:c>
      <x:c r="AQ644" s="152" t="n">
        <x:f>IF(OR($W644="",NOT(ISNUMBER($R644))),"",ROUND($R644-$W644,2))</x:f>
        <x:v>0</x:v>
      </x:c>
      <x:c r="AR644" s="152" t="n">
        <x:f>IF(OR($X644="",NOT(ISNUMBER($T644))),"",ROUND($T644-$X644,2))</x:f>
        <x:v>0</x:v>
      </x:c>
      <x:c r="AS644" s="14" t="str">
        <x:v>OK</x:v>
      </x:c>
    </x:row>
    <x:row r="645">
      <x:c r="A645" s="80" t="n">
        <x:v>645</x:v>
      </x:c>
      <x:c r="B645" s="80" t="str">
        <x:v>ORD-2024-10644</x:v>
      </x:c>
      <x:c r="C645" s="81" t="n">
        <x:v>45327</x:v>
      </x:c>
      <x:c r="D645" s="81" t="n">
        <x:v>45335</x:v>
      </x:c>
      <x:c r="E645" s="80" t="str">
        <x:v>CUST-1986</x:v>
      </x:c>
      <x:c r="F645" s="80" t="str">
        <x:v>Aarav Sharma</x:v>
      </x:c>
      <x:c r="G645" s="80" t="str">
        <x:v>Home Office</x:v>
      </x:c>
      <x:c r="H645" s="80" t="str">
        <x:v>North</x:v>
      </x:c>
      <x:c r="I645" s="80" t="str">
        <x:v>Uttar Pradesh</x:v>
      </x:c>
      <x:c r="J645" s="80" t="str">
        <x:v>Noida</x:v>
      </x:c>
      <x:c r="K645" s="80" t="str">
        <x:v>Office Supplies</x:v>
      </x:c>
      <x:c r="L645" s="80" t="str">
        <x:v>Labels</x:v>
      </x:c>
      <x:c r="M645" s="80" t="str">
        <x:v>Elite Labels 654</x:v>
      </x:c>
      <x:c r="N645" s="80" t="str">
        <x:v>Standard Class</x:v>
      </x:c>
      <x:c r="O645" s="82" t="n">
        <x:v>8</x:v>
      </x:c>
      <x:c r="P645" s="83" t="n">
        <x:v>3871.18</x:v>
      </x:c>
      <x:c r="Q645" s="84" t="n">
        <x:v>0.15</x:v>
      </x:c>
      <x:c r="R645" s="83" t="n">
        <x:v>26324.02</x:v>
      </x:c>
      <x:c r="S645" s="83" t="n">
        <x:v>16277.96</x:v>
      </x:c>
      <x:c r="T645" s="83" t="n">
        <x:v>10046.06</x:v>
      </x:c>
      <x:c r="U645" s="83" t="str">
        <x:v>Failed</x:v>
      </x:c>
      <x:c r="V645" s="83" t="str">
        <x:v>Returned</x:v>
      </x:c>
      <x:c r="W645" s="151" t="n">
        <x:f>IF(OR(NOT(ISNUMBER($AP645)),COUNT($O645,$P645)&lt;2,$O645&lt;=0,$P645&lt;0),"",ROUND($O645*$P645*(1-$AP645),2))</x:f>
        <x:v>26324.02</x:v>
      </x:c>
      <x:c r="X645" s="151" t="n">
        <x:f>IF(OR(NOT(ISNUMBER($W645)),NOT(ISNUMBER($S645))),"",ROUND($W645-$S645,2))</x:f>
        <x:v>10046.06</x:v>
      </x:c>
      <x:c r="Y645" s="85" t="n">
        <x:f>IF(OR(NOT(ISNUMBER($W645)),NOT(ISNUMBER($X645)),$W645=0),"",ROUND($X645/$W645,4))</x:f>
        <x:v>0.3816</x:v>
      </x:c>
      <x:c r="Z645" s="82" t="n">
        <x:f>IF(OR($AH645&lt;&gt;"Valid",$AI645&lt;&gt;"Valid"),"",INT($D645-$C645))</x:f>
        <x:v>8</x:v>
      </x:c>
      <x:c r="AA645" s="86" t="str">
        <x:f>IF($AH645&lt;&gt;"Valid","",TEXT($C645,"mmmm"))</x:f>
        <x:v>February</x:v>
      </x:c>
      <x:c r="AB645" s="82" t="n">
        <x:f>IF($AH645&lt;&gt;"Valid","",YEAR($C645))</x:f>
        <x:v>2024</x:v>
      </x:c>
      <x:c r="AC645" s="80" t="str">
        <x:v>Failed payment (excluded from completed-sales summary)</x:v>
      </x:c>
      <x:c r="AD645" s="80" t="str">
        <x:v>Excluded</x:v>
      </x:c>
      <x:c r="AE645" s="80" t="str">
        <x:f>IF(OR($AH645&lt;&gt;"Valid",$AI645&lt;&gt;"Valid",$AJ645&lt;&gt;"Valid",LEFT($AM645,7)="Invalid",IFERROR(ABS($AQ645)&gt;0.01,FALSE),IFERROR(ABS($AR645)&gt;0.01,FALSE),COUNTIF($AS645,"*Conflicting duplicate*")&gt;0,COUNTIF($AS645,"*Completed order not paid*")&gt;0),"Invalid",IF(OR($H645="Unknown",$N645="Unknown",$AM645="Missing discount imputed as 0"),"Warning","Clean"))</x:f>
        <x:v>Clean</x:v>
      </x:c>
      <x:c r="AF645" s="80" t="str">
        <x:v>Pass</x:v>
      </x:c>
      <x:c r="AG645" s="80" t="str">
        <x:v>No text cleanup required</x:v>
      </x:c>
      <x:c r="AH645" s="12" t="str">
        <x:f>IF(C645="","Missing date",IF(ISNUMBER(C645),"Valid","Unrecognized/invalid date"))</x:f>
        <x:v>Valid</x:v>
      </x:c>
      <x:c r="AI645" s="12" t="str">
        <x:f>IF(D645="","Missing date",IF(ISNUMBER(D645),"Valid","Unrecognized/invalid date"))</x:f>
        <x:v>Valid</x:v>
      </x:c>
      <x:c r="AJ645" s="12" t="str">
        <x:v>Valid</x:v>
      </x:c>
      <x:c r="AK645" s="12" t="str">
        <x:v>Pass</x:v>
      </x:c>
      <x:c r="AL645" s="12" t="str">
        <x:v>Failed payment – excluded from completed sales</x:v>
      </x:c>
      <x:c r="AM645" s="12" t="str">
        <x:v>Valid</x:v>
      </x:c>
      <x:c r="AN645" s="12" t="str">
        <x:v>Exclude from completed sales</x:v>
      </x:c>
      <x:c r="AO645" s="12" t="str">
        <x:v>Not a refunded record</x:v>
      </x:c>
      <x:c r="AP645" s="37" t="n">
        <x:f>IF(LEFT($AM645,7)="Invalid","",IF($AM645="Missing discount imputed as 0",IF(AND(COUNT($O645,$P645,$R645,$S645)=4,$O645&gt;0,$P645&gt;=0,$R645&gt;=0,$S645&gt;=0),0,""),IF(AND(ISNUMBER($Q645),$Q645&gt;=0,$Q645&lt;=0.5),$Q645,"")))</x:f>
        <x:v>0.15</x:v>
      </x:c>
      <x:c r="AQ645" s="152" t="n">
        <x:f>IF(OR($W645="",NOT(ISNUMBER($R645))),"",ROUND($R645-$W645,2))</x:f>
        <x:v>0</x:v>
      </x:c>
      <x:c r="AR645" s="152" t="n">
        <x:f>IF(OR($X645="",NOT(ISNUMBER($T645))),"",ROUND($T645-$X645,2))</x:f>
        <x:v>0</x:v>
      </x:c>
      <x:c r="AS645" s="14" t="str">
        <x:v>OK</x:v>
      </x:c>
    </x:row>
    <x:row r="646">
      <x:c r="A646" s="80" t="n">
        <x:v>646</x:v>
      </x:c>
      <x:c r="B646" s="80" t="str">
        <x:v>ORD-2025-10645</x:v>
      </x:c>
      <x:c r="C646" s="81" t="n">
        <x:v>45757</x:v>
      </x:c>
      <x:c r="D646" s="81" t="n">
        <x:v>45764</x:v>
      </x:c>
      <x:c r="E646" s="80" t="str">
        <x:v>CUST-5549</x:v>
      </x:c>
      <x:c r="F646" s="80" t="str">
        <x:v>Vikram Iyer</x:v>
      </x:c>
      <x:c r="G646" s="80" t="str">
        <x:v>Consumer</x:v>
      </x:c>
      <x:c r="H646" s="80" t="str">
        <x:v>East</x:v>
      </x:c>
      <x:c r="I646" s="80" t="str">
        <x:v>West Bengal</x:v>
      </x:c>
      <x:c r="J646" s="80" t="str">
        <x:v>Kolkata</x:v>
      </x:c>
      <x:c r="K646" s="80" t="str">
        <x:v>Furniture</x:v>
      </x:c>
      <x:c r="L646" s="80" t="str">
        <x:v>Chairs</x:v>
      </x:c>
      <x:c r="M646" s="80" t="str">
        <x:v>Pro Chairs 812</x:v>
      </x:c>
      <x:c r="N646" s="80" t="str">
        <x:v>Standard Class</x:v>
      </x:c>
      <x:c r="O646" s="82" t="n">
        <x:v>4</x:v>
      </x:c>
      <x:c r="P646" s="83" t="n">
        <x:v>3750.02</x:v>
      </x:c>
      <x:c r="Q646" s="84" t="n">
        <x:v>0.05</x:v>
      </x:c>
      <x:c r="R646" s="83" t="n">
        <x:v>14250.08</x:v>
      </x:c>
      <x:c r="S646" s="83" t="n">
        <x:v>10914.92</x:v>
      </x:c>
      <x:c r="T646" s="83" t="n">
        <x:v>3335.16</x:v>
      </x:c>
      <x:c r="U646" s="83" t="str">
        <x:v>Paid</x:v>
      </x:c>
      <x:c r="V646" s="83" t="str">
        <x:v>Completed</x:v>
      </x:c>
      <x:c r="W646" s="151" t="n">
        <x:f>IF(OR(NOT(ISNUMBER($AP646)),COUNT($O646,$P646)&lt;2,$O646&lt;=0,$P646&lt;0),"",ROUND($O646*$P646*(1-$AP646),2))</x:f>
        <x:v>14250.08</x:v>
      </x:c>
      <x:c r="X646" s="151" t="n">
        <x:f>IF(OR(NOT(ISNUMBER($W646)),NOT(ISNUMBER($S646))),"",ROUND($W646-$S646,2))</x:f>
        <x:v>3335.16</x:v>
      </x:c>
      <x:c r="Y646" s="85" t="n">
        <x:f>IF(OR(NOT(ISNUMBER($W646)),NOT(ISNUMBER($X646)),$W646=0),"",ROUND($X646/$W646,4))</x:f>
        <x:v>0.234</x:v>
      </x:c>
      <x:c r="Z646" s="82" t="n">
        <x:f>IF(OR($AH646&lt;&gt;"Valid",$AI646&lt;&gt;"Valid"),"",INT($D646-$C646))</x:f>
        <x:v>7</x:v>
      </x:c>
      <x:c r="AA646" s="86" t="str">
        <x:f>IF($AH646&lt;&gt;"Valid","",TEXT($C646,"mmmm"))</x:f>
        <x:v>April</x:v>
      </x:c>
      <x:c r="AB646" s="82" t="n">
        <x:f>IF($AH646&lt;&gt;"Valid","",YEAR($C646))</x:f>
        <x:v>2025</x:v>
      </x:c>
      <x:c r="AC646" s="80" t="str">
        <x:v>Consistent</x:v>
      </x:c>
      <x:c r="AD646" s="80" t="str">
        <x:v>Eligible</x:v>
      </x:c>
      <x:c r="AE646" s="80" t="str">
        <x:f>IF(OR($AH646&lt;&gt;"Valid",$AI646&lt;&gt;"Valid",$AJ646&lt;&gt;"Valid",LEFT($AM646,7)="Invalid",IFERROR(ABS($AQ646)&gt;0.01,FALSE),IFERROR(ABS($AR646)&gt;0.01,FALSE),COUNTIF($AS646,"*Conflicting duplicate*")&gt;0,COUNTIF($AS646,"*Completed order not paid*")&gt;0),"Invalid",IF(OR($H646="Unknown",$N646="Unknown",$AM646="Missing discount imputed as 0"),"Warning","Clean"))</x:f>
        <x:v>Clean</x:v>
      </x:c>
      <x:c r="AF646" s="80" t="str">
        <x:v>Pass</x:v>
      </x:c>
      <x:c r="AG646" s="80" t="str">
        <x:v>No text cleanup required</x:v>
      </x:c>
      <x:c r="AH646" s="12" t="str">
        <x:f>IF(C646="","Missing date",IF(ISNUMBER(C646),"Valid","Unrecognized/invalid date"))</x:f>
        <x:v>Valid</x:v>
      </x:c>
      <x:c r="AI646" s="12" t="str">
        <x:f>IF(D646="","Missing date",IF(ISNUMBER(D646),"Valid","Unrecognized/invalid date"))</x:f>
        <x:v>Valid</x:v>
      </x:c>
      <x:c r="AJ646" s="12" t="str">
        <x:v>Valid</x:v>
      </x:c>
      <x:c r="AK646" s="12" t="str">
        <x:v>Pass</x:v>
      </x:c>
      <x:c r="AL646" s="12" t="str">
        <x:v>None</x:v>
      </x:c>
      <x:c r="AM646" s="12" t="str">
        <x:v>Valid</x:v>
      </x:c>
      <x:c r="AN646" s="12" t="str">
        <x:v>Include in completed sales</x:v>
      </x:c>
      <x:c r="AO646" s="12" t="str">
        <x:v>Not a refunded record</x:v>
      </x:c>
      <x:c r="AP646" s="37" t="n">
        <x:f>IF(LEFT($AM646,7)="Invalid","",IF($AM646="Missing discount imputed as 0",IF(AND(COUNT($O646,$P646,$R646,$S646)=4,$O646&gt;0,$P646&gt;=0,$R646&gt;=0,$S646&gt;=0),0,""),IF(AND(ISNUMBER($Q646),$Q646&gt;=0,$Q646&lt;=0.5),$Q646,"")))</x:f>
        <x:v>0.05</x:v>
      </x:c>
      <x:c r="AQ646" s="152" t="n">
        <x:f>IF(OR($W646="",NOT(ISNUMBER($R646))),"",ROUND($R646-$W646,2))</x:f>
        <x:v>0</x:v>
      </x:c>
      <x:c r="AR646" s="152" t="n">
        <x:f>IF(OR($X646="",NOT(ISNUMBER($T646))),"",ROUND($T646-$X646,2))</x:f>
        <x:v>0</x:v>
      </x:c>
      <x:c r="AS646" s="14" t="str">
        <x:v>OK</x:v>
      </x:c>
    </x:row>
    <x:row r="647">
      <x:c r="A647" s="80" t="n">
        <x:v>647</x:v>
      </x:c>
      <x:c r="B647" s="80" t="str">
        <x:v>ORD-2024-10646</x:v>
      </x:c>
      <x:c r="C647" s="81" t="n">
        <x:v>45295</x:v>
      </x:c>
      <x:c r="D647" s="81" t="n">
        <x:v>45300</x:v>
      </x:c>
      <x:c r="E647" s="80" t="str">
        <x:v>CUST-2314</x:v>
      </x:c>
      <x:c r="F647" s="80" t="str">
        <x:v>Kabir Singh</x:v>
      </x:c>
      <x:c r="G647" s="80" t="str">
        <x:v>Consumer</x:v>
      </x:c>
      <x:c r="H647" s="80" t="str">
        <x:v>East</x:v>
      </x:c>
      <x:c r="I647" s="80" t="str">
        <x:v>Bihar</x:v>
      </x:c>
      <x:c r="J647" s="80" t="str">
        <x:v>Patna</x:v>
      </x:c>
      <x:c r="K647" s="80" t="str">
        <x:v>Furniture</x:v>
      </x:c>
      <x:c r="L647" s="80" t="str">
        <x:v>Chairs</x:v>
      </x:c>
      <x:c r="M647" s="80" t="str">
        <x:v>Basic Chairs 480</x:v>
      </x:c>
      <x:c r="N647" s="80" t="str">
        <x:v>Second Class</x:v>
      </x:c>
      <x:c r="O647" s="82" t="n">
        <x:v>6</x:v>
      </x:c>
      <x:c r="P647" s="83" t="n">
        <x:v>2423.61</x:v>
      </x:c>
      <x:c r="Q647" s="84" t="n">
        <x:v>0.1</x:v>
      </x:c>
      <x:c r="R647" s="83" t="n">
        <x:v>13087.49</x:v>
      </x:c>
      <x:c r="S647" s="83" t="n">
        <x:v>7608.89</x:v>
      </x:c>
      <x:c r="T647" s="83" t="n">
        <x:v>5133.22</x:v>
      </x:c>
      <x:c r="U647" s="83" t="str">
        <x:v>Paid</x:v>
      </x:c>
      <x:c r="V647" s="83" t="str">
        <x:v>Completed</x:v>
      </x:c>
      <x:c r="W647" s="151" t="n">
        <x:f>IF(OR(NOT(ISNUMBER($AP647)),COUNT($O647,$P647)&lt;2,$O647&lt;=0,$P647&lt;0),"",ROUND($O647*$P647*(1-$AP647),2))</x:f>
        <x:v>13087.49</x:v>
      </x:c>
      <x:c r="X647" s="151" t="n">
        <x:f>IF(OR(NOT(ISNUMBER($W647)),NOT(ISNUMBER($S647))),"",ROUND($W647-$S647,2))</x:f>
        <x:v>5478.6</x:v>
      </x:c>
      <x:c r="Y647" s="85" t="n">
        <x:f>IF(OR(NOT(ISNUMBER($W647)),NOT(ISNUMBER($X647)),$W647=0),"",ROUND($X647/$W647,4))</x:f>
        <x:v>0.4186</x:v>
      </x:c>
      <x:c r="Z647" s="82" t="n">
        <x:f>IF(OR($AH647&lt;&gt;"Valid",$AI647&lt;&gt;"Valid"),"",INT($D647-$C647))</x:f>
        <x:v>5</x:v>
      </x:c>
      <x:c r="AA647" s="86" t="str">
        <x:f>IF($AH647&lt;&gt;"Valid","",TEXT($C647,"mmmm"))</x:f>
        <x:v>January</x:v>
      </x:c>
      <x:c r="AB647" s="82" t="n">
        <x:f>IF($AH647&lt;&gt;"Valid","",YEAR($C647))</x:f>
        <x:v>2024</x:v>
      </x:c>
      <x:c r="AC647" s="80" t="str">
        <x:v>Consistent</x:v>
      </x:c>
      <x:c r="AD647" s="80" t="str">
        <x:v>Excluded</x:v>
      </x:c>
      <x:c r="AE647" s="80" t="str">
        <x:f>IF(OR($AH647&lt;&gt;"Valid",$AI647&lt;&gt;"Valid",$AJ647&lt;&gt;"Valid",LEFT($AM647,7)="Invalid",IFERROR(ABS($AQ647)&gt;0.01,FALSE),IFERROR(ABS($AR647)&gt;0.01,FALSE),COUNTIF($AS647,"*Conflicting duplicate*")&gt;0,COUNTIF($AS647,"*Completed order not paid*")&gt;0),"Invalid",IF(OR($H647="Unknown",$N647="Unknown",$AM647="Missing discount imputed as 0"),"Warning","Clean"))</x:f>
        <x:v>Invalid</x:v>
      </x:c>
      <x:c r="AF647" s="80" t="str">
        <x:v>Review</x:v>
      </x:c>
      <x:c r="AG647" s="80" t="str">
        <x:v>No text cleanup required</x:v>
      </x:c>
      <x:c r="AH647" s="12" t="str">
        <x:f>IF(C647="","Missing date",IF(ISNUMBER(C647),"Valid","Unrecognized/invalid date"))</x:f>
        <x:v>Valid</x:v>
      </x:c>
      <x:c r="AI647" s="12" t="str">
        <x:f>IF(D647="","Missing date",IF(ISNUMBER(D647),"Valid","Unrecognized/invalid date"))</x:f>
        <x:v>Valid</x:v>
      </x:c>
      <x:c r="AJ647" s="12" t="str">
        <x:v>Valid</x:v>
      </x:c>
      <x:c r="AK647" s="12" t="str">
        <x:v>Pass</x:v>
      </x:c>
      <x:c r="AL647" s="12" t="str">
        <x:v>None</x:v>
      </x:c>
      <x:c r="AM647" s="12" t="str">
        <x:v>Valid</x:v>
      </x:c>
      <x:c r="AN647" s="12" t="str">
        <x:v>Exclude from completed sales</x:v>
      </x:c>
      <x:c r="AO647" s="12" t="str">
        <x:v>Not a refunded record</x:v>
      </x:c>
      <x:c r="AP647" s="37" t="n">
        <x:f>IF(LEFT($AM647,7)="Invalid","",IF($AM647="Missing discount imputed as 0",IF(AND(COUNT($O647,$P647,$R647,$S647)=4,$O647&gt;0,$P647&gt;=0,$R647&gt;=0,$S647&gt;=0),0,""),IF(AND(ISNUMBER($Q647),$Q647&gt;=0,$Q647&lt;=0.5),$Q647,"")))</x:f>
        <x:v>0.1</x:v>
      </x:c>
      <x:c r="AQ647" s="152" t="n">
        <x:f>IF(OR($W647="",NOT(ISNUMBER($R647))),"",ROUND($R647-$W647,2))</x:f>
        <x:v>0</x:v>
      </x:c>
      <x:c r="AR647" s="152" t="n">
        <x:f>IF(OR($X647="",NOT(ISNUMBER($T647))),"",ROUND($T647-$X647,2))</x:f>
        <x:v>-345.38</x:v>
      </x:c>
      <x:c r="AS647" s="14" t="str">
        <x:v>Profit calculation mismatch</x:v>
      </x:c>
    </x:row>
    <x:row r="648">
      <x:c r="A648" s="80" t="n">
        <x:v>648</x:v>
      </x:c>
      <x:c r="B648" s="80" t="str">
        <x:v>ORD-2024-10647</x:v>
      </x:c>
      <x:c r="C648" s="81" t="n">
        <x:v>45553</x:v>
      </x:c>
      <x:c r="D648" s="81" t="n">
        <x:v>45559</x:v>
      </x:c>
      <x:c r="E648" s="80" t="str">
        <x:v>CUST-6360</x:v>
      </x:c>
      <x:c r="F648" s="80" t="str">
        <x:v>Vikram Iyer</x:v>
      </x:c>
      <x:c r="G648" s="80" t="str">
        <x:v>Small Business</x:v>
      </x:c>
      <x:c r="H648" s="80" t="str">
        <x:v>East</x:v>
      </x:c>
      <x:c r="I648" s="80" t="str">
        <x:v>Jharkhand</x:v>
      </x:c>
      <x:c r="J648" s="80" t="str">
        <x:v>Ranchi</x:v>
      </x:c>
      <x:c r="K648" s="80" t="str">
        <x:v>Technology</x:v>
      </x:c>
      <x:c r="L648" s="80" t="str">
        <x:v>Machines</x:v>
      </x:c>
      <x:c r="M648" s="80" t="str">
        <x:v>Elite Machines 955</x:v>
      </x:c>
      <x:c r="N648" s="80" t="str">
        <x:v>First Class</x:v>
      </x:c>
      <x:c r="O648" s="82" t="n">
        <x:v>3</x:v>
      </x:c>
      <x:c r="P648" s="83" t="n">
        <x:v>729.14</x:v>
      </x:c>
      <x:c r="Q648" s="84" t="n">
        <x:v>0.25</x:v>
      </x:c>
      <x:c r="R648" s="83" t="n">
        <x:v>1640.57</x:v>
      </x:c>
      <x:c r="S648" s="83" t="n">
        <x:v>1136.98</x:v>
      </x:c>
      <x:c r="T648" s="83" t="n">
        <x:v>503.59</x:v>
      </x:c>
      <x:c r="U648" s="83" t="str">
        <x:v>Paid</x:v>
      </x:c>
      <x:c r="V648" s="83" t="str">
        <x:v>Completed</x:v>
      </x:c>
      <x:c r="W648" s="151" t="n">
        <x:f>IF(OR(NOT(ISNUMBER($AP648)),COUNT($O648,$P648)&lt;2,$O648&lt;=0,$P648&lt;0),"",ROUND($O648*$P648*(1-$AP648),2))</x:f>
        <x:v>1640.57</x:v>
      </x:c>
      <x:c r="X648" s="151" t="n">
        <x:f>IF(OR(NOT(ISNUMBER($W648)),NOT(ISNUMBER($S648))),"",ROUND($W648-$S648,2))</x:f>
        <x:v>503.59</x:v>
      </x:c>
      <x:c r="Y648" s="85" t="n">
        <x:f>IF(OR(NOT(ISNUMBER($W648)),NOT(ISNUMBER($X648)),$W648=0),"",ROUND($X648/$W648,4))</x:f>
        <x:v>0.307</x:v>
      </x:c>
      <x:c r="Z648" s="82" t="n">
        <x:f>IF(OR($AH648&lt;&gt;"Valid",$AI648&lt;&gt;"Valid"),"",INT($D648-$C648))</x:f>
        <x:v>6</x:v>
      </x:c>
      <x:c r="AA648" s="86" t="str">
        <x:f>IF($AH648&lt;&gt;"Valid","",TEXT($C648,"mmmm"))</x:f>
        <x:v>September</x:v>
      </x:c>
      <x:c r="AB648" s="82" t="n">
        <x:f>IF($AH648&lt;&gt;"Valid","",YEAR($C648))</x:f>
        <x:v>2024</x:v>
      </x:c>
      <x:c r="AC648" s="80" t="str">
        <x:v>Consistent</x:v>
      </x:c>
      <x:c r="AD648" s="80" t="str">
        <x:v>Eligible</x:v>
      </x:c>
      <x:c r="AE648" s="80" t="str">
        <x:f>IF(OR($AH648&lt;&gt;"Valid",$AI648&lt;&gt;"Valid",$AJ648&lt;&gt;"Valid",LEFT($AM648,7)="Invalid",IFERROR(ABS($AQ648)&gt;0.01,FALSE),IFERROR(ABS($AR648)&gt;0.01,FALSE),COUNTIF($AS648,"*Conflicting duplicate*")&gt;0,COUNTIF($AS648,"*Completed order not paid*")&gt;0),"Invalid",IF(OR($H648="Unknown",$N648="Unknown",$AM648="Missing discount imputed as 0"),"Warning","Clean"))</x:f>
        <x:v>Clean</x:v>
      </x:c>
      <x:c r="AF648" s="80" t="str">
        <x:v>Pass</x:v>
      </x:c>
      <x:c r="AG648" s="80" t="str">
        <x:v>No text cleanup required</x:v>
      </x:c>
      <x:c r="AH648" s="12" t="str">
        <x:f>IF(C648="","Missing date",IF(ISNUMBER(C648),"Valid","Unrecognized/invalid date"))</x:f>
        <x:v>Valid</x:v>
      </x:c>
      <x:c r="AI648" s="12" t="str">
        <x:f>IF(D648="","Missing date",IF(ISNUMBER(D648),"Valid","Unrecognized/invalid date"))</x:f>
        <x:v>Valid</x:v>
      </x:c>
      <x:c r="AJ648" s="12" t="str">
        <x:v>Valid</x:v>
      </x:c>
      <x:c r="AK648" s="12" t="str">
        <x:v>Pass</x:v>
      </x:c>
      <x:c r="AL648" s="12" t="str">
        <x:v>None</x:v>
      </x:c>
      <x:c r="AM648" s="12" t="str">
        <x:v>Valid</x:v>
      </x:c>
      <x:c r="AN648" s="12" t="str">
        <x:v>Include in completed sales</x:v>
      </x:c>
      <x:c r="AO648" s="12" t="str">
        <x:v>Not a refunded record</x:v>
      </x:c>
      <x:c r="AP648" s="37" t="n">
        <x:f>IF(LEFT($AM648,7)="Invalid","",IF($AM648="Missing discount imputed as 0",IF(AND(COUNT($O648,$P648,$R648,$S648)=4,$O648&gt;0,$P648&gt;=0,$R648&gt;=0,$S648&gt;=0),0,""),IF(AND(ISNUMBER($Q648),$Q648&gt;=0,$Q648&lt;=0.5),$Q648,"")))</x:f>
        <x:v>0.25</x:v>
      </x:c>
      <x:c r="AQ648" s="152" t="n">
        <x:f>IF(OR($W648="",NOT(ISNUMBER($R648))),"",ROUND($R648-$W648,2))</x:f>
        <x:v>0</x:v>
      </x:c>
      <x:c r="AR648" s="152" t="n">
        <x:f>IF(OR($X648="",NOT(ISNUMBER($T648))),"",ROUND($T648-$X648,2))</x:f>
        <x:v>0</x:v>
      </x:c>
      <x:c r="AS648" s="14" t="str">
        <x:v>OK</x:v>
      </x:c>
    </x:row>
    <x:row r="649">
      <x:c r="A649" s="80" t="n">
        <x:v>649</x:v>
      </x:c>
      <x:c r="B649" s="80" t="str">
        <x:v>ORD-2025-10648</x:v>
      </x:c>
      <x:c r="C649" s="81" t="n">
        <x:v>45658</x:v>
      </x:c>
      <x:c r="D649" s="81" t="n">
        <x:v>45666</x:v>
      </x:c>
      <x:c r="E649" s="80" t="str">
        <x:v>CUST-9942</x:v>
      </x:c>
      <x:c r="F649" s="80" t="str">
        <x:v>Rohan Mehta</x:v>
      </x:c>
      <x:c r="G649" s="80" t="str">
        <x:v>Small Business</x:v>
      </x:c>
      <x:c r="H649" s="80" t="str">
        <x:v>North</x:v>
      </x:c>
      <x:c r="I649" s="80" t="str">
        <x:v>Punjab</x:v>
      </x:c>
      <x:c r="J649" s="80" t="str">
        <x:v>Ludhiana</x:v>
      </x:c>
      <x:c r="K649" s="80" t="str">
        <x:v>Office Supplies</x:v>
      </x:c>
      <x:c r="L649" s="80" t="str">
        <x:v>Art</x:v>
      </x:c>
      <x:c r="M649" s="80" t="str">
        <x:v>Prime Art 461</x:v>
      </x:c>
      <x:c r="N649" s="80" t="str">
        <x:v>First Class</x:v>
      </x:c>
      <x:c r="O649" s="82" t="n">
        <x:v>8</x:v>
      </x:c>
      <x:c r="P649" s="83" t="n">
        <x:v>2123.81</x:v>
      </x:c>
      <x:c r="Q649" s="84" t="n">
        <x:v>0.15</x:v>
      </x:c>
      <x:c r="R649" s="83" t="n">
        <x:v>14441.91</x:v>
      </x:c>
      <x:c r="S649" s="83" t="n">
        <x:v>10872.89</x:v>
      </x:c>
      <x:c r="T649" s="83" t="n">
        <x:v>3569.02</x:v>
      </x:c>
      <x:c r="U649" s="83" t="str">
        <x:v>Paid</x:v>
      </x:c>
      <x:c r="V649" s="83" t="str">
        <x:v>Completed</x:v>
      </x:c>
      <x:c r="W649" s="151" t="n">
        <x:f>IF(OR(NOT(ISNUMBER($AP649)),COUNT($O649,$P649)&lt;2,$O649&lt;=0,$P649&lt;0),"",ROUND($O649*$P649*(1-$AP649),2))</x:f>
        <x:v>14441.91</x:v>
      </x:c>
      <x:c r="X649" s="151" t="n">
        <x:f>IF(OR(NOT(ISNUMBER($W649)),NOT(ISNUMBER($S649))),"",ROUND($W649-$S649,2))</x:f>
        <x:v>3569.02</x:v>
      </x:c>
      <x:c r="Y649" s="85" t="n">
        <x:f>IF(OR(NOT(ISNUMBER($W649)),NOT(ISNUMBER($X649)),$W649=0),"",ROUND($X649/$W649,4))</x:f>
        <x:v>0.2471</x:v>
      </x:c>
      <x:c r="Z649" s="82" t="n">
        <x:f>IF(OR($AH649&lt;&gt;"Valid",$AI649&lt;&gt;"Valid"),"",INT($D649-$C649))</x:f>
        <x:v>8</x:v>
      </x:c>
      <x:c r="AA649" s="86" t="str">
        <x:f>IF($AH649&lt;&gt;"Valid","",TEXT($C649,"mmmm"))</x:f>
        <x:v>January</x:v>
      </x:c>
      <x:c r="AB649" s="82" t="n">
        <x:f>IF($AH649&lt;&gt;"Valid","",YEAR($C649))</x:f>
        <x:v>2025</x:v>
      </x:c>
      <x:c r="AC649" s="80" t="str">
        <x:v>Consistent</x:v>
      </x:c>
      <x:c r="AD649" s="80" t="str">
        <x:v>Eligible</x:v>
      </x:c>
      <x:c r="AE649" s="80" t="str">
        <x:f>IF(OR($AH649&lt;&gt;"Valid",$AI649&lt;&gt;"Valid",$AJ649&lt;&gt;"Valid",LEFT($AM649,7)="Invalid",IFERROR(ABS($AQ649)&gt;0.01,FALSE),IFERROR(ABS($AR649)&gt;0.01,FALSE),COUNTIF($AS649,"*Conflicting duplicate*")&gt;0,COUNTIF($AS649,"*Completed order not paid*")&gt;0),"Invalid",IF(OR($H649="Unknown",$N649="Unknown",$AM649="Missing discount imputed as 0"),"Warning","Clean"))</x:f>
        <x:v>Clean</x:v>
      </x:c>
      <x:c r="AF649" s="80" t="str">
        <x:v>Cleaned</x:v>
      </x:c>
      <x:c r="AG649" s="80" t="str">
        <x:v>customer_name: TRIM/SUBSTITUTE whitespace cleanup</x:v>
      </x:c>
      <x:c r="AH649" s="12" t="str">
        <x:f>IF(C649="","Missing date",IF(ISNUMBER(C649),"Valid","Unrecognized/invalid date"))</x:f>
        <x:v>Valid</x:v>
      </x:c>
      <x:c r="AI649" s="12" t="str">
        <x:f>IF(D649="","Missing date",IF(ISNUMBER(D649),"Valid","Unrecognized/invalid date"))</x:f>
        <x:v>Valid</x:v>
      </x:c>
      <x:c r="AJ649" s="12" t="str">
        <x:v>Valid</x:v>
      </x:c>
      <x:c r="AK649" s="12" t="str">
        <x:v>Pass</x:v>
      </x:c>
      <x:c r="AL649" s="12" t="str">
        <x:v>None</x:v>
      </x:c>
      <x:c r="AM649" s="12" t="str">
        <x:v>Valid</x:v>
      </x:c>
      <x:c r="AN649" s="12" t="str">
        <x:v>Include in completed sales</x:v>
      </x:c>
      <x:c r="AO649" s="12" t="str">
        <x:v>Not a refunded record</x:v>
      </x:c>
      <x:c r="AP649" s="37" t="n">
        <x:f>IF(LEFT($AM649,7)="Invalid","",IF($AM649="Missing discount imputed as 0",IF(AND(COUNT($O649,$P649,$R649,$S649)=4,$O649&gt;0,$P649&gt;=0,$R649&gt;=0,$S649&gt;=0),0,""),IF(AND(ISNUMBER($Q649),$Q649&gt;=0,$Q649&lt;=0.5),$Q649,"")))</x:f>
        <x:v>0.15</x:v>
      </x:c>
      <x:c r="AQ649" s="152" t="n">
        <x:f>IF(OR($W649="",NOT(ISNUMBER($R649))),"",ROUND($R649-$W649,2))</x:f>
        <x:v>0</x:v>
      </x:c>
      <x:c r="AR649" s="152" t="n">
        <x:f>IF(OR($X649="",NOT(ISNUMBER($T649))),"",ROUND($T649-$X649,2))</x:f>
        <x:v>0</x:v>
      </x:c>
      <x:c r="AS649" s="14" t="str">
        <x:v>OK</x:v>
      </x:c>
    </x:row>
    <x:row r="650">
      <x:c r="A650" s="80" t="n">
        <x:v>650</x:v>
      </x:c>
      <x:c r="B650" s="80" t="str">
        <x:v>ORD-2024-10649</x:v>
      </x:c>
      <x:c r="C650" s="81" t="n">
        <x:v>45403</x:v>
      </x:c>
      <x:c r="D650" s="81" t="n">
        <x:v>45406</x:v>
      </x:c>
      <x:c r="E650" s="80" t="str">
        <x:v>CUST-1808</x:v>
      </x:c>
      <x:c r="F650" s="80" t="str">
        <x:v>Neha Gupta</x:v>
      </x:c>
      <x:c r="G650" s="80" t="str">
        <x:v>Small Business</x:v>
      </x:c>
      <x:c r="H650" s="80" t="str">
        <x:v>South</x:v>
      </x:c>
      <x:c r="I650" s="80" t="str">
        <x:v>Andhra Pradesh</x:v>
      </x:c>
      <x:c r="J650" s="80" t="str">
        <x:v>Vijayawada</x:v>
      </x:c>
      <x:c r="K650" s="80" t="str">
        <x:v>Office Supplies</x:v>
      </x:c>
      <x:c r="L650" s="80" t="str">
        <x:v>Art</x:v>
      </x:c>
      <x:c r="M650" s="80" t="str">
        <x:v>Prime Art 301</x:v>
      </x:c>
      <x:c r="N650" s="80" t="str">
        <x:v>Same Day</x:v>
      </x:c>
      <x:c r="O650" s="82" t="n">
        <x:v>9</x:v>
      </x:c>
      <x:c r="P650" s="83" t="n">
        <x:v>703.59</x:v>
      </x:c>
      <x:c r="Q650" s="84" t="n">
        <x:v>0.2</x:v>
      </x:c>
      <x:c r="R650" s="83" t="n">
        <x:v>5065.85</x:v>
      </x:c>
      <x:c r="S650" s="83" t="n">
        <x:v>3517.23</x:v>
      </x:c>
      <x:c r="T650" s="83" t="n">
        <x:v>1548.62</x:v>
      </x:c>
      <x:c r="U650" s="83" t="str">
        <x:v>Failed</x:v>
      </x:c>
      <x:c r="V650" s="83" t="str">
        <x:v>Returned</x:v>
      </x:c>
      <x:c r="W650" s="151" t="n">
        <x:f>IF(OR(NOT(ISNUMBER($AP650)),COUNT($O650,$P650)&lt;2,$O650&lt;=0,$P650&lt;0),"",ROUND($O650*$P650*(1-$AP650),2))</x:f>
        <x:v>5065.85</x:v>
      </x:c>
      <x:c r="X650" s="151" t="n">
        <x:f>IF(OR(NOT(ISNUMBER($W650)),NOT(ISNUMBER($S650))),"",ROUND($W650-$S650,2))</x:f>
        <x:v>1548.62</x:v>
      </x:c>
      <x:c r="Y650" s="85" t="n">
        <x:f>IF(OR(NOT(ISNUMBER($W650)),NOT(ISNUMBER($X650)),$W650=0),"",ROUND($X650/$W650,4))</x:f>
        <x:v>0.3057</x:v>
      </x:c>
      <x:c r="Z650" s="82" t="n">
        <x:f>IF(OR($AH650&lt;&gt;"Valid",$AI650&lt;&gt;"Valid"),"",INT($D650-$C650))</x:f>
        <x:v>3</x:v>
      </x:c>
      <x:c r="AA650" s="86" t="str">
        <x:f>IF($AH650&lt;&gt;"Valid","",TEXT($C650,"mmmm"))</x:f>
        <x:v>April</x:v>
      </x:c>
      <x:c r="AB650" s="82" t="n">
        <x:f>IF($AH650&lt;&gt;"Valid","",YEAR($C650))</x:f>
        <x:v>2024</x:v>
      </x:c>
      <x:c r="AC650" s="80" t="str">
        <x:v>Failed payment (excluded from completed-sales summary)</x:v>
      </x:c>
      <x:c r="AD650" s="80" t="str">
        <x:v>Excluded</x:v>
      </x:c>
      <x:c r="AE650" s="80" t="str">
        <x:f>IF(OR($AH650&lt;&gt;"Valid",$AI650&lt;&gt;"Valid",$AJ650&lt;&gt;"Valid",LEFT($AM650,7)="Invalid",IFERROR(ABS($AQ650)&gt;0.01,FALSE),IFERROR(ABS($AR650)&gt;0.01,FALSE),COUNTIF($AS650,"*Conflicting duplicate*")&gt;0,COUNTIF($AS650,"*Completed order not paid*")&gt;0),"Invalid",IF(OR($H650="Unknown",$N650="Unknown",$AM650="Missing discount imputed as 0"),"Warning","Clean"))</x:f>
        <x:v>Clean</x:v>
      </x:c>
      <x:c r="AF650" s="80" t="str">
        <x:v>Pass</x:v>
      </x:c>
      <x:c r="AG650" s="80" t="str">
        <x:v>No text cleanup required</x:v>
      </x:c>
      <x:c r="AH650" s="12" t="str">
        <x:f>IF(C650="","Missing date",IF(ISNUMBER(C650),"Valid","Unrecognized/invalid date"))</x:f>
        <x:v>Valid</x:v>
      </x:c>
      <x:c r="AI650" s="12" t="str">
        <x:f>IF(D650="","Missing date",IF(ISNUMBER(D650),"Valid","Unrecognized/invalid date"))</x:f>
        <x:v>Valid</x:v>
      </x:c>
      <x:c r="AJ650" s="12" t="str">
        <x:v>Valid</x:v>
      </x:c>
      <x:c r="AK650" s="12" t="str">
        <x:v>Pass</x:v>
      </x:c>
      <x:c r="AL650" s="12" t="str">
        <x:v>Failed payment – excluded from completed sales</x:v>
      </x:c>
      <x:c r="AM650" s="12" t="str">
        <x:v>Valid</x:v>
      </x:c>
      <x:c r="AN650" s="12" t="str">
        <x:v>Exclude from completed sales</x:v>
      </x:c>
      <x:c r="AO650" s="12" t="str">
        <x:v>Not a refunded record</x:v>
      </x:c>
      <x:c r="AP650" s="37" t="n">
        <x:f>IF(LEFT($AM650,7)="Invalid","",IF($AM650="Missing discount imputed as 0",IF(AND(COUNT($O650,$P650,$R650,$S650)=4,$O650&gt;0,$P650&gt;=0,$R650&gt;=0,$S650&gt;=0),0,""),IF(AND(ISNUMBER($Q650),$Q650&gt;=0,$Q650&lt;=0.5),$Q650,"")))</x:f>
        <x:v>0.2</x:v>
      </x:c>
      <x:c r="AQ650" s="152" t="n">
        <x:f>IF(OR($W650="",NOT(ISNUMBER($R650))),"",ROUND($R650-$W650,2))</x:f>
        <x:v>0</x:v>
      </x:c>
      <x:c r="AR650" s="152" t="n">
        <x:f>IF(OR($X650="",NOT(ISNUMBER($T650))),"",ROUND($T650-$X650,2))</x:f>
        <x:v>0</x:v>
      </x:c>
      <x:c r="AS650" s="14" t="str">
        <x:v>OK</x:v>
      </x:c>
    </x:row>
    <x:row r="651">
      <x:c r="A651" s="80" t="n">
        <x:v>651</x:v>
      </x:c>
      <x:c r="B651" s="80" t="str">
        <x:v>ORD-2025-10650</x:v>
      </x:c>
      <x:c r="C651" s="81" t="n">
        <x:v>45880</x:v>
      </x:c>
      <x:c r="D651" s="81" t="n">
        <x:v>45888</x:v>
      </x:c>
      <x:c r="E651" s="80" t="str">
        <x:v>CUST-7277</x:v>
      </x:c>
      <x:c r="F651" s="80" t="str">
        <x:v>Kabir Singh</x:v>
      </x:c>
      <x:c r="G651" s="80" t="str">
        <x:v>Small Business</x:v>
      </x:c>
      <x:c r="H651" s="80" t="str">
        <x:v>South</x:v>
      </x:c>
      <x:c r="I651" s="80" t="str">
        <x:v>Kerala</x:v>
      </x:c>
      <x:c r="J651" s="80" t="str">
        <x:v>Kochi</x:v>
      </x:c>
      <x:c r="K651" s="80" t="str">
        <x:v>Technology</x:v>
      </x:c>
      <x:c r="L651" s="80" t="str">
        <x:v>Accessories</x:v>
      </x:c>
      <x:c r="M651" s="80" t="str">
        <x:v>Classic Accessories 354</x:v>
      </x:c>
      <x:c r="N651" s="80" t="str">
        <x:v>Standard Class</x:v>
      </x:c>
      <x:c r="O651" s="82" t="n">
        <x:v>4</x:v>
      </x:c>
      <x:c r="P651" s="83" t="n">
        <x:v>2258.96</x:v>
      </x:c>
      <x:c r="Q651" s="84" t="n">
        <x:v>0.25</x:v>
      </x:c>
      <x:c r="R651" s="83" t="n">
        <x:v>6776.88</x:v>
      </x:c>
      <x:c r="S651" s="83" t="n">
        <x:v>3836.24</x:v>
      </x:c>
      <x:c r="T651" s="83" t="n">
        <x:v>2940.64</x:v>
      </x:c>
      <x:c r="U651" s="83" t="str">
        <x:v>Paid</x:v>
      </x:c>
      <x:c r="V651" s="83" t="str">
        <x:v>Completed</x:v>
      </x:c>
      <x:c r="W651" s="151" t="n">
        <x:f>IF(OR(NOT(ISNUMBER($AP651)),COUNT($O651,$P651)&lt;2,$O651&lt;=0,$P651&lt;0),"",ROUND($O651*$P651*(1-$AP651),2))</x:f>
        <x:v>6776.88</x:v>
      </x:c>
      <x:c r="X651" s="151" t="n">
        <x:f>IF(OR(NOT(ISNUMBER($W651)),NOT(ISNUMBER($S651))),"",ROUND($W651-$S651,2))</x:f>
        <x:v>2940.64</x:v>
      </x:c>
      <x:c r="Y651" s="85" t="n">
        <x:f>IF(OR(NOT(ISNUMBER($W651)),NOT(ISNUMBER($X651)),$W651=0),"",ROUND($X651/$W651,4))</x:f>
        <x:v>0.4339</x:v>
      </x:c>
      <x:c r="Z651" s="82" t="n">
        <x:f>IF(OR($AH651&lt;&gt;"Valid",$AI651&lt;&gt;"Valid"),"",INT($D651-$C651))</x:f>
        <x:v>8</x:v>
      </x:c>
      <x:c r="AA651" s="86" t="str">
        <x:f>IF($AH651&lt;&gt;"Valid","",TEXT($C651,"mmmm"))</x:f>
        <x:v>August</x:v>
      </x:c>
      <x:c r="AB651" s="82" t="n">
        <x:f>IF($AH651&lt;&gt;"Valid","",YEAR($C651))</x:f>
        <x:v>2025</x:v>
      </x:c>
      <x:c r="AC651" s="80" t="str">
        <x:v>Consistent</x:v>
      </x:c>
      <x:c r="AD651" s="80" t="str">
        <x:v>Eligible</x:v>
      </x:c>
      <x:c r="AE651" s="80" t="str">
        <x:f>IF(OR($AH651&lt;&gt;"Valid",$AI651&lt;&gt;"Valid",$AJ651&lt;&gt;"Valid",LEFT($AM651,7)="Invalid",IFERROR(ABS($AQ651)&gt;0.01,FALSE),IFERROR(ABS($AR651)&gt;0.01,FALSE),COUNTIF($AS651,"*Conflicting duplicate*")&gt;0,COUNTIF($AS651,"*Completed order not paid*")&gt;0),"Invalid",IF(OR($H651="Unknown",$N651="Unknown",$AM651="Missing discount imputed as 0"),"Warning","Clean"))</x:f>
        <x:v>Clean</x:v>
      </x:c>
      <x:c r="AF651" s="80" t="str">
        <x:v>Pass</x:v>
      </x:c>
      <x:c r="AG651" s="80" t="str">
        <x:v>No text cleanup required</x:v>
      </x:c>
      <x:c r="AH651" s="12" t="str">
        <x:f>IF(C651="","Missing date",IF(ISNUMBER(C651),"Valid","Unrecognized/invalid date"))</x:f>
        <x:v>Valid</x:v>
      </x:c>
      <x:c r="AI651" s="12" t="str">
        <x:f>IF(D651="","Missing date",IF(ISNUMBER(D651),"Valid","Unrecognized/invalid date"))</x:f>
        <x:v>Valid</x:v>
      </x:c>
      <x:c r="AJ651" s="12" t="str">
        <x:v>Valid</x:v>
      </x:c>
      <x:c r="AK651" s="12" t="str">
        <x:v>Pass</x:v>
      </x:c>
      <x:c r="AL651" s="12" t="str">
        <x:v>None</x:v>
      </x:c>
      <x:c r="AM651" s="12" t="str">
        <x:v>Valid</x:v>
      </x:c>
      <x:c r="AN651" s="12" t="str">
        <x:v>Include in completed sales</x:v>
      </x:c>
      <x:c r="AO651" s="12" t="str">
        <x:v>Not a refunded record</x:v>
      </x:c>
      <x:c r="AP651" s="37" t="n">
        <x:f>IF(LEFT($AM651,7)="Invalid","",IF($AM651="Missing discount imputed as 0",IF(AND(COUNT($O651,$P651,$R651,$S651)=4,$O651&gt;0,$P651&gt;=0,$R651&gt;=0,$S651&gt;=0),0,""),IF(AND(ISNUMBER($Q651),$Q651&gt;=0,$Q651&lt;=0.5),$Q651,"")))</x:f>
        <x:v>0.25</x:v>
      </x:c>
      <x:c r="AQ651" s="152" t="n">
        <x:f>IF(OR($W651="",NOT(ISNUMBER($R651))),"",ROUND($R651-$W651,2))</x:f>
        <x:v>0</x:v>
      </x:c>
      <x:c r="AR651" s="152" t="n">
        <x:f>IF(OR($X651="",NOT(ISNUMBER($T651))),"",ROUND($T651-$X651,2))</x:f>
        <x:v>0</x:v>
      </x:c>
      <x:c r="AS651" s="14" t="str">
        <x:v>OK</x:v>
      </x:c>
    </x:row>
    <x:row r="652">
      <x:c r="A652" s="80" t="n">
        <x:v>652</x:v>
      </x:c>
      <x:c r="B652" s="80" t="str">
        <x:v>ORD-2024-10651</x:v>
      </x:c>
      <x:c r="C652" s="81" t="n">
        <x:v>45395</x:v>
      </x:c>
      <x:c r="D652" s="81" t="n">
        <x:v>45403</x:v>
      </x:c>
      <x:c r="E652" s="80" t="str">
        <x:v>CUST-7744</x:v>
      </x:c>
      <x:c r="F652" s="80" t="str">
        <x:v>Aarav Sharma</x:v>
      </x:c>
      <x:c r="G652" s="80" t="str">
        <x:v>Home Office</x:v>
      </x:c>
      <x:c r="H652" s="80" t="str">
        <x:v>East</x:v>
      </x:c>
      <x:c r="I652" s="80" t="str">
        <x:v>Bihar</x:v>
      </x:c>
      <x:c r="J652" s="80" t="str">
        <x:v>Patna</x:v>
      </x:c>
      <x:c r="K652" s="80" t="str">
        <x:v>Technology</x:v>
      </x:c>
      <x:c r="L652" s="80" t="str">
        <x:v>Accessories</x:v>
      </x:c>
      <x:c r="M652" s="80" t="str">
        <x:v>Basic Accessories 210</x:v>
      </x:c>
      <x:c r="N652" s="80" t="str">
        <x:v>Same Day</x:v>
      </x:c>
      <x:c r="O652" s="82" t="n">
        <x:v>7</x:v>
      </x:c>
      <x:c r="P652" s="83" t="n">
        <x:v>2648.76</x:v>
      </x:c>
      <x:c r="Q652" s="84" t="n">
        <x:v>0.15</x:v>
      </x:c>
      <x:c r="R652" s="83" t="n">
        <x:v>15760.12</x:v>
      </x:c>
      <x:c r="S652" s="83" t="n">
        <x:v>9931.53</x:v>
      </x:c>
      <x:c r="T652" s="83" t="n">
        <x:v>5828.59</x:v>
      </x:c>
      <x:c r="U652" s="83" t="str">
        <x:v>Failed</x:v>
      </x:c>
      <x:c r="V652" s="83" t="str">
        <x:v>Returned</x:v>
      </x:c>
      <x:c r="W652" s="151" t="n">
        <x:f>IF(OR(NOT(ISNUMBER($AP652)),COUNT($O652,$P652)&lt;2,$O652&lt;=0,$P652&lt;0),"",ROUND($O652*$P652*(1-$AP652),2))</x:f>
        <x:v>15760.12</x:v>
      </x:c>
      <x:c r="X652" s="151" t="n">
        <x:f>IF(OR(NOT(ISNUMBER($W652)),NOT(ISNUMBER($S652))),"",ROUND($W652-$S652,2))</x:f>
        <x:v>5828.59</x:v>
      </x:c>
      <x:c r="Y652" s="85" t="n">
        <x:f>IF(OR(NOT(ISNUMBER($W652)),NOT(ISNUMBER($X652)),$W652=0),"",ROUND($X652/$W652,4))</x:f>
        <x:v>0.3698</x:v>
      </x:c>
      <x:c r="Z652" s="82" t="n">
        <x:f>IF(OR($AH652&lt;&gt;"Valid",$AI652&lt;&gt;"Valid"),"",INT($D652-$C652))</x:f>
        <x:v>8</x:v>
      </x:c>
      <x:c r="AA652" s="86" t="str">
        <x:f>IF($AH652&lt;&gt;"Valid","",TEXT($C652,"mmmm"))</x:f>
        <x:v>April</x:v>
      </x:c>
      <x:c r="AB652" s="82" t="n">
        <x:f>IF($AH652&lt;&gt;"Valid","",YEAR($C652))</x:f>
        <x:v>2024</x:v>
      </x:c>
      <x:c r="AC652" s="80" t="str">
        <x:v>Failed payment (excluded from completed-sales summary)</x:v>
      </x:c>
      <x:c r="AD652" s="80" t="str">
        <x:v>Excluded</x:v>
      </x:c>
      <x:c r="AE652" s="80" t="str">
        <x:f>IF(OR($AH652&lt;&gt;"Valid",$AI652&lt;&gt;"Valid",$AJ652&lt;&gt;"Valid",LEFT($AM652,7)="Invalid",IFERROR(ABS($AQ652)&gt;0.01,FALSE),IFERROR(ABS($AR652)&gt;0.01,FALSE),COUNTIF($AS652,"*Conflicting duplicate*")&gt;0,COUNTIF($AS652,"*Completed order not paid*")&gt;0),"Invalid",IF(OR($H652="Unknown",$N652="Unknown",$AM652="Missing discount imputed as 0"),"Warning","Clean"))</x:f>
        <x:v>Clean</x:v>
      </x:c>
      <x:c r="AF652" s="80" t="str">
        <x:v>Pass</x:v>
      </x:c>
      <x:c r="AG652" s="80" t="str">
        <x:v>No text cleanup required</x:v>
      </x:c>
      <x:c r="AH652" s="12" t="str">
        <x:f>IF(C652="","Missing date",IF(ISNUMBER(C652),"Valid","Unrecognized/invalid date"))</x:f>
        <x:v>Valid</x:v>
      </x:c>
      <x:c r="AI652" s="12" t="str">
        <x:f>IF(D652="","Missing date",IF(ISNUMBER(D652),"Valid","Unrecognized/invalid date"))</x:f>
        <x:v>Valid</x:v>
      </x:c>
      <x:c r="AJ652" s="12" t="str">
        <x:v>Valid</x:v>
      </x:c>
      <x:c r="AK652" s="12" t="str">
        <x:v>Pass</x:v>
      </x:c>
      <x:c r="AL652" s="12" t="str">
        <x:v>Failed payment – excluded from completed sales</x:v>
      </x:c>
      <x:c r="AM652" s="12" t="str">
        <x:v>Valid</x:v>
      </x:c>
      <x:c r="AN652" s="12" t="str">
        <x:v>Exclude from completed sales</x:v>
      </x:c>
      <x:c r="AO652" s="12" t="str">
        <x:v>Not a refunded record</x:v>
      </x:c>
      <x:c r="AP652" s="37" t="n">
        <x:f>IF(LEFT($AM652,7)="Invalid","",IF($AM652="Missing discount imputed as 0",IF(AND(COUNT($O652,$P652,$R652,$S652)=4,$O652&gt;0,$P652&gt;=0,$R652&gt;=0,$S652&gt;=0),0,""),IF(AND(ISNUMBER($Q652),$Q652&gt;=0,$Q652&lt;=0.5),$Q652,"")))</x:f>
        <x:v>0.15</x:v>
      </x:c>
      <x:c r="AQ652" s="152" t="n">
        <x:f>IF(OR($W652="",NOT(ISNUMBER($R652))),"",ROUND($R652-$W652,2))</x:f>
        <x:v>0</x:v>
      </x:c>
      <x:c r="AR652" s="152" t="n">
        <x:f>IF(OR($X652="",NOT(ISNUMBER($T652))),"",ROUND($T652-$X652,2))</x:f>
        <x:v>0</x:v>
      </x:c>
      <x:c r="AS652" s="14" t="str">
        <x:v>OK</x:v>
      </x:c>
    </x:row>
    <x:row r="653">
      <x:c r="A653" s="80" t="n">
        <x:v>653</x:v>
      </x:c>
      <x:c r="B653" s="80" t="str">
        <x:v>ORD-2025-10652</x:v>
      </x:c>
      <x:c r="C653" s="81" t="n">
        <x:v>45875</x:v>
      </x:c>
      <x:c r="D653" s="81" t="n">
        <x:v>45878</x:v>
      </x:c>
      <x:c r="E653" s="80" t="str">
        <x:v>CUST-2660</x:v>
      </x:c>
      <x:c r="F653" s="80" t="str">
        <x:v>Mira Das</x:v>
      </x:c>
      <x:c r="G653" s="80" t="str">
        <x:v>Small Business</x:v>
      </x:c>
      <x:c r="H653" s="80" t="str">
        <x:v>South</x:v>
      </x:c>
      <x:c r="I653" s="80" t="str">
        <x:v>Andhra Pradesh</x:v>
      </x:c>
      <x:c r="J653" s="80" t="str">
        <x:v>Vijayawada</x:v>
      </x:c>
      <x:c r="K653" s="80" t="str">
        <x:v>Office Supplies</x:v>
      </x:c>
      <x:c r="L653" s="80" t="str">
        <x:v>Paper</x:v>
      </x:c>
      <x:c r="M653" s="80" t="str">
        <x:v>Smart Paper 364</x:v>
      </x:c>
      <x:c r="N653" s="80" t="str">
        <x:v>Second Class</x:v>
      </x:c>
      <x:c r="O653" s="82" t="n">
        <x:v>3</x:v>
      </x:c>
      <x:c r="P653" s="83" t="n">
        <x:v>598.55</x:v>
      </x:c>
      <x:c r="Q653" s="84" t="n">
        <x:v>0</x:v>
      </x:c>
      <x:c r="R653" s="83" t="n">
        <x:v>1795.65</x:v>
      </x:c>
      <x:c r="S653" s="83" t="n">
        <x:v>996.72</x:v>
      </x:c>
      <x:c r="T653" s="83" t="n">
        <x:v>798.93</x:v>
      </x:c>
      <x:c r="U653" s="83" t="str">
        <x:v>Paid</x:v>
      </x:c>
      <x:c r="V653" s="83" t="str">
        <x:v>Completed</x:v>
      </x:c>
      <x:c r="W653" s="151" t="n">
        <x:f>IF(OR(NOT(ISNUMBER($AP653)),COUNT($O653,$P653)&lt;2,$O653&lt;=0,$P653&lt;0),"",ROUND($O653*$P653*(1-$AP653),2))</x:f>
        <x:v>1795.65</x:v>
      </x:c>
      <x:c r="X653" s="151" t="n">
        <x:f>IF(OR(NOT(ISNUMBER($W653)),NOT(ISNUMBER($S653))),"",ROUND($W653-$S653,2))</x:f>
        <x:v>798.93</x:v>
      </x:c>
      <x:c r="Y653" s="85" t="n">
        <x:f>IF(OR(NOT(ISNUMBER($W653)),NOT(ISNUMBER($X653)),$W653=0),"",ROUND($X653/$W653,4))</x:f>
        <x:v>0.4449</x:v>
      </x:c>
      <x:c r="Z653" s="82" t="n">
        <x:f>IF(OR($AH653&lt;&gt;"Valid",$AI653&lt;&gt;"Valid"),"",INT($D653-$C653))</x:f>
        <x:v>3</x:v>
      </x:c>
      <x:c r="AA653" s="86" t="str">
        <x:f>IF($AH653&lt;&gt;"Valid","",TEXT($C653,"mmmm"))</x:f>
        <x:v>August</x:v>
      </x:c>
      <x:c r="AB653" s="82" t="n">
        <x:f>IF($AH653&lt;&gt;"Valid","",YEAR($C653))</x:f>
        <x:v>2025</x:v>
      </x:c>
      <x:c r="AC653" s="80" t="str">
        <x:v>Consistent</x:v>
      </x:c>
      <x:c r="AD653" s="80" t="str">
        <x:v>Eligible</x:v>
      </x:c>
      <x:c r="AE653" s="80" t="str">
        <x:f>IF(OR($AH653&lt;&gt;"Valid",$AI653&lt;&gt;"Valid",$AJ653&lt;&gt;"Valid",LEFT($AM653,7)="Invalid",IFERROR(ABS($AQ653)&gt;0.01,FALSE),IFERROR(ABS($AR653)&gt;0.01,FALSE),COUNTIF($AS653,"*Conflicting duplicate*")&gt;0,COUNTIF($AS653,"*Completed order not paid*")&gt;0),"Invalid",IF(OR($H653="Unknown",$N653="Unknown",$AM653="Missing discount imputed as 0"),"Warning","Clean"))</x:f>
        <x:v>Clean</x:v>
      </x:c>
      <x:c r="AF653" s="80" t="str">
        <x:v>Pass</x:v>
      </x:c>
      <x:c r="AG653" s="80" t="str">
        <x:v>No text cleanup required</x:v>
      </x:c>
      <x:c r="AH653" s="12" t="str">
        <x:f>IF(C653="","Missing date",IF(ISNUMBER(C653),"Valid","Unrecognized/invalid date"))</x:f>
        <x:v>Valid</x:v>
      </x:c>
      <x:c r="AI653" s="12" t="str">
        <x:f>IF(D653="","Missing date",IF(ISNUMBER(D653),"Valid","Unrecognized/invalid date"))</x:f>
        <x:v>Valid</x:v>
      </x:c>
      <x:c r="AJ653" s="12" t="str">
        <x:v>Valid</x:v>
      </x:c>
      <x:c r="AK653" s="12" t="str">
        <x:v>Pass</x:v>
      </x:c>
      <x:c r="AL653" s="12" t="str">
        <x:v>None</x:v>
      </x:c>
      <x:c r="AM653" s="12" t="str">
        <x:v>Valid</x:v>
      </x:c>
      <x:c r="AN653" s="12" t="str">
        <x:v>Include in completed sales</x:v>
      </x:c>
      <x:c r="AO653" s="12" t="str">
        <x:v>Not a refunded record</x:v>
      </x:c>
      <x:c r="AP653" s="37" t="n">
        <x:f>IF(LEFT($AM653,7)="Invalid","",IF($AM653="Missing discount imputed as 0",IF(AND(COUNT($O653,$P653,$R653,$S653)=4,$O653&gt;0,$P653&gt;=0,$R653&gt;=0,$S653&gt;=0),0,""),IF(AND(ISNUMBER($Q653),$Q653&gt;=0,$Q653&lt;=0.5),$Q653,"")))</x:f>
        <x:v>0</x:v>
      </x:c>
      <x:c r="AQ653" s="152" t="n">
        <x:f>IF(OR($W653="",NOT(ISNUMBER($R653))),"",ROUND($R653-$W653,2))</x:f>
        <x:v>0</x:v>
      </x:c>
      <x:c r="AR653" s="152" t="n">
        <x:f>IF(OR($X653="",NOT(ISNUMBER($T653))),"",ROUND($T653-$X653,2))</x:f>
        <x:v>0</x:v>
      </x:c>
      <x:c r="AS653" s="14" t="str">
        <x:v>OK</x:v>
      </x:c>
    </x:row>
    <x:row r="654">
      <x:c r="A654" s="80" t="n">
        <x:v>654</x:v>
      </x:c>
      <x:c r="B654" s="80" t="str">
        <x:v>ORD-2025-10653</x:v>
      </x:c>
      <x:c r="C654" s="81" t="n">
        <x:v>45733</x:v>
      </x:c>
      <x:c r="D654" s="81" t="n">
        <x:v>45737</x:v>
      </x:c>
      <x:c r="E654" s="80" t="str">
        <x:v>CUST-8177</x:v>
      </x:c>
      <x:c r="F654" s="80" t="str">
        <x:v>Sneha Kapoor</x:v>
      </x:c>
      <x:c r="G654" s="80" t="str">
        <x:v>Consumer</x:v>
      </x:c>
      <x:c r="H654" s="80" t="str">
        <x:v>North</x:v>
      </x:c>
      <x:c r="I654" s="80" t="str">
        <x:v>Uttar Pradesh</x:v>
      </x:c>
      <x:c r="J654" s="80" t="str">
        <x:v>Noida</x:v>
      </x:c>
      <x:c r="K654" s="80" t="str">
        <x:v>Office Supplies</x:v>
      </x:c>
      <x:c r="L654" s="80" t="str">
        <x:v>Binders</x:v>
      </x:c>
      <x:c r="M654" s="80" t="str">
        <x:v>Smart Binders 999</x:v>
      </x:c>
      <x:c r="N654" s="80" t="str">
        <x:v>Standard Class</x:v>
      </x:c>
      <x:c r="O654" s="82" t="n">
        <x:v>5</x:v>
      </x:c>
      <x:c r="P654" s="83" t="n">
        <x:v>4320.59</x:v>
      </x:c>
      <x:c r="Q654" s="84" t="n">
        <x:v>0.15</x:v>
      </x:c>
      <x:c r="R654" s="83" t="n">
        <x:v>18362.51</x:v>
      </x:c>
      <x:c r="S654" s="83" t="n">
        <x:v>11133.97</x:v>
      </x:c>
      <x:c r="T654" s="83" t="n">
        <x:v>7228.54</x:v>
      </x:c>
      <x:c r="U654" s="83" t="str">
        <x:v>Paid</x:v>
      </x:c>
      <x:c r="V654" s="83" t="str">
        <x:v>Completed</x:v>
      </x:c>
      <x:c r="W654" s="151" t="n">
        <x:f>IF(OR(NOT(ISNUMBER($AP654)),COUNT($O654,$P654)&lt;2,$O654&lt;=0,$P654&lt;0),"",ROUND($O654*$P654*(1-$AP654),2))</x:f>
        <x:v>18362.51</x:v>
      </x:c>
      <x:c r="X654" s="151" t="n">
        <x:f>IF(OR(NOT(ISNUMBER($W654)),NOT(ISNUMBER($S654))),"",ROUND($W654-$S654,2))</x:f>
        <x:v>7228.54</x:v>
      </x:c>
      <x:c r="Y654" s="85" t="n">
        <x:f>IF(OR(NOT(ISNUMBER($W654)),NOT(ISNUMBER($X654)),$W654=0),"",ROUND($X654/$W654,4))</x:f>
        <x:v>0.3937</x:v>
      </x:c>
      <x:c r="Z654" s="82" t="n">
        <x:f>IF(OR($AH654&lt;&gt;"Valid",$AI654&lt;&gt;"Valid"),"",INT($D654-$C654))</x:f>
        <x:v>4</x:v>
      </x:c>
      <x:c r="AA654" s="86" t="str">
        <x:f>IF($AH654&lt;&gt;"Valid","",TEXT($C654,"mmmm"))</x:f>
        <x:v>March</x:v>
      </x:c>
      <x:c r="AB654" s="82" t="n">
        <x:f>IF($AH654&lt;&gt;"Valid","",YEAR($C654))</x:f>
        <x:v>2025</x:v>
      </x:c>
      <x:c r="AC654" s="80" t="str">
        <x:v>Consistent</x:v>
      </x:c>
      <x:c r="AD654" s="80" t="str">
        <x:v>Eligible</x:v>
      </x:c>
      <x:c r="AE654" s="80" t="str">
        <x:f>IF(OR($AH654&lt;&gt;"Valid",$AI654&lt;&gt;"Valid",$AJ654&lt;&gt;"Valid",LEFT($AM654,7)="Invalid",IFERROR(ABS($AQ654)&gt;0.01,FALSE),IFERROR(ABS($AR654)&gt;0.01,FALSE),COUNTIF($AS654,"*Conflicting duplicate*")&gt;0,COUNTIF($AS654,"*Completed order not paid*")&gt;0),"Invalid",IF(OR($H654="Unknown",$N654="Unknown",$AM654="Missing discount imputed as 0"),"Warning","Clean"))</x:f>
        <x:v>Clean</x:v>
      </x:c>
      <x:c r="AF654" s="80" t="str">
        <x:v>Pass</x:v>
      </x:c>
      <x:c r="AG654" s="80" t="str">
        <x:v>No text cleanup required</x:v>
      </x:c>
      <x:c r="AH654" s="12" t="str">
        <x:f>IF(C654="","Missing date",IF(ISNUMBER(C654),"Valid","Unrecognized/invalid date"))</x:f>
        <x:v>Valid</x:v>
      </x:c>
      <x:c r="AI654" s="12" t="str">
        <x:f>IF(D654="","Missing date",IF(ISNUMBER(D654),"Valid","Unrecognized/invalid date"))</x:f>
        <x:v>Valid</x:v>
      </x:c>
      <x:c r="AJ654" s="12" t="str">
        <x:v>Valid</x:v>
      </x:c>
      <x:c r="AK654" s="12" t="str">
        <x:v>Pass</x:v>
      </x:c>
      <x:c r="AL654" s="12" t="str">
        <x:v>None</x:v>
      </x:c>
      <x:c r="AM654" s="12" t="str">
        <x:v>Valid</x:v>
      </x:c>
      <x:c r="AN654" s="12" t="str">
        <x:v>Include in completed sales</x:v>
      </x:c>
      <x:c r="AO654" s="12" t="str">
        <x:v>Not a refunded record</x:v>
      </x:c>
      <x:c r="AP654" s="37" t="n">
        <x:f>IF(LEFT($AM654,7)="Invalid","",IF($AM654="Missing discount imputed as 0",IF(AND(COUNT($O654,$P654,$R654,$S654)=4,$O654&gt;0,$P654&gt;=0,$R654&gt;=0,$S654&gt;=0),0,""),IF(AND(ISNUMBER($Q654),$Q654&gt;=0,$Q654&lt;=0.5),$Q654,"")))</x:f>
        <x:v>0.15</x:v>
      </x:c>
      <x:c r="AQ654" s="152" t="n">
        <x:f>IF(OR($W654="",NOT(ISNUMBER($R654))),"",ROUND($R654-$W654,2))</x:f>
        <x:v>0</x:v>
      </x:c>
      <x:c r="AR654" s="152" t="n">
        <x:f>IF(OR($X654="",NOT(ISNUMBER($T654))),"",ROUND($T654-$X654,2))</x:f>
        <x:v>0</x:v>
      </x:c>
      <x:c r="AS654" s="14" t="str">
        <x:v>OK</x:v>
      </x:c>
    </x:row>
    <x:row r="655">
      <x:c r="A655" s="80" t="n">
        <x:v>655</x:v>
      </x:c>
      <x:c r="B655" s="80" t="str">
        <x:v>ORD-2025-10654</x:v>
      </x:c>
      <x:c r="C655" s="81" t="n">
        <x:v>45751</x:v>
      </x:c>
      <x:c r="D655" s="81" t="n">
        <x:v>45754</x:v>
      </x:c>
      <x:c r="E655" s="80" t="str">
        <x:v>CUST-3970</x:v>
      </x:c>
      <x:c r="F655" s="80" t="str">
        <x:v>Priya Menon</x:v>
      </x:c>
      <x:c r="G655" s="80" t="str">
        <x:v>Small Business</x:v>
      </x:c>
      <x:c r="H655" s="80" t="str">
        <x:v>South</x:v>
      </x:c>
      <x:c r="I655" s="80" t="str">
        <x:v>Tamil Nadu</x:v>
      </x:c>
      <x:c r="J655" s="80" t="str">
        <x:v>Chennai</x:v>
      </x:c>
      <x:c r="K655" s="80" t="str">
        <x:v>Technology</x:v>
      </x:c>
      <x:c r="L655" s="80" t="str">
        <x:v>Copiers</x:v>
      </x:c>
      <x:c r="M655" s="80" t="str">
        <x:v>Max Copiers 356</x:v>
      </x:c>
      <x:c r="N655" s="80" t="str">
        <x:v>Second Class</x:v>
      </x:c>
      <x:c r="O655" s="82" t="n">
        <x:v>7</x:v>
      </x:c>
      <x:c r="P655" s="83" t="n">
        <x:v>4457.93</x:v>
      </x:c>
      <x:c r="Q655" s="84" t="n">
        <x:v>0.15</x:v>
      </x:c>
      <x:c r="R655" s="83" t="n">
        <x:v>26524.68</x:v>
      </x:c>
      <x:c r="S655" s="83" t="n">
        <x:v>20574.3</x:v>
      </x:c>
      <x:c r="T655" s="83" t="n">
        <x:v>5950.38</x:v>
      </x:c>
      <x:c r="U655" s="83" t="str">
        <x:v>Paid</x:v>
      </x:c>
      <x:c r="V655" s="83" t="str">
        <x:v>Completed</x:v>
      </x:c>
      <x:c r="W655" s="151" t="n">
        <x:f>IF(OR(NOT(ISNUMBER($AP655)),COUNT($O655,$P655)&lt;2,$O655&lt;=0,$P655&lt;0),"",ROUND($O655*$P655*(1-$AP655),2))</x:f>
        <x:v>26524.68</x:v>
      </x:c>
      <x:c r="X655" s="151" t="n">
        <x:f>IF(OR(NOT(ISNUMBER($W655)),NOT(ISNUMBER($S655))),"",ROUND($W655-$S655,2))</x:f>
        <x:v>5950.38</x:v>
      </x:c>
      <x:c r="Y655" s="85" t="n">
        <x:f>IF(OR(NOT(ISNUMBER($W655)),NOT(ISNUMBER($X655)),$W655=0),"",ROUND($X655/$W655,4))</x:f>
        <x:v>0.2243</x:v>
      </x:c>
      <x:c r="Z655" s="82" t="n">
        <x:f>IF(OR($AH655&lt;&gt;"Valid",$AI655&lt;&gt;"Valid"),"",INT($D655-$C655))</x:f>
        <x:v>3</x:v>
      </x:c>
      <x:c r="AA655" s="86" t="str">
        <x:f>IF($AH655&lt;&gt;"Valid","",TEXT($C655,"mmmm"))</x:f>
        <x:v>April</x:v>
      </x:c>
      <x:c r="AB655" s="82" t="n">
        <x:f>IF($AH655&lt;&gt;"Valid","",YEAR($C655))</x:f>
        <x:v>2025</x:v>
      </x:c>
      <x:c r="AC655" s="80" t="str">
        <x:v>Consistent</x:v>
      </x:c>
      <x:c r="AD655" s="80" t="str">
        <x:v>Eligible</x:v>
      </x:c>
      <x:c r="AE655" s="80" t="str">
        <x:f>IF(OR($AH655&lt;&gt;"Valid",$AI655&lt;&gt;"Valid",$AJ655&lt;&gt;"Valid",LEFT($AM655,7)="Invalid",IFERROR(ABS($AQ655)&gt;0.01,FALSE),IFERROR(ABS($AR655)&gt;0.01,FALSE),COUNTIF($AS655,"*Conflicting duplicate*")&gt;0,COUNTIF($AS655,"*Completed order not paid*")&gt;0),"Invalid",IF(OR($H655="Unknown",$N655="Unknown",$AM655="Missing discount imputed as 0"),"Warning","Clean"))</x:f>
        <x:v>Clean</x:v>
      </x:c>
      <x:c r="AF655" s="80" t="str">
        <x:v>Pass</x:v>
      </x:c>
      <x:c r="AG655" s="80" t="str">
        <x:v>No text cleanup required</x:v>
      </x:c>
      <x:c r="AH655" s="12" t="str">
        <x:f>IF(C655="","Missing date",IF(ISNUMBER(C655),"Valid","Unrecognized/invalid date"))</x:f>
        <x:v>Valid</x:v>
      </x:c>
      <x:c r="AI655" s="12" t="str">
        <x:f>IF(D655="","Missing date",IF(ISNUMBER(D655),"Valid","Unrecognized/invalid date"))</x:f>
        <x:v>Valid</x:v>
      </x:c>
      <x:c r="AJ655" s="12" t="str">
        <x:v>Valid</x:v>
      </x:c>
      <x:c r="AK655" s="12" t="str">
        <x:v>Pass</x:v>
      </x:c>
      <x:c r="AL655" s="12" t="str">
        <x:v>None</x:v>
      </x:c>
      <x:c r="AM655" s="12" t="str">
        <x:v>Valid</x:v>
      </x:c>
      <x:c r="AN655" s="12" t="str">
        <x:v>Include in completed sales</x:v>
      </x:c>
      <x:c r="AO655" s="12" t="str">
        <x:v>Not a refunded record</x:v>
      </x:c>
      <x:c r="AP655" s="37" t="n">
        <x:f>IF(LEFT($AM655,7)="Invalid","",IF($AM655="Missing discount imputed as 0",IF(AND(COUNT($O655,$P655,$R655,$S655)=4,$O655&gt;0,$P655&gt;=0,$R655&gt;=0,$S655&gt;=0),0,""),IF(AND(ISNUMBER($Q655),$Q655&gt;=0,$Q655&lt;=0.5),$Q655,"")))</x:f>
        <x:v>0.15</x:v>
      </x:c>
      <x:c r="AQ655" s="152" t="n">
        <x:f>IF(OR($W655="",NOT(ISNUMBER($R655))),"",ROUND($R655-$W655,2))</x:f>
        <x:v>0</x:v>
      </x:c>
      <x:c r="AR655" s="152" t="n">
        <x:f>IF(OR($X655="",NOT(ISNUMBER($T655))),"",ROUND($T655-$X655,2))</x:f>
        <x:v>0</x:v>
      </x:c>
      <x:c r="AS655" s="14" t="str">
        <x:v>OK</x:v>
      </x:c>
    </x:row>
    <x:row r="656">
      <x:c r="A656" s="80" t="n">
        <x:v>656</x:v>
      </x:c>
      <x:c r="B656" s="80" t="str">
        <x:v>ORD-2025-10655</x:v>
      </x:c>
      <x:c r="C656" s="81" t="n">
        <x:v>45942</x:v>
      </x:c>
      <x:c r="D656" s="81" t="n">
        <x:v>45946</x:v>
      </x:c>
      <x:c r="E656" s="80" t="str">
        <x:v>CUST-8249</x:v>
      </x:c>
      <x:c r="F656" s="80" t="str">
        <x:v>Diya Patel</x:v>
      </x:c>
      <x:c r="G656" s="80" t="str">
        <x:v>Corporate</x:v>
      </x:c>
      <x:c r="H656" s="80" t="str">
        <x:v>East</x:v>
      </x:c>
      <x:c r="I656" s="80" t="str">
        <x:v>Bihar</x:v>
      </x:c>
      <x:c r="J656" s="80" t="str">
        <x:v>Patna</x:v>
      </x:c>
      <x:c r="K656" s="80" t="str">
        <x:v>Technology</x:v>
      </x:c>
      <x:c r="L656" s="80" t="str">
        <x:v>Machines</x:v>
      </x:c>
      <x:c r="M656" s="80" t="str">
        <x:v>Classic Machines 639</x:v>
      </x:c>
      <x:c r="N656" s="80" t="str">
        <x:v>Same Day</x:v>
      </x:c>
      <x:c r="O656" s="82" t="n">
        <x:v>1</x:v>
      </x:c>
      <x:c r="P656" s="83" t="n">
        <x:v>2570.06</x:v>
      </x:c>
      <x:c r="Q656" s="84" t="n">
        <x:v>0.2</x:v>
      </x:c>
      <x:c r="R656" s="83" t="n">
        <x:v>2056.05</x:v>
      </x:c>
      <x:c r="S656" s="83" t="n">
        <x:v>1662.39</x:v>
      </x:c>
      <x:c r="T656" s="83" t="n">
        <x:v>393.66</x:v>
      </x:c>
      <x:c r="U656" s="83" t="str">
        <x:v>Paid</x:v>
      </x:c>
      <x:c r="V656" s="83" t="str">
        <x:v>Completed</x:v>
      </x:c>
      <x:c r="W656" s="151" t="n">
        <x:f>IF(OR(NOT(ISNUMBER($AP656)),COUNT($O656,$P656)&lt;2,$O656&lt;=0,$P656&lt;0),"",ROUND($O656*$P656*(1-$AP656),2))</x:f>
        <x:v>2056.05</x:v>
      </x:c>
      <x:c r="X656" s="151" t="n">
        <x:f>IF(OR(NOT(ISNUMBER($W656)),NOT(ISNUMBER($S656))),"",ROUND($W656-$S656,2))</x:f>
        <x:v>393.66</x:v>
      </x:c>
      <x:c r="Y656" s="85" t="n">
        <x:f>IF(OR(NOT(ISNUMBER($W656)),NOT(ISNUMBER($X656)),$W656=0),"",ROUND($X656/$W656,4))</x:f>
        <x:v>0.1915</x:v>
      </x:c>
      <x:c r="Z656" s="82" t="n">
        <x:f>IF(OR($AH656&lt;&gt;"Valid",$AI656&lt;&gt;"Valid"),"",INT($D656-$C656))</x:f>
        <x:v>4</x:v>
      </x:c>
      <x:c r="AA656" s="86" t="str">
        <x:f>IF($AH656&lt;&gt;"Valid","",TEXT($C656,"mmmm"))</x:f>
        <x:v>October</x:v>
      </x:c>
      <x:c r="AB656" s="82" t="n">
        <x:f>IF($AH656&lt;&gt;"Valid","",YEAR($C656))</x:f>
        <x:v>2025</x:v>
      </x:c>
      <x:c r="AC656" s="80" t="str">
        <x:v>Consistent</x:v>
      </x:c>
      <x:c r="AD656" s="80" t="str">
        <x:v>Eligible</x:v>
      </x:c>
      <x:c r="AE656" s="80" t="str">
        <x:f>IF(OR($AH656&lt;&gt;"Valid",$AI656&lt;&gt;"Valid",$AJ656&lt;&gt;"Valid",LEFT($AM656,7)="Invalid",IFERROR(ABS($AQ656)&gt;0.01,FALSE),IFERROR(ABS($AR656)&gt;0.01,FALSE),COUNTIF($AS656,"*Conflicting duplicate*")&gt;0,COUNTIF($AS656,"*Completed order not paid*")&gt;0),"Invalid",IF(OR($H656="Unknown",$N656="Unknown",$AM656="Missing discount imputed as 0"),"Warning","Clean"))</x:f>
        <x:v>Clean</x:v>
      </x:c>
      <x:c r="AF656" s="80" t="str">
        <x:v>Pass</x:v>
      </x:c>
      <x:c r="AG656" s="80" t="str">
        <x:v>No text cleanup required</x:v>
      </x:c>
      <x:c r="AH656" s="12" t="str">
        <x:f>IF(C656="","Missing date",IF(ISNUMBER(C656),"Valid","Unrecognized/invalid date"))</x:f>
        <x:v>Valid</x:v>
      </x:c>
      <x:c r="AI656" s="12" t="str">
        <x:f>IF(D656="","Missing date",IF(ISNUMBER(D656),"Valid","Unrecognized/invalid date"))</x:f>
        <x:v>Valid</x:v>
      </x:c>
      <x:c r="AJ656" s="12" t="str">
        <x:v>Valid</x:v>
      </x:c>
      <x:c r="AK656" s="12" t="str">
        <x:v>Pass</x:v>
      </x:c>
      <x:c r="AL656" s="12" t="str">
        <x:v>None</x:v>
      </x:c>
      <x:c r="AM656" s="12" t="str">
        <x:v>Valid</x:v>
      </x:c>
      <x:c r="AN656" s="12" t="str">
        <x:v>Include in completed sales</x:v>
      </x:c>
      <x:c r="AO656" s="12" t="str">
        <x:v>Not a refunded record</x:v>
      </x:c>
      <x:c r="AP656" s="37" t="n">
        <x:f>IF(LEFT($AM656,7)="Invalid","",IF($AM656="Missing discount imputed as 0",IF(AND(COUNT($O656,$P656,$R656,$S656)=4,$O656&gt;0,$P656&gt;=0,$R656&gt;=0,$S656&gt;=0),0,""),IF(AND(ISNUMBER($Q656),$Q656&gt;=0,$Q656&lt;=0.5),$Q656,"")))</x:f>
        <x:v>0.2</x:v>
      </x:c>
      <x:c r="AQ656" s="152" t="n">
        <x:f>IF(OR($W656="",NOT(ISNUMBER($R656))),"",ROUND($R656-$W656,2))</x:f>
        <x:v>0</x:v>
      </x:c>
      <x:c r="AR656" s="152" t="n">
        <x:f>IF(OR($X656="",NOT(ISNUMBER($T656))),"",ROUND($T656-$X656,2))</x:f>
        <x:v>0</x:v>
      </x:c>
      <x:c r="AS656" s="14" t="str">
        <x:v>OK</x:v>
      </x:c>
    </x:row>
    <x:row r="657">
      <x:c r="A657" s="80" t="n">
        <x:v>657</x:v>
      </x:c>
      <x:c r="B657" s="80" t="str">
        <x:v>ORD-2025-10656</x:v>
      </x:c>
      <x:c r="C657" s="81" t="n">
        <x:v>45895</x:v>
      </x:c>
      <x:c r="D657" s="81" t="n">
        <x:v>45895</x:v>
      </x:c>
      <x:c r="E657" s="80" t="str">
        <x:v>CUST-8039</x:v>
      </x:c>
      <x:c r="F657" s="80" t="str">
        <x:v>Neha Gupta</x:v>
      </x:c>
      <x:c r="G657" s="80" t="str">
        <x:v>Home Office</x:v>
      </x:c>
      <x:c r="H657" s="80" t="str">
        <x:v>East</x:v>
      </x:c>
      <x:c r="I657" s="80" t="str">
        <x:v>West Bengal</x:v>
      </x:c>
      <x:c r="J657" s="80" t="str">
        <x:v>Kolkata</x:v>
      </x:c>
      <x:c r="K657" s="80" t="str">
        <x:v>Furniture</x:v>
      </x:c>
      <x:c r="L657" s="80" t="str">
        <x:v>Furnishings</x:v>
      </x:c>
      <x:c r="M657" s="80" t="str">
        <x:v>Smart Furnishings 748</x:v>
      </x:c>
      <x:c r="N657" s="80" t="str">
        <x:v>Standard Class</x:v>
      </x:c>
      <x:c r="O657" s="82" t="n">
        <x:v>4</x:v>
      </x:c>
      <x:c r="P657" s="83" t="n">
        <x:v>2151.82</x:v>
      </x:c>
      <x:c r="Q657" s="84" t="n">
        <x:v>0</x:v>
      </x:c>
      <x:c r="R657" s="83" t="n">
        <x:v>8607.28</x:v>
      </x:c>
      <x:c r="S657" s="83" t="n">
        <x:v>5124.01</x:v>
      </x:c>
      <x:c r="T657" s="83" t="n">
        <x:v>3483.27</x:v>
      </x:c>
      <x:c r="U657" s="83" t="str">
        <x:v>Paid</x:v>
      </x:c>
      <x:c r="V657" s="83" t="str">
        <x:v>Completed</x:v>
      </x:c>
      <x:c r="W657" s="151" t="n">
        <x:f>IF(OR(NOT(ISNUMBER($AP657)),COUNT($O657,$P657)&lt;2,$O657&lt;=0,$P657&lt;0),"",ROUND($O657*$P657*(1-$AP657),2))</x:f>
        <x:v>8607.28</x:v>
      </x:c>
      <x:c r="X657" s="151" t="n">
        <x:f>IF(OR(NOT(ISNUMBER($W657)),NOT(ISNUMBER($S657))),"",ROUND($W657-$S657,2))</x:f>
        <x:v>3483.27</x:v>
      </x:c>
      <x:c r="Y657" s="85" t="n">
        <x:f>IF(OR(NOT(ISNUMBER($W657)),NOT(ISNUMBER($X657)),$W657=0),"",ROUND($X657/$W657,4))</x:f>
        <x:v>0.4047</x:v>
      </x:c>
      <x:c r="Z657" s="82" t="n">
        <x:f>IF(OR($AH657&lt;&gt;"Valid",$AI657&lt;&gt;"Valid"),"",INT($D657-$C657))</x:f>
        <x:v>0</x:v>
      </x:c>
      <x:c r="AA657" s="86" t="str">
        <x:f>IF($AH657&lt;&gt;"Valid","",TEXT($C657,"mmmm"))</x:f>
        <x:v>August</x:v>
      </x:c>
      <x:c r="AB657" s="82" t="n">
        <x:f>IF($AH657&lt;&gt;"Valid","",YEAR($C657))</x:f>
        <x:v>2025</x:v>
      </x:c>
      <x:c r="AC657" s="80" t="str">
        <x:v>Consistent</x:v>
      </x:c>
      <x:c r="AD657" s="80" t="str">
        <x:v>Eligible</x:v>
      </x:c>
      <x:c r="AE657" s="80" t="str">
        <x:f>IF(OR($AH657&lt;&gt;"Valid",$AI657&lt;&gt;"Valid",$AJ657&lt;&gt;"Valid",LEFT($AM657,7)="Invalid",IFERROR(ABS($AQ657)&gt;0.01,FALSE),IFERROR(ABS($AR657)&gt;0.01,FALSE),COUNTIF($AS657,"*Conflicting duplicate*")&gt;0,COUNTIF($AS657,"*Completed order not paid*")&gt;0),"Invalid",IF(OR($H657="Unknown",$N657="Unknown",$AM657="Missing discount imputed as 0"),"Warning","Clean"))</x:f>
        <x:v>Clean</x:v>
      </x:c>
      <x:c r="AF657" s="80" t="str">
        <x:v>Pass</x:v>
      </x:c>
      <x:c r="AG657" s="80" t="str">
        <x:v>No text cleanup required</x:v>
      </x:c>
      <x:c r="AH657" s="12" t="str">
        <x:f>IF(C657="","Missing date",IF(ISNUMBER(C657),"Valid","Unrecognized/invalid date"))</x:f>
        <x:v>Valid</x:v>
      </x:c>
      <x:c r="AI657" s="12" t="str">
        <x:f>IF(D657="","Missing date",IF(ISNUMBER(D657),"Valid","Unrecognized/invalid date"))</x:f>
        <x:v>Valid</x:v>
      </x:c>
      <x:c r="AJ657" s="12" t="str">
        <x:v>Valid</x:v>
      </x:c>
      <x:c r="AK657" s="12" t="str">
        <x:v>Pass</x:v>
      </x:c>
      <x:c r="AL657" s="12" t="str">
        <x:v>None</x:v>
      </x:c>
      <x:c r="AM657" s="12" t="str">
        <x:v>Valid</x:v>
      </x:c>
      <x:c r="AN657" s="12" t="str">
        <x:v>Include in completed sales</x:v>
      </x:c>
      <x:c r="AO657" s="12" t="str">
        <x:v>Not a refunded record</x:v>
      </x:c>
      <x:c r="AP657" s="37" t="n">
        <x:f>IF(LEFT($AM657,7)="Invalid","",IF($AM657="Missing discount imputed as 0",IF(AND(COUNT($O657,$P657,$R657,$S657)=4,$O657&gt;0,$P657&gt;=0,$R657&gt;=0,$S657&gt;=0),0,""),IF(AND(ISNUMBER($Q657),$Q657&gt;=0,$Q657&lt;=0.5),$Q657,"")))</x:f>
        <x:v>0</x:v>
      </x:c>
      <x:c r="AQ657" s="152" t="n">
        <x:f>IF(OR($W657="",NOT(ISNUMBER($R657))),"",ROUND($R657-$W657,2))</x:f>
        <x:v>0</x:v>
      </x:c>
      <x:c r="AR657" s="152" t="n">
        <x:f>IF(OR($X657="",NOT(ISNUMBER($T657))),"",ROUND($T657-$X657,2))</x:f>
        <x:v>0</x:v>
      </x:c>
      <x:c r="AS657" s="14" t="str">
        <x:v>OK</x:v>
      </x:c>
    </x:row>
    <x:row r="658">
      <x:c r="A658" s="80" t="n">
        <x:v>658</x:v>
      </x:c>
      <x:c r="B658" s="80" t="str">
        <x:v>ORD-2024-10657</x:v>
      </x:c>
      <x:c r="C658" s="81" t="n">
        <x:v>45419</x:v>
      </x:c>
      <x:c r="D658" s="81" t="n">
        <x:v>45426</x:v>
      </x:c>
      <x:c r="E658" s="80" t="str">
        <x:v>CUST-4446</x:v>
      </x:c>
      <x:c r="F658" s="80" t="str">
        <x:v>Neha Gupta</x:v>
      </x:c>
      <x:c r="G658" s="80" t="str">
        <x:v>Small Business</x:v>
      </x:c>
      <x:c r="H658" s="80" t="str">
        <x:v>North</x:v>
      </x:c>
      <x:c r="I658" s="80" t="str">
        <x:v>Haryana</x:v>
      </x:c>
      <x:c r="J658" s="80" t="str">
        <x:v>Gurugram</x:v>
      </x:c>
      <x:c r="K658" s="80" t="str">
        <x:v>Technology</x:v>
      </x:c>
      <x:c r="L658" s="80" t="str">
        <x:v>Machines</x:v>
      </x:c>
      <x:c r="M658" s="80" t="str">
        <x:v>Pro Machines 589</x:v>
      </x:c>
      <x:c r="N658" s="80" t="str">
        <x:v>Same Day</x:v>
      </x:c>
      <x:c r="O658" s="82" t="n">
        <x:v>4</x:v>
      </x:c>
      <x:c r="P658" s="83" t="n">
        <x:v>2751.1</x:v>
      </x:c>
      <x:c r="Q658" s="84" t="n">
        <x:v>-0.05</x:v>
      </x:c>
      <x:c r="R658" s="83" t="n">
        <x:v>9903.96</x:v>
      </x:c>
      <x:c r="S658" s="83" t="n">
        <x:v>7696.28</x:v>
      </x:c>
      <x:c r="T658" s="83" t="n">
        <x:v>2207.68</x:v>
      </x:c>
      <x:c r="U658" s="83" t="str">
        <x:v>Paid</x:v>
      </x:c>
      <x:c r="V658" s="83" t="str">
        <x:v>Completed</x:v>
      </x:c>
      <x:c r="W658" s="151" t="str">
        <x:f>IF(OR(NOT(ISNUMBER($AP658)),COUNT($O658,$P658)&lt;2,$O658&lt;=0,$P658&lt;0),"",ROUND($O658*$P658*(1-$AP658),2))</x:f>
      </x:c>
      <x:c r="X658" s="151" t="str">
        <x:f>IF(OR(NOT(ISNUMBER($W658)),NOT(ISNUMBER($S658))),"",ROUND($W658-$S658,2))</x:f>
      </x:c>
      <x:c r="Y658" s="85" t="str">
        <x:f>IF(OR(NOT(ISNUMBER($W658)),NOT(ISNUMBER($X658)),$W658=0),"",ROUND($X658/$W658,4))</x:f>
      </x:c>
      <x:c r="Z658" s="82" t="n">
        <x:f>IF(OR($AH658&lt;&gt;"Valid",$AI658&lt;&gt;"Valid"),"",INT($D658-$C658))</x:f>
        <x:v>7</x:v>
      </x:c>
      <x:c r="AA658" s="86" t="str">
        <x:f>IF($AH658&lt;&gt;"Valid","",TEXT($C658,"mmmm"))</x:f>
        <x:v>May</x:v>
      </x:c>
      <x:c r="AB658" s="82" t="n">
        <x:f>IF($AH658&lt;&gt;"Valid","",YEAR($C658))</x:f>
        <x:v>2024</x:v>
      </x:c>
      <x:c r="AC658" s="80" t="str">
        <x:v>Consistent</x:v>
      </x:c>
      <x:c r="AD658" s="80" t="str">
        <x:v>Excluded</x:v>
      </x:c>
      <x:c r="AE658" s="80" t="str">
        <x:f>IF(OR($AH658&lt;&gt;"Valid",$AI658&lt;&gt;"Valid",$AJ658&lt;&gt;"Valid",LEFT($AM658,7)="Invalid",IFERROR(ABS($AQ658)&gt;0.01,FALSE),IFERROR(ABS($AR658)&gt;0.01,FALSE),COUNTIF($AS658,"*Conflicting duplicate*")&gt;0,COUNTIF($AS658,"*Completed order not paid*")&gt;0),"Invalid",IF(OR($H658="Unknown",$N658="Unknown",$AM658="Missing discount imputed as 0"),"Warning","Clean"))</x:f>
        <x:v>Invalid</x:v>
      </x:c>
      <x:c r="AF658" s="80" t="str">
        <x:v>Review</x:v>
      </x:c>
      <x:c r="AG658" s="80" t="str">
        <x:v>No text cleanup required</x:v>
      </x:c>
      <x:c r="AH658" s="12" t="str">
        <x:f>IF(C658="","Missing date",IF(ISNUMBER(C658),"Valid","Unrecognized/invalid date"))</x:f>
        <x:v>Valid</x:v>
      </x:c>
      <x:c r="AI658" s="12" t="str">
        <x:f>IF(D658="","Missing date",IF(ISNUMBER(D658),"Valid","Unrecognized/invalid date"))</x:f>
        <x:v>Valid</x:v>
      </x:c>
      <x:c r="AJ658" s="12" t="str">
        <x:v>Valid</x:v>
      </x:c>
      <x:c r="AK658" s="12" t="str">
        <x:v>Pass</x:v>
      </x:c>
      <x:c r="AL658" s="12" t="str">
        <x:v>None</x:v>
      </x:c>
      <x:c r="AM658" s="12" t="str">
        <x:v>Invalid discount – negative</x:v>
      </x:c>
      <x:c r="AN658" s="12" t="str">
        <x:v>Exclude from completed sales</x:v>
      </x:c>
      <x:c r="AO658" s="12" t="str">
        <x:v>Not a refunded record</x:v>
      </x:c>
      <x:c r="AP658" s="37" t="str">
        <x:f>IF(LEFT($AM658,7)="Invalid","",IF($AM658="Missing discount imputed as 0",IF(AND(COUNT($O658,$P658,$R658,$S658)=4,$O658&gt;0,$P658&gt;=0,$R658&gt;=0,$S658&gt;=0),0,""),IF(AND(ISNUMBER($Q658),$Q658&gt;=0,$Q658&lt;=0.5),$Q658,"")))</x:f>
      </x:c>
      <x:c r="AQ658" s="152" t="str">
        <x:f>IF(OR($W658="",NOT(ISNUMBER($R658))),"",ROUND($R658-$W658,2))</x:f>
      </x:c>
      <x:c r="AR658" s="152" t="str">
        <x:f>IF(OR($X658="",NOT(ISNUMBER($T658))),"",ROUND($T658-$X658,2))</x:f>
      </x:c>
      <x:c r="AS658" s="14" t="str">
        <x:v>Negative discount</x:v>
      </x:c>
    </x:row>
    <x:row r="659">
      <x:c r="A659" s="80" t="n">
        <x:v>659</x:v>
      </x:c>
      <x:c r="B659" s="80" t="str">
        <x:v>ORD-2025-10658</x:v>
      </x:c>
      <x:c r="C659" s="81" t="n">
        <x:v>45876</x:v>
      </x:c>
      <x:c r="D659" s="81" t="n">
        <x:v>45879</x:v>
      </x:c>
      <x:c r="E659" s="80" t="str">
        <x:v>CUST-7787</x:v>
      </x:c>
      <x:c r="F659" s="80" t="str">
        <x:v>Aditi Sen</x:v>
      </x:c>
      <x:c r="G659" s="80" t="str">
        <x:v>Home Office</x:v>
      </x:c>
      <x:c r="H659" s="80" t="str">
        <x:v>East</x:v>
      </x:c>
      <x:c r="I659" s="80" t="str">
        <x:v>Bihar</x:v>
      </x:c>
      <x:c r="J659" s="80" t="str">
        <x:v>Patna</x:v>
      </x:c>
      <x:c r="K659" s="80" t="str">
        <x:v>Office Supplies</x:v>
      </x:c>
      <x:c r="L659" s="80" t="str">
        <x:v>Storage</x:v>
      </x:c>
      <x:c r="M659" s="80" t="str">
        <x:v>Eco Storage 316</x:v>
      </x:c>
      <x:c r="N659" s="80" t="str">
        <x:v>Second Class</x:v>
      </x:c>
      <x:c r="O659" s="82" t="n">
        <x:v>1</x:v>
      </x:c>
      <x:c r="P659" s="83" t="n">
        <x:v>2541.25</x:v>
      </x:c>
      <x:c r="Q659" s="84" t="n">
        <x:v>0.2</x:v>
      </x:c>
      <x:c r="R659" s="83" t="n">
        <x:v>2033</x:v>
      </x:c>
      <x:c r="S659" s="83" t="n">
        <x:v>1291.41</x:v>
      </x:c>
      <x:c r="T659" s="83" t="n">
        <x:v>741.59</x:v>
      </x:c>
      <x:c r="U659" s="83" t="str">
        <x:v>Paid</x:v>
      </x:c>
      <x:c r="V659" s="83" t="str">
        <x:v>Completed</x:v>
      </x:c>
      <x:c r="W659" s="151" t="n">
        <x:f>IF(OR(NOT(ISNUMBER($AP659)),COUNT($O659,$P659)&lt;2,$O659&lt;=0,$P659&lt;0),"",ROUND($O659*$P659*(1-$AP659),2))</x:f>
        <x:v>2033</x:v>
      </x:c>
      <x:c r="X659" s="151" t="n">
        <x:f>IF(OR(NOT(ISNUMBER($W659)),NOT(ISNUMBER($S659))),"",ROUND($W659-$S659,2))</x:f>
        <x:v>741.59</x:v>
      </x:c>
      <x:c r="Y659" s="85" t="n">
        <x:f>IF(OR(NOT(ISNUMBER($W659)),NOT(ISNUMBER($X659)),$W659=0),"",ROUND($X659/$W659,4))</x:f>
        <x:v>0.3648</x:v>
      </x:c>
      <x:c r="Z659" s="82" t="n">
        <x:f>IF(OR($AH659&lt;&gt;"Valid",$AI659&lt;&gt;"Valid"),"",INT($D659-$C659))</x:f>
        <x:v>3</x:v>
      </x:c>
      <x:c r="AA659" s="86" t="str">
        <x:f>IF($AH659&lt;&gt;"Valid","",TEXT($C659,"mmmm"))</x:f>
        <x:v>August</x:v>
      </x:c>
      <x:c r="AB659" s="82" t="n">
        <x:f>IF($AH659&lt;&gt;"Valid","",YEAR($C659))</x:f>
        <x:v>2025</x:v>
      </x:c>
      <x:c r="AC659" s="80" t="str">
        <x:v>Consistent</x:v>
      </x:c>
      <x:c r="AD659" s="80" t="str">
        <x:v>Eligible</x:v>
      </x:c>
      <x:c r="AE659" s="80" t="str">
        <x:f>IF(OR($AH659&lt;&gt;"Valid",$AI659&lt;&gt;"Valid",$AJ659&lt;&gt;"Valid",LEFT($AM659,7)="Invalid",IFERROR(ABS($AQ659)&gt;0.01,FALSE),IFERROR(ABS($AR659)&gt;0.01,FALSE),COUNTIF($AS659,"*Conflicting duplicate*")&gt;0,COUNTIF($AS659,"*Completed order not paid*")&gt;0),"Invalid",IF(OR($H659="Unknown",$N659="Unknown",$AM659="Missing discount imputed as 0"),"Warning","Clean"))</x:f>
        <x:v>Clean</x:v>
      </x:c>
      <x:c r="AF659" s="80" t="str">
        <x:v>Pass</x:v>
      </x:c>
      <x:c r="AG659" s="80" t="str">
        <x:v>No text cleanup required</x:v>
      </x:c>
      <x:c r="AH659" s="12" t="str">
        <x:f>IF(C659="","Missing date",IF(ISNUMBER(C659),"Valid","Unrecognized/invalid date"))</x:f>
        <x:v>Valid</x:v>
      </x:c>
      <x:c r="AI659" s="12" t="str">
        <x:f>IF(D659="","Missing date",IF(ISNUMBER(D659),"Valid","Unrecognized/invalid date"))</x:f>
        <x:v>Valid</x:v>
      </x:c>
      <x:c r="AJ659" s="12" t="str">
        <x:v>Valid</x:v>
      </x:c>
      <x:c r="AK659" s="12" t="str">
        <x:v>Pass</x:v>
      </x:c>
      <x:c r="AL659" s="12" t="str">
        <x:v>None</x:v>
      </x:c>
      <x:c r="AM659" s="12" t="str">
        <x:v>Valid</x:v>
      </x:c>
      <x:c r="AN659" s="12" t="str">
        <x:v>Include in completed sales</x:v>
      </x:c>
      <x:c r="AO659" s="12" t="str">
        <x:v>Not a refunded record</x:v>
      </x:c>
      <x:c r="AP659" s="37" t="n">
        <x:f>IF(LEFT($AM659,7)="Invalid","",IF($AM659="Missing discount imputed as 0",IF(AND(COUNT($O659,$P659,$R659,$S659)=4,$O659&gt;0,$P659&gt;=0,$R659&gt;=0,$S659&gt;=0),0,""),IF(AND(ISNUMBER($Q659),$Q659&gt;=0,$Q659&lt;=0.5),$Q659,"")))</x:f>
        <x:v>0.2</x:v>
      </x:c>
      <x:c r="AQ659" s="152" t="n">
        <x:f>IF(OR($W659="",NOT(ISNUMBER($R659))),"",ROUND($R659-$W659,2))</x:f>
        <x:v>0</x:v>
      </x:c>
      <x:c r="AR659" s="152" t="n">
        <x:f>IF(OR($X659="",NOT(ISNUMBER($T659))),"",ROUND($T659-$X659,2))</x:f>
        <x:v>0</x:v>
      </x:c>
      <x:c r="AS659" s="14" t="str">
        <x:v>OK</x:v>
      </x:c>
    </x:row>
    <x:row r="660">
      <x:c r="A660" s="80" t="n">
        <x:v>660</x:v>
      </x:c>
      <x:c r="B660" s="80" t="str">
        <x:v>ORD-2025-10659</x:v>
      </x:c>
      <x:c r="C660" s="81" t="n">
        <x:v>45817</x:v>
      </x:c>
      <x:c r="D660" s="81" t="n">
        <x:v>45820</x:v>
      </x:c>
      <x:c r="E660" s="80" t="str">
        <x:v>CUST-9074</x:v>
      </x:c>
      <x:c r="F660" s="80" t="str">
        <x:v>Sneha Kapoor</x:v>
      </x:c>
      <x:c r="G660" s="80" t="str">
        <x:v>Consumer</x:v>
      </x:c>
      <x:c r="H660" s="80" t="str">
        <x:v>Unknown</x:v>
      </x:c>
      <x:c r="I660" s="80" t="str">
        <x:v>Bihar</x:v>
      </x:c>
      <x:c r="J660" s="80" t="str">
        <x:v>Patna</x:v>
      </x:c>
      <x:c r="K660" s="80" t="str">
        <x:v>Office Supplies</x:v>
      </x:c>
      <x:c r="L660" s="80" t="str">
        <x:v>Art</x:v>
      </x:c>
      <x:c r="M660" s="80" t="str">
        <x:v>Eco Art 763</x:v>
      </x:c>
      <x:c r="N660" s="80" t="str">
        <x:v>First Class</x:v>
      </x:c>
      <x:c r="O660" s="82" t="n">
        <x:v>7</x:v>
      </x:c>
      <x:c r="P660" s="83" t="n">
        <x:v>2852.42</x:v>
      </x:c>
      <x:c r="Q660" s="84" t="n">
        <x:v>0</x:v>
      </x:c>
      <x:c r="R660" s="83" t="n">
        <x:v>19966.94</x:v>
      </x:c>
      <x:c r="S660" s="83" t="n">
        <x:v>12690.83</x:v>
      </x:c>
      <x:c r="T660" s="83" t="n">
        <x:v>7276.11</x:v>
      </x:c>
      <x:c r="U660" s="83" t="str">
        <x:v>Refunded</x:v>
      </x:c>
      <x:c r="V660" s="83" t="str">
        <x:v>Cancelled</x:v>
      </x:c>
      <x:c r="W660" s="151" t="n">
        <x:f>IF(OR(NOT(ISNUMBER($AP660)),COUNT($O660,$P660)&lt;2,$O660&lt;=0,$P660&lt;0),"",ROUND($O660*$P660*(1-$AP660),2))</x:f>
        <x:v>19966.94</x:v>
      </x:c>
      <x:c r="X660" s="151" t="n">
        <x:f>IF(OR(NOT(ISNUMBER($W660)),NOT(ISNUMBER($S660))),"",ROUND($W660-$S660,2))</x:f>
        <x:v>7276.11</x:v>
      </x:c>
      <x:c r="Y660" s="85" t="n">
        <x:f>IF(OR(NOT(ISNUMBER($W660)),NOT(ISNUMBER($X660)),$W660=0),"",ROUND($X660/$W660,4))</x:f>
        <x:v>0.3644</x:v>
      </x:c>
      <x:c r="Z660" s="82" t="n">
        <x:f>IF(OR($AH660&lt;&gt;"Valid",$AI660&lt;&gt;"Valid"),"",INT($D660-$C660))</x:f>
        <x:v>3</x:v>
      </x:c>
      <x:c r="AA660" s="86" t="str">
        <x:f>IF($AH660&lt;&gt;"Valid","",TEXT($C660,"mmmm"))</x:f>
        <x:v>June</x:v>
      </x:c>
      <x:c r="AB660" s="82" t="n">
        <x:f>IF($AH660&lt;&gt;"Valid","",YEAR($C660))</x:f>
        <x:v>2025</x:v>
      </x:c>
      <x:c r="AC660" s="80" t="str">
        <x:v>Cancelled (excluded from completed-sales summary)</x:v>
      </x:c>
      <x:c r="AD660" s="80" t="str">
        <x:v>Excluded</x:v>
      </x:c>
      <x:c r="AE660" s="80" t="str">
        <x:f>IF(OR($AH660&lt;&gt;"Valid",$AI660&lt;&gt;"Valid",$AJ660&lt;&gt;"Valid",LEFT($AM660,7)="Invalid",IFERROR(ABS($AQ660)&gt;0.01,FALSE),IFERROR(ABS($AR660)&gt;0.01,FALSE),COUNTIF($AS660,"*Conflicting duplicate*")&gt;0,COUNTIF($AS660,"*Completed order not paid*")&gt;0),"Invalid",IF(OR($H660="Unknown",$N660="Unknown",$AM660="Missing discount imputed as 0"),"Warning","Clean"))</x:f>
        <x:v>Warning</x:v>
      </x:c>
      <x:c r="AF660" s="80" t="str">
        <x:v>Cleaned</x:v>
      </x:c>
      <x:c r="AG660" s="80" t="str">
        <x:v>region: Missing value filled as Unknown</x:v>
      </x:c>
      <x:c r="AH660" s="12" t="str">
        <x:f>IF(C660="","Missing date",IF(ISNUMBER(C660),"Valid","Unrecognized/invalid date"))</x:f>
        <x:v>Valid</x:v>
      </x:c>
      <x:c r="AI660" s="12" t="str">
        <x:f>IF(D660="","Missing date",IF(ISNUMBER(D660),"Valid","Unrecognized/invalid date"))</x:f>
        <x:v>Valid</x:v>
      </x:c>
      <x:c r="AJ660" s="12" t="str">
        <x:v>Valid</x:v>
      </x:c>
      <x:c r="AK660" s="12" t="str">
        <x:v>Pass</x:v>
      </x:c>
      <x:c r="AL660" s="12" t="str">
        <x:v>Missing region filled as Unknown; Cancelled order – excluded from completed sales; Refunded payment – separately summarized</x:v>
      </x:c>
      <x:c r="AM660" s="12" t="str">
        <x:v>Valid</x:v>
      </x:c>
      <x:c r="AN660" s="12" t="str">
        <x:v>Exclude from completed sales</x:v>
      </x:c>
      <x:c r="AO660" s="12" t="str">
        <x:v>Include in refunded summary</x:v>
      </x:c>
      <x:c r="AP660" s="37" t="n">
        <x:f>IF(LEFT($AM660,7)="Invalid","",IF($AM660="Missing discount imputed as 0",IF(AND(COUNT($O660,$P660,$R660,$S660)=4,$O660&gt;0,$P660&gt;=0,$R660&gt;=0,$S660&gt;=0),0,""),IF(AND(ISNUMBER($Q660),$Q660&gt;=0,$Q660&lt;=0.5),$Q660,"")))</x:f>
        <x:v>0</x:v>
      </x:c>
      <x:c r="AQ660" s="152" t="n">
        <x:f>IF(OR($W660="",NOT(ISNUMBER($R660))),"",ROUND($R660-$W660,2))</x:f>
        <x:v>0</x:v>
      </x:c>
      <x:c r="AR660" s="152" t="n">
        <x:f>IF(OR($X660="",NOT(ISNUMBER($T660))),"",ROUND($T660-$X660,2))</x:f>
        <x:v>0</x:v>
      </x:c>
      <x:c r="AS660" s="14" t="str">
        <x:v>OK</x:v>
      </x:c>
    </x:row>
    <x:row r="661">
      <x:c r="A661" s="80" t="n">
        <x:v>661</x:v>
      </x:c>
      <x:c r="B661" s="80" t="str">
        <x:v>ORD-2025-10660</x:v>
      </x:c>
      <x:c r="C661" s="81" t="n">
        <x:v>45678</x:v>
      </x:c>
      <x:c r="D661" s="81" t="n">
        <x:v>45679</x:v>
      </x:c>
      <x:c r="E661" s="80" t="str">
        <x:v>CUST-8330</x:v>
      </x:c>
      <x:c r="F661" s="80" t="str">
        <x:v>Diya Patel</x:v>
      </x:c>
      <x:c r="G661" s="80" t="str">
        <x:v>Corporate</x:v>
      </x:c>
      <x:c r="H661" s="80" t="str">
        <x:v>South</x:v>
      </x:c>
      <x:c r="I661" s="80" t="str">
        <x:v>Karnataka</x:v>
      </x:c>
      <x:c r="J661" s="80" t="str">
        <x:v>Bengaluru</x:v>
      </x:c>
      <x:c r="K661" s="80" t="str">
        <x:v>Technology</x:v>
      </x:c>
      <x:c r="L661" s="80" t="str">
        <x:v>Phones</x:v>
      </x:c>
      <x:c r="M661" s="80" t="str">
        <x:v>Pro Phones 356</x:v>
      </x:c>
      <x:c r="N661" s="80" t="str">
        <x:v>Second Class</x:v>
      </x:c>
      <x:c r="O661" s="82" t="n">
        <x:v>2</x:v>
      </x:c>
      <x:c r="P661" s="83" t="n">
        <x:v>444.31</x:v>
      </x:c>
      <x:c r="Q661" s="84" t="n">
        <x:v>0.2</x:v>
      </x:c>
      <x:c r="R661" s="83" t="n">
        <x:v>710.9</x:v>
      </x:c>
      <x:c r="S661" s="83" t="n">
        <x:v>513.88</x:v>
      </x:c>
      <x:c r="T661" s="83" t="n">
        <x:v>197.02</x:v>
      </x:c>
      <x:c r="U661" s="83" t="str">
        <x:v>Refunded</x:v>
      </x:c>
      <x:c r="V661" s="83" t="str">
        <x:v>Cancelled</x:v>
      </x:c>
      <x:c r="W661" s="151" t="n">
        <x:f>IF(OR(NOT(ISNUMBER($AP661)),COUNT($O661,$P661)&lt;2,$O661&lt;=0,$P661&lt;0),"",ROUND($O661*$P661*(1-$AP661),2))</x:f>
        <x:v>710.9</x:v>
      </x:c>
      <x:c r="X661" s="151" t="n">
        <x:f>IF(OR(NOT(ISNUMBER($W661)),NOT(ISNUMBER($S661))),"",ROUND($W661-$S661,2))</x:f>
        <x:v>197.02</x:v>
      </x:c>
      <x:c r="Y661" s="85" t="n">
        <x:f>IF(OR(NOT(ISNUMBER($W661)),NOT(ISNUMBER($X661)),$W661=0),"",ROUND($X661/$W661,4))</x:f>
        <x:v>0.2771</x:v>
      </x:c>
      <x:c r="Z661" s="82" t="n">
        <x:f>IF(OR($AH661&lt;&gt;"Valid",$AI661&lt;&gt;"Valid"),"",INT($D661-$C661))</x:f>
        <x:v>1</x:v>
      </x:c>
      <x:c r="AA661" s="86" t="str">
        <x:f>IF($AH661&lt;&gt;"Valid","",TEXT($C661,"mmmm"))</x:f>
        <x:v>January</x:v>
      </x:c>
      <x:c r="AB661" s="82" t="n">
        <x:f>IF($AH661&lt;&gt;"Valid","",YEAR($C661))</x:f>
        <x:v>2025</x:v>
      </x:c>
      <x:c r="AC661" s="80" t="str">
        <x:v>Cancelled (excluded from completed-sales summary)</x:v>
      </x:c>
      <x:c r="AD661" s="80" t="str">
        <x:v>Excluded</x:v>
      </x:c>
      <x:c r="AE661" s="80" t="str">
        <x:f>IF(OR($AH661&lt;&gt;"Valid",$AI661&lt;&gt;"Valid",$AJ661&lt;&gt;"Valid",LEFT($AM661,7)="Invalid",IFERROR(ABS($AQ661)&gt;0.01,FALSE),IFERROR(ABS($AR661)&gt;0.01,FALSE),COUNTIF($AS661,"*Conflicting duplicate*")&gt;0,COUNTIF($AS661,"*Completed order not paid*")&gt;0),"Invalid",IF(OR($H661="Unknown",$N661="Unknown",$AM661="Missing discount imputed as 0"),"Warning","Clean"))</x:f>
        <x:v>Clean</x:v>
      </x:c>
      <x:c r="AF661" s="80" t="str">
        <x:v>Pass</x:v>
      </x:c>
      <x:c r="AG661" s="80" t="str">
        <x:v>No text cleanup required</x:v>
      </x:c>
      <x:c r="AH661" s="12" t="str">
        <x:f>IF(C661="","Missing date",IF(ISNUMBER(C661),"Valid","Unrecognized/invalid date"))</x:f>
        <x:v>Valid</x:v>
      </x:c>
      <x:c r="AI661" s="12" t="str">
        <x:f>IF(D661="","Missing date",IF(ISNUMBER(D661),"Valid","Unrecognized/invalid date"))</x:f>
        <x:v>Valid</x:v>
      </x:c>
      <x:c r="AJ661" s="12" t="str">
        <x:v>Valid</x:v>
      </x:c>
      <x:c r="AK661" s="12" t="str">
        <x:v>Pass</x:v>
      </x:c>
      <x:c r="AL661" s="12" t="str">
        <x:v>Cancelled order – excluded from completed sales; Refunded payment – separately summarized</x:v>
      </x:c>
      <x:c r="AM661" s="12" t="str">
        <x:v>Valid</x:v>
      </x:c>
      <x:c r="AN661" s="12" t="str">
        <x:v>Exclude from completed sales</x:v>
      </x:c>
      <x:c r="AO661" s="12" t="str">
        <x:v>Include in refunded summary</x:v>
      </x:c>
      <x:c r="AP661" s="37" t="n">
        <x:f>IF(LEFT($AM661,7)="Invalid","",IF($AM661="Missing discount imputed as 0",IF(AND(COUNT($O661,$P661,$R661,$S661)=4,$O661&gt;0,$P661&gt;=0,$R661&gt;=0,$S661&gt;=0),0,""),IF(AND(ISNUMBER($Q661),$Q661&gt;=0,$Q661&lt;=0.5),$Q661,"")))</x:f>
        <x:v>0.2</x:v>
      </x:c>
      <x:c r="AQ661" s="152" t="n">
        <x:f>IF(OR($W661="",NOT(ISNUMBER($R661))),"",ROUND($R661-$W661,2))</x:f>
        <x:v>0</x:v>
      </x:c>
      <x:c r="AR661" s="152" t="n">
        <x:f>IF(OR($X661="",NOT(ISNUMBER($T661))),"",ROUND($T661-$X661,2))</x:f>
        <x:v>0</x:v>
      </x:c>
      <x:c r="AS661" s="14" t="str">
        <x:v>OK</x:v>
      </x:c>
    </x:row>
    <x:row r="662">
      <x:c r="A662" s="80" t="n">
        <x:v>662</x:v>
      </x:c>
      <x:c r="B662" s="80" t="str">
        <x:v>ORD-2025-10661</x:v>
      </x:c>
      <x:c r="C662" s="81" t="n">
        <x:v>45853</x:v>
      </x:c>
      <x:c r="D662" s="81" t="n">
        <x:v>45853</x:v>
      </x:c>
      <x:c r="E662" s="80" t="str">
        <x:v>CUST-5638</x:v>
      </x:c>
      <x:c r="F662" s="80" t="str">
        <x:v>Arjun Bose</x:v>
      </x:c>
      <x:c r="G662" s="80" t="str">
        <x:v>Small Business</x:v>
      </x:c>
      <x:c r="H662" s="80" t="str">
        <x:v>East</x:v>
      </x:c>
      <x:c r="I662" s="80" t="str">
        <x:v>Jharkhand</x:v>
      </x:c>
      <x:c r="J662" s="80" t="str">
        <x:v>Ranchi</x:v>
      </x:c>
      <x:c r="K662" s="80" t="str">
        <x:v>Technology</x:v>
      </x:c>
      <x:c r="L662" s="80" t="str">
        <x:v>Phones</x:v>
      </x:c>
      <x:c r="M662" s="80" t="str">
        <x:v>Basic Phones 865</x:v>
      </x:c>
      <x:c r="N662" s="80" t="str">
        <x:v>Same Day</x:v>
      </x:c>
      <x:c r="O662" s="82" t="n">
        <x:v>4</x:v>
      </x:c>
      <x:c r="P662" s="83" t="n">
        <x:v>4442.91</x:v>
      </x:c>
      <x:c r="Q662" s="84" t="n">
        <x:v>0.1</x:v>
      </x:c>
      <x:c r="R662" s="83" t="n">
        <x:v>15994.48</x:v>
      </x:c>
      <x:c r="S662" s="83" t="n">
        <x:v>9224.28</x:v>
      </x:c>
      <x:c r="T662" s="83" t="n">
        <x:v>6770.2</x:v>
      </x:c>
      <x:c r="U662" s="83" t="str">
        <x:v>Paid</x:v>
      </x:c>
      <x:c r="V662" s="83" t="str">
        <x:v>Completed</x:v>
      </x:c>
      <x:c r="W662" s="151" t="n">
        <x:f>IF(OR(NOT(ISNUMBER($AP662)),COUNT($O662,$P662)&lt;2,$O662&lt;=0,$P662&lt;0),"",ROUND($O662*$P662*(1-$AP662),2))</x:f>
        <x:v>15994.48</x:v>
      </x:c>
      <x:c r="X662" s="151" t="n">
        <x:f>IF(OR(NOT(ISNUMBER($W662)),NOT(ISNUMBER($S662))),"",ROUND($W662-$S662,2))</x:f>
        <x:v>6770.2</x:v>
      </x:c>
      <x:c r="Y662" s="85" t="n">
        <x:f>IF(OR(NOT(ISNUMBER($W662)),NOT(ISNUMBER($X662)),$W662=0),"",ROUND($X662/$W662,4))</x:f>
        <x:v>0.4233</x:v>
      </x:c>
      <x:c r="Z662" s="82" t="n">
        <x:f>IF(OR($AH662&lt;&gt;"Valid",$AI662&lt;&gt;"Valid"),"",INT($D662-$C662))</x:f>
        <x:v>0</x:v>
      </x:c>
      <x:c r="AA662" s="86" t="str">
        <x:f>IF($AH662&lt;&gt;"Valid","",TEXT($C662,"mmmm"))</x:f>
        <x:v>July</x:v>
      </x:c>
      <x:c r="AB662" s="82" t="n">
        <x:f>IF($AH662&lt;&gt;"Valid","",YEAR($C662))</x:f>
        <x:v>2025</x:v>
      </x:c>
      <x:c r="AC662" s="80" t="str">
        <x:v>Consistent</x:v>
      </x:c>
      <x:c r="AD662" s="80" t="str">
        <x:v>Eligible</x:v>
      </x:c>
      <x:c r="AE662" s="80" t="str">
        <x:f>IF(OR($AH662&lt;&gt;"Valid",$AI662&lt;&gt;"Valid",$AJ662&lt;&gt;"Valid",LEFT($AM662,7)="Invalid",IFERROR(ABS($AQ662)&gt;0.01,FALSE),IFERROR(ABS($AR662)&gt;0.01,FALSE),COUNTIF($AS662,"*Conflicting duplicate*")&gt;0,COUNTIF($AS662,"*Completed order not paid*")&gt;0),"Invalid",IF(OR($H662="Unknown",$N662="Unknown",$AM662="Missing discount imputed as 0"),"Warning","Clean"))</x:f>
        <x:v>Clean</x:v>
      </x:c>
      <x:c r="AF662" s="80" t="str">
        <x:v>Pass</x:v>
      </x:c>
      <x:c r="AG662" s="80" t="str">
        <x:v>No text cleanup required</x:v>
      </x:c>
      <x:c r="AH662" s="12" t="str">
        <x:f>IF(C662="","Missing date",IF(ISNUMBER(C662),"Valid","Unrecognized/invalid date"))</x:f>
        <x:v>Valid</x:v>
      </x:c>
      <x:c r="AI662" s="12" t="str">
        <x:f>IF(D662="","Missing date",IF(ISNUMBER(D662),"Valid","Unrecognized/invalid date"))</x:f>
        <x:v>Valid</x:v>
      </x:c>
      <x:c r="AJ662" s="12" t="str">
        <x:v>Valid</x:v>
      </x:c>
      <x:c r="AK662" s="12" t="str">
        <x:v>Pass</x:v>
      </x:c>
      <x:c r="AL662" s="12" t="str">
        <x:v>None</x:v>
      </x:c>
      <x:c r="AM662" s="12" t="str">
        <x:v>Valid</x:v>
      </x:c>
      <x:c r="AN662" s="12" t="str">
        <x:v>Include in completed sales</x:v>
      </x:c>
      <x:c r="AO662" s="12" t="str">
        <x:v>Not a refunded record</x:v>
      </x:c>
      <x:c r="AP662" s="37" t="n">
        <x:f>IF(LEFT($AM662,7)="Invalid","",IF($AM662="Missing discount imputed as 0",IF(AND(COUNT($O662,$P662,$R662,$S662)=4,$O662&gt;0,$P662&gt;=0,$R662&gt;=0,$S662&gt;=0),0,""),IF(AND(ISNUMBER($Q662),$Q662&gt;=0,$Q662&lt;=0.5),$Q662,"")))</x:f>
        <x:v>0.1</x:v>
      </x:c>
      <x:c r="AQ662" s="152" t="n">
        <x:f>IF(OR($W662="",NOT(ISNUMBER($R662))),"",ROUND($R662-$W662,2))</x:f>
        <x:v>0</x:v>
      </x:c>
      <x:c r="AR662" s="152" t="n">
        <x:f>IF(OR($X662="",NOT(ISNUMBER($T662))),"",ROUND($T662-$X662,2))</x:f>
        <x:v>0</x:v>
      </x:c>
      <x:c r="AS662" s="14" t="str">
        <x:v>OK</x:v>
      </x:c>
    </x:row>
    <x:row r="663">
      <x:c r="A663" s="80" t="n">
        <x:v>663</x:v>
      </x:c>
      <x:c r="B663" s="80" t="str">
        <x:v>ORD-2024-10662</x:v>
      </x:c>
      <x:c r="C663" s="81" t="n">
        <x:v>45429</x:v>
      </x:c>
      <x:c r="D663" s="81" t="n">
        <x:v>45434</x:v>
      </x:c>
      <x:c r="E663" s="80" t="str">
        <x:v>CUST-4537</x:v>
      </x:c>
      <x:c r="F663" s="80" t="str">
        <x:v>Sneha Kapoor</x:v>
      </x:c>
      <x:c r="G663" s="80" t="str">
        <x:v>Consumer</x:v>
      </x:c>
      <x:c r="H663" s="80" t="str">
        <x:v>South</x:v>
      </x:c>
      <x:c r="I663" s="80" t="str">
        <x:v>Andhra Pradesh</x:v>
      </x:c>
      <x:c r="J663" s="80" t="str">
        <x:v>Vijayawada</x:v>
      </x:c>
      <x:c r="K663" s="80" t="str">
        <x:v>Technology</x:v>
      </x:c>
      <x:c r="L663" s="80" t="str">
        <x:v>Machines</x:v>
      </x:c>
      <x:c r="M663" s="80" t="str">
        <x:v>Max Machines 595</x:v>
      </x:c>
      <x:c r="N663" s="80" t="str">
        <x:v>Second Class</x:v>
      </x:c>
      <x:c r="O663" s="82" t="n">
        <x:v>7</x:v>
      </x:c>
      <x:c r="P663" s="83" t="n">
        <x:v>232.5</x:v>
      </x:c>
      <x:c r="Q663" s="84" t="n">
        <x:v>0</x:v>
      </x:c>
      <x:c r="R663" s="83" t="n">
        <x:v>1627.5</x:v>
      </x:c>
      <x:c r="S663" s="83" t="n">
        <x:v>939.9</x:v>
      </x:c>
      <x:c r="T663" s="83" t="n">
        <x:v>687.6</x:v>
      </x:c>
      <x:c r="U663" s="83" t="str">
        <x:v>Paid</x:v>
      </x:c>
      <x:c r="V663" s="83" t="str">
        <x:v>Completed</x:v>
      </x:c>
      <x:c r="W663" s="151" t="n">
        <x:f>IF(OR(NOT(ISNUMBER($AP663)),COUNT($O663,$P663)&lt;2,$O663&lt;=0,$P663&lt;0),"",ROUND($O663*$P663*(1-$AP663),2))</x:f>
        <x:v>1627.5</x:v>
      </x:c>
      <x:c r="X663" s="151" t="n">
        <x:f>IF(OR(NOT(ISNUMBER($W663)),NOT(ISNUMBER($S663))),"",ROUND($W663-$S663,2))</x:f>
        <x:v>687.6</x:v>
      </x:c>
      <x:c r="Y663" s="85" t="n">
        <x:f>IF(OR(NOT(ISNUMBER($W663)),NOT(ISNUMBER($X663)),$W663=0),"",ROUND($X663/$W663,4))</x:f>
        <x:v>0.4225</x:v>
      </x:c>
      <x:c r="Z663" s="82" t="n">
        <x:f>IF(OR($AH663&lt;&gt;"Valid",$AI663&lt;&gt;"Valid"),"",INT($D663-$C663))</x:f>
        <x:v>5</x:v>
      </x:c>
      <x:c r="AA663" s="86" t="str">
        <x:f>IF($AH663&lt;&gt;"Valid","",TEXT($C663,"mmmm"))</x:f>
        <x:v>May</x:v>
      </x:c>
      <x:c r="AB663" s="82" t="n">
        <x:f>IF($AH663&lt;&gt;"Valid","",YEAR($C663))</x:f>
        <x:v>2024</x:v>
      </x:c>
      <x:c r="AC663" s="80" t="str">
        <x:v>Consistent</x:v>
      </x:c>
      <x:c r="AD663" s="80" t="str">
        <x:v>Eligible</x:v>
      </x:c>
      <x:c r="AE663" s="80" t="str">
        <x:f>IF(OR($AH663&lt;&gt;"Valid",$AI663&lt;&gt;"Valid",$AJ663&lt;&gt;"Valid",LEFT($AM663,7)="Invalid",IFERROR(ABS($AQ663)&gt;0.01,FALSE),IFERROR(ABS($AR663)&gt;0.01,FALSE),COUNTIF($AS663,"*Conflicting duplicate*")&gt;0,COUNTIF($AS663,"*Completed order not paid*")&gt;0),"Invalid",IF(OR($H663="Unknown",$N663="Unknown",$AM663="Missing discount imputed as 0"),"Warning","Clean"))</x:f>
        <x:v>Clean</x:v>
      </x:c>
      <x:c r="AF663" s="80" t="str">
        <x:v>Pass</x:v>
      </x:c>
      <x:c r="AG663" s="80" t="str">
        <x:v>No text cleanup required</x:v>
      </x:c>
      <x:c r="AH663" s="12" t="str">
        <x:f>IF(C663="","Missing date",IF(ISNUMBER(C663),"Valid","Unrecognized/invalid date"))</x:f>
        <x:v>Valid</x:v>
      </x:c>
      <x:c r="AI663" s="12" t="str">
        <x:f>IF(D663="","Missing date",IF(ISNUMBER(D663),"Valid","Unrecognized/invalid date"))</x:f>
        <x:v>Valid</x:v>
      </x:c>
      <x:c r="AJ663" s="12" t="str">
        <x:v>Valid</x:v>
      </x:c>
      <x:c r="AK663" s="12" t="str">
        <x:v>Pass</x:v>
      </x:c>
      <x:c r="AL663" s="12" t="str">
        <x:v>None</x:v>
      </x:c>
      <x:c r="AM663" s="12" t="str">
        <x:v>Valid</x:v>
      </x:c>
      <x:c r="AN663" s="12" t="str">
        <x:v>Include in completed sales</x:v>
      </x:c>
      <x:c r="AO663" s="12" t="str">
        <x:v>Not a refunded record</x:v>
      </x:c>
      <x:c r="AP663" s="37" t="n">
        <x:f>IF(LEFT($AM663,7)="Invalid","",IF($AM663="Missing discount imputed as 0",IF(AND(COUNT($O663,$P663,$R663,$S663)=4,$O663&gt;0,$P663&gt;=0,$R663&gt;=0,$S663&gt;=0),0,""),IF(AND(ISNUMBER($Q663),$Q663&gt;=0,$Q663&lt;=0.5),$Q663,"")))</x:f>
        <x:v>0</x:v>
      </x:c>
      <x:c r="AQ663" s="152" t="n">
        <x:f>IF(OR($W663="",NOT(ISNUMBER($R663))),"",ROUND($R663-$W663,2))</x:f>
        <x:v>0</x:v>
      </x:c>
      <x:c r="AR663" s="152" t="n">
        <x:f>IF(OR($X663="",NOT(ISNUMBER($T663))),"",ROUND($T663-$X663,2))</x:f>
        <x:v>0</x:v>
      </x:c>
      <x:c r="AS663" s="14" t="str">
        <x:v>OK</x:v>
      </x:c>
    </x:row>
    <x:row r="664">
      <x:c r="A664" s="80" t="n">
        <x:v>664</x:v>
      </x:c>
      <x:c r="B664" s="80" t="str">
        <x:v>ORD-2024-10663</x:v>
      </x:c>
      <x:c r="C664" s="81" t="n">
        <x:v>45305</x:v>
      </x:c>
      <x:c r="D664" s="81" t="n">
        <x:v>45309</x:v>
      </x:c>
      <x:c r="E664" s="80" t="str">
        <x:v>CUST-3181</x:v>
      </x:c>
      <x:c r="F664" s="80" t="str">
        <x:v>Mira Das</x:v>
      </x:c>
      <x:c r="G664" s="80" t="str">
        <x:v>Home Office</x:v>
      </x:c>
      <x:c r="H664" s="80" t="str">
        <x:v>West</x:v>
      </x:c>
      <x:c r="I664" s="80" t="str">
        <x:v>Rajasthan</x:v>
      </x:c>
      <x:c r="J664" s="80" t="str">
        <x:v>Udaipur</x:v>
      </x:c>
      <x:c r="K664" s="80" t="str">
        <x:v>Technology</x:v>
      </x:c>
      <x:c r="L664" s="80" t="str">
        <x:v>Machines</x:v>
      </x:c>
      <x:c r="M664" s="80" t="str">
        <x:v>Elite Machines 367</x:v>
      </x:c>
      <x:c r="N664" s="80" t="str">
        <x:v>Same Day</x:v>
      </x:c>
      <x:c r="O664" s="82" t="n">
        <x:v>6</x:v>
      </x:c>
      <x:c r="P664" s="83" t="n">
        <x:v>1784.8</x:v>
      </x:c>
      <x:c r="Q664" s="84" t="n">
        <x:v>0.1</x:v>
      </x:c>
      <x:c r="R664" s="83" t="n">
        <x:v>9637.92</x:v>
      </x:c>
      <x:c r="S664" s="83" t="n">
        <x:v>7329.29</x:v>
      </x:c>
      <x:c r="T664" s="83" t="n">
        <x:v>2308.63</x:v>
      </x:c>
      <x:c r="U664" s="83" t="str">
        <x:v>Paid</x:v>
      </x:c>
      <x:c r="V664" s="83" t="str">
        <x:v>Completed</x:v>
      </x:c>
      <x:c r="W664" s="151" t="n">
        <x:f>IF(OR(NOT(ISNUMBER($AP664)),COUNT($O664,$P664)&lt;2,$O664&lt;=0,$P664&lt;0),"",ROUND($O664*$P664*(1-$AP664),2))</x:f>
        <x:v>9637.92</x:v>
      </x:c>
      <x:c r="X664" s="151" t="n">
        <x:f>IF(OR(NOT(ISNUMBER($W664)),NOT(ISNUMBER($S664))),"",ROUND($W664-$S664,2))</x:f>
        <x:v>2308.63</x:v>
      </x:c>
      <x:c r="Y664" s="85" t="n">
        <x:f>IF(OR(NOT(ISNUMBER($W664)),NOT(ISNUMBER($X664)),$W664=0),"",ROUND($X664/$W664,4))</x:f>
        <x:v>0.2395</x:v>
      </x:c>
      <x:c r="Z664" s="82" t="n">
        <x:f>IF(OR($AH664&lt;&gt;"Valid",$AI664&lt;&gt;"Valid"),"",INT($D664-$C664))</x:f>
        <x:v>4</x:v>
      </x:c>
      <x:c r="AA664" s="86" t="str">
        <x:f>IF($AH664&lt;&gt;"Valid","",TEXT($C664,"mmmm"))</x:f>
        <x:v>January</x:v>
      </x:c>
      <x:c r="AB664" s="82" t="n">
        <x:f>IF($AH664&lt;&gt;"Valid","",YEAR($C664))</x:f>
        <x:v>2024</x:v>
      </x:c>
      <x:c r="AC664" s="80" t="str">
        <x:v>Consistent</x:v>
      </x:c>
      <x:c r="AD664" s="80" t="str">
        <x:v>Eligible</x:v>
      </x:c>
      <x:c r="AE664" s="80" t="str">
        <x:f>IF(OR($AH664&lt;&gt;"Valid",$AI664&lt;&gt;"Valid",$AJ664&lt;&gt;"Valid",LEFT($AM664,7)="Invalid",IFERROR(ABS($AQ664)&gt;0.01,FALSE),IFERROR(ABS($AR664)&gt;0.01,FALSE),COUNTIF($AS664,"*Conflicting duplicate*")&gt;0,COUNTIF($AS664,"*Completed order not paid*")&gt;0),"Invalid",IF(OR($H664="Unknown",$N664="Unknown",$AM664="Missing discount imputed as 0"),"Warning","Clean"))</x:f>
        <x:v>Clean</x:v>
      </x:c>
      <x:c r="AF664" s="80" t="str">
        <x:v>Pass</x:v>
      </x:c>
      <x:c r="AG664" s="80" t="str">
        <x:v>No text cleanup required</x:v>
      </x:c>
      <x:c r="AH664" s="12" t="str">
        <x:f>IF(C664="","Missing date",IF(ISNUMBER(C664),"Valid","Unrecognized/invalid date"))</x:f>
        <x:v>Valid</x:v>
      </x:c>
      <x:c r="AI664" s="12" t="str">
        <x:f>IF(D664="","Missing date",IF(ISNUMBER(D664),"Valid","Unrecognized/invalid date"))</x:f>
        <x:v>Valid</x:v>
      </x:c>
      <x:c r="AJ664" s="12" t="str">
        <x:v>Valid</x:v>
      </x:c>
      <x:c r="AK664" s="12" t="str">
        <x:v>Pass</x:v>
      </x:c>
      <x:c r="AL664" s="12" t="str">
        <x:v>None</x:v>
      </x:c>
      <x:c r="AM664" s="12" t="str">
        <x:v>Valid</x:v>
      </x:c>
      <x:c r="AN664" s="12" t="str">
        <x:v>Include in completed sales</x:v>
      </x:c>
      <x:c r="AO664" s="12" t="str">
        <x:v>Not a refunded record</x:v>
      </x:c>
      <x:c r="AP664" s="37" t="n">
        <x:f>IF(LEFT($AM664,7)="Invalid","",IF($AM664="Missing discount imputed as 0",IF(AND(COUNT($O664,$P664,$R664,$S664)=4,$O664&gt;0,$P664&gt;=0,$R664&gt;=0,$S664&gt;=0),0,""),IF(AND(ISNUMBER($Q664),$Q664&gt;=0,$Q664&lt;=0.5),$Q664,"")))</x:f>
        <x:v>0.1</x:v>
      </x:c>
      <x:c r="AQ664" s="152" t="n">
        <x:f>IF(OR($W664="",NOT(ISNUMBER($R664))),"",ROUND($R664-$W664,2))</x:f>
        <x:v>0</x:v>
      </x:c>
      <x:c r="AR664" s="152" t="n">
        <x:f>IF(OR($X664="",NOT(ISNUMBER($T664))),"",ROUND($T664-$X664,2))</x:f>
        <x:v>0</x:v>
      </x:c>
      <x:c r="AS664" s="14" t="str">
        <x:v>OK</x:v>
      </x:c>
    </x:row>
    <x:row r="665">
      <x:c r="A665" s="80" t="n">
        <x:v>665</x:v>
      </x:c>
      <x:c r="B665" s="80" t="str">
        <x:v>ORD-2024-10664</x:v>
      </x:c>
      <x:c r="C665" s="81" t="n">
        <x:v>45414</x:v>
      </x:c>
      <x:c r="D665" s="81" t="n">
        <x:v>45420</x:v>
      </x:c>
      <x:c r="E665" s="80" t="str">
        <x:v>CUST-1015</x:v>
      </x:c>
      <x:c r="F665" s="80" t="str">
        <x:v>Rahul Verma</x:v>
      </x:c>
      <x:c r="G665" s="80" t="str">
        <x:v>Home Office</x:v>
      </x:c>
      <x:c r="H665" s="80" t="str">
        <x:v>East</x:v>
      </x:c>
      <x:c r="I665" s="80" t="str">
        <x:v>Jharkhand</x:v>
      </x:c>
      <x:c r="J665" s="80" t="str">
        <x:v>Ranchi</x:v>
      </x:c>
      <x:c r="K665" s="80" t="str">
        <x:v>Technology</x:v>
      </x:c>
      <x:c r="L665" s="80" t="str">
        <x:v>Copiers</x:v>
      </x:c>
      <x:c r="M665" s="80" t="str">
        <x:v>Basic Copiers 787</x:v>
      </x:c>
      <x:c r="N665" s="80" t="str">
        <x:v>Second Class</x:v>
      </x:c>
      <x:c r="O665" s="82" t="n">
        <x:v>2</x:v>
      </x:c>
      <x:c r="P665" s="83" t="n">
        <x:v>3185.01</x:v>
      </x:c>
      <x:c r="Q665" s="84" t="n">
        <x:v>-0.24</x:v>
      </x:c>
      <x:c r="R665" s="83" t="n">
        <x:v>4777.52</x:v>
      </x:c>
      <x:c r="S665" s="83" t="n">
        <x:v>3152.98</x:v>
      </x:c>
      <x:c r="T665" s="83" t="n">
        <x:v>1624.54</x:v>
      </x:c>
      <x:c r="U665" s="83" t="str">
        <x:v>Paid</x:v>
      </x:c>
      <x:c r="V665" s="83" t="str">
        <x:v>Completed</x:v>
      </x:c>
      <x:c r="W665" s="151" t="str">
        <x:f>IF(OR(NOT(ISNUMBER($AP665)),COUNT($O665,$P665)&lt;2,$O665&lt;=0,$P665&lt;0),"",ROUND($O665*$P665*(1-$AP665),2))</x:f>
      </x:c>
      <x:c r="X665" s="151" t="str">
        <x:f>IF(OR(NOT(ISNUMBER($W665)),NOT(ISNUMBER($S665))),"",ROUND($W665-$S665,2))</x:f>
      </x:c>
      <x:c r="Y665" s="85" t="str">
        <x:f>IF(OR(NOT(ISNUMBER($W665)),NOT(ISNUMBER($X665)),$W665=0),"",ROUND($X665/$W665,4))</x:f>
      </x:c>
      <x:c r="Z665" s="82" t="n">
        <x:f>IF(OR($AH665&lt;&gt;"Valid",$AI665&lt;&gt;"Valid"),"",INT($D665-$C665))</x:f>
        <x:v>6</x:v>
      </x:c>
      <x:c r="AA665" s="86" t="str">
        <x:f>IF($AH665&lt;&gt;"Valid","",TEXT($C665,"mmmm"))</x:f>
        <x:v>May</x:v>
      </x:c>
      <x:c r="AB665" s="82" t="n">
        <x:f>IF($AH665&lt;&gt;"Valid","",YEAR($C665))</x:f>
        <x:v>2024</x:v>
      </x:c>
      <x:c r="AC665" s="80" t="str">
        <x:v>Consistent</x:v>
      </x:c>
      <x:c r="AD665" s="80" t="str">
        <x:v>Excluded</x:v>
      </x:c>
      <x:c r="AE665" s="80" t="str">
        <x:f>IF(OR($AH665&lt;&gt;"Valid",$AI665&lt;&gt;"Valid",$AJ665&lt;&gt;"Valid",LEFT($AM665,7)="Invalid",IFERROR(ABS($AQ665)&gt;0.01,FALSE),IFERROR(ABS($AR665)&gt;0.01,FALSE),COUNTIF($AS665,"*Conflicting duplicate*")&gt;0,COUNTIF($AS665,"*Completed order not paid*")&gt;0),"Invalid",IF(OR($H665="Unknown",$N665="Unknown",$AM665="Missing discount imputed as 0"),"Warning","Clean"))</x:f>
        <x:v>Invalid</x:v>
      </x:c>
      <x:c r="AF665" s="80" t="str">
        <x:v>Review</x:v>
      </x:c>
      <x:c r="AG665" s="80" t="str">
        <x:v>No text cleanup required</x:v>
      </x:c>
      <x:c r="AH665" s="12" t="str">
        <x:f>IF(C665="","Missing date",IF(ISNUMBER(C665),"Valid","Unrecognized/invalid date"))</x:f>
        <x:v>Valid</x:v>
      </x:c>
      <x:c r="AI665" s="12" t="str">
        <x:f>IF(D665="","Missing date",IF(ISNUMBER(D665),"Valid","Unrecognized/invalid date"))</x:f>
        <x:v>Valid</x:v>
      </x:c>
      <x:c r="AJ665" s="12" t="str">
        <x:v>Valid</x:v>
      </x:c>
      <x:c r="AK665" s="12" t="str">
        <x:v>Pass</x:v>
      </x:c>
      <x:c r="AL665" s="12" t="str">
        <x:v>None</x:v>
      </x:c>
      <x:c r="AM665" s="12" t="str">
        <x:v>Invalid discount – negative</x:v>
      </x:c>
      <x:c r="AN665" s="12" t="str">
        <x:v>Exclude from completed sales</x:v>
      </x:c>
      <x:c r="AO665" s="12" t="str">
        <x:v>Not a refunded record</x:v>
      </x:c>
      <x:c r="AP665" s="37" t="str">
        <x:f>IF(LEFT($AM665,7)="Invalid","",IF($AM665="Missing discount imputed as 0",IF(AND(COUNT($O665,$P665,$R665,$S665)=4,$O665&gt;0,$P665&gt;=0,$R665&gt;=0,$S665&gt;=0),0,""),IF(AND(ISNUMBER($Q665),$Q665&gt;=0,$Q665&lt;=0.5),$Q665,"")))</x:f>
      </x:c>
      <x:c r="AQ665" s="152" t="str">
        <x:f>IF(OR($W665="",NOT(ISNUMBER($R665))),"",ROUND($R665-$W665,2))</x:f>
      </x:c>
      <x:c r="AR665" s="152" t="str">
        <x:f>IF(OR($X665="",NOT(ISNUMBER($T665))),"",ROUND($T665-$X665,2))</x:f>
      </x:c>
      <x:c r="AS665" s="14" t="str">
        <x:v>Negative discount</x:v>
      </x:c>
    </x:row>
    <x:row r="666">
      <x:c r="A666" s="80" t="n">
        <x:v>666</x:v>
      </x:c>
      <x:c r="B666" s="80" t="str">
        <x:v>ORD-2024-10665</x:v>
      </x:c>
      <x:c r="C666" s="81" t="n">
        <x:v>45633</x:v>
      </x:c>
      <x:c r="D666" s="81" t="n">
        <x:v>45636</x:v>
      </x:c>
      <x:c r="E666" s="80" t="str">
        <x:v>CUST-2709</x:v>
      </x:c>
      <x:c r="F666" s="80" t="str">
        <x:v>Mira Das</x:v>
      </x:c>
      <x:c r="G666" s="80" t="str">
        <x:v>Home Office</x:v>
      </x:c>
      <x:c r="H666" s="80" t="str">
        <x:v>South</x:v>
      </x:c>
      <x:c r="I666" s="80" t="str">
        <x:v>Telangana</x:v>
      </x:c>
      <x:c r="J666" s="80" t="str">
        <x:v>Hyderabad</x:v>
      </x:c>
      <x:c r="K666" s="80" t="str">
        <x:v>Technology</x:v>
      </x:c>
      <x:c r="L666" s="80" t="str">
        <x:v>Accessories</x:v>
      </x:c>
      <x:c r="M666" s="80" t="str">
        <x:v>Max Accessories 903</x:v>
      </x:c>
      <x:c r="N666" s="80" t="str">
        <x:v>Standard Class</x:v>
      </x:c>
      <x:c r="O666" s="82" t="n">
        <x:v>1</x:v>
      </x:c>
      <x:c r="P666" s="83" t="n">
        <x:v>1908.83</x:v>
      </x:c>
      <x:c r="Q666" s="84" t="n">
        <x:v>0.2</x:v>
      </x:c>
      <x:c r="R666" s="83" t="n">
        <x:v>1527.06</x:v>
      </x:c>
      <x:c r="S666" s="83" t="n">
        <x:v>1055.89</x:v>
      </x:c>
      <x:c r="T666" s="83" t="n">
        <x:v>471.17</x:v>
      </x:c>
      <x:c r="U666" s="83" t="str">
        <x:v>Paid</x:v>
      </x:c>
      <x:c r="V666" s="83" t="str">
        <x:v>Completed</x:v>
      </x:c>
      <x:c r="W666" s="151" t="n">
        <x:f>IF(OR(NOT(ISNUMBER($AP666)),COUNT($O666,$P666)&lt;2,$O666&lt;=0,$P666&lt;0),"",ROUND($O666*$P666*(1-$AP666),2))</x:f>
        <x:v>1527.06</x:v>
      </x:c>
      <x:c r="X666" s="151" t="n">
        <x:f>IF(OR(NOT(ISNUMBER($W666)),NOT(ISNUMBER($S666))),"",ROUND($W666-$S666,2))</x:f>
        <x:v>471.17</x:v>
      </x:c>
      <x:c r="Y666" s="85" t="n">
        <x:f>IF(OR(NOT(ISNUMBER($W666)),NOT(ISNUMBER($X666)),$W666=0),"",ROUND($X666/$W666,4))</x:f>
        <x:v>0.3085</x:v>
      </x:c>
      <x:c r="Z666" s="82" t="n">
        <x:f>IF(OR($AH666&lt;&gt;"Valid",$AI666&lt;&gt;"Valid"),"",INT($D666-$C666))</x:f>
        <x:v>3</x:v>
      </x:c>
      <x:c r="AA666" s="86" t="str">
        <x:f>IF($AH666&lt;&gt;"Valid","",TEXT($C666,"mmmm"))</x:f>
        <x:v>December</x:v>
      </x:c>
      <x:c r="AB666" s="82" t="n">
        <x:f>IF($AH666&lt;&gt;"Valid","",YEAR($C666))</x:f>
        <x:v>2024</x:v>
      </x:c>
      <x:c r="AC666" s="80" t="str">
        <x:v>Consistent</x:v>
      </x:c>
      <x:c r="AD666" s="80" t="str">
        <x:v>Eligible</x:v>
      </x:c>
      <x:c r="AE666" s="80" t="str">
        <x:f>IF(OR($AH666&lt;&gt;"Valid",$AI666&lt;&gt;"Valid",$AJ666&lt;&gt;"Valid",LEFT($AM666,7)="Invalid",IFERROR(ABS($AQ666)&gt;0.01,FALSE),IFERROR(ABS($AR666)&gt;0.01,FALSE),COUNTIF($AS666,"*Conflicting duplicate*")&gt;0,COUNTIF($AS666,"*Completed order not paid*")&gt;0),"Invalid",IF(OR($H666="Unknown",$N666="Unknown",$AM666="Missing discount imputed as 0"),"Warning","Clean"))</x:f>
        <x:v>Clean</x:v>
      </x:c>
      <x:c r="AF666" s="80" t="str">
        <x:v>Pass</x:v>
      </x:c>
      <x:c r="AG666" s="80" t="str">
        <x:v>No text cleanup required</x:v>
      </x:c>
      <x:c r="AH666" s="12" t="str">
        <x:f>IF(C666="","Missing date",IF(ISNUMBER(C666),"Valid","Unrecognized/invalid date"))</x:f>
        <x:v>Valid</x:v>
      </x:c>
      <x:c r="AI666" s="12" t="str">
        <x:f>IF(D666="","Missing date",IF(ISNUMBER(D666),"Valid","Unrecognized/invalid date"))</x:f>
        <x:v>Valid</x:v>
      </x:c>
      <x:c r="AJ666" s="12" t="str">
        <x:v>Valid</x:v>
      </x:c>
      <x:c r="AK666" s="12" t="str">
        <x:v>Pass</x:v>
      </x:c>
      <x:c r="AL666" s="12" t="str">
        <x:v>None</x:v>
      </x:c>
      <x:c r="AM666" s="12" t="str">
        <x:v>Valid</x:v>
      </x:c>
      <x:c r="AN666" s="12" t="str">
        <x:v>Include in completed sales</x:v>
      </x:c>
      <x:c r="AO666" s="12" t="str">
        <x:v>Not a refunded record</x:v>
      </x:c>
      <x:c r="AP666" s="37" t="n">
        <x:f>IF(LEFT($AM666,7)="Invalid","",IF($AM666="Missing discount imputed as 0",IF(AND(COUNT($O666,$P666,$R666,$S666)=4,$O666&gt;0,$P666&gt;=0,$R666&gt;=0,$S666&gt;=0),0,""),IF(AND(ISNUMBER($Q666),$Q666&gt;=0,$Q666&lt;=0.5),$Q666,"")))</x:f>
        <x:v>0.2</x:v>
      </x:c>
      <x:c r="AQ666" s="152" t="n">
        <x:f>IF(OR($W666="",NOT(ISNUMBER($R666))),"",ROUND($R666-$W666,2))</x:f>
        <x:v>0</x:v>
      </x:c>
      <x:c r="AR666" s="152" t="n">
        <x:f>IF(OR($X666="",NOT(ISNUMBER($T666))),"",ROUND($T666-$X666,2))</x:f>
        <x:v>0</x:v>
      </x:c>
      <x:c r="AS666" s="14" t="str">
        <x:v>OK</x:v>
      </x:c>
    </x:row>
    <x:row r="667">
      <x:c r="A667" s="80" t="n">
        <x:v>667</x:v>
      </x:c>
      <x:c r="B667" s="80" t="str">
        <x:v>ORD-2025-10666</x:v>
      </x:c>
      <x:c r="C667" s="81" t="n">
        <x:v>45670</x:v>
      </x:c>
      <x:c r="D667" s="81" t="n">
        <x:v>45670</x:v>
      </x:c>
      <x:c r="E667" s="80" t="str">
        <x:v>CUST-1197</x:v>
      </x:c>
      <x:c r="F667" s="80" t="str">
        <x:v>Rahul Verma</x:v>
      </x:c>
      <x:c r="G667" s="80" t="str">
        <x:v>Home Office</x:v>
      </x:c>
      <x:c r="H667" s="80" t="str">
        <x:v>West</x:v>
      </x:c>
      <x:c r="I667" s="80" t="str">
        <x:v>Gujarat</x:v>
      </x:c>
      <x:c r="J667" s="80" t="str">
        <x:v>Ahmedabad</x:v>
      </x:c>
      <x:c r="K667" s="80" t="str">
        <x:v>Office Supplies</x:v>
      </x:c>
      <x:c r="L667" s="80" t="str">
        <x:v>Art</x:v>
      </x:c>
      <x:c r="M667" s="80" t="str">
        <x:v>Max Art 660</x:v>
      </x:c>
      <x:c r="N667" s="80" t="str">
        <x:v>Standard Class</x:v>
      </x:c>
      <x:c r="O667" s="82" t="n">
        <x:v>3</x:v>
      </x:c>
      <x:c r="P667" s="83" t="n">
        <x:v>2110.52</x:v>
      </x:c>
      <x:c r="Q667" s="84" t="n">
        <x:v>0.1</x:v>
      </x:c>
      <x:c r="R667" s="83" t="n">
        <x:v>5698.4</x:v>
      </x:c>
      <x:c r="S667" s="83" t="n">
        <x:v>3640.89</x:v>
      </x:c>
      <x:c r="T667" s="83" t="n">
        <x:v>2057.51</x:v>
      </x:c>
      <x:c r="U667" s="83" t="str">
        <x:v>Failed</x:v>
      </x:c>
      <x:c r="V667" s="83" t="str">
        <x:v>Cancelled</x:v>
      </x:c>
      <x:c r="W667" s="151" t="n">
        <x:f>IF(OR(NOT(ISNUMBER($AP667)),COUNT($O667,$P667)&lt;2,$O667&lt;=0,$P667&lt;0),"",ROUND($O667*$P667*(1-$AP667),2))</x:f>
        <x:v>5698.4</x:v>
      </x:c>
      <x:c r="X667" s="151" t="n">
        <x:f>IF(OR(NOT(ISNUMBER($W667)),NOT(ISNUMBER($S667))),"",ROUND($W667-$S667,2))</x:f>
        <x:v>2057.51</x:v>
      </x:c>
      <x:c r="Y667" s="85" t="n">
        <x:f>IF(OR(NOT(ISNUMBER($W667)),NOT(ISNUMBER($X667)),$W667=0),"",ROUND($X667/$W667,4))</x:f>
        <x:v>0.3611</x:v>
      </x:c>
      <x:c r="Z667" s="82" t="n">
        <x:f>IF(OR($AH667&lt;&gt;"Valid",$AI667&lt;&gt;"Valid"),"",INT($D667-$C667))</x:f>
        <x:v>0</x:v>
      </x:c>
      <x:c r="AA667" s="86" t="str">
        <x:f>IF($AH667&lt;&gt;"Valid","",TEXT($C667,"mmmm"))</x:f>
        <x:v>January</x:v>
      </x:c>
      <x:c r="AB667" s="82" t="n">
        <x:f>IF($AH667&lt;&gt;"Valid","",YEAR($C667))</x:f>
        <x:v>2025</x:v>
      </x:c>
      <x:c r="AC667" s="80" t="str">
        <x:v>Cancelled (excluded from completed-sales summary)</x:v>
      </x:c>
      <x:c r="AD667" s="80" t="str">
        <x:v>Excluded</x:v>
      </x:c>
      <x:c r="AE667" s="80" t="str">
        <x:f>IF(OR($AH667&lt;&gt;"Valid",$AI667&lt;&gt;"Valid",$AJ667&lt;&gt;"Valid",LEFT($AM667,7)="Invalid",IFERROR(ABS($AQ667)&gt;0.01,FALSE),IFERROR(ABS($AR667)&gt;0.01,FALSE),COUNTIF($AS667,"*Conflicting duplicate*")&gt;0,COUNTIF($AS667,"*Completed order not paid*")&gt;0),"Invalid",IF(OR($H667="Unknown",$N667="Unknown",$AM667="Missing discount imputed as 0"),"Warning","Clean"))</x:f>
        <x:v>Clean</x:v>
      </x:c>
      <x:c r="AF667" s="80" t="str">
        <x:v>Cleaned</x:v>
      </x:c>
      <x:c r="AG667" s="80" t="str">
        <x:v>customer_name: TRIM/SUBSTITUTE whitespace cleanup</x:v>
      </x:c>
      <x:c r="AH667" s="12" t="str">
        <x:f>IF(C667="","Missing date",IF(ISNUMBER(C667),"Valid","Unrecognized/invalid date"))</x:f>
        <x:v>Valid</x:v>
      </x:c>
      <x:c r="AI667" s="12" t="str">
        <x:f>IF(D667="","Missing date",IF(ISNUMBER(D667),"Valid","Unrecognized/invalid date"))</x:f>
        <x:v>Valid</x:v>
      </x:c>
      <x:c r="AJ667" s="12" t="str">
        <x:v>Valid</x:v>
      </x:c>
      <x:c r="AK667" s="12" t="str">
        <x:v>Pass</x:v>
      </x:c>
      <x:c r="AL667" s="12" t="str">
        <x:v>Cancelled order – excluded from completed sales; Failed payment – excluded from completed sales</x:v>
      </x:c>
      <x:c r="AM667" s="12" t="str">
        <x:v>Valid</x:v>
      </x:c>
      <x:c r="AN667" s="12" t="str">
        <x:v>Exclude from completed sales</x:v>
      </x:c>
      <x:c r="AO667" s="12" t="str">
        <x:v>Not a refunded record</x:v>
      </x:c>
      <x:c r="AP667" s="37" t="n">
        <x:f>IF(LEFT($AM667,7)="Invalid","",IF($AM667="Missing discount imputed as 0",IF(AND(COUNT($O667,$P667,$R667,$S667)=4,$O667&gt;0,$P667&gt;=0,$R667&gt;=0,$S667&gt;=0),0,""),IF(AND(ISNUMBER($Q667),$Q667&gt;=0,$Q667&lt;=0.5),$Q667,"")))</x:f>
        <x:v>0.1</x:v>
      </x:c>
      <x:c r="AQ667" s="152" t="n">
        <x:f>IF(OR($W667="",NOT(ISNUMBER($R667))),"",ROUND($R667-$W667,2))</x:f>
        <x:v>0</x:v>
      </x:c>
      <x:c r="AR667" s="152" t="n">
        <x:f>IF(OR($X667="",NOT(ISNUMBER($T667))),"",ROUND($T667-$X667,2))</x:f>
        <x:v>0</x:v>
      </x:c>
      <x:c r="AS667" s="14" t="str">
        <x:v>OK</x:v>
      </x:c>
    </x:row>
    <x:row r="668">
      <x:c r="A668" s="80" t="n">
        <x:v>668</x:v>
      </x:c>
      <x:c r="B668" s="80" t="str">
        <x:v>ORD-2024-10667</x:v>
      </x:c>
      <x:c r="C668" s="81" t="n">
        <x:v>45464</x:v>
      </x:c>
      <x:c r="D668" s="81" t="n">
        <x:v>45469</x:v>
      </x:c>
      <x:c r="E668" s="80" t="str">
        <x:v>CUST-7758</x:v>
      </x:c>
      <x:c r="F668" s="80" t="str">
        <x:v>Rohan Mehta</x:v>
      </x:c>
      <x:c r="G668" s="80" t="str">
        <x:v>Small Business</x:v>
      </x:c>
      <x:c r="H668" s="80" t="str">
        <x:v>North</x:v>
      </x:c>
      <x:c r="I668" s="80" t="str">
        <x:v>Punjab</x:v>
      </x:c>
      <x:c r="J668" s="80" t="str">
        <x:v>Ludhiana</x:v>
      </x:c>
      <x:c r="K668" s="80" t="str">
        <x:v>Technology</x:v>
      </x:c>
      <x:c r="L668" s="80" t="str">
        <x:v>Copiers</x:v>
      </x:c>
      <x:c r="M668" s="80" t="str">
        <x:v>Classic Copiers 908</x:v>
      </x:c>
      <x:c r="N668" s="80" t="str">
        <x:v>Same Day</x:v>
      </x:c>
      <x:c r="O668" s="82" t="n">
        <x:v>1</x:v>
      </x:c>
      <x:c r="P668" s="83" t="n">
        <x:v>279.83</x:v>
      </x:c>
      <x:c r="Q668" s="84" t="n">
        <x:v>0.05</x:v>
      </x:c>
      <x:c r="R668" s="83" t="n">
        <x:v>265.84</x:v>
      </x:c>
      <x:c r="S668" s="83" t="n">
        <x:v>223.49</x:v>
      </x:c>
      <x:c r="T668" s="83" t="n">
        <x:v>42.35</x:v>
      </x:c>
      <x:c r="U668" s="83" t="str">
        <x:v>Paid</x:v>
      </x:c>
      <x:c r="V668" s="83" t="str">
        <x:v>Completed</x:v>
      </x:c>
      <x:c r="W668" s="151" t="n">
        <x:f>IF(OR(NOT(ISNUMBER($AP668)),COUNT($O668,$P668)&lt;2,$O668&lt;=0,$P668&lt;0),"",ROUND($O668*$P668*(1-$AP668),2))</x:f>
        <x:v>265.84</x:v>
      </x:c>
      <x:c r="X668" s="151" t="n">
        <x:f>IF(OR(NOT(ISNUMBER($W668)),NOT(ISNUMBER($S668))),"",ROUND($W668-$S668,2))</x:f>
        <x:v>42.35</x:v>
      </x:c>
      <x:c r="Y668" s="85" t="n">
        <x:f>IF(OR(NOT(ISNUMBER($W668)),NOT(ISNUMBER($X668)),$W668=0),"",ROUND($X668/$W668,4))</x:f>
        <x:v>0.1593</x:v>
      </x:c>
      <x:c r="Z668" s="82" t="n">
        <x:f>IF(OR($AH668&lt;&gt;"Valid",$AI668&lt;&gt;"Valid"),"",INT($D668-$C668))</x:f>
        <x:v>5</x:v>
      </x:c>
      <x:c r="AA668" s="86" t="str">
        <x:f>IF($AH668&lt;&gt;"Valid","",TEXT($C668,"mmmm"))</x:f>
        <x:v>June</x:v>
      </x:c>
      <x:c r="AB668" s="82" t="n">
        <x:f>IF($AH668&lt;&gt;"Valid","",YEAR($C668))</x:f>
        <x:v>2024</x:v>
      </x:c>
      <x:c r="AC668" s="80" t="str">
        <x:v>Consistent</x:v>
      </x:c>
      <x:c r="AD668" s="80" t="str">
        <x:v>Eligible</x:v>
      </x:c>
      <x:c r="AE668" s="80" t="str">
        <x:f>IF(OR($AH668&lt;&gt;"Valid",$AI668&lt;&gt;"Valid",$AJ668&lt;&gt;"Valid",LEFT($AM668,7)="Invalid",IFERROR(ABS($AQ668)&gt;0.01,FALSE),IFERROR(ABS($AR668)&gt;0.01,FALSE),COUNTIF($AS668,"*Conflicting duplicate*")&gt;0,COUNTIF($AS668,"*Completed order not paid*")&gt;0),"Invalid",IF(OR($H668="Unknown",$N668="Unknown",$AM668="Missing discount imputed as 0"),"Warning","Clean"))</x:f>
        <x:v>Clean</x:v>
      </x:c>
      <x:c r="AF668" s="80" t="str">
        <x:v>Pass</x:v>
      </x:c>
      <x:c r="AG668" s="80" t="str">
        <x:v>No text cleanup required</x:v>
      </x:c>
      <x:c r="AH668" s="12" t="str">
        <x:f>IF(C668="","Missing date",IF(ISNUMBER(C668),"Valid","Unrecognized/invalid date"))</x:f>
        <x:v>Valid</x:v>
      </x:c>
      <x:c r="AI668" s="12" t="str">
        <x:f>IF(D668="","Missing date",IF(ISNUMBER(D668),"Valid","Unrecognized/invalid date"))</x:f>
        <x:v>Valid</x:v>
      </x:c>
      <x:c r="AJ668" s="12" t="str">
        <x:v>Valid</x:v>
      </x:c>
      <x:c r="AK668" s="12" t="str">
        <x:v>Pass</x:v>
      </x:c>
      <x:c r="AL668" s="12" t="str">
        <x:v>None</x:v>
      </x:c>
      <x:c r="AM668" s="12" t="str">
        <x:v>Valid</x:v>
      </x:c>
      <x:c r="AN668" s="12" t="str">
        <x:v>Include in completed sales</x:v>
      </x:c>
      <x:c r="AO668" s="12" t="str">
        <x:v>Not a refunded record</x:v>
      </x:c>
      <x:c r="AP668" s="37" t="n">
        <x:f>IF(LEFT($AM668,7)="Invalid","",IF($AM668="Missing discount imputed as 0",IF(AND(COUNT($O668,$P668,$R668,$S668)=4,$O668&gt;0,$P668&gt;=0,$R668&gt;=0,$S668&gt;=0),0,""),IF(AND(ISNUMBER($Q668),$Q668&gt;=0,$Q668&lt;=0.5),$Q668,"")))</x:f>
        <x:v>0.05</x:v>
      </x:c>
      <x:c r="AQ668" s="152" t="n">
        <x:f>IF(OR($W668="",NOT(ISNUMBER($R668))),"",ROUND($R668-$W668,2))</x:f>
        <x:v>0</x:v>
      </x:c>
      <x:c r="AR668" s="152" t="n">
        <x:f>IF(OR($X668="",NOT(ISNUMBER($T668))),"",ROUND($T668-$X668,2))</x:f>
        <x:v>0</x:v>
      </x:c>
      <x:c r="AS668" s="14" t="str">
        <x:v>OK</x:v>
      </x:c>
    </x:row>
    <x:row r="669">
      <x:c r="A669" s="80" t="n">
        <x:v>669</x:v>
      </x:c>
      <x:c r="B669" s="80" t="str">
        <x:v>ORD-2025-10668</x:v>
      </x:c>
      <x:c r="C669" s="81" t="n">
        <x:v>45797</x:v>
      </x:c>
      <x:c r="D669" s="81" t="n">
        <x:v>45804</x:v>
      </x:c>
      <x:c r="E669" s="80" t="str">
        <x:v>CUST-3912</x:v>
      </x:c>
      <x:c r="F669" s="80" t="str">
        <x:v>Diya Patel</x:v>
      </x:c>
      <x:c r="G669" s="80" t="str">
        <x:v>Small Business</x:v>
      </x:c>
      <x:c r="H669" s="80" t="str">
        <x:v>East</x:v>
      </x:c>
      <x:c r="I669" s="80" t="str">
        <x:v>Bihar</x:v>
      </x:c>
      <x:c r="J669" s="80" t="str">
        <x:v>Patna</x:v>
      </x:c>
      <x:c r="K669" s="80" t="str">
        <x:v>Technology</x:v>
      </x:c>
      <x:c r="L669" s="80" t="str">
        <x:v>Machines</x:v>
      </x:c>
      <x:c r="M669" s="80" t="str">
        <x:v>Pro Machines 706</x:v>
      </x:c>
      <x:c r="N669" s="80" t="str">
        <x:v>Standard Class</x:v>
      </x:c>
      <x:c r="O669" s="82" t="n">
        <x:v>1</x:v>
      </x:c>
      <x:c r="P669" s="83" t="n">
        <x:v>3959.14</x:v>
      </x:c>
      <x:c r="Q669" s="84" t="n">
        <x:v>0</x:v>
      </x:c>
      <x:c r="R669" s="83" t="n">
        <x:v>3959.14</x:v>
      </x:c>
      <x:c r="S669" s="83" t="n">
        <x:v>3239.53</x:v>
      </x:c>
      <x:c r="T669" s="83" t="n">
        <x:v>719.61</x:v>
      </x:c>
      <x:c r="U669" s="83" t="str">
        <x:v>Pending</x:v>
      </x:c>
      <x:c r="V669" s="83" t="str">
        <x:v>Returned</x:v>
      </x:c>
      <x:c r="W669" s="151" t="n">
        <x:f>IF(OR(NOT(ISNUMBER($AP669)),COUNT($O669,$P669)&lt;2,$O669&lt;=0,$P669&lt;0),"",ROUND($O669*$P669*(1-$AP669),2))</x:f>
        <x:v>3959.14</x:v>
      </x:c>
      <x:c r="X669" s="151" t="n">
        <x:f>IF(OR(NOT(ISNUMBER($W669)),NOT(ISNUMBER($S669))),"",ROUND($W669-$S669,2))</x:f>
        <x:v>719.61</x:v>
      </x:c>
      <x:c r="Y669" s="85" t="n">
        <x:f>IF(OR(NOT(ISNUMBER($W669)),NOT(ISNUMBER($X669)),$W669=0),"",ROUND($X669/$W669,4))</x:f>
        <x:v>0.1818</x:v>
      </x:c>
      <x:c r="Z669" s="82" t="n">
        <x:f>IF(OR($AH669&lt;&gt;"Valid",$AI669&lt;&gt;"Valid"),"",INT($D669-$C669))</x:f>
        <x:v>7</x:v>
      </x:c>
      <x:c r="AA669" s="86" t="str">
        <x:f>IF($AH669&lt;&gt;"Valid","",TEXT($C669,"mmmm"))</x:f>
        <x:v>May</x:v>
      </x:c>
      <x:c r="AB669" s="82" t="n">
        <x:f>IF($AH669&lt;&gt;"Valid","",YEAR($C669))</x:f>
        <x:v>2025</x:v>
      </x:c>
      <x:c r="AC669" s="80" t="str">
        <x:v>Consistent</x:v>
      </x:c>
      <x:c r="AD669" s="80" t="str">
        <x:v>Excluded</x:v>
      </x:c>
      <x:c r="AE669" s="80" t="str">
        <x:f>IF(OR($AH669&lt;&gt;"Valid",$AI669&lt;&gt;"Valid",$AJ669&lt;&gt;"Valid",LEFT($AM669,7)="Invalid",IFERROR(ABS($AQ669)&gt;0.01,FALSE),IFERROR(ABS($AR669)&gt;0.01,FALSE),COUNTIF($AS669,"*Conflicting duplicate*")&gt;0,COUNTIF($AS669,"*Completed order not paid*")&gt;0),"Invalid",IF(OR($H669="Unknown",$N669="Unknown",$AM669="Missing discount imputed as 0"),"Warning","Clean"))</x:f>
        <x:v>Clean</x:v>
      </x:c>
      <x:c r="AF669" s="80" t="str">
        <x:v>Pass</x:v>
      </x:c>
      <x:c r="AG669" s="80" t="str">
        <x:v>No text cleanup required</x:v>
      </x:c>
      <x:c r="AH669" s="12" t="str">
        <x:f>IF(C669="","Missing date",IF(ISNUMBER(C669),"Valid","Unrecognized/invalid date"))</x:f>
        <x:v>Valid</x:v>
      </x:c>
      <x:c r="AI669" s="12" t="str">
        <x:f>IF(D669="","Missing date",IF(ISNUMBER(D669),"Valid","Unrecognized/invalid date"))</x:f>
        <x:v>Valid</x:v>
      </x:c>
      <x:c r="AJ669" s="12" t="str">
        <x:v>Valid</x:v>
      </x:c>
      <x:c r="AK669" s="12" t="str">
        <x:v>Pass</x:v>
      </x:c>
      <x:c r="AL669" s="12" t="str">
        <x:v>None</x:v>
      </x:c>
      <x:c r="AM669" s="12" t="str">
        <x:v>Valid</x:v>
      </x:c>
      <x:c r="AN669" s="12" t="str">
        <x:v>Exclude from completed sales</x:v>
      </x:c>
      <x:c r="AO669" s="12" t="str">
        <x:v>Not a refunded record</x:v>
      </x:c>
      <x:c r="AP669" s="37" t="n">
        <x:f>IF(LEFT($AM669,7)="Invalid","",IF($AM669="Missing discount imputed as 0",IF(AND(COUNT($O669,$P669,$R669,$S669)=4,$O669&gt;0,$P669&gt;=0,$R669&gt;=0,$S669&gt;=0),0,""),IF(AND(ISNUMBER($Q669),$Q669&gt;=0,$Q669&lt;=0.5),$Q669,"")))</x:f>
        <x:v>0</x:v>
      </x:c>
      <x:c r="AQ669" s="152" t="n">
        <x:f>IF(OR($W669="",NOT(ISNUMBER($R669))),"",ROUND($R669-$W669,2))</x:f>
        <x:v>0</x:v>
      </x:c>
      <x:c r="AR669" s="152" t="n">
        <x:f>IF(OR($X669="",NOT(ISNUMBER($T669))),"",ROUND($T669-$X669,2))</x:f>
        <x:v>0</x:v>
      </x:c>
      <x:c r="AS669" s="14" t="str">
        <x:v>OK</x:v>
      </x:c>
    </x:row>
    <x:row r="670">
      <x:c r="A670" s="80" t="n">
        <x:v>670</x:v>
      </x:c>
      <x:c r="B670" s="80" t="str">
        <x:v>ORD-2024-10669</x:v>
      </x:c>
      <x:c r="C670" s="81" t="n">
        <x:v>45617</x:v>
      </x:c>
      <x:c r="D670" s="81" t="n">
        <x:v>45619</x:v>
      </x:c>
      <x:c r="E670" s="80" t="str">
        <x:v>CUST-4190</x:v>
      </x:c>
      <x:c r="F670" s="80" t="str">
        <x:v>Mira Das</x:v>
      </x:c>
      <x:c r="G670" s="80" t="str">
        <x:v>Corporate</x:v>
      </x:c>
      <x:c r="H670" s="80" t="str">
        <x:v>West</x:v>
      </x:c>
      <x:c r="I670" s="80" t="str">
        <x:v>Gujarat</x:v>
      </x:c>
      <x:c r="J670" s="80" t="str">
        <x:v>Ahmedabad</x:v>
      </x:c>
      <x:c r="K670" s="80" t="str">
        <x:v>Office Supplies</x:v>
      </x:c>
      <x:c r="L670" s="80" t="str">
        <x:v>Paper</x:v>
      </x:c>
      <x:c r="M670" s="80" t="str">
        <x:v>Pro Paper 187</x:v>
      </x:c>
      <x:c r="N670" s="80" t="str">
        <x:v>Second Class</x:v>
      </x:c>
      <x:c r="O670" s="82" t="n">
        <x:v>5</x:v>
      </x:c>
      <x:c r="P670" s="83" t="n">
        <x:v>600.46</x:v>
      </x:c>
      <x:c r="Q670" s="84" t="n">
        <x:v>0.2</x:v>
      </x:c>
      <x:c r="R670" s="83" t="n">
        <x:v>2401.84</x:v>
      </x:c>
      <x:c r="S670" s="83" t="n">
        <x:v>1873.11</x:v>
      </x:c>
      <x:c r="T670" s="83" t="n">
        <x:v>528.73</x:v>
      </x:c>
      <x:c r="U670" s="83" t="str">
        <x:v>Paid</x:v>
      </x:c>
      <x:c r="V670" s="83" t="str">
        <x:v>Completed</x:v>
      </x:c>
      <x:c r="W670" s="151" t="n">
        <x:f>IF(OR(NOT(ISNUMBER($AP670)),COUNT($O670,$P670)&lt;2,$O670&lt;=0,$P670&lt;0),"",ROUND($O670*$P670*(1-$AP670),2))</x:f>
        <x:v>2401.84</x:v>
      </x:c>
      <x:c r="X670" s="151" t="n">
        <x:f>IF(OR(NOT(ISNUMBER($W670)),NOT(ISNUMBER($S670))),"",ROUND($W670-$S670,2))</x:f>
        <x:v>528.73</x:v>
      </x:c>
      <x:c r="Y670" s="85" t="n">
        <x:f>IF(OR(NOT(ISNUMBER($W670)),NOT(ISNUMBER($X670)),$W670=0),"",ROUND($X670/$W670,4))</x:f>
        <x:v>0.2201</x:v>
      </x:c>
      <x:c r="Z670" s="82" t="n">
        <x:f>IF(OR($AH670&lt;&gt;"Valid",$AI670&lt;&gt;"Valid"),"",INT($D670-$C670))</x:f>
        <x:v>2</x:v>
      </x:c>
      <x:c r="AA670" s="86" t="str">
        <x:f>IF($AH670&lt;&gt;"Valid","",TEXT($C670,"mmmm"))</x:f>
        <x:v>November</x:v>
      </x:c>
      <x:c r="AB670" s="82" t="n">
        <x:f>IF($AH670&lt;&gt;"Valid","",YEAR($C670))</x:f>
        <x:v>2024</x:v>
      </x:c>
      <x:c r="AC670" s="80" t="str">
        <x:v>Consistent</x:v>
      </x:c>
      <x:c r="AD670" s="80" t="str">
        <x:v>Eligible</x:v>
      </x:c>
      <x:c r="AE670" s="80" t="str">
        <x:f>IF(OR($AH670&lt;&gt;"Valid",$AI670&lt;&gt;"Valid",$AJ670&lt;&gt;"Valid",LEFT($AM670,7)="Invalid",IFERROR(ABS($AQ670)&gt;0.01,FALSE),IFERROR(ABS($AR670)&gt;0.01,FALSE),COUNTIF($AS670,"*Conflicting duplicate*")&gt;0,COUNTIF($AS670,"*Completed order not paid*")&gt;0),"Invalid",IF(OR($H670="Unknown",$N670="Unknown",$AM670="Missing discount imputed as 0"),"Warning","Clean"))</x:f>
        <x:v>Clean</x:v>
      </x:c>
      <x:c r="AF670" s="80" t="str">
        <x:v>Pass</x:v>
      </x:c>
      <x:c r="AG670" s="80" t="str">
        <x:v>No text cleanup required</x:v>
      </x:c>
      <x:c r="AH670" s="12" t="str">
        <x:f>IF(C670="","Missing date",IF(ISNUMBER(C670),"Valid","Unrecognized/invalid date"))</x:f>
        <x:v>Valid</x:v>
      </x:c>
      <x:c r="AI670" s="12" t="str">
        <x:f>IF(D670="","Missing date",IF(ISNUMBER(D670),"Valid","Unrecognized/invalid date"))</x:f>
        <x:v>Valid</x:v>
      </x:c>
      <x:c r="AJ670" s="12" t="str">
        <x:v>Valid</x:v>
      </x:c>
      <x:c r="AK670" s="12" t="str">
        <x:v>Pass</x:v>
      </x:c>
      <x:c r="AL670" s="12" t="str">
        <x:v>None</x:v>
      </x:c>
      <x:c r="AM670" s="12" t="str">
        <x:v>Valid</x:v>
      </x:c>
      <x:c r="AN670" s="12" t="str">
        <x:v>Include in completed sales</x:v>
      </x:c>
      <x:c r="AO670" s="12" t="str">
        <x:v>Not a refunded record</x:v>
      </x:c>
      <x:c r="AP670" s="37" t="n">
        <x:f>IF(LEFT($AM670,7)="Invalid","",IF($AM670="Missing discount imputed as 0",IF(AND(COUNT($O670,$P670,$R670,$S670)=4,$O670&gt;0,$P670&gt;=0,$R670&gt;=0,$S670&gt;=0),0,""),IF(AND(ISNUMBER($Q670),$Q670&gt;=0,$Q670&lt;=0.5),$Q670,"")))</x:f>
        <x:v>0.2</x:v>
      </x:c>
      <x:c r="AQ670" s="152" t="n">
        <x:f>IF(OR($W670="",NOT(ISNUMBER($R670))),"",ROUND($R670-$W670,2))</x:f>
        <x:v>0</x:v>
      </x:c>
      <x:c r="AR670" s="152" t="n">
        <x:f>IF(OR($X670="",NOT(ISNUMBER($T670))),"",ROUND($T670-$X670,2))</x:f>
        <x:v>0</x:v>
      </x:c>
      <x:c r="AS670" s="14" t="str">
        <x:v>OK</x:v>
      </x:c>
    </x:row>
    <x:row r="671">
      <x:c r="A671" s="80" t="n">
        <x:v>671</x:v>
      </x:c>
      <x:c r="B671" s="80" t="str">
        <x:v>ORD-2024-10670</x:v>
      </x:c>
      <x:c r="C671" s="81" t="n">
        <x:v>45375</x:v>
      </x:c>
      <x:c r="D671" s="81" t="n">
        <x:v>45383</x:v>
      </x:c>
      <x:c r="E671" s="80" t="str">
        <x:v>CUST-7568</x:v>
      </x:c>
      <x:c r="F671" s="80" t="str">
        <x:v>Ananya Rao</x:v>
      </x:c>
      <x:c r="G671" s="80" t="str">
        <x:v>Home Office</x:v>
      </x:c>
      <x:c r="H671" s="80" t="str">
        <x:v>West</x:v>
      </x:c>
      <x:c r="I671" s="80" t="str">
        <x:v>Maharashtra</x:v>
      </x:c>
      <x:c r="J671" s="80" t="str">
        <x:v>Mumbai</x:v>
      </x:c>
      <x:c r="K671" s="80" t="str">
        <x:v>Furniture</x:v>
      </x:c>
      <x:c r="L671" s="80" t="str">
        <x:v>Tables</x:v>
      </x:c>
      <x:c r="M671" s="80" t="str">
        <x:v>Classic Tables 606</x:v>
      </x:c>
      <x:c r="N671" s="80" t="str">
        <x:v>Second Class</x:v>
      </x:c>
      <x:c r="O671" s="82" t="n">
        <x:v>4</x:v>
      </x:c>
      <x:c r="P671" s="83" t="n">
        <x:v>1700.72</x:v>
      </x:c>
      <x:c r="Q671" s="84" t="n">
        <x:v>0.25</x:v>
      </x:c>
      <x:c r="R671" s="83" t="n">
        <x:v>5102.16</x:v>
      </x:c>
      <x:c r="S671" s="83" t="n">
        <x:v>3226.45</x:v>
      </x:c>
      <x:c r="T671" s="83" t="n">
        <x:v>1875.71</x:v>
      </x:c>
      <x:c r="U671" s="83" t="str">
        <x:v>Paid</x:v>
      </x:c>
      <x:c r="V671" s="83" t="str">
        <x:v>Completed</x:v>
      </x:c>
      <x:c r="W671" s="151" t="n">
        <x:f>IF(OR(NOT(ISNUMBER($AP671)),COUNT($O671,$P671)&lt;2,$O671&lt;=0,$P671&lt;0),"",ROUND($O671*$P671*(1-$AP671),2))</x:f>
        <x:v>5102.16</x:v>
      </x:c>
      <x:c r="X671" s="151" t="n">
        <x:f>IF(OR(NOT(ISNUMBER($W671)),NOT(ISNUMBER($S671))),"",ROUND($W671-$S671,2))</x:f>
        <x:v>1875.71</x:v>
      </x:c>
      <x:c r="Y671" s="85" t="n">
        <x:f>IF(OR(NOT(ISNUMBER($W671)),NOT(ISNUMBER($X671)),$W671=0),"",ROUND($X671/$W671,4))</x:f>
        <x:v>0.3676</x:v>
      </x:c>
      <x:c r="Z671" s="82" t="n">
        <x:f>IF(OR($AH671&lt;&gt;"Valid",$AI671&lt;&gt;"Valid"),"",INT($D671-$C671))</x:f>
        <x:v>8</x:v>
      </x:c>
      <x:c r="AA671" s="86" t="str">
        <x:f>IF($AH671&lt;&gt;"Valid","",TEXT($C671,"mmmm"))</x:f>
        <x:v>March</x:v>
      </x:c>
      <x:c r="AB671" s="82" t="n">
        <x:f>IF($AH671&lt;&gt;"Valid","",YEAR($C671))</x:f>
        <x:v>2024</x:v>
      </x:c>
      <x:c r="AC671" s="80" t="str">
        <x:v>Consistent</x:v>
      </x:c>
      <x:c r="AD671" s="80" t="str">
        <x:v>Eligible</x:v>
      </x:c>
      <x:c r="AE671" s="80" t="str">
        <x:f>IF(OR($AH671&lt;&gt;"Valid",$AI671&lt;&gt;"Valid",$AJ671&lt;&gt;"Valid",LEFT($AM671,7)="Invalid",IFERROR(ABS($AQ671)&gt;0.01,FALSE),IFERROR(ABS($AR671)&gt;0.01,FALSE),COUNTIF($AS671,"*Conflicting duplicate*")&gt;0,COUNTIF($AS671,"*Completed order not paid*")&gt;0),"Invalid",IF(OR($H671="Unknown",$N671="Unknown",$AM671="Missing discount imputed as 0"),"Warning","Clean"))</x:f>
        <x:v>Clean</x:v>
      </x:c>
      <x:c r="AF671" s="80" t="str">
        <x:v>Pass</x:v>
      </x:c>
      <x:c r="AG671" s="80" t="str">
        <x:v>No text cleanup required</x:v>
      </x:c>
      <x:c r="AH671" s="12" t="str">
        <x:f>IF(C671="","Missing date",IF(ISNUMBER(C671),"Valid","Unrecognized/invalid date"))</x:f>
        <x:v>Valid</x:v>
      </x:c>
      <x:c r="AI671" s="12" t="str">
        <x:f>IF(D671="","Missing date",IF(ISNUMBER(D671),"Valid","Unrecognized/invalid date"))</x:f>
        <x:v>Valid</x:v>
      </x:c>
      <x:c r="AJ671" s="12" t="str">
        <x:v>Valid</x:v>
      </x:c>
      <x:c r="AK671" s="12" t="str">
        <x:v>Pass</x:v>
      </x:c>
      <x:c r="AL671" s="12" t="str">
        <x:v>None</x:v>
      </x:c>
      <x:c r="AM671" s="12" t="str">
        <x:v>Valid</x:v>
      </x:c>
      <x:c r="AN671" s="12" t="str">
        <x:v>Include in completed sales</x:v>
      </x:c>
      <x:c r="AO671" s="12" t="str">
        <x:v>Not a refunded record</x:v>
      </x:c>
      <x:c r="AP671" s="37" t="n">
        <x:f>IF(LEFT($AM671,7)="Invalid","",IF($AM671="Missing discount imputed as 0",IF(AND(COUNT($O671,$P671,$R671,$S671)=4,$O671&gt;0,$P671&gt;=0,$R671&gt;=0,$S671&gt;=0),0,""),IF(AND(ISNUMBER($Q671),$Q671&gt;=0,$Q671&lt;=0.5),$Q671,"")))</x:f>
        <x:v>0.25</x:v>
      </x:c>
      <x:c r="AQ671" s="152" t="n">
        <x:f>IF(OR($W671="",NOT(ISNUMBER($R671))),"",ROUND($R671-$W671,2))</x:f>
        <x:v>0</x:v>
      </x:c>
      <x:c r="AR671" s="152" t="n">
        <x:f>IF(OR($X671="",NOT(ISNUMBER($T671))),"",ROUND($T671-$X671,2))</x:f>
        <x:v>0</x:v>
      </x:c>
      <x:c r="AS671" s="14" t="str">
        <x:v>OK</x:v>
      </x:c>
    </x:row>
    <x:row r="672">
      <x:c r="A672" s="80" t="n">
        <x:v>672</x:v>
      </x:c>
      <x:c r="B672" s="80" t="str">
        <x:v>ORD-2025-10671</x:v>
      </x:c>
      <x:c r="C672" s="81" t="n">
        <x:v>45690</x:v>
      </x:c>
      <x:c r="D672" s="81" t="n">
        <x:v>45694</x:v>
      </x:c>
      <x:c r="E672" s="80" t="str">
        <x:v>CUST-5604</x:v>
      </x:c>
      <x:c r="F672" s="80" t="str">
        <x:v>Sneha Kapoor</x:v>
      </x:c>
      <x:c r="G672" s="80" t="str">
        <x:v>Corporate</x:v>
      </x:c>
      <x:c r="H672" s="80" t="str">
        <x:v>North</x:v>
      </x:c>
      <x:c r="I672" s="80" t="str">
        <x:v>Uttar Pradesh</x:v>
      </x:c>
      <x:c r="J672" s="80" t="str">
        <x:v>Noida</x:v>
      </x:c>
      <x:c r="K672" s="80" t="str">
        <x:v>Furniture</x:v>
      </x:c>
      <x:c r="L672" s="80" t="str">
        <x:v>Tables</x:v>
      </x:c>
      <x:c r="M672" s="80" t="str">
        <x:v>Smart Tables 835</x:v>
      </x:c>
      <x:c r="N672" s="80" t="str">
        <x:v>Standard Class</x:v>
      </x:c>
      <x:c r="O672" s="82" t="n">
        <x:v>8</x:v>
      </x:c>
      <x:c r="P672" s="83" t="n">
        <x:v>857.86</x:v>
      </x:c>
      <x:c r="Q672" s="84" t="n">
        <x:v>0.1</x:v>
      </x:c>
      <x:c r="R672" s="83" t="n">
        <x:v>6176.59</x:v>
      </x:c>
      <x:c r="S672" s="83" t="n">
        <x:v>3560.96</x:v>
      </x:c>
      <x:c r="T672" s="83" t="n">
        <x:v>2615.63</x:v>
      </x:c>
      <x:c r="U672" s="83" t="str">
        <x:v>Paid</x:v>
      </x:c>
      <x:c r="V672" s="83" t="str">
        <x:v>Completed</x:v>
      </x:c>
      <x:c r="W672" s="151" t="n">
        <x:f>IF(OR(NOT(ISNUMBER($AP672)),COUNT($O672,$P672)&lt;2,$O672&lt;=0,$P672&lt;0),"",ROUND($O672*$P672*(1-$AP672),2))</x:f>
        <x:v>6176.59</x:v>
      </x:c>
      <x:c r="X672" s="151" t="n">
        <x:f>IF(OR(NOT(ISNUMBER($W672)),NOT(ISNUMBER($S672))),"",ROUND($W672-$S672,2))</x:f>
        <x:v>2615.63</x:v>
      </x:c>
      <x:c r="Y672" s="85" t="n">
        <x:f>IF(OR(NOT(ISNUMBER($W672)),NOT(ISNUMBER($X672)),$W672=0),"",ROUND($X672/$W672,4))</x:f>
        <x:v>0.4235</x:v>
      </x:c>
      <x:c r="Z672" s="82" t="n">
        <x:f>IF(OR($AH672&lt;&gt;"Valid",$AI672&lt;&gt;"Valid"),"",INT($D672-$C672))</x:f>
        <x:v>4</x:v>
      </x:c>
      <x:c r="AA672" s="86" t="str">
        <x:f>IF($AH672&lt;&gt;"Valid","",TEXT($C672,"mmmm"))</x:f>
        <x:v>February</x:v>
      </x:c>
      <x:c r="AB672" s="82" t="n">
        <x:f>IF($AH672&lt;&gt;"Valid","",YEAR($C672))</x:f>
        <x:v>2025</x:v>
      </x:c>
      <x:c r="AC672" s="80" t="str">
        <x:v>Consistent</x:v>
      </x:c>
      <x:c r="AD672" s="80" t="str">
        <x:v>Eligible</x:v>
      </x:c>
      <x:c r="AE672" s="80" t="str">
        <x:f>IF(OR($AH672&lt;&gt;"Valid",$AI672&lt;&gt;"Valid",$AJ672&lt;&gt;"Valid",LEFT($AM672,7)="Invalid",IFERROR(ABS($AQ672)&gt;0.01,FALSE),IFERROR(ABS($AR672)&gt;0.01,FALSE),COUNTIF($AS672,"*Conflicting duplicate*")&gt;0,COUNTIF($AS672,"*Completed order not paid*")&gt;0),"Invalid",IF(OR($H672="Unknown",$N672="Unknown",$AM672="Missing discount imputed as 0"),"Warning","Clean"))</x:f>
        <x:v>Clean</x:v>
      </x:c>
      <x:c r="AF672" s="80" t="str">
        <x:v>Cleaned</x:v>
      </x:c>
      <x:c r="AG672" s="80" t="str">
        <x:v>segment: TRIM/SUBSTITUTE whitespace cleanup</x:v>
      </x:c>
      <x:c r="AH672" s="12" t="str">
        <x:f>IF(C672="","Missing date",IF(ISNUMBER(C672),"Valid","Unrecognized/invalid date"))</x:f>
        <x:v>Valid</x:v>
      </x:c>
      <x:c r="AI672" s="12" t="str">
        <x:f>IF(D672="","Missing date",IF(ISNUMBER(D672),"Valid","Unrecognized/invalid date"))</x:f>
        <x:v>Valid</x:v>
      </x:c>
      <x:c r="AJ672" s="12" t="str">
        <x:v>Valid</x:v>
      </x:c>
      <x:c r="AK672" s="12" t="str">
        <x:v>Pass</x:v>
      </x:c>
      <x:c r="AL672" s="12" t="str">
        <x:v>None</x:v>
      </x:c>
      <x:c r="AM672" s="12" t="str">
        <x:v>Valid</x:v>
      </x:c>
      <x:c r="AN672" s="12" t="str">
        <x:v>Include in completed sales</x:v>
      </x:c>
      <x:c r="AO672" s="12" t="str">
        <x:v>Not a refunded record</x:v>
      </x:c>
      <x:c r="AP672" s="37" t="n">
        <x:f>IF(LEFT($AM672,7)="Invalid","",IF($AM672="Missing discount imputed as 0",IF(AND(COUNT($O672,$P672,$R672,$S672)=4,$O672&gt;0,$P672&gt;=0,$R672&gt;=0,$S672&gt;=0),0,""),IF(AND(ISNUMBER($Q672),$Q672&gt;=0,$Q672&lt;=0.5),$Q672,"")))</x:f>
        <x:v>0.1</x:v>
      </x:c>
      <x:c r="AQ672" s="152" t="n">
        <x:f>IF(OR($W672="",NOT(ISNUMBER($R672))),"",ROUND($R672-$W672,2))</x:f>
        <x:v>0</x:v>
      </x:c>
      <x:c r="AR672" s="152" t="n">
        <x:f>IF(OR($X672="",NOT(ISNUMBER($T672))),"",ROUND($T672-$X672,2))</x:f>
        <x:v>0</x:v>
      </x:c>
      <x:c r="AS672" s="14" t="str">
        <x:v>OK</x:v>
      </x:c>
    </x:row>
    <x:row r="673">
      <x:c r="A673" s="80" t="n">
        <x:v>673</x:v>
      </x:c>
      <x:c r="B673" s="80" t="str">
        <x:v>ORD-2024-10672</x:v>
      </x:c>
      <x:c r="C673" s="81" t="n">
        <x:v>45373</x:v>
      </x:c>
      <x:c r="D673" s="81" t="n">
        <x:v>45378</x:v>
      </x:c>
      <x:c r="E673" s="80" t="str">
        <x:v>CUST-3293</x:v>
      </x:c>
      <x:c r="F673" s="80" t="str">
        <x:v>Aditi Sen</x:v>
      </x:c>
      <x:c r="G673" s="80" t="str">
        <x:v>Home Office</x:v>
      </x:c>
      <x:c r="H673" s="80" t="str">
        <x:v>West</x:v>
      </x:c>
      <x:c r="I673" s="80" t="str">
        <x:v>Goa</x:v>
      </x:c>
      <x:c r="J673" s="80" t="str">
        <x:v>Panaji</x:v>
      </x:c>
      <x:c r="K673" s="80" t="str">
        <x:v>Technology</x:v>
      </x:c>
      <x:c r="L673" s="80" t="str">
        <x:v>Copiers</x:v>
      </x:c>
      <x:c r="M673" s="80" t="str">
        <x:v>Classic Copiers 583</x:v>
      </x:c>
      <x:c r="N673" s="80" t="str">
        <x:v>Second Class</x:v>
      </x:c>
      <x:c r="O673" s="82" t="n">
        <x:v>9</x:v>
      </x:c>
      <x:c r="P673" s="83" t="n">
        <x:v>3649.51</x:v>
      </x:c>
      <x:c r="Q673" s="84" t="n">
        <x:v>0.05</x:v>
      </x:c>
      <x:c r="R673" s="83" t="n">
        <x:v>31203.31</x:v>
      </x:c>
      <x:c r="S673" s="83" t="n">
        <x:v>17738.13</x:v>
      </x:c>
      <x:c r="T673" s="83" t="n">
        <x:v>13465.18</x:v>
      </x:c>
      <x:c r="U673" s="83" t="str">
        <x:v>Paid</x:v>
      </x:c>
      <x:c r="V673" s="83" t="str">
        <x:v>Completed</x:v>
      </x:c>
      <x:c r="W673" s="151" t="n">
        <x:f>IF(OR(NOT(ISNUMBER($AP673)),COUNT($O673,$P673)&lt;2,$O673&lt;=0,$P673&lt;0),"",ROUND($O673*$P673*(1-$AP673),2))</x:f>
        <x:v>31203.31</x:v>
      </x:c>
      <x:c r="X673" s="151" t="n">
        <x:f>IF(OR(NOT(ISNUMBER($W673)),NOT(ISNUMBER($S673))),"",ROUND($W673-$S673,2))</x:f>
        <x:v>13465.18</x:v>
      </x:c>
      <x:c r="Y673" s="85" t="n">
        <x:f>IF(OR(NOT(ISNUMBER($W673)),NOT(ISNUMBER($X673)),$W673=0),"",ROUND($X673/$W673,4))</x:f>
        <x:v>0.4315</x:v>
      </x:c>
      <x:c r="Z673" s="82" t="n">
        <x:f>IF(OR($AH673&lt;&gt;"Valid",$AI673&lt;&gt;"Valid"),"",INT($D673-$C673))</x:f>
        <x:v>5</x:v>
      </x:c>
      <x:c r="AA673" s="86" t="str">
        <x:f>IF($AH673&lt;&gt;"Valid","",TEXT($C673,"mmmm"))</x:f>
        <x:v>March</x:v>
      </x:c>
      <x:c r="AB673" s="82" t="n">
        <x:f>IF($AH673&lt;&gt;"Valid","",YEAR($C673))</x:f>
        <x:v>2024</x:v>
      </x:c>
      <x:c r="AC673" s="80" t="str">
        <x:v>Consistent</x:v>
      </x:c>
      <x:c r="AD673" s="80" t="str">
        <x:v>Eligible</x:v>
      </x:c>
      <x:c r="AE673" s="80" t="str">
        <x:f>IF(OR($AH673&lt;&gt;"Valid",$AI673&lt;&gt;"Valid",$AJ673&lt;&gt;"Valid",LEFT($AM673,7)="Invalid",IFERROR(ABS($AQ673)&gt;0.01,FALSE),IFERROR(ABS($AR673)&gt;0.01,FALSE),COUNTIF($AS673,"*Conflicting duplicate*")&gt;0,COUNTIF($AS673,"*Completed order not paid*")&gt;0),"Invalid",IF(OR($H673="Unknown",$N673="Unknown",$AM673="Missing discount imputed as 0"),"Warning","Clean"))</x:f>
        <x:v>Clean</x:v>
      </x:c>
      <x:c r="AF673" s="80" t="str">
        <x:v>Cleaned</x:v>
      </x:c>
      <x:c r="AG673" s="80" t="str">
        <x:v>sub_category: Case standardization</x:v>
      </x:c>
      <x:c r="AH673" s="12" t="str">
        <x:f>IF(C673="","Missing date",IF(ISNUMBER(C673),"Valid","Unrecognized/invalid date"))</x:f>
        <x:v>Valid</x:v>
      </x:c>
      <x:c r="AI673" s="12" t="str">
        <x:f>IF(D673="","Missing date",IF(ISNUMBER(D673),"Valid","Unrecognized/invalid date"))</x:f>
        <x:v>Valid</x:v>
      </x:c>
      <x:c r="AJ673" s="12" t="str">
        <x:v>Valid</x:v>
      </x:c>
      <x:c r="AK673" s="12" t="str">
        <x:v>Pass</x:v>
      </x:c>
      <x:c r="AL673" s="12" t="str">
        <x:v>None</x:v>
      </x:c>
      <x:c r="AM673" s="12" t="str">
        <x:v>Valid</x:v>
      </x:c>
      <x:c r="AN673" s="12" t="str">
        <x:v>Include in completed sales</x:v>
      </x:c>
      <x:c r="AO673" s="12" t="str">
        <x:v>Not a refunded record</x:v>
      </x:c>
      <x:c r="AP673" s="37" t="n">
        <x:f>IF(LEFT($AM673,7)="Invalid","",IF($AM673="Missing discount imputed as 0",IF(AND(COUNT($O673,$P673,$R673,$S673)=4,$O673&gt;0,$P673&gt;=0,$R673&gt;=0,$S673&gt;=0),0,""),IF(AND(ISNUMBER($Q673),$Q673&gt;=0,$Q673&lt;=0.5),$Q673,"")))</x:f>
        <x:v>0.05</x:v>
      </x:c>
      <x:c r="AQ673" s="152" t="n">
        <x:f>IF(OR($W673="",NOT(ISNUMBER($R673))),"",ROUND($R673-$W673,2))</x:f>
        <x:v>0</x:v>
      </x:c>
      <x:c r="AR673" s="152" t="n">
        <x:f>IF(OR($X673="",NOT(ISNUMBER($T673))),"",ROUND($T673-$X673,2))</x:f>
        <x:v>0</x:v>
      </x:c>
      <x:c r="AS673" s="14" t="str">
        <x:v>OK</x:v>
      </x:c>
    </x:row>
    <x:row r="674">
      <x:c r="A674" s="80" t="n">
        <x:v>674</x:v>
      </x:c>
      <x:c r="B674" s="80" t="str">
        <x:v>ORD-2024-10673</x:v>
      </x:c>
      <x:c r="C674" s="81" t="n">
        <x:v>45539</x:v>
      </x:c>
      <x:c r="D674" s="81" t="n">
        <x:v>45540</x:v>
      </x:c>
      <x:c r="E674" s="80" t="str">
        <x:v>CUST-8180</x:v>
      </x:c>
      <x:c r="F674" s="80" t="str">
        <x:v>Aditi Sen</x:v>
      </x:c>
      <x:c r="G674" s="80" t="str">
        <x:v>Corporate</x:v>
      </x:c>
      <x:c r="H674" s="80" t="str">
        <x:v>West</x:v>
      </x:c>
      <x:c r="I674" s="80" t="str">
        <x:v>Madhya Pradesh</x:v>
      </x:c>
      <x:c r="J674" s="80" t="str">
        <x:v>Indore</x:v>
      </x:c>
      <x:c r="K674" s="80" t="str">
        <x:v>Furniture</x:v>
      </x:c>
      <x:c r="L674" s="80" t="str">
        <x:v>Chairs</x:v>
      </x:c>
      <x:c r="M674" s="80" t="str">
        <x:v>Classic Chairs 460</x:v>
      </x:c>
      <x:c r="N674" s="80" t="str">
        <x:v>Standard Class</x:v>
      </x:c>
      <x:c r="O674" s="82" t="n">
        <x:v>5</x:v>
      </x:c>
      <x:c r="P674" s="83" t="n">
        <x:v>2528.53</x:v>
      </x:c>
      <x:c r="Q674" s="84" t="n">
        <x:v>0.05</x:v>
      </x:c>
      <x:c r="R674" s="83" t="n">
        <x:v>12010.52</x:v>
      </x:c>
      <x:c r="S674" s="83" t="n">
        <x:v>7864.61</x:v>
      </x:c>
      <x:c r="T674" s="83" t="n">
        <x:v>4145.91</x:v>
      </x:c>
      <x:c r="U674" s="83" t="str">
        <x:v>Paid</x:v>
      </x:c>
      <x:c r="V674" s="83" t="str">
        <x:v>Returned</x:v>
      </x:c>
      <x:c r="W674" s="151" t="n">
        <x:f>IF(OR(NOT(ISNUMBER($AP674)),COUNT($O674,$P674)&lt;2,$O674&lt;=0,$P674&lt;0),"",ROUND($O674*$P674*(1-$AP674),2))</x:f>
        <x:v>12010.52</x:v>
      </x:c>
      <x:c r="X674" s="151" t="n">
        <x:f>IF(OR(NOT(ISNUMBER($W674)),NOT(ISNUMBER($S674))),"",ROUND($W674-$S674,2))</x:f>
        <x:v>4145.91</x:v>
      </x:c>
      <x:c r="Y674" s="85" t="n">
        <x:f>IF(OR(NOT(ISNUMBER($W674)),NOT(ISNUMBER($X674)),$W674=0),"",ROUND($X674/$W674,4))</x:f>
        <x:v>0.3452</x:v>
      </x:c>
      <x:c r="Z674" s="82" t="n">
        <x:f>IF(OR($AH674&lt;&gt;"Valid",$AI674&lt;&gt;"Valid"),"",INT($D674-$C674))</x:f>
        <x:v>1</x:v>
      </x:c>
      <x:c r="AA674" s="86" t="str">
        <x:f>IF($AH674&lt;&gt;"Valid","",TEXT($C674,"mmmm"))</x:f>
        <x:v>September</x:v>
      </x:c>
      <x:c r="AB674" s="82" t="n">
        <x:f>IF($AH674&lt;&gt;"Valid","",YEAR($C674))</x:f>
        <x:v>2024</x:v>
      </x:c>
      <x:c r="AC674" s="80" t="str">
        <x:v>Consistent</x:v>
      </x:c>
      <x:c r="AD674" s="80" t="str">
        <x:v>Excluded</x:v>
      </x:c>
      <x:c r="AE674" s="80" t="str">
        <x:f>IF(OR($AH674&lt;&gt;"Valid",$AI674&lt;&gt;"Valid",$AJ674&lt;&gt;"Valid",LEFT($AM674,7)="Invalid",IFERROR(ABS($AQ674)&gt;0.01,FALSE),IFERROR(ABS($AR674)&gt;0.01,FALSE),COUNTIF($AS674,"*Conflicting duplicate*")&gt;0,COUNTIF($AS674,"*Completed order not paid*")&gt;0),"Invalid",IF(OR($H674="Unknown",$N674="Unknown",$AM674="Missing discount imputed as 0"),"Warning","Clean"))</x:f>
        <x:v>Clean</x:v>
      </x:c>
      <x:c r="AF674" s="80" t="str">
        <x:v>Pass</x:v>
      </x:c>
      <x:c r="AG674" s="80" t="str">
        <x:v>No text cleanup required</x:v>
      </x:c>
      <x:c r="AH674" s="12" t="str">
        <x:f>IF(C674="","Missing date",IF(ISNUMBER(C674),"Valid","Unrecognized/invalid date"))</x:f>
        <x:v>Valid</x:v>
      </x:c>
      <x:c r="AI674" s="12" t="str">
        <x:f>IF(D674="","Missing date",IF(ISNUMBER(D674),"Valid","Unrecognized/invalid date"))</x:f>
        <x:v>Valid</x:v>
      </x:c>
      <x:c r="AJ674" s="12" t="str">
        <x:v>Valid</x:v>
      </x:c>
      <x:c r="AK674" s="12" t="str">
        <x:v>Pass</x:v>
      </x:c>
      <x:c r="AL674" s="12" t="str">
        <x:v>None</x:v>
      </x:c>
      <x:c r="AM674" s="12" t="str">
        <x:v>Valid</x:v>
      </x:c>
      <x:c r="AN674" s="12" t="str">
        <x:v>Exclude from completed sales</x:v>
      </x:c>
      <x:c r="AO674" s="12" t="str">
        <x:v>Not a refunded record</x:v>
      </x:c>
      <x:c r="AP674" s="37" t="n">
        <x:f>IF(LEFT($AM674,7)="Invalid","",IF($AM674="Missing discount imputed as 0",IF(AND(COUNT($O674,$P674,$R674,$S674)=4,$O674&gt;0,$P674&gt;=0,$R674&gt;=0,$S674&gt;=0),0,""),IF(AND(ISNUMBER($Q674),$Q674&gt;=0,$Q674&lt;=0.5),$Q674,"")))</x:f>
        <x:v>0.05</x:v>
      </x:c>
      <x:c r="AQ674" s="152" t="n">
        <x:f>IF(OR($W674="",NOT(ISNUMBER($R674))),"",ROUND($R674-$W674,2))</x:f>
        <x:v>0</x:v>
      </x:c>
      <x:c r="AR674" s="152" t="n">
        <x:f>IF(OR($X674="",NOT(ISNUMBER($T674))),"",ROUND($T674-$X674,2))</x:f>
        <x:v>0</x:v>
      </x:c>
      <x:c r="AS674" s="14" t="str">
        <x:v>OK</x:v>
      </x:c>
    </x:row>
    <x:row r="675">
      <x:c r="A675" s="80" t="n">
        <x:v>675</x:v>
      </x:c>
      <x:c r="B675" s="80" t="str">
        <x:v>ORD-2025-10674</x:v>
      </x:c>
      <x:c r="C675" s="81" t="n">
        <x:v>45701</x:v>
      </x:c>
      <x:c r="D675" s="81" t="n">
        <x:v>45704</x:v>
      </x:c>
      <x:c r="E675" s="80" t="str">
        <x:v>CUST-2807</x:v>
      </x:c>
      <x:c r="F675" s="80" t="str">
        <x:v>Arjun Bose</x:v>
      </x:c>
      <x:c r="G675" s="80" t="str">
        <x:v>Small Business</x:v>
      </x:c>
      <x:c r="H675" s="80" t="str">
        <x:v>West</x:v>
      </x:c>
      <x:c r="I675" s="80" t="str">
        <x:v>Rajasthan</x:v>
      </x:c>
      <x:c r="J675" s="80" t="str">
        <x:v>Udaipur</x:v>
      </x:c>
      <x:c r="K675" s="80" t="str">
        <x:v>Furniture</x:v>
      </x:c>
      <x:c r="L675" s="80" t="str">
        <x:v>Bookcases</x:v>
      </x:c>
      <x:c r="M675" s="80" t="str">
        <x:v>Classic Bookcases 488</x:v>
      </x:c>
      <x:c r="N675" s="80" t="str">
        <x:v>Second Class</x:v>
      </x:c>
      <x:c r="O675" s="82" t="n">
        <x:v>4</x:v>
      </x:c>
      <x:c r="P675" s="83" t="n">
        <x:v>4072.9</x:v>
      </x:c>
      <x:c r="Q675" s="84" t="n">
        <x:v>0.15</x:v>
      </x:c>
      <x:c r="R675" s="83" t="n">
        <x:v>13847.86</x:v>
      </x:c>
      <x:c r="S675" s="83" t="n">
        <x:v>8471.78</x:v>
      </x:c>
      <x:c r="T675" s="83" t="n">
        <x:v>5376.08</x:v>
      </x:c>
      <x:c r="U675" s="83" t="str">
        <x:v>Paid</x:v>
      </x:c>
      <x:c r="V675" s="83" t="str">
        <x:v>Completed</x:v>
      </x:c>
      <x:c r="W675" s="151" t="n">
        <x:f>IF(OR(NOT(ISNUMBER($AP675)),COUNT($O675,$P675)&lt;2,$O675&lt;=0,$P675&lt;0),"",ROUND($O675*$P675*(1-$AP675),2))</x:f>
        <x:v>13847.86</x:v>
      </x:c>
      <x:c r="X675" s="151" t="n">
        <x:f>IF(OR(NOT(ISNUMBER($W675)),NOT(ISNUMBER($S675))),"",ROUND($W675-$S675,2))</x:f>
        <x:v>5376.08</x:v>
      </x:c>
      <x:c r="Y675" s="85" t="n">
        <x:f>IF(OR(NOT(ISNUMBER($W675)),NOT(ISNUMBER($X675)),$W675=0),"",ROUND($X675/$W675,4))</x:f>
        <x:v>0.3882</x:v>
      </x:c>
      <x:c r="Z675" s="82" t="n">
        <x:f>IF(OR($AH675&lt;&gt;"Valid",$AI675&lt;&gt;"Valid"),"",INT($D675-$C675))</x:f>
        <x:v>3</x:v>
      </x:c>
      <x:c r="AA675" s="86" t="str">
        <x:f>IF($AH675&lt;&gt;"Valid","",TEXT($C675,"mmmm"))</x:f>
        <x:v>February</x:v>
      </x:c>
      <x:c r="AB675" s="82" t="n">
        <x:f>IF($AH675&lt;&gt;"Valid","",YEAR($C675))</x:f>
        <x:v>2025</x:v>
      </x:c>
      <x:c r="AC675" s="80" t="str">
        <x:v>Consistent</x:v>
      </x:c>
      <x:c r="AD675" s="80" t="str">
        <x:v>Eligible</x:v>
      </x:c>
      <x:c r="AE675" s="80" t="str">
        <x:f>IF(OR($AH675&lt;&gt;"Valid",$AI675&lt;&gt;"Valid",$AJ675&lt;&gt;"Valid",LEFT($AM675,7)="Invalid",IFERROR(ABS($AQ675)&gt;0.01,FALSE),IFERROR(ABS($AR675)&gt;0.01,FALSE),COUNTIF($AS675,"*Conflicting duplicate*")&gt;0,COUNTIF($AS675,"*Completed order not paid*")&gt;0),"Invalid",IF(OR($H675="Unknown",$N675="Unknown",$AM675="Missing discount imputed as 0"),"Warning","Clean"))</x:f>
        <x:v>Clean</x:v>
      </x:c>
      <x:c r="AF675" s="80" t="str">
        <x:v>Pass</x:v>
      </x:c>
      <x:c r="AG675" s="80" t="str">
        <x:v>No text cleanup required</x:v>
      </x:c>
      <x:c r="AH675" s="12" t="str">
        <x:f>IF(C675="","Missing date",IF(ISNUMBER(C675),"Valid","Unrecognized/invalid date"))</x:f>
        <x:v>Valid</x:v>
      </x:c>
      <x:c r="AI675" s="12" t="str">
        <x:f>IF(D675="","Missing date",IF(ISNUMBER(D675),"Valid","Unrecognized/invalid date"))</x:f>
        <x:v>Valid</x:v>
      </x:c>
      <x:c r="AJ675" s="12" t="str">
        <x:v>Valid</x:v>
      </x:c>
      <x:c r="AK675" s="12" t="str">
        <x:v>Pass</x:v>
      </x:c>
      <x:c r="AL675" s="12" t="str">
        <x:v>None</x:v>
      </x:c>
      <x:c r="AM675" s="12" t="str">
        <x:v>Valid</x:v>
      </x:c>
      <x:c r="AN675" s="12" t="str">
        <x:v>Include in completed sales</x:v>
      </x:c>
      <x:c r="AO675" s="12" t="str">
        <x:v>Not a refunded record</x:v>
      </x:c>
      <x:c r="AP675" s="37" t="n">
        <x:f>IF(LEFT($AM675,7)="Invalid","",IF($AM675="Missing discount imputed as 0",IF(AND(COUNT($O675,$P675,$R675,$S675)=4,$O675&gt;0,$P675&gt;=0,$R675&gt;=0,$S675&gt;=0),0,""),IF(AND(ISNUMBER($Q675),$Q675&gt;=0,$Q675&lt;=0.5),$Q675,"")))</x:f>
        <x:v>0.15</x:v>
      </x:c>
      <x:c r="AQ675" s="152" t="n">
        <x:f>IF(OR($W675="",NOT(ISNUMBER($R675))),"",ROUND($R675-$W675,2))</x:f>
        <x:v>0</x:v>
      </x:c>
      <x:c r="AR675" s="152" t="n">
        <x:f>IF(OR($X675="",NOT(ISNUMBER($T675))),"",ROUND($T675-$X675,2))</x:f>
        <x:v>0</x:v>
      </x:c>
      <x:c r="AS675" s="14" t="str">
        <x:v>OK</x:v>
      </x:c>
    </x:row>
    <x:row r="676">
      <x:c r="A676" s="80" t="n">
        <x:v>676</x:v>
      </x:c>
      <x:c r="B676" s="80" t="str">
        <x:v>ORD-2024-10675</x:v>
      </x:c>
      <x:c r="C676" s="81" t="n">
        <x:v>45430</x:v>
      </x:c>
      <x:c r="D676" s="81" t="n">
        <x:v>45433</x:v>
      </x:c>
      <x:c r="E676" s="80" t="str">
        <x:v>CUST-4081</x:v>
      </x:c>
      <x:c r="F676" s="80" t="str">
        <x:v>Vikram Iyer</x:v>
      </x:c>
      <x:c r="G676" s="80" t="str">
        <x:v>Corporate</x:v>
      </x:c>
      <x:c r="H676" s="80" t="str">
        <x:v>East</x:v>
      </x:c>
      <x:c r="I676" s="80" t="str">
        <x:v>Jharkhand</x:v>
      </x:c>
      <x:c r="J676" s="80" t="str">
        <x:v>Ranchi</x:v>
      </x:c>
      <x:c r="K676" s="80" t="str">
        <x:v>Technology</x:v>
      </x:c>
      <x:c r="L676" s="80" t="str">
        <x:v>Accessories</x:v>
      </x:c>
      <x:c r="M676" s="80" t="str">
        <x:v>Basic Accessories 944</x:v>
      </x:c>
      <x:c r="N676" s="80" t="str">
        <x:v>Second Class</x:v>
      </x:c>
      <x:c r="O676" s="82" t="n">
        <x:v>1</x:v>
      </x:c>
      <x:c r="P676" s="83" t="n">
        <x:v>1033.71</x:v>
      </x:c>
      <x:c r="Q676" s="84" t="n">
        <x:v>0</x:v>
      </x:c>
      <x:c r="R676" s="83" t="n">
        <x:v>1033.71</x:v>
      </x:c>
      <x:c r="S676" s="83" t="n">
        <x:v>630.82</x:v>
      </x:c>
      <x:c r="T676" s="83" t="n">
        <x:v>402.89</x:v>
      </x:c>
      <x:c r="U676" s="83" t="str">
        <x:v>Pending</x:v>
      </x:c>
      <x:c r="V676" s="83" t="str">
        <x:v>Returned</x:v>
      </x:c>
      <x:c r="W676" s="151" t="n">
        <x:f>IF(OR(NOT(ISNUMBER($AP676)),COUNT($O676,$P676)&lt;2,$O676&lt;=0,$P676&lt;0),"",ROUND($O676*$P676*(1-$AP676),2))</x:f>
        <x:v>1033.71</x:v>
      </x:c>
      <x:c r="X676" s="151" t="n">
        <x:f>IF(OR(NOT(ISNUMBER($W676)),NOT(ISNUMBER($S676))),"",ROUND($W676-$S676,2))</x:f>
        <x:v>402.89</x:v>
      </x:c>
      <x:c r="Y676" s="85" t="n">
        <x:f>IF(OR(NOT(ISNUMBER($W676)),NOT(ISNUMBER($X676)),$W676=0),"",ROUND($X676/$W676,4))</x:f>
        <x:v>0.3898</x:v>
      </x:c>
      <x:c r="Z676" s="82" t="n">
        <x:f>IF(OR($AH676&lt;&gt;"Valid",$AI676&lt;&gt;"Valid"),"",INT($D676-$C676))</x:f>
        <x:v>3</x:v>
      </x:c>
      <x:c r="AA676" s="86" t="str">
        <x:f>IF($AH676&lt;&gt;"Valid","",TEXT($C676,"mmmm"))</x:f>
        <x:v>May</x:v>
      </x:c>
      <x:c r="AB676" s="82" t="n">
        <x:f>IF($AH676&lt;&gt;"Valid","",YEAR($C676))</x:f>
        <x:v>2024</x:v>
      </x:c>
      <x:c r="AC676" s="80" t="str">
        <x:v>Consistent</x:v>
      </x:c>
      <x:c r="AD676" s="80" t="str">
        <x:v>Excluded</x:v>
      </x:c>
      <x:c r="AE676" s="80" t="str">
        <x:f>IF(OR($AH676&lt;&gt;"Valid",$AI676&lt;&gt;"Valid",$AJ676&lt;&gt;"Valid",LEFT($AM676,7)="Invalid",IFERROR(ABS($AQ676)&gt;0.01,FALSE),IFERROR(ABS($AR676)&gt;0.01,FALSE),COUNTIF($AS676,"*Conflicting duplicate*")&gt;0,COUNTIF($AS676,"*Completed order not paid*")&gt;0),"Invalid",IF(OR($H676="Unknown",$N676="Unknown",$AM676="Missing discount imputed as 0"),"Warning","Clean"))</x:f>
        <x:v>Clean</x:v>
      </x:c>
      <x:c r="AF676" s="80" t="str">
        <x:v>Pass</x:v>
      </x:c>
      <x:c r="AG676" s="80" t="str">
        <x:v>No text cleanup required</x:v>
      </x:c>
      <x:c r="AH676" s="12" t="str">
        <x:f>IF(C676="","Missing date",IF(ISNUMBER(C676),"Valid","Unrecognized/invalid date"))</x:f>
        <x:v>Valid</x:v>
      </x:c>
      <x:c r="AI676" s="12" t="str">
        <x:f>IF(D676="","Missing date",IF(ISNUMBER(D676),"Valid","Unrecognized/invalid date"))</x:f>
        <x:v>Valid</x:v>
      </x:c>
      <x:c r="AJ676" s="12" t="str">
        <x:v>Valid</x:v>
      </x:c>
      <x:c r="AK676" s="12" t="str">
        <x:v>Pass</x:v>
      </x:c>
      <x:c r="AL676" s="12" t="str">
        <x:v>None</x:v>
      </x:c>
      <x:c r="AM676" s="12" t="str">
        <x:v>Valid</x:v>
      </x:c>
      <x:c r="AN676" s="12" t="str">
        <x:v>Exclude from completed sales</x:v>
      </x:c>
      <x:c r="AO676" s="12" t="str">
        <x:v>Not a refunded record</x:v>
      </x:c>
      <x:c r="AP676" s="37" t="n">
        <x:f>IF(LEFT($AM676,7)="Invalid","",IF($AM676="Missing discount imputed as 0",IF(AND(COUNT($O676,$P676,$R676,$S676)=4,$O676&gt;0,$P676&gt;=0,$R676&gt;=0,$S676&gt;=0),0,""),IF(AND(ISNUMBER($Q676),$Q676&gt;=0,$Q676&lt;=0.5),$Q676,"")))</x:f>
        <x:v>0</x:v>
      </x:c>
      <x:c r="AQ676" s="152" t="n">
        <x:f>IF(OR($W676="",NOT(ISNUMBER($R676))),"",ROUND($R676-$W676,2))</x:f>
        <x:v>0</x:v>
      </x:c>
      <x:c r="AR676" s="152" t="n">
        <x:f>IF(OR($X676="",NOT(ISNUMBER($T676))),"",ROUND($T676-$X676,2))</x:f>
        <x:v>0</x:v>
      </x:c>
      <x:c r="AS676" s="14" t="str">
        <x:v>OK</x:v>
      </x:c>
    </x:row>
    <x:row r="677">
      <x:c r="A677" s="80" t="n">
        <x:v>677</x:v>
      </x:c>
      <x:c r="B677" s="80" t="str">
        <x:v>ORD-2025-10676</x:v>
      </x:c>
      <x:c r="C677" s="81" t="n">
        <x:v>45815</x:v>
      </x:c>
      <x:c r="D677" s="81" t="n">
        <x:v>45818</x:v>
      </x:c>
      <x:c r="E677" s="80" t="str">
        <x:v>CUST-5061</x:v>
      </x:c>
      <x:c r="F677" s="80" t="str">
        <x:v>Aarav Sharma</x:v>
      </x:c>
      <x:c r="G677" s="80" t="str">
        <x:v>Consumer</x:v>
      </x:c>
      <x:c r="H677" s="80" t="str">
        <x:v>North</x:v>
      </x:c>
      <x:c r="I677" s="80" t="str">
        <x:v>Rajasthan</x:v>
      </x:c>
      <x:c r="J677" s="80" t="str">
        <x:v>Jaipur</x:v>
      </x:c>
      <x:c r="K677" s="80" t="str">
        <x:v>Furniture</x:v>
      </x:c>
      <x:c r="L677" s="80" t="str">
        <x:v>Furnishings</x:v>
      </x:c>
      <x:c r="M677" s="80" t="str">
        <x:v>Eco Furnishings 217</x:v>
      </x:c>
      <x:c r="N677" s="80" t="str">
        <x:v>Same Day</x:v>
      </x:c>
      <x:c r="O677" s="82" t="n">
        <x:v>3</x:v>
      </x:c>
      <x:c r="P677" s="83" t="n">
        <x:v>963.26</x:v>
      </x:c>
      <x:c r="Q677" s="84" t="n">
        <x:v>0</x:v>
      </x:c>
      <x:c r="R677" s="83" t="n">
        <x:v>2889.78</x:v>
      </x:c>
      <x:c r="S677" s="83" t="n">
        <x:v>1811.23</x:v>
      </x:c>
      <x:c r="T677" s="83" t="n">
        <x:v>1078.55</x:v>
      </x:c>
      <x:c r="U677" s="83" t="str">
        <x:v>Paid</x:v>
      </x:c>
      <x:c r="V677" s="83" t="str">
        <x:v>Completed</x:v>
      </x:c>
      <x:c r="W677" s="151" t="n">
        <x:f>IF(OR(NOT(ISNUMBER($AP677)),COUNT($O677,$P677)&lt;2,$O677&lt;=0,$P677&lt;0),"",ROUND($O677*$P677*(1-$AP677),2))</x:f>
        <x:v>2889.78</x:v>
      </x:c>
      <x:c r="X677" s="151" t="n">
        <x:f>IF(OR(NOT(ISNUMBER($W677)),NOT(ISNUMBER($S677))),"",ROUND($W677-$S677,2))</x:f>
        <x:v>1078.55</x:v>
      </x:c>
      <x:c r="Y677" s="85" t="n">
        <x:f>IF(OR(NOT(ISNUMBER($W677)),NOT(ISNUMBER($X677)),$W677=0),"",ROUND($X677/$W677,4))</x:f>
        <x:v>0.3732</x:v>
      </x:c>
      <x:c r="Z677" s="82" t="n">
        <x:f>IF(OR($AH677&lt;&gt;"Valid",$AI677&lt;&gt;"Valid"),"",INT($D677-$C677))</x:f>
        <x:v>3</x:v>
      </x:c>
      <x:c r="AA677" s="86" t="str">
        <x:f>IF($AH677&lt;&gt;"Valid","",TEXT($C677,"mmmm"))</x:f>
        <x:v>June</x:v>
      </x:c>
      <x:c r="AB677" s="82" t="n">
        <x:f>IF($AH677&lt;&gt;"Valid","",YEAR($C677))</x:f>
        <x:v>2025</x:v>
      </x:c>
      <x:c r="AC677" s="80" t="str">
        <x:v>Consistent</x:v>
      </x:c>
      <x:c r="AD677" s="80" t="str">
        <x:v>Eligible</x:v>
      </x:c>
      <x:c r="AE677" s="80" t="str">
        <x:f>IF(OR($AH677&lt;&gt;"Valid",$AI677&lt;&gt;"Valid",$AJ677&lt;&gt;"Valid",LEFT($AM677,7)="Invalid",IFERROR(ABS($AQ677)&gt;0.01,FALSE),IFERROR(ABS($AR677)&gt;0.01,FALSE),COUNTIF($AS677,"*Conflicting duplicate*")&gt;0,COUNTIF($AS677,"*Completed order not paid*")&gt;0),"Invalid",IF(OR($H677="Unknown",$N677="Unknown",$AM677="Missing discount imputed as 0"),"Warning","Clean"))</x:f>
        <x:v>Clean</x:v>
      </x:c>
      <x:c r="AF677" s="80" t="str">
        <x:v>Pass</x:v>
      </x:c>
      <x:c r="AG677" s="80" t="str">
        <x:v>No text cleanup required</x:v>
      </x:c>
      <x:c r="AH677" s="12" t="str">
        <x:f>IF(C677="","Missing date",IF(ISNUMBER(C677),"Valid","Unrecognized/invalid date"))</x:f>
        <x:v>Valid</x:v>
      </x:c>
      <x:c r="AI677" s="12" t="str">
        <x:f>IF(D677="","Missing date",IF(ISNUMBER(D677),"Valid","Unrecognized/invalid date"))</x:f>
        <x:v>Valid</x:v>
      </x:c>
      <x:c r="AJ677" s="12" t="str">
        <x:v>Valid</x:v>
      </x:c>
      <x:c r="AK677" s="12" t="str">
        <x:v>Pass</x:v>
      </x:c>
      <x:c r="AL677" s="12" t="str">
        <x:v>None</x:v>
      </x:c>
      <x:c r="AM677" s="12" t="str">
        <x:v>Valid</x:v>
      </x:c>
      <x:c r="AN677" s="12" t="str">
        <x:v>Include in completed sales</x:v>
      </x:c>
      <x:c r="AO677" s="12" t="str">
        <x:v>Not a refunded record</x:v>
      </x:c>
      <x:c r="AP677" s="37" t="n">
        <x:f>IF(LEFT($AM677,7)="Invalid","",IF($AM677="Missing discount imputed as 0",IF(AND(COUNT($O677,$P677,$R677,$S677)=4,$O677&gt;0,$P677&gt;=0,$R677&gt;=0,$S677&gt;=0),0,""),IF(AND(ISNUMBER($Q677),$Q677&gt;=0,$Q677&lt;=0.5),$Q677,"")))</x:f>
        <x:v>0</x:v>
      </x:c>
      <x:c r="AQ677" s="152" t="n">
        <x:f>IF(OR($W677="",NOT(ISNUMBER($R677))),"",ROUND($R677-$W677,2))</x:f>
        <x:v>0</x:v>
      </x:c>
      <x:c r="AR677" s="152" t="n">
        <x:f>IF(OR($X677="",NOT(ISNUMBER($T677))),"",ROUND($T677-$X677,2))</x:f>
        <x:v>0</x:v>
      </x:c>
      <x:c r="AS677" s="14" t="str">
        <x:v>OK</x:v>
      </x:c>
    </x:row>
    <x:row r="678">
      <x:c r="A678" s="80" t="n">
        <x:v>678</x:v>
      </x:c>
      <x:c r="B678" s="80" t="str">
        <x:v>ORD-2025-10677</x:v>
      </x:c>
      <x:c r="C678" s="81" t="n">
        <x:v>45911</x:v>
      </x:c>
      <x:c r="D678" s="81" t="n">
        <x:v>45918</x:v>
      </x:c>
      <x:c r="E678" s="80" t="str">
        <x:v>CUST-9212</x:v>
      </x:c>
      <x:c r="F678" s="80" t="str">
        <x:v>Rahul Verma</x:v>
      </x:c>
      <x:c r="G678" s="80" t="str">
        <x:v>Small Business</x:v>
      </x:c>
      <x:c r="H678" s="80" t="str">
        <x:v>North</x:v>
      </x:c>
      <x:c r="I678" s="80" t="str">
        <x:v>Delhi</x:v>
      </x:c>
      <x:c r="J678" s="80" t="str">
        <x:v>New Delhi</x:v>
      </x:c>
      <x:c r="K678" s="80" t="str">
        <x:v>Technology</x:v>
      </x:c>
      <x:c r="L678" s="80" t="str">
        <x:v>Phones</x:v>
      </x:c>
      <x:c r="M678" s="80" t="str">
        <x:v>Smart Phones 967</x:v>
      </x:c>
      <x:c r="N678" s="80" t="str">
        <x:v>Same Day</x:v>
      </x:c>
      <x:c r="O678" s="82" t="n">
        <x:v>7</x:v>
      </x:c>
      <x:c r="P678" s="83" t="n">
        <x:v>3411.21</x:v>
      </x:c>
      <x:c r="Q678" s="84" t="n">
        <x:v>0.15</x:v>
      </x:c>
      <x:c r="R678" s="83" t="n">
        <x:v>20296.7</x:v>
      </x:c>
      <x:c r="S678" s="83" t="n">
        <x:v>14920.87</x:v>
      </x:c>
      <x:c r="T678" s="83" t="n">
        <x:v>5375.83</x:v>
      </x:c>
      <x:c r="U678" s="83" t="str">
        <x:v>Paid</x:v>
      </x:c>
      <x:c r="V678" s="83" t="str">
        <x:v>Completed</x:v>
      </x:c>
      <x:c r="W678" s="151" t="n">
        <x:f>IF(OR(NOT(ISNUMBER($AP678)),COUNT($O678,$P678)&lt;2,$O678&lt;=0,$P678&lt;0),"",ROUND($O678*$P678*(1-$AP678),2))</x:f>
        <x:v>20296.7</x:v>
      </x:c>
      <x:c r="X678" s="151" t="n">
        <x:f>IF(OR(NOT(ISNUMBER($W678)),NOT(ISNUMBER($S678))),"",ROUND($W678-$S678,2))</x:f>
        <x:v>5375.83</x:v>
      </x:c>
      <x:c r="Y678" s="85" t="n">
        <x:f>IF(OR(NOT(ISNUMBER($W678)),NOT(ISNUMBER($X678)),$W678=0),"",ROUND($X678/$W678,4))</x:f>
        <x:v>0.2649</x:v>
      </x:c>
      <x:c r="Z678" s="82" t="n">
        <x:f>IF(OR($AH678&lt;&gt;"Valid",$AI678&lt;&gt;"Valid"),"",INT($D678-$C678))</x:f>
        <x:v>7</x:v>
      </x:c>
      <x:c r="AA678" s="86" t="str">
        <x:f>IF($AH678&lt;&gt;"Valid","",TEXT($C678,"mmmm"))</x:f>
        <x:v>September</x:v>
      </x:c>
      <x:c r="AB678" s="82" t="n">
        <x:f>IF($AH678&lt;&gt;"Valid","",YEAR($C678))</x:f>
        <x:v>2025</x:v>
      </x:c>
      <x:c r="AC678" s="80" t="str">
        <x:v>Consistent</x:v>
      </x:c>
      <x:c r="AD678" s="80" t="str">
        <x:v>Eligible</x:v>
      </x:c>
      <x:c r="AE678" s="80" t="str">
        <x:f>IF(OR($AH678&lt;&gt;"Valid",$AI678&lt;&gt;"Valid",$AJ678&lt;&gt;"Valid",LEFT($AM678,7)="Invalid",IFERROR(ABS($AQ678)&gt;0.01,FALSE),IFERROR(ABS($AR678)&gt;0.01,FALSE),COUNTIF($AS678,"*Conflicting duplicate*")&gt;0,COUNTIF($AS678,"*Completed order not paid*")&gt;0),"Invalid",IF(OR($H678="Unknown",$N678="Unknown",$AM678="Missing discount imputed as 0"),"Warning","Clean"))</x:f>
        <x:v>Clean</x:v>
      </x:c>
      <x:c r="AF678" s="80" t="str">
        <x:v>Pass</x:v>
      </x:c>
      <x:c r="AG678" s="80" t="str">
        <x:v>No text cleanup required</x:v>
      </x:c>
      <x:c r="AH678" s="12" t="str">
        <x:f>IF(C678="","Missing date",IF(ISNUMBER(C678),"Valid","Unrecognized/invalid date"))</x:f>
        <x:v>Valid</x:v>
      </x:c>
      <x:c r="AI678" s="12" t="str">
        <x:f>IF(D678="","Missing date",IF(ISNUMBER(D678),"Valid","Unrecognized/invalid date"))</x:f>
        <x:v>Valid</x:v>
      </x:c>
      <x:c r="AJ678" s="12" t="str">
        <x:v>Valid</x:v>
      </x:c>
      <x:c r="AK678" s="12" t="str">
        <x:v>Pass</x:v>
      </x:c>
      <x:c r="AL678" s="12" t="str">
        <x:v>None</x:v>
      </x:c>
      <x:c r="AM678" s="12" t="str">
        <x:v>Valid</x:v>
      </x:c>
      <x:c r="AN678" s="12" t="str">
        <x:v>Include in completed sales</x:v>
      </x:c>
      <x:c r="AO678" s="12" t="str">
        <x:v>Not a refunded record</x:v>
      </x:c>
      <x:c r="AP678" s="37" t="n">
        <x:f>IF(LEFT($AM678,7)="Invalid","",IF($AM678="Missing discount imputed as 0",IF(AND(COUNT($O678,$P678,$R678,$S678)=4,$O678&gt;0,$P678&gt;=0,$R678&gt;=0,$S678&gt;=0),0,""),IF(AND(ISNUMBER($Q678),$Q678&gt;=0,$Q678&lt;=0.5),$Q678,"")))</x:f>
        <x:v>0.15</x:v>
      </x:c>
      <x:c r="AQ678" s="152" t="n">
        <x:f>IF(OR($W678="",NOT(ISNUMBER($R678))),"",ROUND($R678-$W678,2))</x:f>
        <x:v>0</x:v>
      </x:c>
      <x:c r="AR678" s="152" t="n">
        <x:f>IF(OR($X678="",NOT(ISNUMBER($T678))),"",ROUND($T678-$X678,2))</x:f>
        <x:v>0</x:v>
      </x:c>
      <x:c r="AS678" s="14" t="str">
        <x:v>OK</x:v>
      </x:c>
    </x:row>
    <x:row r="679">
      <x:c r="A679" s="80" t="n">
        <x:v>679</x:v>
      </x:c>
      <x:c r="B679" s="80" t="str">
        <x:v>ORD-2024-10678</x:v>
      </x:c>
      <x:c r="C679" s="81" t="n">
        <x:v>45465</x:v>
      </x:c>
      <x:c r="D679" s="81" t="n">
        <x:v>45470</x:v>
      </x:c>
      <x:c r="E679" s="80" t="str">
        <x:v>CUST-4655</x:v>
      </x:c>
      <x:c r="F679" s="80" t="str">
        <x:v>Isha Nair</x:v>
      </x:c>
      <x:c r="G679" s="80" t="str">
        <x:v>Home Office</x:v>
      </x:c>
      <x:c r="H679" s="80" t="str">
        <x:v>South</x:v>
      </x:c>
      <x:c r="I679" s="80" t="str">
        <x:v>Karnataka</x:v>
      </x:c>
      <x:c r="J679" s="80" t="str">
        <x:v>Bengaluru</x:v>
      </x:c>
      <x:c r="K679" s="80" t="str">
        <x:v>Furniture</x:v>
      </x:c>
      <x:c r="L679" s="80" t="str">
        <x:v>Chairs</x:v>
      </x:c>
      <x:c r="M679" s="80" t="str">
        <x:v>Smart Chairs 610</x:v>
      </x:c>
      <x:c r="N679" s="80" t="str">
        <x:v>Same Day</x:v>
      </x:c>
      <x:c r="O679" s="82" t="n">
        <x:v>7</x:v>
      </x:c>
      <x:c r="P679" s="83" t="n">
        <x:v>2623.48</x:v>
      </x:c>
      <x:c r="Q679" s="84" t="n">
        <x:v>0</x:v>
      </x:c>
      <x:c r="R679" s="83" t="n">
        <x:v>18364.36</x:v>
      </x:c>
      <x:c r="S679" s="83" t="n">
        <x:v>15445.81</x:v>
      </x:c>
      <x:c r="T679" s="83" t="n">
        <x:v>2918.55</x:v>
      </x:c>
      <x:c r="U679" s="83" t="str">
        <x:v>Paid</x:v>
      </x:c>
      <x:c r="V679" s="83" t="str">
        <x:v>Completed</x:v>
      </x:c>
      <x:c r="W679" s="151" t="n">
        <x:f>IF(OR(NOT(ISNUMBER($AP679)),COUNT($O679,$P679)&lt;2,$O679&lt;=0,$P679&lt;0),"",ROUND($O679*$P679*(1-$AP679),2))</x:f>
        <x:v>18364.36</x:v>
      </x:c>
      <x:c r="X679" s="151" t="n">
        <x:f>IF(OR(NOT(ISNUMBER($W679)),NOT(ISNUMBER($S679))),"",ROUND($W679-$S679,2))</x:f>
        <x:v>2918.55</x:v>
      </x:c>
      <x:c r="Y679" s="85" t="n">
        <x:f>IF(OR(NOT(ISNUMBER($W679)),NOT(ISNUMBER($X679)),$W679=0),"",ROUND($X679/$W679,4))</x:f>
        <x:v>0.1589</x:v>
      </x:c>
      <x:c r="Z679" s="82" t="n">
        <x:f>IF(OR($AH679&lt;&gt;"Valid",$AI679&lt;&gt;"Valid"),"",INT($D679-$C679))</x:f>
        <x:v>5</x:v>
      </x:c>
      <x:c r="AA679" s="86" t="str">
        <x:f>IF($AH679&lt;&gt;"Valid","",TEXT($C679,"mmmm"))</x:f>
        <x:v>June</x:v>
      </x:c>
      <x:c r="AB679" s="82" t="n">
        <x:f>IF($AH679&lt;&gt;"Valid","",YEAR($C679))</x:f>
        <x:v>2024</x:v>
      </x:c>
      <x:c r="AC679" s="80" t="str">
        <x:v>Consistent</x:v>
      </x:c>
      <x:c r="AD679" s="80" t="str">
        <x:v>Eligible</x:v>
      </x:c>
      <x:c r="AE679" s="80" t="str">
        <x:f>IF(OR($AH679&lt;&gt;"Valid",$AI679&lt;&gt;"Valid",$AJ679&lt;&gt;"Valid",LEFT($AM679,7)="Invalid",IFERROR(ABS($AQ679)&gt;0.01,FALSE),IFERROR(ABS($AR679)&gt;0.01,FALSE),COUNTIF($AS679,"*Conflicting duplicate*")&gt;0,COUNTIF($AS679,"*Completed order not paid*")&gt;0),"Invalid",IF(OR($H679="Unknown",$N679="Unknown",$AM679="Missing discount imputed as 0"),"Warning","Clean"))</x:f>
        <x:v>Clean</x:v>
      </x:c>
      <x:c r="AF679" s="80" t="str">
        <x:v>Pass</x:v>
      </x:c>
      <x:c r="AG679" s="80" t="str">
        <x:v>No text cleanup required</x:v>
      </x:c>
      <x:c r="AH679" s="12" t="str">
        <x:f>IF(C679="","Missing date",IF(ISNUMBER(C679),"Valid","Unrecognized/invalid date"))</x:f>
        <x:v>Valid</x:v>
      </x:c>
      <x:c r="AI679" s="12" t="str">
        <x:f>IF(D679="","Missing date",IF(ISNUMBER(D679),"Valid","Unrecognized/invalid date"))</x:f>
        <x:v>Valid</x:v>
      </x:c>
      <x:c r="AJ679" s="12" t="str">
        <x:v>Valid</x:v>
      </x:c>
      <x:c r="AK679" s="12" t="str">
        <x:v>Pass</x:v>
      </x:c>
      <x:c r="AL679" s="12" t="str">
        <x:v>None</x:v>
      </x:c>
      <x:c r="AM679" s="12" t="str">
        <x:v>Valid</x:v>
      </x:c>
      <x:c r="AN679" s="12" t="str">
        <x:v>Include in completed sales</x:v>
      </x:c>
      <x:c r="AO679" s="12" t="str">
        <x:v>Not a refunded record</x:v>
      </x:c>
      <x:c r="AP679" s="37" t="n">
        <x:f>IF(LEFT($AM679,7)="Invalid","",IF($AM679="Missing discount imputed as 0",IF(AND(COUNT($O679,$P679,$R679,$S679)=4,$O679&gt;0,$P679&gt;=0,$R679&gt;=0,$S679&gt;=0),0,""),IF(AND(ISNUMBER($Q679),$Q679&gt;=0,$Q679&lt;=0.5),$Q679,"")))</x:f>
        <x:v>0</x:v>
      </x:c>
      <x:c r="AQ679" s="152" t="n">
        <x:f>IF(OR($W679="",NOT(ISNUMBER($R679))),"",ROUND($R679-$W679,2))</x:f>
        <x:v>0</x:v>
      </x:c>
      <x:c r="AR679" s="152" t="n">
        <x:f>IF(OR($X679="",NOT(ISNUMBER($T679))),"",ROUND($T679-$X679,2))</x:f>
        <x:v>0</x:v>
      </x:c>
      <x:c r="AS679" s="14" t="str">
        <x:v>OK</x:v>
      </x:c>
    </x:row>
    <x:row r="680">
      <x:c r="A680" s="80" t="n">
        <x:v>680</x:v>
      </x:c>
      <x:c r="B680" s="80" t="str">
        <x:v>ORD-2024-10679</x:v>
      </x:c>
      <x:c r="C680" s="81" t="n">
        <x:v>45620</x:v>
      </x:c>
      <x:c r="D680" s="81" t="n">
        <x:v>45627</x:v>
      </x:c>
      <x:c r="E680" s="80" t="str">
        <x:v>CUST-1674</x:v>
      </x:c>
      <x:c r="F680" s="80" t="str">
        <x:v>Kabir Singh</x:v>
      </x:c>
      <x:c r="G680" s="80" t="str">
        <x:v>Corporate</x:v>
      </x:c>
      <x:c r="H680" s="80" t="str">
        <x:v>South</x:v>
      </x:c>
      <x:c r="I680" s="80" t="str">
        <x:v>Karnataka</x:v>
      </x:c>
      <x:c r="J680" s="80" t="str">
        <x:v>Bengaluru</x:v>
      </x:c>
      <x:c r="K680" s="80" t="str">
        <x:v>Furniture</x:v>
      </x:c>
      <x:c r="L680" s="80" t="str">
        <x:v>Tables</x:v>
      </x:c>
      <x:c r="M680" s="80" t="str">
        <x:v>Prime Tables 123</x:v>
      </x:c>
      <x:c r="N680" s="80" t="str">
        <x:v>Second Class</x:v>
      </x:c>
      <x:c r="O680" s="82" t="n">
        <x:v>9</x:v>
      </x:c>
      <x:c r="P680" s="83" t="n">
        <x:v>2763.61</x:v>
      </x:c>
      <x:c r="Q680" s="84" t="n">
        <x:v>0.15</x:v>
      </x:c>
      <x:c r="R680" s="83" t="n">
        <x:v>21141.62</x:v>
      </x:c>
      <x:c r="S680" s="83" t="n">
        <x:v>11676.33</x:v>
      </x:c>
      <x:c r="T680" s="83" t="n">
        <x:v>9465.29</x:v>
      </x:c>
      <x:c r="U680" s="83" t="str">
        <x:v>Paid</x:v>
      </x:c>
      <x:c r="V680" s="83" t="str">
        <x:v>Completed</x:v>
      </x:c>
      <x:c r="W680" s="151" t="n">
        <x:f>IF(OR(NOT(ISNUMBER($AP680)),COUNT($O680,$P680)&lt;2,$O680&lt;=0,$P680&lt;0),"",ROUND($O680*$P680*(1-$AP680),2))</x:f>
        <x:v>21141.62</x:v>
      </x:c>
      <x:c r="X680" s="151" t="n">
        <x:f>IF(OR(NOT(ISNUMBER($W680)),NOT(ISNUMBER($S680))),"",ROUND($W680-$S680,2))</x:f>
        <x:v>9465.29</x:v>
      </x:c>
      <x:c r="Y680" s="85" t="n">
        <x:f>IF(OR(NOT(ISNUMBER($W680)),NOT(ISNUMBER($X680)),$W680=0),"",ROUND($X680/$W680,4))</x:f>
        <x:v>0.4477</x:v>
      </x:c>
      <x:c r="Z680" s="82" t="n">
        <x:f>IF(OR($AH680&lt;&gt;"Valid",$AI680&lt;&gt;"Valid"),"",INT($D680-$C680))</x:f>
        <x:v>7</x:v>
      </x:c>
      <x:c r="AA680" s="86" t="str">
        <x:f>IF($AH680&lt;&gt;"Valid","",TEXT($C680,"mmmm"))</x:f>
        <x:v>November</x:v>
      </x:c>
      <x:c r="AB680" s="82" t="n">
        <x:f>IF($AH680&lt;&gt;"Valid","",YEAR($C680))</x:f>
        <x:v>2024</x:v>
      </x:c>
      <x:c r="AC680" s="80" t="str">
        <x:v>Consistent</x:v>
      </x:c>
      <x:c r="AD680" s="80" t="str">
        <x:v>Eligible</x:v>
      </x:c>
      <x:c r="AE680" s="80" t="str">
        <x:f>IF(OR($AH680&lt;&gt;"Valid",$AI680&lt;&gt;"Valid",$AJ680&lt;&gt;"Valid",LEFT($AM680,7)="Invalid",IFERROR(ABS($AQ680)&gt;0.01,FALSE),IFERROR(ABS($AR680)&gt;0.01,FALSE),COUNTIF($AS680,"*Conflicting duplicate*")&gt;0,COUNTIF($AS680,"*Completed order not paid*")&gt;0),"Invalid",IF(OR($H680="Unknown",$N680="Unknown",$AM680="Missing discount imputed as 0"),"Warning","Clean"))</x:f>
        <x:v>Clean</x:v>
      </x:c>
      <x:c r="AF680" s="80" t="str">
        <x:v>Pass</x:v>
      </x:c>
      <x:c r="AG680" s="80" t="str">
        <x:v>No text cleanup required</x:v>
      </x:c>
      <x:c r="AH680" s="12" t="str">
        <x:f>IF(C680="","Missing date",IF(ISNUMBER(C680),"Valid","Unrecognized/invalid date"))</x:f>
        <x:v>Valid</x:v>
      </x:c>
      <x:c r="AI680" s="12" t="str">
        <x:f>IF(D680="","Missing date",IF(ISNUMBER(D680),"Valid","Unrecognized/invalid date"))</x:f>
        <x:v>Valid</x:v>
      </x:c>
      <x:c r="AJ680" s="12" t="str">
        <x:v>Valid</x:v>
      </x:c>
      <x:c r="AK680" s="12" t="str">
        <x:v>Pass</x:v>
      </x:c>
      <x:c r="AL680" s="12" t="str">
        <x:v>None</x:v>
      </x:c>
      <x:c r="AM680" s="12" t="str">
        <x:v>Valid</x:v>
      </x:c>
      <x:c r="AN680" s="12" t="str">
        <x:v>Include in completed sales</x:v>
      </x:c>
      <x:c r="AO680" s="12" t="str">
        <x:v>Not a refunded record</x:v>
      </x:c>
      <x:c r="AP680" s="37" t="n">
        <x:f>IF(LEFT($AM680,7)="Invalid","",IF($AM680="Missing discount imputed as 0",IF(AND(COUNT($O680,$P680,$R680,$S680)=4,$O680&gt;0,$P680&gt;=0,$R680&gt;=0,$S680&gt;=0),0,""),IF(AND(ISNUMBER($Q680),$Q680&gt;=0,$Q680&lt;=0.5),$Q680,"")))</x:f>
        <x:v>0.15</x:v>
      </x:c>
      <x:c r="AQ680" s="152" t="n">
        <x:f>IF(OR($W680="",NOT(ISNUMBER($R680))),"",ROUND($R680-$W680,2))</x:f>
        <x:v>0</x:v>
      </x:c>
      <x:c r="AR680" s="152" t="n">
        <x:f>IF(OR($X680="",NOT(ISNUMBER($T680))),"",ROUND($T680-$X680,2))</x:f>
        <x:v>0</x:v>
      </x:c>
      <x:c r="AS680" s="14" t="str">
        <x:v>OK</x:v>
      </x:c>
    </x:row>
    <x:row r="681">
      <x:c r="A681" s="80" t="n">
        <x:v>681</x:v>
      </x:c>
      <x:c r="B681" s="80" t="str">
        <x:v>ORD-2025-10680</x:v>
      </x:c>
      <x:c r="C681" s="81" t="n">
        <x:v>45885</x:v>
      </x:c>
      <x:c r="D681" s="81" t="n">
        <x:v>45892</x:v>
      </x:c>
      <x:c r="E681" s="80" t="str">
        <x:v>CUST-2897</x:v>
      </x:c>
      <x:c r="F681" s="80" t="str">
        <x:v>Rohan Mehta</x:v>
      </x:c>
      <x:c r="G681" s="80" t="str">
        <x:v>Corporate</x:v>
      </x:c>
      <x:c r="H681" s="80" t="str">
        <x:v>North</x:v>
      </x:c>
      <x:c r="I681" s="80" t="str">
        <x:v>Punjab</x:v>
      </x:c>
      <x:c r="J681" s="80" t="str">
        <x:v>Ludhiana</x:v>
      </x:c>
      <x:c r="K681" s="80" t="str">
        <x:v>Technology</x:v>
      </x:c>
      <x:c r="L681" s="80" t="str">
        <x:v>Copiers</x:v>
      </x:c>
      <x:c r="M681" s="80" t="str">
        <x:v>Smart Copiers 579</x:v>
      </x:c>
      <x:c r="N681" s="80" t="str">
        <x:v>Same Day</x:v>
      </x:c>
      <x:c r="O681" s="82" t="n">
        <x:v>4</x:v>
      </x:c>
      <x:c r="P681" s="83" t="n">
        <x:v>1410.57</x:v>
      </x:c>
      <x:c r="Q681" s="84" t="n">
        <x:v>0.7</x:v>
      </x:c>
      <x:c r="R681" s="83" t="n">
        <x:v>5360.17</x:v>
      </x:c>
      <x:c r="S681" s="83" t="n">
        <x:v>3881.51</x:v>
      </x:c>
      <x:c r="T681" s="83" t="n">
        <x:v>1478.66</x:v>
      </x:c>
      <x:c r="U681" s="83" t="str">
        <x:v>Refunded</x:v>
      </x:c>
      <x:c r="V681" s="83" t="str">
        <x:v>Cancelled</x:v>
      </x:c>
      <x:c r="W681" s="151" t="str">
        <x:f>IF(OR(NOT(ISNUMBER($AP681)),COUNT($O681,$P681)&lt;2,$O681&lt;=0,$P681&lt;0),"",ROUND($O681*$P681*(1-$AP681),2))</x:f>
      </x:c>
      <x:c r="X681" s="151" t="str">
        <x:f>IF(OR(NOT(ISNUMBER($W681)),NOT(ISNUMBER($S681))),"",ROUND($W681-$S681,2))</x:f>
      </x:c>
      <x:c r="Y681" s="85" t="str">
        <x:f>IF(OR(NOT(ISNUMBER($W681)),NOT(ISNUMBER($X681)),$W681=0),"",ROUND($X681/$W681,4))</x:f>
      </x:c>
      <x:c r="Z681" s="82" t="n">
        <x:f>IF(OR($AH681&lt;&gt;"Valid",$AI681&lt;&gt;"Valid"),"",INT($D681-$C681))</x:f>
        <x:v>7</x:v>
      </x:c>
      <x:c r="AA681" s="86" t="str">
        <x:f>IF($AH681&lt;&gt;"Valid","",TEXT($C681,"mmmm"))</x:f>
        <x:v>August</x:v>
      </x:c>
      <x:c r="AB681" s="82" t="n">
        <x:f>IF($AH681&lt;&gt;"Valid","",YEAR($C681))</x:f>
        <x:v>2025</x:v>
      </x:c>
      <x:c r="AC681" s="80" t="str">
        <x:v>Cancelled (excluded from completed-sales summary)</x:v>
      </x:c>
      <x:c r="AD681" s="80" t="str">
        <x:v>Excluded</x:v>
      </x:c>
      <x:c r="AE681" s="80" t="str">
        <x:f>IF(OR($AH681&lt;&gt;"Valid",$AI681&lt;&gt;"Valid",$AJ681&lt;&gt;"Valid",LEFT($AM681,7)="Invalid",IFERROR(ABS($AQ681)&gt;0.01,FALSE),IFERROR(ABS($AR681)&gt;0.01,FALSE),COUNTIF($AS681,"*Conflicting duplicate*")&gt;0,COUNTIF($AS681,"*Completed order not paid*")&gt;0),"Invalid",IF(OR($H681="Unknown",$N681="Unknown",$AM681="Missing discount imputed as 0"),"Warning","Clean"))</x:f>
        <x:v>Invalid</x:v>
      </x:c>
      <x:c r="AF681" s="80" t="str">
        <x:v>Review</x:v>
      </x:c>
      <x:c r="AG681" s="80" t="str">
        <x:v>discount: Percent text converted</x:v>
      </x:c>
      <x:c r="AH681" s="12" t="str">
        <x:f>IF(C681="","Missing date",IF(ISNUMBER(C681),"Valid","Unrecognized/invalid date"))</x:f>
        <x:v>Valid</x:v>
      </x:c>
      <x:c r="AI681" s="12" t="str">
        <x:f>IF(D681="","Missing date",IF(ISNUMBER(D681),"Valid","Unrecognized/invalid date"))</x:f>
        <x:v>Valid</x:v>
      </x:c>
      <x:c r="AJ681" s="12" t="str">
        <x:v>Valid</x:v>
      </x:c>
      <x:c r="AK681" s="12" t="str">
        <x:v>Pass</x:v>
      </x:c>
      <x:c r="AL681" s="12" t="str">
        <x:v>Cancelled order – excluded from completed sales; Refunded payment – separately summarized</x:v>
      </x:c>
      <x:c r="AM681" s="12" t="str">
        <x:v>Invalid discount – above 50% allowed range</x:v>
      </x:c>
      <x:c r="AN681" s="12" t="str">
        <x:v>Exclude from completed sales</x:v>
      </x:c>
      <x:c r="AO681" s="12" t="str">
        <x:v>Include in refunded summary</x:v>
      </x:c>
      <x:c r="AP681" s="37" t="str">
        <x:f>IF(LEFT($AM681,7)="Invalid","",IF($AM681="Missing discount imputed as 0",IF(AND(COUNT($O681,$P681,$R681,$S681)=4,$O681&gt;0,$P681&gt;=0,$R681&gt;=0,$S681&gt;=0),0,""),IF(AND(ISNUMBER($Q681),$Q681&gt;=0,$Q681&lt;=0.5),$Q681,"")))</x:f>
      </x:c>
      <x:c r="AQ681" s="152" t="str">
        <x:f>IF(OR($W681="",NOT(ISNUMBER($R681))),"",ROUND($R681-$W681,2))</x:f>
      </x:c>
      <x:c r="AR681" s="152" t="str">
        <x:f>IF(OR($X681="",NOT(ISNUMBER($T681))),"",ROUND($T681-$X681,2))</x:f>
      </x:c>
      <x:c r="AS681" s="14" t="str">
        <x:v>Discount above allowed range (&gt;50%)</x:v>
      </x:c>
    </x:row>
    <x:row r="682">
      <x:c r="A682" s="80" t="n">
        <x:v>682</x:v>
      </x:c>
      <x:c r="B682" s="80" t="str">
        <x:v>ORD-2024-10681</x:v>
      </x:c>
      <x:c r="C682" s="81" t="n">
        <x:v>45441</x:v>
      </x:c>
      <x:c r="D682" s="81" t="n">
        <x:v>45448</x:v>
      </x:c>
      <x:c r="E682" s="80" t="str">
        <x:v>CUST-1136</x:v>
      </x:c>
      <x:c r="F682" s="80" t="str">
        <x:v>Kabir Singh</x:v>
      </x:c>
      <x:c r="G682" s="80" t="str">
        <x:v>Corporate</x:v>
      </x:c>
      <x:c r="H682" s="80" t="str">
        <x:v>South</x:v>
      </x:c>
      <x:c r="I682" s="80" t="str">
        <x:v>Tamil Nadu</x:v>
      </x:c>
      <x:c r="J682" s="80" t="str">
        <x:v>Chennai</x:v>
      </x:c>
      <x:c r="K682" s="80" t="str">
        <x:v>Technology</x:v>
      </x:c>
      <x:c r="L682" s="80" t="str">
        <x:v>Accessories</x:v>
      </x:c>
      <x:c r="M682" s="80" t="str">
        <x:v>Eco Accessories 658</x:v>
      </x:c>
      <x:c r="N682" s="80" t="str">
        <x:v>First Class</x:v>
      </x:c>
      <x:c r="O682" s="82" t="n">
        <x:v>4</x:v>
      </x:c>
      <x:c r="P682" s="83" t="n">
        <x:v>3700.24</x:v>
      </x:c>
      <x:c r="Q682" s="84" t="n">
        <x:v>0</x:v>
      </x:c>
      <x:c r="R682" s="83" t="n">
        <x:v>14800.96</x:v>
      </x:c>
      <x:c r="S682" s="83" t="n">
        <x:v>12048.39</x:v>
      </x:c>
      <x:c r="T682" s="83" t="n">
        <x:v>2752.57</x:v>
      </x:c>
      <x:c r="U682" s="83" t="str">
        <x:v>Paid</x:v>
      </x:c>
      <x:c r="V682" s="83" t="str">
        <x:v>Completed</x:v>
      </x:c>
      <x:c r="W682" s="151" t="n">
        <x:f>IF(OR(NOT(ISNUMBER($AP682)),COUNT($O682,$P682)&lt;2,$O682&lt;=0,$P682&lt;0),"",ROUND($O682*$P682*(1-$AP682),2))</x:f>
        <x:v>14800.96</x:v>
      </x:c>
      <x:c r="X682" s="151" t="n">
        <x:f>IF(OR(NOT(ISNUMBER($W682)),NOT(ISNUMBER($S682))),"",ROUND($W682-$S682,2))</x:f>
        <x:v>2752.57</x:v>
      </x:c>
      <x:c r="Y682" s="85" t="n">
        <x:f>IF(OR(NOT(ISNUMBER($W682)),NOT(ISNUMBER($X682)),$W682=0),"",ROUND($X682/$W682,4))</x:f>
        <x:v>0.186</x:v>
      </x:c>
      <x:c r="Z682" s="82" t="n">
        <x:f>IF(OR($AH682&lt;&gt;"Valid",$AI682&lt;&gt;"Valid"),"",INT($D682-$C682))</x:f>
        <x:v>7</x:v>
      </x:c>
      <x:c r="AA682" s="86" t="str">
        <x:f>IF($AH682&lt;&gt;"Valid","",TEXT($C682,"mmmm"))</x:f>
        <x:v>May</x:v>
      </x:c>
      <x:c r="AB682" s="82" t="n">
        <x:f>IF($AH682&lt;&gt;"Valid","",YEAR($C682))</x:f>
        <x:v>2024</x:v>
      </x:c>
      <x:c r="AC682" s="80" t="str">
        <x:v>Consistent</x:v>
      </x:c>
      <x:c r="AD682" s="80" t="str">
        <x:v>Eligible</x:v>
      </x:c>
      <x:c r="AE682" s="80" t="str">
        <x:f>IF(OR($AH682&lt;&gt;"Valid",$AI682&lt;&gt;"Valid",$AJ682&lt;&gt;"Valid",LEFT($AM682,7)="Invalid",IFERROR(ABS($AQ682)&gt;0.01,FALSE),IFERROR(ABS($AR682)&gt;0.01,FALSE),COUNTIF($AS682,"*Conflicting duplicate*")&gt;0,COUNTIF($AS682,"*Completed order not paid*")&gt;0),"Invalid",IF(OR($H682="Unknown",$N682="Unknown",$AM682="Missing discount imputed as 0"),"Warning","Clean"))</x:f>
        <x:v>Clean</x:v>
      </x:c>
      <x:c r="AF682" s="80" t="str">
        <x:v>Pass</x:v>
      </x:c>
      <x:c r="AG682" s="80" t="str">
        <x:v>No text cleanup required</x:v>
      </x:c>
      <x:c r="AH682" s="12" t="str">
        <x:f>IF(C682="","Missing date",IF(ISNUMBER(C682),"Valid","Unrecognized/invalid date"))</x:f>
        <x:v>Valid</x:v>
      </x:c>
      <x:c r="AI682" s="12" t="str">
        <x:f>IF(D682="","Missing date",IF(ISNUMBER(D682),"Valid","Unrecognized/invalid date"))</x:f>
        <x:v>Valid</x:v>
      </x:c>
      <x:c r="AJ682" s="12" t="str">
        <x:v>Valid</x:v>
      </x:c>
      <x:c r="AK682" s="12" t="str">
        <x:v>Pass</x:v>
      </x:c>
      <x:c r="AL682" s="12" t="str">
        <x:v>None</x:v>
      </x:c>
      <x:c r="AM682" s="12" t="str">
        <x:v>Valid</x:v>
      </x:c>
      <x:c r="AN682" s="12" t="str">
        <x:v>Include in completed sales</x:v>
      </x:c>
      <x:c r="AO682" s="12" t="str">
        <x:v>Not a refunded record</x:v>
      </x:c>
      <x:c r="AP682" s="37" t="n">
        <x:f>IF(LEFT($AM682,7)="Invalid","",IF($AM682="Missing discount imputed as 0",IF(AND(COUNT($O682,$P682,$R682,$S682)=4,$O682&gt;0,$P682&gt;=0,$R682&gt;=0,$S682&gt;=0),0,""),IF(AND(ISNUMBER($Q682),$Q682&gt;=0,$Q682&lt;=0.5),$Q682,"")))</x:f>
        <x:v>0</x:v>
      </x:c>
      <x:c r="AQ682" s="152" t="n">
        <x:f>IF(OR($W682="",NOT(ISNUMBER($R682))),"",ROUND($R682-$W682,2))</x:f>
        <x:v>0</x:v>
      </x:c>
      <x:c r="AR682" s="152" t="n">
        <x:f>IF(OR($X682="",NOT(ISNUMBER($T682))),"",ROUND($T682-$X682,2))</x:f>
        <x:v>0</x:v>
      </x:c>
      <x:c r="AS682" s="14" t="str">
        <x:v>OK</x:v>
      </x:c>
    </x:row>
    <x:row r="683">
      <x:c r="A683" s="80" t="n">
        <x:v>683</x:v>
      </x:c>
      <x:c r="B683" s="80" t="str">
        <x:v>ORD-2024-10682</x:v>
      </x:c>
      <x:c r="C683" s="81" t="n">
        <x:v>45477</x:v>
      </x:c>
      <x:c r="D683" s="81" t="n">
        <x:v>45483</x:v>
      </x:c>
      <x:c r="E683" s="80" t="str">
        <x:v>CUST-1376</x:v>
      </x:c>
      <x:c r="F683" s="80" t="str">
        <x:v>Vikram Iyer</x:v>
      </x:c>
      <x:c r="G683" s="80" t="str">
        <x:v>Corporate</x:v>
      </x:c>
      <x:c r="H683" s="80" t="str">
        <x:v>North</x:v>
      </x:c>
      <x:c r="I683" s="80" t="str">
        <x:v>Delhi</x:v>
      </x:c>
      <x:c r="J683" s="80" t="str">
        <x:v>New Delhi</x:v>
      </x:c>
      <x:c r="K683" s="80" t="str">
        <x:v>Furniture</x:v>
      </x:c>
      <x:c r="L683" s="80" t="str">
        <x:v>Tables</x:v>
      </x:c>
      <x:c r="M683" s="80" t="str">
        <x:v>Smart Tables 777</x:v>
      </x:c>
      <x:c r="N683" s="80" t="str">
        <x:v>Second Class</x:v>
      </x:c>
      <x:c r="O683" s="82" t="n">
        <x:v>5</x:v>
      </x:c>
      <x:c r="P683" s="83" t="n">
        <x:v>1200.27</x:v>
      </x:c>
      <x:c r="Q683" s="84" t="n">
        <x:v>0</x:v>
      </x:c>
      <x:c r="R683" s="83" t="n">
        <x:v>6001.35</x:v>
      </x:c>
      <x:c r="S683" s="83" t="n">
        <x:v>4182.99</x:v>
      </x:c>
      <x:c r="T683" s="83" t="n">
        <x:v>1818.36</x:v>
      </x:c>
      <x:c r="U683" s="83" t="str">
        <x:v>Paid</x:v>
      </x:c>
      <x:c r="V683" s="83" t="str">
        <x:v>Cancelled</x:v>
      </x:c>
      <x:c r="W683" s="151" t="n">
        <x:f>IF(OR(NOT(ISNUMBER($AP683)),COUNT($O683,$P683)&lt;2,$O683&lt;=0,$P683&lt;0),"",ROUND($O683*$P683*(1-$AP683),2))</x:f>
        <x:v>6001.35</x:v>
      </x:c>
      <x:c r="X683" s="151" t="n">
        <x:f>IF(OR(NOT(ISNUMBER($W683)),NOT(ISNUMBER($S683))),"",ROUND($W683-$S683,2))</x:f>
        <x:v>1818.36</x:v>
      </x:c>
      <x:c r="Y683" s="85" t="n">
        <x:f>IF(OR(NOT(ISNUMBER($W683)),NOT(ISNUMBER($X683)),$W683=0),"",ROUND($X683/$W683,4))</x:f>
        <x:v>0.303</x:v>
      </x:c>
      <x:c r="Z683" s="82" t="n">
        <x:f>IF(OR($AH683&lt;&gt;"Valid",$AI683&lt;&gt;"Valid"),"",INT($D683-$C683))</x:f>
        <x:v>6</x:v>
      </x:c>
      <x:c r="AA683" s="86" t="str">
        <x:f>IF($AH683&lt;&gt;"Valid","",TEXT($C683,"mmmm"))</x:f>
        <x:v>July</x:v>
      </x:c>
      <x:c r="AB683" s="82" t="n">
        <x:f>IF($AH683&lt;&gt;"Valid","",YEAR($C683))</x:f>
        <x:v>2024</x:v>
      </x:c>
      <x:c r="AC683" s="80" t="str">
        <x:v>Cancelled (excluded from completed-sales summary)</x:v>
      </x:c>
      <x:c r="AD683" s="80" t="str">
        <x:v>Excluded</x:v>
      </x:c>
      <x:c r="AE683" s="80" t="str">
        <x:f>IF(OR($AH683&lt;&gt;"Valid",$AI683&lt;&gt;"Valid",$AJ683&lt;&gt;"Valid",LEFT($AM683,7)="Invalid",IFERROR(ABS($AQ683)&gt;0.01,FALSE),IFERROR(ABS($AR683)&gt;0.01,FALSE),COUNTIF($AS683,"*Conflicting duplicate*")&gt;0,COUNTIF($AS683,"*Completed order not paid*")&gt;0),"Invalid",IF(OR($H683="Unknown",$N683="Unknown",$AM683="Missing discount imputed as 0"),"Warning","Clean"))</x:f>
        <x:v>Clean</x:v>
      </x:c>
      <x:c r="AF683" s="80" t="str">
        <x:v>Pass</x:v>
      </x:c>
      <x:c r="AG683" s="80" t="str">
        <x:v>No text cleanup required</x:v>
      </x:c>
      <x:c r="AH683" s="12" t="str">
        <x:f>IF(C683="","Missing date",IF(ISNUMBER(C683),"Valid","Unrecognized/invalid date"))</x:f>
        <x:v>Valid</x:v>
      </x:c>
      <x:c r="AI683" s="12" t="str">
        <x:f>IF(D683="","Missing date",IF(ISNUMBER(D683),"Valid","Unrecognized/invalid date"))</x:f>
        <x:v>Valid</x:v>
      </x:c>
      <x:c r="AJ683" s="12" t="str">
        <x:v>Valid</x:v>
      </x:c>
      <x:c r="AK683" s="12" t="str">
        <x:v>Pass</x:v>
      </x:c>
      <x:c r="AL683" s="12" t="str">
        <x:v>Cancelled order – excluded from completed sales</x:v>
      </x:c>
      <x:c r="AM683" s="12" t="str">
        <x:v>Valid</x:v>
      </x:c>
      <x:c r="AN683" s="12" t="str">
        <x:v>Exclude from completed sales</x:v>
      </x:c>
      <x:c r="AO683" s="12" t="str">
        <x:v>Not a refunded record</x:v>
      </x:c>
      <x:c r="AP683" s="37" t="n">
        <x:f>IF(LEFT($AM683,7)="Invalid","",IF($AM683="Missing discount imputed as 0",IF(AND(COUNT($O683,$P683,$R683,$S683)=4,$O683&gt;0,$P683&gt;=0,$R683&gt;=0,$S683&gt;=0),0,""),IF(AND(ISNUMBER($Q683),$Q683&gt;=0,$Q683&lt;=0.5),$Q683,"")))</x:f>
        <x:v>0</x:v>
      </x:c>
      <x:c r="AQ683" s="152" t="n">
        <x:f>IF(OR($W683="",NOT(ISNUMBER($R683))),"",ROUND($R683-$W683,2))</x:f>
        <x:v>0</x:v>
      </x:c>
      <x:c r="AR683" s="152" t="n">
        <x:f>IF(OR($X683="",NOT(ISNUMBER($T683))),"",ROUND($T683-$X683,2))</x:f>
        <x:v>0</x:v>
      </x:c>
      <x:c r="AS683" s="14" t="str">
        <x:v>OK</x:v>
      </x:c>
    </x:row>
    <x:row r="684">
      <x:c r="A684" s="80" t="n">
        <x:v>684</x:v>
      </x:c>
      <x:c r="B684" s="80" t="str">
        <x:v>ORD-2025-10683</x:v>
      </x:c>
      <x:c r="C684" s="81" t="n">
        <x:v>45693</x:v>
      </x:c>
      <x:c r="D684" s="81" t="n">
        <x:v>45693</x:v>
      </x:c>
      <x:c r="E684" s="80" t="str">
        <x:v>CUST-1553</x:v>
      </x:c>
      <x:c r="F684" s="80" t="str">
        <x:v>Ananya Rao</x:v>
      </x:c>
      <x:c r="G684" s="80" t="str">
        <x:v>Corporate</x:v>
      </x:c>
      <x:c r="H684" s="80" t="str">
        <x:v>North</x:v>
      </x:c>
      <x:c r="I684" s="80" t="str">
        <x:v>Haryana</x:v>
      </x:c>
      <x:c r="J684" s="80" t="str">
        <x:v>Gurugram</x:v>
      </x:c>
      <x:c r="K684" s="80" t="str">
        <x:v>Office Supplies</x:v>
      </x:c>
      <x:c r="L684" s="80" t="str">
        <x:v>Storage</x:v>
      </x:c>
      <x:c r="M684" s="80" t="str">
        <x:v>Eco Storage 861</x:v>
      </x:c>
      <x:c r="N684" s="80" t="str">
        <x:v>Same Day</x:v>
      </x:c>
      <x:c r="O684" s="82" t="n">
        <x:v>3</x:v>
      </x:c>
      <x:c r="P684" s="83" t="n">
        <x:v>2590.78</x:v>
      </x:c>
      <x:c r="Q684" s="84" t="n">
        <x:v>0</x:v>
      </x:c>
      <x:c r="R684" s="83" t="n">
        <x:v>7383.72</x:v>
      </x:c>
      <x:c r="S684" s="83" t="n">
        <x:v>4113.66</x:v>
      </x:c>
      <x:c r="T684" s="83" t="n">
        <x:v>3270.06</x:v>
      </x:c>
      <x:c r="U684" s="83" t="str">
        <x:v>Paid</x:v>
      </x:c>
      <x:c r="V684" s="83" t="str">
        <x:v>Completed</x:v>
      </x:c>
      <x:c r="W684" s="151" t="n">
        <x:f>IF(OR(NOT(ISNUMBER($AP684)),COUNT($O684,$P684)&lt;2,$O684&lt;=0,$P684&lt;0),"",ROUND($O684*$P684*(1-$AP684),2))</x:f>
        <x:v>7772.34</x:v>
      </x:c>
      <x:c r="X684" s="151" t="n">
        <x:f>IF(OR(NOT(ISNUMBER($W684)),NOT(ISNUMBER($S684))),"",ROUND($W684-$S684,2))</x:f>
        <x:v>3658.68</x:v>
      </x:c>
      <x:c r="Y684" s="85" t="n">
        <x:f>IF(OR(NOT(ISNUMBER($W684)),NOT(ISNUMBER($X684)),$W684=0),"",ROUND($X684/$W684,4))</x:f>
        <x:v>0.4707</x:v>
      </x:c>
      <x:c r="Z684" s="82" t="n">
        <x:f>IF(OR($AH684&lt;&gt;"Valid",$AI684&lt;&gt;"Valid"),"",INT($D684-$C684))</x:f>
        <x:v>0</x:v>
      </x:c>
      <x:c r="AA684" s="86" t="str">
        <x:f>IF($AH684&lt;&gt;"Valid","",TEXT($C684,"mmmm"))</x:f>
        <x:v>February</x:v>
      </x:c>
      <x:c r="AB684" s="82" t="n">
        <x:f>IF($AH684&lt;&gt;"Valid","",YEAR($C684))</x:f>
        <x:v>2025</x:v>
      </x:c>
      <x:c r="AC684" s="80" t="str">
        <x:v>Consistent</x:v>
      </x:c>
      <x:c r="AD684" s="80" t="str">
        <x:v>Excluded</x:v>
      </x:c>
      <x:c r="AE684" s="80" t="str">
        <x:f>IF(OR($AH684&lt;&gt;"Valid",$AI684&lt;&gt;"Valid",$AJ684&lt;&gt;"Valid",LEFT($AM684,7)="Invalid",IFERROR(ABS($AQ684)&gt;0.01,FALSE),IFERROR(ABS($AR684)&gt;0.01,FALSE),COUNTIF($AS684,"*Conflicting duplicate*")&gt;0,COUNTIF($AS684,"*Completed order not paid*")&gt;0),"Invalid",IF(OR($H684="Unknown",$N684="Unknown",$AM684="Missing discount imputed as 0"),"Warning","Clean"))</x:f>
        <x:v>Invalid</x:v>
      </x:c>
      <x:c r="AF684" s="80" t="str">
        <x:v>Review</x:v>
      </x:c>
      <x:c r="AG684" s="80" t="str">
        <x:v>customer_name: Case standardization; discount: Imputed 0; discount: Missing value set to 0 after sales-field validation</x:v>
      </x:c>
      <x:c r="AH684" s="12" t="str">
        <x:f>IF(C684="","Missing date",IF(ISNUMBER(C684),"Valid","Unrecognized/invalid date"))</x:f>
        <x:v>Valid</x:v>
      </x:c>
      <x:c r="AI684" s="12" t="str">
        <x:f>IF(D684="","Missing date",IF(ISNUMBER(D684),"Valid","Unrecognized/invalid date"))</x:f>
        <x:v>Valid</x:v>
      </x:c>
      <x:c r="AJ684" s="12" t="str">
        <x:v>Valid</x:v>
      </x:c>
      <x:c r="AK684" s="12" t="str">
        <x:v>Pass</x:v>
      </x:c>
      <x:c r="AL684" s="12" t="str">
        <x:v>Missing discount imputed as 0</x:v>
      </x:c>
      <x:c r="AM684" s="12" t="str">
        <x:v>Missing discount imputed as 0</x:v>
      </x:c>
      <x:c r="AN684" s="12" t="str">
        <x:v>Exclude from completed sales</x:v>
      </x:c>
      <x:c r="AO684" s="12" t="str">
        <x:v>Not a refunded record</x:v>
      </x:c>
      <x:c r="AP684" s="37" t="n">
        <x:f>IF(LEFT($AM684,7)="Invalid","",IF($AM684="Missing discount imputed as 0",IF(AND(COUNT($O684,$P684,$R684,$S684)=4,$O684&gt;0,$P684&gt;=0,$R684&gt;=0,$S684&gt;=0),0,""),IF(AND(ISNUMBER($Q684),$Q684&gt;=0,$Q684&lt;=0.5),$Q684,"")))</x:f>
        <x:v>0</x:v>
      </x:c>
      <x:c r="AQ684" s="152" t="n">
        <x:f>IF(OR($W684="",NOT(ISNUMBER($R684))),"",ROUND($R684-$W684,2))</x:f>
        <x:v>-388.62</x:v>
      </x:c>
      <x:c r="AR684" s="152" t="n">
        <x:f>IF(OR($X684="",NOT(ISNUMBER($T684))),"",ROUND($T684-$X684,2))</x:f>
        <x:v>-388.62</x:v>
      </x:c>
      <x:c r="AS684" s="14" t="str">
        <x:v>Sales calculation mismatch</x:v>
      </x:c>
    </x:row>
    <x:row r="685">
      <x:c r="A685" s="80" t="n">
        <x:v>685</x:v>
      </x:c>
      <x:c r="B685" s="80" t="str">
        <x:v>ORD-2025-10684</x:v>
      </x:c>
      <x:c r="C685" s="81" t="n">
        <x:v>45858</x:v>
      </x:c>
      <x:c r="D685" s="81" t="n">
        <x:v>45862</x:v>
      </x:c>
      <x:c r="E685" s="80" t="str">
        <x:v>CUST-5704</x:v>
      </x:c>
      <x:c r="F685" s="80" t="str">
        <x:v>Arjun Bose</x:v>
      </x:c>
      <x:c r="G685" s="80" t="str">
        <x:v>Small Business</x:v>
      </x:c>
      <x:c r="H685" s="80" t="str">
        <x:v>South</x:v>
      </x:c>
      <x:c r="I685" s="80" t="str">
        <x:v>Telangana</x:v>
      </x:c>
      <x:c r="J685" s="80" t="str">
        <x:v>Hyderabad</x:v>
      </x:c>
      <x:c r="K685" s="80" t="str">
        <x:v>Furniture</x:v>
      </x:c>
      <x:c r="L685" s="80" t="str">
        <x:v>Furnishings</x:v>
      </x:c>
      <x:c r="M685" s="80" t="str">
        <x:v>Eco Furnishings 875</x:v>
      </x:c>
      <x:c r="N685" s="80" t="str">
        <x:v>Second Class</x:v>
      </x:c>
      <x:c r="O685" s="82" t="n">
        <x:v>6</x:v>
      </x:c>
      <x:c r="P685" s="83" t="n">
        <x:v>1646.45</x:v>
      </x:c>
      <x:c r="Q685" s="84" t="n">
        <x:v>0.2</x:v>
      </x:c>
      <x:c r="R685" s="83" t="n">
        <x:v>7902.96</x:v>
      </x:c>
      <x:c r="S685" s="83" t="n">
        <x:v>5512.03</x:v>
      </x:c>
      <x:c r="T685" s="83" t="n">
        <x:v>2390.93</x:v>
      </x:c>
      <x:c r="U685" s="83" t="str">
        <x:v>Refunded</x:v>
      </x:c>
      <x:c r="V685" s="83" t="str">
        <x:v>Cancelled</x:v>
      </x:c>
      <x:c r="W685" s="151" t="n">
        <x:f>IF(OR(NOT(ISNUMBER($AP685)),COUNT($O685,$P685)&lt;2,$O685&lt;=0,$P685&lt;0),"",ROUND($O685*$P685*(1-$AP685),2))</x:f>
        <x:v>7902.96</x:v>
      </x:c>
      <x:c r="X685" s="151" t="n">
        <x:f>IF(OR(NOT(ISNUMBER($W685)),NOT(ISNUMBER($S685))),"",ROUND($W685-$S685,2))</x:f>
        <x:v>2390.93</x:v>
      </x:c>
      <x:c r="Y685" s="85" t="n">
        <x:f>IF(OR(NOT(ISNUMBER($W685)),NOT(ISNUMBER($X685)),$W685=0),"",ROUND($X685/$W685,4))</x:f>
        <x:v>0.3025</x:v>
      </x:c>
      <x:c r="Z685" s="82" t="n">
        <x:f>IF(OR($AH685&lt;&gt;"Valid",$AI685&lt;&gt;"Valid"),"",INT($D685-$C685))</x:f>
        <x:v>4</x:v>
      </x:c>
      <x:c r="AA685" s="86" t="str">
        <x:f>IF($AH685&lt;&gt;"Valid","",TEXT($C685,"mmmm"))</x:f>
        <x:v>July</x:v>
      </x:c>
      <x:c r="AB685" s="82" t="n">
        <x:f>IF($AH685&lt;&gt;"Valid","",YEAR($C685))</x:f>
        <x:v>2025</x:v>
      </x:c>
      <x:c r="AC685" s="80" t="str">
        <x:v>Cancelled (excluded from completed-sales summary)</x:v>
      </x:c>
      <x:c r="AD685" s="80" t="str">
        <x:v>Excluded</x:v>
      </x:c>
      <x:c r="AE685" s="80" t="str">
        <x:f>IF(OR($AH685&lt;&gt;"Valid",$AI685&lt;&gt;"Valid",$AJ685&lt;&gt;"Valid",LEFT($AM685,7)="Invalid",IFERROR(ABS($AQ685)&gt;0.01,FALSE),IFERROR(ABS($AR685)&gt;0.01,FALSE),COUNTIF($AS685,"*Conflicting duplicate*")&gt;0,COUNTIF($AS685,"*Completed order not paid*")&gt;0),"Invalid",IF(OR($H685="Unknown",$N685="Unknown",$AM685="Missing discount imputed as 0"),"Warning","Clean"))</x:f>
        <x:v>Clean</x:v>
      </x:c>
      <x:c r="AF685" s="80" t="str">
        <x:v>Pass</x:v>
      </x:c>
      <x:c r="AG685" s="80" t="str">
        <x:v>No text cleanup required</x:v>
      </x:c>
      <x:c r="AH685" s="12" t="str">
        <x:f>IF(C685="","Missing date",IF(ISNUMBER(C685),"Valid","Unrecognized/invalid date"))</x:f>
        <x:v>Valid</x:v>
      </x:c>
      <x:c r="AI685" s="12" t="str">
        <x:f>IF(D685="","Missing date",IF(ISNUMBER(D685),"Valid","Unrecognized/invalid date"))</x:f>
        <x:v>Valid</x:v>
      </x:c>
      <x:c r="AJ685" s="12" t="str">
        <x:v>Valid</x:v>
      </x:c>
      <x:c r="AK685" s="12" t="str">
        <x:v>Pass</x:v>
      </x:c>
      <x:c r="AL685" s="12" t="str">
        <x:v>Cancelled order – excluded from completed sales; Refunded payment – separately summarized</x:v>
      </x:c>
      <x:c r="AM685" s="12" t="str">
        <x:v>Valid</x:v>
      </x:c>
      <x:c r="AN685" s="12" t="str">
        <x:v>Exclude from completed sales</x:v>
      </x:c>
      <x:c r="AO685" s="12" t="str">
        <x:v>Include in refunded summary</x:v>
      </x:c>
      <x:c r="AP685" s="37" t="n">
        <x:f>IF(LEFT($AM685,7)="Invalid","",IF($AM685="Missing discount imputed as 0",IF(AND(COUNT($O685,$P685,$R685,$S685)=4,$O685&gt;0,$P685&gt;=0,$R685&gt;=0,$S685&gt;=0),0,""),IF(AND(ISNUMBER($Q685),$Q685&gt;=0,$Q685&lt;=0.5),$Q685,"")))</x:f>
        <x:v>0.2</x:v>
      </x:c>
      <x:c r="AQ685" s="152" t="n">
        <x:f>IF(OR($W685="",NOT(ISNUMBER($R685))),"",ROUND($R685-$W685,2))</x:f>
        <x:v>0</x:v>
      </x:c>
      <x:c r="AR685" s="152" t="n">
        <x:f>IF(OR($X685="",NOT(ISNUMBER($T685))),"",ROUND($T685-$X685,2))</x:f>
        <x:v>0</x:v>
      </x:c>
      <x:c r="AS685" s="14" t="str">
        <x:v>OK</x:v>
      </x:c>
    </x:row>
    <x:row r="686">
      <x:c r="A686" s="80" t="n">
        <x:v>686</x:v>
      </x:c>
      <x:c r="B686" s="80" t="str">
        <x:v>ORD-2025-10685</x:v>
      </x:c>
      <x:c r="C686" s="81" t="n">
        <x:v>45859</x:v>
      </x:c>
      <x:c r="D686" s="81" t="n">
        <x:v>45859</x:v>
      </x:c>
      <x:c r="E686" s="80" t="str">
        <x:v>CUST-6738</x:v>
      </x:c>
      <x:c r="F686" s="80" t="str">
        <x:v>Isha Nair</x:v>
      </x:c>
      <x:c r="G686" s="80" t="str">
        <x:v>Home Office</x:v>
      </x:c>
      <x:c r="H686" s="80" t="str">
        <x:v>South</x:v>
      </x:c>
      <x:c r="I686" s="80" t="str">
        <x:v>Tamil Nadu</x:v>
      </x:c>
      <x:c r="J686" s="80" t="str">
        <x:v>Chennai</x:v>
      </x:c>
      <x:c r="K686" s="80" t="str">
        <x:v>Furniture</x:v>
      </x:c>
      <x:c r="L686" s="80" t="str">
        <x:v>Bookcases</x:v>
      </x:c>
      <x:c r="M686" s="80" t="str">
        <x:v>Prime Bookcases 784</x:v>
      </x:c>
      <x:c r="N686" s="80" t="str">
        <x:v>First Class</x:v>
      </x:c>
      <x:c r="O686" s="82" t="n">
        <x:v>7</x:v>
      </x:c>
      <x:c r="P686" s="83" t="n">
        <x:v>4396.65</x:v>
      </x:c>
      <x:c r="Q686" s="84" t="n">
        <x:v>0.2</x:v>
      </x:c>
      <x:c r="R686" s="83" t="n">
        <x:v>24621.24</x:v>
      </x:c>
      <x:c r="S686" s="83" t="n">
        <x:v>17155.48</x:v>
      </x:c>
      <x:c r="T686" s="83" t="n">
        <x:v>7465.76</x:v>
      </x:c>
      <x:c r="U686" s="83" t="str">
        <x:v>Refunded</x:v>
      </x:c>
      <x:c r="V686" s="83" t="str">
        <x:v>Cancelled</x:v>
      </x:c>
      <x:c r="W686" s="151" t="n">
        <x:f>IF(OR(NOT(ISNUMBER($AP686)),COUNT($O686,$P686)&lt;2,$O686&lt;=0,$P686&lt;0),"",ROUND($O686*$P686*(1-$AP686),2))</x:f>
        <x:v>24621.24</x:v>
      </x:c>
      <x:c r="X686" s="151" t="n">
        <x:f>IF(OR(NOT(ISNUMBER($W686)),NOT(ISNUMBER($S686))),"",ROUND($W686-$S686,2))</x:f>
        <x:v>7465.76</x:v>
      </x:c>
      <x:c r="Y686" s="85" t="n">
        <x:f>IF(OR(NOT(ISNUMBER($W686)),NOT(ISNUMBER($X686)),$W686=0),"",ROUND($X686/$W686,4))</x:f>
        <x:v>0.3032</x:v>
      </x:c>
      <x:c r="Z686" s="82" t="n">
        <x:f>IF(OR($AH686&lt;&gt;"Valid",$AI686&lt;&gt;"Valid"),"",INT($D686-$C686))</x:f>
        <x:v>0</x:v>
      </x:c>
      <x:c r="AA686" s="86" t="str">
        <x:f>IF($AH686&lt;&gt;"Valid","",TEXT($C686,"mmmm"))</x:f>
        <x:v>July</x:v>
      </x:c>
      <x:c r="AB686" s="82" t="n">
        <x:f>IF($AH686&lt;&gt;"Valid","",YEAR($C686))</x:f>
        <x:v>2025</x:v>
      </x:c>
      <x:c r="AC686" s="80" t="str">
        <x:v>Cancelled (excluded from completed-sales summary)</x:v>
      </x:c>
      <x:c r="AD686" s="80" t="str">
        <x:v>Excluded</x:v>
      </x:c>
      <x:c r="AE686" s="80" t="str">
        <x:f>IF(OR($AH686&lt;&gt;"Valid",$AI686&lt;&gt;"Valid",$AJ686&lt;&gt;"Valid",LEFT($AM686,7)="Invalid",IFERROR(ABS($AQ686)&gt;0.01,FALSE),IFERROR(ABS($AR686)&gt;0.01,FALSE),COUNTIF($AS686,"*Conflicting duplicate*")&gt;0,COUNTIF($AS686,"*Completed order not paid*")&gt;0),"Invalid",IF(OR($H686="Unknown",$N686="Unknown",$AM686="Missing discount imputed as 0"),"Warning","Clean"))</x:f>
        <x:v>Clean</x:v>
      </x:c>
      <x:c r="AF686" s="80" t="str">
        <x:v>Pass</x:v>
      </x:c>
      <x:c r="AG686" s="80" t="str">
        <x:v>No text cleanup required</x:v>
      </x:c>
      <x:c r="AH686" s="12" t="str">
        <x:f>IF(C686="","Missing date",IF(ISNUMBER(C686),"Valid","Unrecognized/invalid date"))</x:f>
        <x:v>Valid</x:v>
      </x:c>
      <x:c r="AI686" s="12" t="str">
        <x:f>IF(D686="","Missing date",IF(ISNUMBER(D686),"Valid","Unrecognized/invalid date"))</x:f>
        <x:v>Valid</x:v>
      </x:c>
      <x:c r="AJ686" s="12" t="str">
        <x:v>Valid</x:v>
      </x:c>
      <x:c r="AK686" s="12" t="str">
        <x:v>Pass</x:v>
      </x:c>
      <x:c r="AL686" s="12" t="str">
        <x:v>Cancelled order – excluded from completed sales; Refunded payment – separately summarized</x:v>
      </x:c>
      <x:c r="AM686" s="12" t="str">
        <x:v>Valid</x:v>
      </x:c>
      <x:c r="AN686" s="12" t="str">
        <x:v>Exclude from completed sales</x:v>
      </x:c>
      <x:c r="AO686" s="12" t="str">
        <x:v>Include in refunded summary</x:v>
      </x:c>
      <x:c r="AP686" s="37" t="n">
        <x:f>IF(LEFT($AM686,7)="Invalid","",IF($AM686="Missing discount imputed as 0",IF(AND(COUNT($O686,$P686,$R686,$S686)=4,$O686&gt;0,$P686&gt;=0,$R686&gt;=0,$S686&gt;=0),0,""),IF(AND(ISNUMBER($Q686),$Q686&gt;=0,$Q686&lt;=0.5),$Q686,"")))</x:f>
        <x:v>0.2</x:v>
      </x:c>
      <x:c r="AQ686" s="152" t="n">
        <x:f>IF(OR($W686="",NOT(ISNUMBER($R686))),"",ROUND($R686-$W686,2))</x:f>
        <x:v>0</x:v>
      </x:c>
      <x:c r="AR686" s="152" t="n">
        <x:f>IF(OR($X686="",NOT(ISNUMBER($T686))),"",ROUND($T686-$X686,2))</x:f>
        <x:v>0</x:v>
      </x:c>
      <x:c r="AS686" s="14" t="str">
        <x:v>OK</x:v>
      </x:c>
    </x:row>
    <x:row r="687">
      <x:c r="A687" s="80" t="n">
        <x:v>687</x:v>
      </x:c>
      <x:c r="B687" s="80" t="str">
        <x:v>ORD-2025-10686</x:v>
      </x:c>
      <x:c r="C687" s="81" t="n">
        <x:v>45931</x:v>
      </x:c>
      <x:c r="D687" s="81" t="n">
        <x:v>45933</x:v>
      </x:c>
      <x:c r="E687" s="80" t="str">
        <x:v>CUST-2586</x:v>
      </x:c>
      <x:c r="F687" s="80" t="str">
        <x:v>Neha Gupta</x:v>
      </x:c>
      <x:c r="G687" s="80" t="str">
        <x:v>Corporate</x:v>
      </x:c>
      <x:c r="H687" s="80" t="str">
        <x:v>West</x:v>
      </x:c>
      <x:c r="I687" s="80" t="str">
        <x:v>Goa</x:v>
      </x:c>
      <x:c r="J687" s="80" t="str">
        <x:v>Panaji</x:v>
      </x:c>
      <x:c r="K687" s="80" t="str">
        <x:v>Office Supplies</x:v>
      </x:c>
      <x:c r="L687" s="80" t="str">
        <x:v>Art</x:v>
      </x:c>
      <x:c r="M687" s="80" t="str">
        <x:v>Classic Art 380</x:v>
      </x:c>
      <x:c r="N687" s="80" t="str">
        <x:v>Standard Class</x:v>
      </x:c>
      <x:c r="O687" s="82" t="n">
        <x:v>9</x:v>
      </x:c>
      <x:c r="P687" s="83" t="n">
        <x:v>818.15</x:v>
      </x:c>
      <x:c r="Q687" s="84" t="n">
        <x:v>0.55</x:v>
      </x:c>
      <x:c r="R687" s="83" t="n">
        <x:v>6627.01</x:v>
      </x:c>
      <x:c r="S687" s="83" t="n">
        <x:v>5606.79</x:v>
      </x:c>
      <x:c r="T687" s="83" t="n">
        <x:v>1020.22</x:v>
      </x:c>
      <x:c r="U687" s="83" t="str">
        <x:v>Failed</x:v>
      </x:c>
      <x:c r="V687" s="83" t="str">
        <x:v>Cancelled</x:v>
      </x:c>
      <x:c r="W687" s="151" t="str">
        <x:f>IF(OR(NOT(ISNUMBER($AP687)),COUNT($O687,$P687)&lt;2,$O687&lt;=0,$P687&lt;0),"",ROUND($O687*$P687*(1-$AP687),2))</x:f>
      </x:c>
      <x:c r="X687" s="151" t="str">
        <x:f>IF(OR(NOT(ISNUMBER($W687)),NOT(ISNUMBER($S687))),"",ROUND($W687-$S687,2))</x:f>
      </x:c>
      <x:c r="Y687" s="85" t="str">
        <x:f>IF(OR(NOT(ISNUMBER($W687)),NOT(ISNUMBER($X687)),$W687=0),"",ROUND($X687/$W687,4))</x:f>
      </x:c>
      <x:c r="Z687" s="82" t="n">
        <x:f>IF(OR($AH687&lt;&gt;"Valid",$AI687&lt;&gt;"Valid"),"",INT($D687-$C687))</x:f>
        <x:v>2</x:v>
      </x:c>
      <x:c r="AA687" s="86" t="str">
        <x:f>IF($AH687&lt;&gt;"Valid","",TEXT($C687,"mmmm"))</x:f>
        <x:v>October</x:v>
      </x:c>
      <x:c r="AB687" s="82" t="n">
        <x:f>IF($AH687&lt;&gt;"Valid","",YEAR($C687))</x:f>
        <x:v>2025</x:v>
      </x:c>
      <x:c r="AC687" s="80" t="str">
        <x:v>Cancelled (excluded from completed-sales summary)</x:v>
      </x:c>
      <x:c r="AD687" s="80" t="str">
        <x:v>Excluded</x:v>
      </x:c>
      <x:c r="AE687" s="80" t="str">
        <x:f>IF(OR($AH687&lt;&gt;"Valid",$AI687&lt;&gt;"Valid",$AJ687&lt;&gt;"Valid",LEFT($AM687,7)="Invalid",IFERROR(ABS($AQ687)&gt;0.01,FALSE),IFERROR(ABS($AR687)&gt;0.01,FALSE),COUNTIF($AS687,"*Conflicting duplicate*")&gt;0,COUNTIF($AS687,"*Completed order not paid*")&gt;0),"Invalid",IF(OR($H687="Unknown",$N687="Unknown",$AM687="Missing discount imputed as 0"),"Warning","Clean"))</x:f>
        <x:v>Invalid</x:v>
      </x:c>
      <x:c r="AF687" s="80" t="str">
        <x:v>Review</x:v>
      </x:c>
      <x:c r="AG687" s="80" t="str">
        <x:v>No text cleanup required</x:v>
      </x:c>
      <x:c r="AH687" s="12" t="str">
        <x:f>IF(C687="","Missing date",IF(ISNUMBER(C687),"Valid","Unrecognized/invalid date"))</x:f>
        <x:v>Valid</x:v>
      </x:c>
      <x:c r="AI687" s="12" t="str">
        <x:f>IF(D687="","Missing date",IF(ISNUMBER(D687),"Valid","Unrecognized/invalid date"))</x:f>
        <x:v>Valid</x:v>
      </x:c>
      <x:c r="AJ687" s="12" t="str">
        <x:v>Valid</x:v>
      </x:c>
      <x:c r="AK687" s="12" t="str">
        <x:v>Pass</x:v>
      </x:c>
      <x:c r="AL687" s="12" t="str">
        <x:v>Cancelled order – excluded from completed sales; Failed payment – excluded from completed sales</x:v>
      </x:c>
      <x:c r="AM687" s="12" t="str">
        <x:v>Invalid discount – above 50% allowed range</x:v>
      </x:c>
      <x:c r="AN687" s="12" t="str">
        <x:v>Exclude from completed sales</x:v>
      </x:c>
      <x:c r="AO687" s="12" t="str">
        <x:v>Not a refunded record</x:v>
      </x:c>
      <x:c r="AP687" s="37" t="str">
        <x:f>IF(LEFT($AM687,7)="Invalid","",IF($AM687="Missing discount imputed as 0",IF(AND(COUNT($O687,$P687,$R687,$S687)=4,$O687&gt;0,$P687&gt;=0,$R687&gt;=0,$S687&gt;=0),0,""),IF(AND(ISNUMBER($Q687),$Q687&gt;=0,$Q687&lt;=0.5),$Q687,"")))</x:f>
      </x:c>
      <x:c r="AQ687" s="152" t="str">
        <x:f>IF(OR($W687="",NOT(ISNUMBER($R687))),"",ROUND($R687-$W687,2))</x:f>
      </x:c>
      <x:c r="AR687" s="152" t="str">
        <x:f>IF(OR($X687="",NOT(ISNUMBER($T687))),"",ROUND($T687-$X687,2))</x:f>
      </x:c>
      <x:c r="AS687" s="14" t="str">
        <x:v>Discount above allowed range (&gt;50%)</x:v>
      </x:c>
    </x:row>
    <x:row r="688">
      <x:c r="A688" s="80" t="n">
        <x:v>688</x:v>
      </x:c>
      <x:c r="B688" s="80" t="str">
        <x:v>ORD-2024-10687</x:v>
      </x:c>
      <x:c r="C688" s="81" t="n">
        <x:v>45376</x:v>
      </x:c>
      <x:c r="D688" s="81" t="n">
        <x:v>45384</x:v>
      </x:c>
      <x:c r="E688" s="80" t="str">
        <x:v>CUST-3127</x:v>
      </x:c>
      <x:c r="F688" s="80" t="str">
        <x:v>Sneha Kapoor</x:v>
      </x:c>
      <x:c r="G688" s="80" t="str">
        <x:v>Home Office</x:v>
      </x:c>
      <x:c r="H688" s="80" t="str">
        <x:v>South</x:v>
      </x:c>
      <x:c r="I688" s="80" t="str">
        <x:v>Tamil Nadu</x:v>
      </x:c>
      <x:c r="J688" s="80" t="str">
        <x:v>Chennai</x:v>
      </x:c>
      <x:c r="K688" s="80" t="str">
        <x:v>Technology</x:v>
      </x:c>
      <x:c r="L688" s="80" t="str">
        <x:v>Copiers</x:v>
      </x:c>
      <x:c r="M688" s="80" t="str">
        <x:v>Pro Copiers 502</x:v>
      </x:c>
      <x:c r="N688" s="80" t="str">
        <x:v>Standard Class</x:v>
      </x:c>
      <x:c r="O688" s="82" t="n">
        <x:v>2</x:v>
      </x:c>
      <x:c r="P688" s="83" t="n">
        <x:v>2349.13</x:v>
      </x:c>
      <x:c r="Q688" s="84" t="n">
        <x:v>0</x:v>
      </x:c>
      <x:c r="R688" s="83" t="n">
        <x:v>4698.26</x:v>
      </x:c>
      <x:c r="S688" s="83" t="n">
        <x:v>2654.92</x:v>
      </x:c>
      <x:c r="T688" s="83" t="n">
        <x:v>2043.34</x:v>
      </x:c>
      <x:c r="U688" s="83" t="str">
        <x:v>Paid</x:v>
      </x:c>
      <x:c r="V688" s="83" t="str">
        <x:v>Completed</x:v>
      </x:c>
      <x:c r="W688" s="151" t="n">
        <x:f>IF(OR(NOT(ISNUMBER($AP688)),COUNT($O688,$P688)&lt;2,$O688&lt;=0,$P688&lt;0),"",ROUND($O688*$P688*(1-$AP688),2))</x:f>
        <x:v>4698.26</x:v>
      </x:c>
      <x:c r="X688" s="151" t="n">
        <x:f>IF(OR(NOT(ISNUMBER($W688)),NOT(ISNUMBER($S688))),"",ROUND($W688-$S688,2))</x:f>
        <x:v>2043.34</x:v>
      </x:c>
      <x:c r="Y688" s="85" t="n">
        <x:f>IF(OR(NOT(ISNUMBER($W688)),NOT(ISNUMBER($X688)),$W688=0),"",ROUND($X688/$W688,4))</x:f>
        <x:v>0.4349</x:v>
      </x:c>
      <x:c r="Z688" s="82" t="n">
        <x:f>IF(OR($AH688&lt;&gt;"Valid",$AI688&lt;&gt;"Valid"),"",INT($D688-$C688))</x:f>
        <x:v>8</x:v>
      </x:c>
      <x:c r="AA688" s="86" t="str">
        <x:f>IF($AH688&lt;&gt;"Valid","",TEXT($C688,"mmmm"))</x:f>
        <x:v>March</x:v>
      </x:c>
      <x:c r="AB688" s="82" t="n">
        <x:f>IF($AH688&lt;&gt;"Valid","",YEAR($C688))</x:f>
        <x:v>2024</x:v>
      </x:c>
      <x:c r="AC688" s="80" t="str">
        <x:v>Consistent</x:v>
      </x:c>
      <x:c r="AD688" s="80" t="str">
        <x:v>Eligible</x:v>
      </x:c>
      <x:c r="AE688" s="80" t="str">
        <x:f>IF(OR($AH688&lt;&gt;"Valid",$AI688&lt;&gt;"Valid",$AJ688&lt;&gt;"Valid",LEFT($AM688,7)="Invalid",IFERROR(ABS($AQ688)&gt;0.01,FALSE),IFERROR(ABS($AR688)&gt;0.01,FALSE),COUNTIF($AS688,"*Conflicting duplicate*")&gt;0,COUNTIF($AS688,"*Completed order not paid*")&gt;0),"Invalid",IF(OR($H688="Unknown",$N688="Unknown",$AM688="Missing discount imputed as 0"),"Warning","Clean"))</x:f>
        <x:v>Clean</x:v>
      </x:c>
      <x:c r="AF688" s="80" t="str">
        <x:v>Pass</x:v>
      </x:c>
      <x:c r="AG688" s="80" t="str">
        <x:v>No text cleanup required</x:v>
      </x:c>
      <x:c r="AH688" s="12" t="str">
        <x:f>IF(C688="","Missing date",IF(ISNUMBER(C688),"Valid","Unrecognized/invalid date"))</x:f>
        <x:v>Valid</x:v>
      </x:c>
      <x:c r="AI688" s="12" t="str">
        <x:f>IF(D688="","Missing date",IF(ISNUMBER(D688),"Valid","Unrecognized/invalid date"))</x:f>
        <x:v>Valid</x:v>
      </x:c>
      <x:c r="AJ688" s="12" t="str">
        <x:v>Valid</x:v>
      </x:c>
      <x:c r="AK688" s="12" t="str">
        <x:v>Pass</x:v>
      </x:c>
      <x:c r="AL688" s="12" t="str">
        <x:v>None</x:v>
      </x:c>
      <x:c r="AM688" s="12" t="str">
        <x:v>Valid</x:v>
      </x:c>
      <x:c r="AN688" s="12" t="str">
        <x:v>Include in completed sales</x:v>
      </x:c>
      <x:c r="AO688" s="12" t="str">
        <x:v>Not a refunded record</x:v>
      </x:c>
      <x:c r="AP688" s="37" t="n">
        <x:f>IF(LEFT($AM688,7)="Invalid","",IF($AM688="Missing discount imputed as 0",IF(AND(COUNT($O688,$P688,$R688,$S688)=4,$O688&gt;0,$P688&gt;=0,$R688&gt;=0,$S688&gt;=0),0,""),IF(AND(ISNUMBER($Q688),$Q688&gt;=0,$Q688&lt;=0.5),$Q688,"")))</x:f>
        <x:v>0</x:v>
      </x:c>
      <x:c r="AQ688" s="152" t="n">
        <x:f>IF(OR($W688="",NOT(ISNUMBER($R688))),"",ROUND($R688-$W688,2))</x:f>
        <x:v>0</x:v>
      </x:c>
      <x:c r="AR688" s="152" t="n">
        <x:f>IF(OR($X688="",NOT(ISNUMBER($T688))),"",ROUND($T688-$X688,2))</x:f>
        <x:v>0</x:v>
      </x:c>
      <x:c r="AS688" s="14" t="str">
        <x:v>OK</x:v>
      </x:c>
    </x:row>
    <x:row r="689">
      <x:c r="A689" s="80" t="n">
        <x:v>689</x:v>
      </x:c>
      <x:c r="B689" s="80" t="str">
        <x:v>ORD-2025-10688</x:v>
      </x:c>
      <x:c r="C689" s="81" t="n">
        <x:v>45938</x:v>
      </x:c>
      <x:c r="D689" s="81" t="n">
        <x:v>45943</x:v>
      </x:c>
      <x:c r="E689" s="80" t="str">
        <x:v>CUST-9347</x:v>
      </x:c>
      <x:c r="F689" s="80" t="str">
        <x:v>Mira Das</x:v>
      </x:c>
      <x:c r="G689" s="80" t="str">
        <x:v>Home Office</x:v>
      </x:c>
      <x:c r="H689" s="80" t="str">
        <x:v>North</x:v>
      </x:c>
      <x:c r="I689" s="80" t="str">
        <x:v>Punjab</x:v>
      </x:c>
      <x:c r="J689" s="80" t="str">
        <x:v>Ludhiana</x:v>
      </x:c>
      <x:c r="K689" s="80" t="str">
        <x:v>Furniture</x:v>
      </x:c>
      <x:c r="L689" s="80" t="str">
        <x:v>Tables</x:v>
      </x:c>
      <x:c r="M689" s="80" t="str">
        <x:v>Prime Tables 604</x:v>
      </x:c>
      <x:c r="N689" s="80" t="str">
        <x:v>First Class</x:v>
      </x:c>
      <x:c r="O689" s="82" t="n">
        <x:v>4</x:v>
      </x:c>
      <x:c r="P689" s="83" t="n">
        <x:v>172.05</x:v>
      </x:c>
      <x:c r="Q689" s="84" t="n">
        <x:v>0</x:v>
      </x:c>
      <x:c r="R689" s="83" t="n">
        <x:v>688.2</x:v>
      </x:c>
      <x:c r="S689" s="83" t="n">
        <x:v>497.68</x:v>
      </x:c>
      <x:c r="T689" s="83" t="n">
        <x:v>190.52</x:v>
      </x:c>
      <x:c r="U689" s="83" t="str">
        <x:v>Failed</x:v>
      </x:c>
      <x:c r="V689" s="83" t="str">
        <x:v>Cancelled</x:v>
      </x:c>
      <x:c r="W689" s="151" t="n">
        <x:f>IF(OR(NOT(ISNUMBER($AP689)),COUNT($O689,$P689)&lt;2,$O689&lt;=0,$P689&lt;0),"",ROUND($O689*$P689*(1-$AP689),2))</x:f>
        <x:v>688.2</x:v>
      </x:c>
      <x:c r="X689" s="151" t="n">
        <x:f>IF(OR(NOT(ISNUMBER($W689)),NOT(ISNUMBER($S689))),"",ROUND($W689-$S689,2))</x:f>
        <x:v>190.52</x:v>
      </x:c>
      <x:c r="Y689" s="85" t="n">
        <x:f>IF(OR(NOT(ISNUMBER($W689)),NOT(ISNUMBER($X689)),$W689=0),"",ROUND($X689/$W689,4))</x:f>
        <x:v>0.2768</x:v>
      </x:c>
      <x:c r="Z689" s="82" t="n">
        <x:f>IF(OR($AH689&lt;&gt;"Valid",$AI689&lt;&gt;"Valid"),"",INT($D689-$C689))</x:f>
        <x:v>5</x:v>
      </x:c>
      <x:c r="AA689" s="86" t="str">
        <x:f>IF($AH689&lt;&gt;"Valid","",TEXT($C689,"mmmm"))</x:f>
        <x:v>October</x:v>
      </x:c>
      <x:c r="AB689" s="82" t="n">
        <x:f>IF($AH689&lt;&gt;"Valid","",YEAR($C689))</x:f>
        <x:v>2025</x:v>
      </x:c>
      <x:c r="AC689" s="80" t="str">
        <x:v>Cancelled (excluded from completed-sales summary)</x:v>
      </x:c>
      <x:c r="AD689" s="80" t="str">
        <x:v>Excluded</x:v>
      </x:c>
      <x:c r="AE689" s="80" t="str">
        <x:f>IF(OR($AH689&lt;&gt;"Valid",$AI689&lt;&gt;"Valid",$AJ689&lt;&gt;"Valid",LEFT($AM689,7)="Invalid",IFERROR(ABS($AQ689)&gt;0.01,FALSE),IFERROR(ABS($AR689)&gt;0.01,FALSE),COUNTIF($AS689,"*Conflicting duplicate*")&gt;0,COUNTIF($AS689,"*Completed order not paid*")&gt;0),"Invalid",IF(OR($H689="Unknown",$N689="Unknown",$AM689="Missing discount imputed as 0"),"Warning","Clean"))</x:f>
        <x:v>Clean</x:v>
      </x:c>
      <x:c r="AF689" s="80" t="str">
        <x:v>Pass</x:v>
      </x:c>
      <x:c r="AG689" s="80" t="str">
        <x:v>No text cleanup required</x:v>
      </x:c>
      <x:c r="AH689" s="12" t="str">
        <x:f>IF(C689="","Missing date",IF(ISNUMBER(C689),"Valid","Unrecognized/invalid date"))</x:f>
        <x:v>Valid</x:v>
      </x:c>
      <x:c r="AI689" s="12" t="str">
        <x:f>IF(D689="","Missing date",IF(ISNUMBER(D689),"Valid","Unrecognized/invalid date"))</x:f>
        <x:v>Valid</x:v>
      </x:c>
      <x:c r="AJ689" s="12" t="str">
        <x:v>Valid</x:v>
      </x:c>
      <x:c r="AK689" s="12" t="str">
        <x:v>Pass</x:v>
      </x:c>
      <x:c r="AL689" s="12" t="str">
        <x:v>Cancelled order – excluded from completed sales; Failed payment – excluded from completed sales</x:v>
      </x:c>
      <x:c r="AM689" s="12" t="str">
        <x:v>Valid</x:v>
      </x:c>
      <x:c r="AN689" s="12" t="str">
        <x:v>Exclude from completed sales</x:v>
      </x:c>
      <x:c r="AO689" s="12" t="str">
        <x:v>Not a refunded record</x:v>
      </x:c>
      <x:c r="AP689" s="37" t="n">
        <x:f>IF(LEFT($AM689,7)="Invalid","",IF($AM689="Missing discount imputed as 0",IF(AND(COUNT($O689,$P689,$R689,$S689)=4,$O689&gt;0,$P689&gt;=0,$R689&gt;=0,$S689&gt;=0),0,""),IF(AND(ISNUMBER($Q689),$Q689&gt;=0,$Q689&lt;=0.5),$Q689,"")))</x:f>
        <x:v>0</x:v>
      </x:c>
      <x:c r="AQ689" s="152" t="n">
        <x:f>IF(OR($W689="",NOT(ISNUMBER($R689))),"",ROUND($R689-$W689,2))</x:f>
        <x:v>0</x:v>
      </x:c>
      <x:c r="AR689" s="152" t="n">
        <x:f>IF(OR($X689="",NOT(ISNUMBER($T689))),"",ROUND($T689-$X689,2))</x:f>
        <x:v>0</x:v>
      </x:c>
      <x:c r="AS689" s="14" t="str">
        <x:v>OK</x:v>
      </x:c>
    </x:row>
    <x:row r="690">
      <x:c r="A690" s="80" t="n">
        <x:v>690</x:v>
      </x:c>
      <x:c r="B690" s="80" t="str">
        <x:v>ORD-2025-10689</x:v>
      </x:c>
      <x:c r="C690" s="81" t="n">
        <x:v>45714</x:v>
      </x:c>
      <x:c r="D690" s="81" t="n">
        <x:v>45715</x:v>
      </x:c>
      <x:c r="E690" s="80" t="str">
        <x:v>CUST-8575</x:v>
      </x:c>
      <x:c r="F690" s="80" t="str">
        <x:v>Neha Gupta</x:v>
      </x:c>
      <x:c r="G690" s="80" t="str">
        <x:v>Home Office</x:v>
      </x:c>
      <x:c r="H690" s="80" t="str">
        <x:v>North</x:v>
      </x:c>
      <x:c r="I690" s="80" t="str">
        <x:v>Haryana</x:v>
      </x:c>
      <x:c r="J690" s="80" t="str">
        <x:v>Gurugram</x:v>
      </x:c>
      <x:c r="K690" s="80" t="str">
        <x:v>Office Supplies</x:v>
      </x:c>
      <x:c r="L690" s="80" t="str">
        <x:v>Art</x:v>
      </x:c>
      <x:c r="M690" s="80" t="str">
        <x:v>Basic Art 798</x:v>
      </x:c>
      <x:c r="N690" s="80" t="str">
        <x:v>Second Class</x:v>
      </x:c>
      <x:c r="O690" s="82" t="n">
        <x:v>6</x:v>
      </x:c>
      <x:c r="P690" s="83" t="n">
        <x:v>3037.66</x:v>
      </x:c>
      <x:c r="Q690" s="84" t="n">
        <x:v>0.15</x:v>
      </x:c>
      <x:c r="R690" s="83" t="n">
        <x:v>15492.07</x:v>
      </x:c>
      <x:c r="S690" s="83" t="n">
        <x:v>12581.23</x:v>
      </x:c>
      <x:c r="T690" s="83" t="n">
        <x:v>2910.84</x:v>
      </x:c>
      <x:c r="U690" s="83" t="str">
        <x:v>Paid</x:v>
      </x:c>
      <x:c r="V690" s="83" t="str">
        <x:v>Completed</x:v>
      </x:c>
      <x:c r="W690" s="151" t="n">
        <x:f>IF(OR(NOT(ISNUMBER($AP690)),COUNT($O690,$P690)&lt;2,$O690&lt;=0,$P690&lt;0),"",ROUND($O690*$P690*(1-$AP690),2))</x:f>
        <x:v>15492.07</x:v>
      </x:c>
      <x:c r="X690" s="151" t="n">
        <x:f>IF(OR(NOT(ISNUMBER($W690)),NOT(ISNUMBER($S690))),"",ROUND($W690-$S690,2))</x:f>
        <x:v>2910.84</x:v>
      </x:c>
      <x:c r="Y690" s="85" t="n">
        <x:f>IF(OR(NOT(ISNUMBER($W690)),NOT(ISNUMBER($X690)),$W690=0),"",ROUND($X690/$W690,4))</x:f>
        <x:v>0.1879</x:v>
      </x:c>
      <x:c r="Z690" s="82" t="n">
        <x:f>IF(OR($AH690&lt;&gt;"Valid",$AI690&lt;&gt;"Valid"),"",INT($D690-$C690))</x:f>
        <x:v>1</x:v>
      </x:c>
      <x:c r="AA690" s="86" t="str">
        <x:f>IF($AH690&lt;&gt;"Valid","",TEXT($C690,"mmmm"))</x:f>
        <x:v>February</x:v>
      </x:c>
      <x:c r="AB690" s="82" t="n">
        <x:f>IF($AH690&lt;&gt;"Valid","",YEAR($C690))</x:f>
        <x:v>2025</x:v>
      </x:c>
      <x:c r="AC690" s="80" t="str">
        <x:v>Consistent</x:v>
      </x:c>
      <x:c r="AD690" s="80" t="str">
        <x:v>Eligible</x:v>
      </x:c>
      <x:c r="AE690" s="80" t="str">
        <x:f>IF(OR($AH690&lt;&gt;"Valid",$AI690&lt;&gt;"Valid",$AJ690&lt;&gt;"Valid",LEFT($AM690,7)="Invalid",IFERROR(ABS($AQ690)&gt;0.01,FALSE),IFERROR(ABS($AR690)&gt;0.01,FALSE),COUNTIF($AS690,"*Conflicting duplicate*")&gt;0,COUNTIF($AS690,"*Completed order not paid*")&gt;0),"Invalid",IF(OR($H690="Unknown",$N690="Unknown",$AM690="Missing discount imputed as 0"),"Warning","Clean"))</x:f>
        <x:v>Clean</x:v>
      </x:c>
      <x:c r="AF690" s="80" t="str">
        <x:v>Pass</x:v>
      </x:c>
      <x:c r="AG690" s="80" t="str">
        <x:v>No text cleanup required</x:v>
      </x:c>
      <x:c r="AH690" s="12" t="str">
        <x:f>IF(C690="","Missing date",IF(ISNUMBER(C690),"Valid","Unrecognized/invalid date"))</x:f>
        <x:v>Valid</x:v>
      </x:c>
      <x:c r="AI690" s="12" t="str">
        <x:f>IF(D690="","Missing date",IF(ISNUMBER(D690),"Valid","Unrecognized/invalid date"))</x:f>
        <x:v>Valid</x:v>
      </x:c>
      <x:c r="AJ690" s="12" t="str">
        <x:v>Valid</x:v>
      </x:c>
      <x:c r="AK690" s="12" t="str">
        <x:v>Pass</x:v>
      </x:c>
      <x:c r="AL690" s="12" t="str">
        <x:v>None</x:v>
      </x:c>
      <x:c r="AM690" s="12" t="str">
        <x:v>Valid</x:v>
      </x:c>
      <x:c r="AN690" s="12" t="str">
        <x:v>Include in completed sales</x:v>
      </x:c>
      <x:c r="AO690" s="12" t="str">
        <x:v>Not a refunded record</x:v>
      </x:c>
      <x:c r="AP690" s="37" t="n">
        <x:f>IF(LEFT($AM690,7)="Invalid","",IF($AM690="Missing discount imputed as 0",IF(AND(COUNT($O690,$P690,$R690,$S690)=4,$O690&gt;0,$P690&gt;=0,$R690&gt;=0,$S690&gt;=0),0,""),IF(AND(ISNUMBER($Q690),$Q690&gt;=0,$Q690&lt;=0.5),$Q690,"")))</x:f>
        <x:v>0.15</x:v>
      </x:c>
      <x:c r="AQ690" s="152" t="n">
        <x:f>IF(OR($W690="",NOT(ISNUMBER($R690))),"",ROUND($R690-$W690,2))</x:f>
        <x:v>0</x:v>
      </x:c>
      <x:c r="AR690" s="152" t="n">
        <x:f>IF(OR($X690="",NOT(ISNUMBER($T690))),"",ROUND($T690-$X690,2))</x:f>
        <x:v>0</x:v>
      </x:c>
      <x:c r="AS690" s="14" t="str">
        <x:v>OK</x:v>
      </x:c>
    </x:row>
    <x:row r="691">
      <x:c r="A691" s="80" t="n">
        <x:v>691</x:v>
      </x:c>
      <x:c r="B691" s="80" t="str">
        <x:v>ORD-2024-10690</x:v>
      </x:c>
      <x:c r="C691" s="81" t="n">
        <x:v>45570</x:v>
      </x:c>
      <x:c r="D691" s="81" t="n">
        <x:v>45571</x:v>
      </x:c>
      <x:c r="E691" s="80" t="str">
        <x:v>CUST-4382</x:v>
      </x:c>
      <x:c r="F691" s="80" t="str">
        <x:v>Rohan Mehta</x:v>
      </x:c>
      <x:c r="G691" s="80" t="str">
        <x:v>Small Business</x:v>
      </x:c>
      <x:c r="H691" s="80" t="str">
        <x:v>North</x:v>
      </x:c>
      <x:c r="I691" s="80" t="str">
        <x:v>Punjab</x:v>
      </x:c>
      <x:c r="J691" s="80" t="str">
        <x:v>Ludhiana</x:v>
      </x:c>
      <x:c r="K691" s="80" t="str">
        <x:v>Furniture</x:v>
      </x:c>
      <x:c r="L691" s="80" t="str">
        <x:v>Tables</x:v>
      </x:c>
      <x:c r="M691" s="80" t="str">
        <x:v>Elite Tables 717</x:v>
      </x:c>
      <x:c r="N691" s="80" t="str">
        <x:v>Standard Class</x:v>
      </x:c>
      <x:c r="O691" s="82" t="n">
        <x:v>9</x:v>
      </x:c>
      <x:c r="P691" s="83" t="n">
        <x:v>489.58</x:v>
      </x:c>
      <x:c r="Q691" s="84" t="n">
        <x:v>0.15</x:v>
      </x:c>
      <x:c r="R691" s="83" t="n">
        <x:v>3745.29</x:v>
      </x:c>
      <x:c r="S691" s="83" t="n">
        <x:v>2302.65</x:v>
      </x:c>
      <x:c r="T691" s="83" t="n">
        <x:v>1442.64</x:v>
      </x:c>
      <x:c r="U691" s="83" t="str">
        <x:v>Failed</x:v>
      </x:c>
      <x:c r="V691" s="83" t="str">
        <x:v>Cancelled</x:v>
      </x:c>
      <x:c r="W691" s="151" t="n">
        <x:f>IF(OR(NOT(ISNUMBER($AP691)),COUNT($O691,$P691)&lt;2,$O691&lt;=0,$P691&lt;0),"",ROUND($O691*$P691*(1-$AP691),2))</x:f>
        <x:v>3745.29</x:v>
      </x:c>
      <x:c r="X691" s="151" t="n">
        <x:f>IF(OR(NOT(ISNUMBER($W691)),NOT(ISNUMBER($S691))),"",ROUND($W691-$S691,2))</x:f>
        <x:v>1442.64</x:v>
      </x:c>
      <x:c r="Y691" s="85" t="n">
        <x:f>IF(OR(NOT(ISNUMBER($W691)),NOT(ISNUMBER($X691)),$W691=0),"",ROUND($X691/$W691,4))</x:f>
        <x:v>0.3852</x:v>
      </x:c>
      <x:c r="Z691" s="82" t="n">
        <x:f>IF(OR($AH691&lt;&gt;"Valid",$AI691&lt;&gt;"Valid"),"",INT($D691-$C691))</x:f>
        <x:v>1</x:v>
      </x:c>
      <x:c r="AA691" s="86" t="str">
        <x:f>IF($AH691&lt;&gt;"Valid","",TEXT($C691,"mmmm"))</x:f>
        <x:v>October</x:v>
      </x:c>
      <x:c r="AB691" s="82" t="n">
        <x:f>IF($AH691&lt;&gt;"Valid","",YEAR($C691))</x:f>
        <x:v>2024</x:v>
      </x:c>
      <x:c r="AC691" s="80" t="str">
        <x:v>Cancelled (excluded from completed-sales summary)</x:v>
      </x:c>
      <x:c r="AD691" s="80" t="str">
        <x:v>Excluded</x:v>
      </x:c>
      <x:c r="AE691" s="80" t="str">
        <x:f>IF(OR($AH691&lt;&gt;"Valid",$AI691&lt;&gt;"Valid",$AJ691&lt;&gt;"Valid",LEFT($AM691,7)="Invalid",IFERROR(ABS($AQ691)&gt;0.01,FALSE),IFERROR(ABS($AR691)&gt;0.01,FALSE),COUNTIF($AS691,"*Conflicting duplicate*")&gt;0,COUNTIF($AS691,"*Completed order not paid*")&gt;0),"Invalid",IF(OR($H691="Unknown",$N691="Unknown",$AM691="Missing discount imputed as 0"),"Warning","Clean"))</x:f>
        <x:v>Clean</x:v>
      </x:c>
      <x:c r="AF691" s="80" t="str">
        <x:v>Pass</x:v>
      </x:c>
      <x:c r="AG691" s="80" t="str">
        <x:v>No text cleanup required</x:v>
      </x:c>
      <x:c r="AH691" s="12" t="str">
        <x:f>IF(C691="","Missing date",IF(ISNUMBER(C691),"Valid","Unrecognized/invalid date"))</x:f>
        <x:v>Valid</x:v>
      </x:c>
      <x:c r="AI691" s="12" t="str">
        <x:f>IF(D691="","Missing date",IF(ISNUMBER(D691),"Valid","Unrecognized/invalid date"))</x:f>
        <x:v>Valid</x:v>
      </x:c>
      <x:c r="AJ691" s="12" t="str">
        <x:v>Valid</x:v>
      </x:c>
      <x:c r="AK691" s="12" t="str">
        <x:v>Pass</x:v>
      </x:c>
      <x:c r="AL691" s="12" t="str">
        <x:v>Cancelled order – excluded from completed sales; Failed payment – excluded from completed sales</x:v>
      </x:c>
      <x:c r="AM691" s="12" t="str">
        <x:v>Valid</x:v>
      </x:c>
      <x:c r="AN691" s="12" t="str">
        <x:v>Exclude from completed sales</x:v>
      </x:c>
      <x:c r="AO691" s="12" t="str">
        <x:v>Not a refunded record</x:v>
      </x:c>
      <x:c r="AP691" s="37" t="n">
        <x:f>IF(LEFT($AM691,7)="Invalid","",IF($AM691="Missing discount imputed as 0",IF(AND(COUNT($O691,$P691,$R691,$S691)=4,$O691&gt;0,$P691&gt;=0,$R691&gt;=0,$S691&gt;=0),0,""),IF(AND(ISNUMBER($Q691),$Q691&gt;=0,$Q691&lt;=0.5),$Q691,"")))</x:f>
        <x:v>0.15</x:v>
      </x:c>
      <x:c r="AQ691" s="152" t="n">
        <x:f>IF(OR($W691="",NOT(ISNUMBER($R691))),"",ROUND($R691-$W691,2))</x:f>
        <x:v>0</x:v>
      </x:c>
      <x:c r="AR691" s="152" t="n">
        <x:f>IF(OR($X691="",NOT(ISNUMBER($T691))),"",ROUND($T691-$X691,2))</x:f>
        <x:v>0</x:v>
      </x:c>
      <x:c r="AS691" s="14" t="str">
        <x:v>OK</x:v>
      </x:c>
    </x:row>
    <x:row r="692">
      <x:c r="A692" s="80" t="n">
        <x:v>692</x:v>
      </x:c>
      <x:c r="B692" s="80" t="str">
        <x:v>ORD-2024-10691</x:v>
      </x:c>
      <x:c r="C692" s="81" t="n">
        <x:v>45546</x:v>
      </x:c>
      <x:c r="D692" s="81" t="n">
        <x:v>45550</x:v>
      </x:c>
      <x:c r="E692" s="80" t="str">
        <x:v>CUST-6815</x:v>
      </x:c>
      <x:c r="F692" s="80" t="str">
        <x:v>Sneha Kapoor</x:v>
      </x:c>
      <x:c r="G692" s="80" t="str">
        <x:v>Corporate</x:v>
      </x:c>
      <x:c r="H692" s="80" t="str">
        <x:v>South</x:v>
      </x:c>
      <x:c r="I692" s="80" t="str">
        <x:v>Tamil Nadu</x:v>
      </x:c>
      <x:c r="J692" s="80" t="str">
        <x:v>Chennai</x:v>
      </x:c>
      <x:c r="K692" s="80" t="str">
        <x:v>Office Supplies</x:v>
      </x:c>
      <x:c r="L692" s="80" t="str">
        <x:v>Art</x:v>
      </x:c>
      <x:c r="M692" s="80" t="str">
        <x:v>Max Art 725</x:v>
      </x:c>
      <x:c r="N692" s="80" t="str">
        <x:v>Standard Class</x:v>
      </x:c>
      <x:c r="O692" s="82" t="n">
        <x:v>4</x:v>
      </x:c>
      <x:c r="P692" s="83" t="n">
        <x:v>865.63</x:v>
      </x:c>
      <x:c r="Q692" s="84" t="n">
        <x:v>0</x:v>
      </x:c>
      <x:c r="R692" s="83" t="n">
        <x:v>3462.52</x:v>
      </x:c>
      <x:c r="S692" s="83" t="n">
        <x:v>2797.29</x:v>
      </x:c>
      <x:c r="T692" s="83" t="n">
        <x:v>665.23</x:v>
      </x:c>
      <x:c r="U692" s="83" t="str">
        <x:v>Failed</x:v>
      </x:c>
      <x:c r="V692" s="83" t="str">
        <x:v>Returned</x:v>
      </x:c>
      <x:c r="W692" s="151" t="n">
        <x:f>IF(OR(NOT(ISNUMBER($AP692)),COUNT($O692,$P692)&lt;2,$O692&lt;=0,$P692&lt;0),"",ROUND($O692*$P692*(1-$AP692),2))</x:f>
        <x:v>3462.52</x:v>
      </x:c>
      <x:c r="X692" s="151" t="n">
        <x:f>IF(OR(NOT(ISNUMBER($W692)),NOT(ISNUMBER($S692))),"",ROUND($W692-$S692,2))</x:f>
        <x:v>665.23</x:v>
      </x:c>
      <x:c r="Y692" s="85" t="n">
        <x:f>IF(OR(NOT(ISNUMBER($W692)),NOT(ISNUMBER($X692)),$W692=0),"",ROUND($X692/$W692,4))</x:f>
        <x:v>0.1921</x:v>
      </x:c>
      <x:c r="Z692" s="82" t="n">
        <x:f>IF(OR($AH692&lt;&gt;"Valid",$AI692&lt;&gt;"Valid"),"",INT($D692-$C692))</x:f>
        <x:v>4</x:v>
      </x:c>
      <x:c r="AA692" s="86" t="str">
        <x:f>IF($AH692&lt;&gt;"Valid","",TEXT($C692,"mmmm"))</x:f>
        <x:v>September</x:v>
      </x:c>
      <x:c r="AB692" s="82" t="n">
        <x:f>IF($AH692&lt;&gt;"Valid","",YEAR($C692))</x:f>
        <x:v>2024</x:v>
      </x:c>
      <x:c r="AC692" s="80" t="str">
        <x:v>Failed payment (excluded from completed-sales summary)</x:v>
      </x:c>
      <x:c r="AD692" s="80" t="str">
        <x:v>Excluded</x:v>
      </x:c>
      <x:c r="AE692" s="80" t="str">
        <x:f>IF(OR($AH692&lt;&gt;"Valid",$AI692&lt;&gt;"Valid",$AJ692&lt;&gt;"Valid",LEFT($AM692,7)="Invalid",IFERROR(ABS($AQ692)&gt;0.01,FALSE),IFERROR(ABS($AR692)&gt;0.01,FALSE),COUNTIF($AS692,"*Conflicting duplicate*")&gt;0,COUNTIF($AS692,"*Completed order not paid*")&gt;0),"Invalid",IF(OR($H692="Unknown",$N692="Unknown",$AM692="Missing discount imputed as 0"),"Warning","Clean"))</x:f>
        <x:v>Clean</x:v>
      </x:c>
      <x:c r="AF692" s="80" t="str">
        <x:v>Pass</x:v>
      </x:c>
      <x:c r="AG692" s="80" t="str">
        <x:v>No text cleanup required</x:v>
      </x:c>
      <x:c r="AH692" s="12" t="str">
        <x:f>IF(C692="","Missing date",IF(ISNUMBER(C692),"Valid","Unrecognized/invalid date"))</x:f>
        <x:v>Valid</x:v>
      </x:c>
      <x:c r="AI692" s="12" t="str">
        <x:f>IF(D692="","Missing date",IF(ISNUMBER(D692),"Valid","Unrecognized/invalid date"))</x:f>
        <x:v>Valid</x:v>
      </x:c>
      <x:c r="AJ692" s="12" t="str">
        <x:v>Valid</x:v>
      </x:c>
      <x:c r="AK692" s="12" t="str">
        <x:v>Pass</x:v>
      </x:c>
      <x:c r="AL692" s="12" t="str">
        <x:v>Failed payment – excluded from completed sales</x:v>
      </x:c>
      <x:c r="AM692" s="12" t="str">
        <x:v>Valid</x:v>
      </x:c>
      <x:c r="AN692" s="12" t="str">
        <x:v>Exclude from completed sales</x:v>
      </x:c>
      <x:c r="AO692" s="12" t="str">
        <x:v>Not a refunded record</x:v>
      </x:c>
      <x:c r="AP692" s="37" t="n">
        <x:f>IF(LEFT($AM692,7)="Invalid","",IF($AM692="Missing discount imputed as 0",IF(AND(COUNT($O692,$P692,$R692,$S692)=4,$O692&gt;0,$P692&gt;=0,$R692&gt;=0,$S692&gt;=0),0,""),IF(AND(ISNUMBER($Q692),$Q692&gt;=0,$Q692&lt;=0.5),$Q692,"")))</x:f>
        <x:v>0</x:v>
      </x:c>
      <x:c r="AQ692" s="152" t="n">
        <x:f>IF(OR($W692="",NOT(ISNUMBER($R692))),"",ROUND($R692-$W692,2))</x:f>
        <x:v>0</x:v>
      </x:c>
      <x:c r="AR692" s="152" t="n">
        <x:f>IF(OR($X692="",NOT(ISNUMBER($T692))),"",ROUND($T692-$X692,2))</x:f>
        <x:v>0</x:v>
      </x:c>
      <x:c r="AS692" s="14" t="str">
        <x:v>OK</x:v>
      </x:c>
    </x:row>
    <x:row r="693">
      <x:c r="A693" s="80" t="n">
        <x:v>693</x:v>
      </x:c>
      <x:c r="B693" s="80" t="str">
        <x:v>ORD-2024-10692</x:v>
      </x:c>
      <x:c r="C693" s="81" t="n">
        <x:v>45641</x:v>
      </x:c>
      <x:c r="D693" s="81" t="n">
        <x:v>45642</x:v>
      </x:c>
      <x:c r="E693" s="80" t="str">
        <x:v>CUST-7309</x:v>
      </x:c>
      <x:c r="F693" s="80" t="str">
        <x:v>Rohan Mehta</x:v>
      </x:c>
      <x:c r="G693" s="80" t="str">
        <x:v>Consumer</x:v>
      </x:c>
      <x:c r="H693" s="80" t="str">
        <x:v>East</x:v>
      </x:c>
      <x:c r="I693" s="80" t="str">
        <x:v>Odisha</x:v>
      </x:c>
      <x:c r="J693" s="80" t="str">
        <x:v>Bhubaneswar</x:v>
      </x:c>
      <x:c r="K693" s="80" t="str">
        <x:v>Technology</x:v>
      </x:c>
      <x:c r="L693" s="80" t="str">
        <x:v>Copiers</x:v>
      </x:c>
      <x:c r="M693" s="80" t="str">
        <x:v>Smart Copiers 456</x:v>
      </x:c>
      <x:c r="N693" s="80" t="str">
        <x:v>Second Class</x:v>
      </x:c>
      <x:c r="O693" s="82" t="n">
        <x:v>6</x:v>
      </x:c>
      <x:c r="P693" s="83" t="n">
        <x:v>1538.1</x:v>
      </x:c>
      <x:c r="Q693" s="84" t="n">
        <x:v>0.05</x:v>
      </x:c>
      <x:c r="R693" s="83" t="n">
        <x:v>8767.17</x:v>
      </x:c>
      <x:c r="S693" s="83" t="n">
        <x:v>5098.2</x:v>
      </x:c>
      <x:c r="T693" s="83" t="n">
        <x:v>3668.97</x:v>
      </x:c>
      <x:c r="U693" s="83" t="str">
        <x:v>Paid</x:v>
      </x:c>
      <x:c r="V693" s="83" t="str">
        <x:v>Completed</x:v>
      </x:c>
      <x:c r="W693" s="151" t="n">
        <x:f>IF(OR(NOT(ISNUMBER($AP693)),COUNT($O693,$P693)&lt;2,$O693&lt;=0,$P693&lt;0),"",ROUND($O693*$P693*(1-$AP693),2))</x:f>
        <x:v>8767.17</x:v>
      </x:c>
      <x:c r="X693" s="151" t="n">
        <x:f>IF(OR(NOT(ISNUMBER($W693)),NOT(ISNUMBER($S693))),"",ROUND($W693-$S693,2))</x:f>
        <x:v>3668.97</x:v>
      </x:c>
      <x:c r="Y693" s="85" t="n">
        <x:f>IF(OR(NOT(ISNUMBER($W693)),NOT(ISNUMBER($X693)),$W693=0),"",ROUND($X693/$W693,4))</x:f>
        <x:v>0.4185</x:v>
      </x:c>
      <x:c r="Z693" s="82" t="n">
        <x:f>IF(OR($AH693&lt;&gt;"Valid",$AI693&lt;&gt;"Valid"),"",INT($D693-$C693))</x:f>
        <x:v>1</x:v>
      </x:c>
      <x:c r="AA693" s="86" t="str">
        <x:f>IF($AH693&lt;&gt;"Valid","",TEXT($C693,"mmmm"))</x:f>
        <x:v>December</x:v>
      </x:c>
      <x:c r="AB693" s="82" t="n">
        <x:f>IF($AH693&lt;&gt;"Valid","",YEAR($C693))</x:f>
        <x:v>2024</x:v>
      </x:c>
      <x:c r="AC693" s="80" t="str">
        <x:v>Consistent</x:v>
      </x:c>
      <x:c r="AD693" s="80" t="str">
        <x:v>Eligible</x:v>
      </x:c>
      <x:c r="AE693" s="80" t="str">
        <x:f>IF(OR($AH693&lt;&gt;"Valid",$AI693&lt;&gt;"Valid",$AJ693&lt;&gt;"Valid",LEFT($AM693,7)="Invalid",IFERROR(ABS($AQ693)&gt;0.01,FALSE),IFERROR(ABS($AR693)&gt;0.01,FALSE),COUNTIF($AS693,"*Conflicting duplicate*")&gt;0,COUNTIF($AS693,"*Completed order not paid*")&gt;0),"Invalid",IF(OR($H693="Unknown",$N693="Unknown",$AM693="Missing discount imputed as 0"),"Warning","Clean"))</x:f>
        <x:v>Clean</x:v>
      </x:c>
      <x:c r="AF693" s="80" t="str">
        <x:v>Pass</x:v>
      </x:c>
      <x:c r="AG693" s="80" t="str">
        <x:v>No text cleanup required</x:v>
      </x:c>
      <x:c r="AH693" s="12" t="str">
        <x:f>IF(C693="","Missing date",IF(ISNUMBER(C693),"Valid","Unrecognized/invalid date"))</x:f>
        <x:v>Valid</x:v>
      </x:c>
      <x:c r="AI693" s="12" t="str">
        <x:f>IF(D693="","Missing date",IF(ISNUMBER(D693),"Valid","Unrecognized/invalid date"))</x:f>
        <x:v>Valid</x:v>
      </x:c>
      <x:c r="AJ693" s="12" t="str">
        <x:v>Valid</x:v>
      </x:c>
      <x:c r="AK693" s="12" t="str">
        <x:v>Pass</x:v>
      </x:c>
      <x:c r="AL693" s="12" t="str">
        <x:v>None</x:v>
      </x:c>
      <x:c r="AM693" s="12" t="str">
        <x:v>Valid</x:v>
      </x:c>
      <x:c r="AN693" s="12" t="str">
        <x:v>Include in completed sales</x:v>
      </x:c>
      <x:c r="AO693" s="12" t="str">
        <x:v>Not a refunded record</x:v>
      </x:c>
      <x:c r="AP693" s="37" t="n">
        <x:f>IF(LEFT($AM693,7)="Invalid","",IF($AM693="Missing discount imputed as 0",IF(AND(COUNT($O693,$P693,$R693,$S693)=4,$O693&gt;0,$P693&gt;=0,$R693&gt;=0,$S693&gt;=0),0,""),IF(AND(ISNUMBER($Q693),$Q693&gt;=0,$Q693&lt;=0.5),$Q693,"")))</x:f>
        <x:v>0.05</x:v>
      </x:c>
      <x:c r="AQ693" s="152" t="n">
        <x:f>IF(OR($W693="",NOT(ISNUMBER($R693))),"",ROUND($R693-$W693,2))</x:f>
        <x:v>0</x:v>
      </x:c>
      <x:c r="AR693" s="152" t="n">
        <x:f>IF(OR($X693="",NOT(ISNUMBER($T693))),"",ROUND($T693-$X693,2))</x:f>
        <x:v>0</x:v>
      </x:c>
      <x:c r="AS693" s="14" t="str">
        <x:v>OK</x:v>
      </x:c>
    </x:row>
    <x:row r="694">
      <x:c r="A694" s="80" t="n">
        <x:v>694</x:v>
      </x:c>
      <x:c r="B694" s="80" t="str">
        <x:v>ORD-2025-10693</x:v>
      </x:c>
      <x:c r="C694" s="81" t="n">
        <x:v>45935</x:v>
      </x:c>
      <x:c r="D694" s="81" t="n">
        <x:v>45940</x:v>
      </x:c>
      <x:c r="E694" s="80" t="str">
        <x:v>CUST-9531</x:v>
      </x:c>
      <x:c r="F694" s="80" t="str">
        <x:v>Isha Nair</x:v>
      </x:c>
      <x:c r="G694" s="80" t="str">
        <x:v>Corporate</x:v>
      </x:c>
      <x:c r="H694" s="80" t="str">
        <x:v>South</x:v>
      </x:c>
      <x:c r="I694" s="80" t="str">
        <x:v>Karnataka</x:v>
      </x:c>
      <x:c r="J694" s="80" t="str">
        <x:v>Bengaluru</x:v>
      </x:c>
      <x:c r="K694" s="80" t="str">
        <x:v>Furniture</x:v>
      </x:c>
      <x:c r="L694" s="80" t="str">
        <x:v>Furnishings</x:v>
      </x:c>
      <x:c r="M694" s="80" t="str">
        <x:v>Prime Furnishings 883</x:v>
      </x:c>
      <x:c r="N694" s="80" t="str">
        <x:v>Second Class</x:v>
      </x:c>
      <x:c r="O694" s="82" t="n">
        <x:v>4</x:v>
      </x:c>
      <x:c r="P694" s="83" t="n">
        <x:v>2365.68</x:v>
      </x:c>
      <x:c r="Q694" s="84" t="n">
        <x:v>0.1</x:v>
      </x:c>
      <x:c r="R694" s="83" t="n">
        <x:v>8516.45</x:v>
      </x:c>
      <x:c r="S694" s="83" t="n">
        <x:v>5903.81</x:v>
      </x:c>
      <x:c r="T694" s="83" t="n">
        <x:v>2612.64</x:v>
      </x:c>
      <x:c r="U694" s="83" t="str">
        <x:v>Paid</x:v>
      </x:c>
      <x:c r="V694" s="83" t="str">
        <x:v>Completed</x:v>
      </x:c>
      <x:c r="W694" s="151" t="n">
        <x:f>IF(OR(NOT(ISNUMBER($AP694)),COUNT($O694,$P694)&lt;2,$O694&lt;=0,$P694&lt;0),"",ROUND($O694*$P694*(1-$AP694),2))</x:f>
        <x:v>8516.45</x:v>
      </x:c>
      <x:c r="X694" s="151" t="n">
        <x:f>IF(OR(NOT(ISNUMBER($W694)),NOT(ISNUMBER($S694))),"",ROUND($W694-$S694,2))</x:f>
        <x:v>2612.64</x:v>
      </x:c>
      <x:c r="Y694" s="85" t="n">
        <x:f>IF(OR(NOT(ISNUMBER($W694)),NOT(ISNUMBER($X694)),$W694=0),"",ROUND($X694/$W694,4))</x:f>
        <x:v>0.3068</x:v>
      </x:c>
      <x:c r="Z694" s="82" t="n">
        <x:f>IF(OR($AH694&lt;&gt;"Valid",$AI694&lt;&gt;"Valid"),"",INT($D694-$C694))</x:f>
        <x:v>5</x:v>
      </x:c>
      <x:c r="AA694" s="86" t="str">
        <x:f>IF($AH694&lt;&gt;"Valid","",TEXT($C694,"mmmm"))</x:f>
        <x:v>October</x:v>
      </x:c>
      <x:c r="AB694" s="82" t="n">
        <x:f>IF($AH694&lt;&gt;"Valid","",YEAR($C694))</x:f>
        <x:v>2025</x:v>
      </x:c>
      <x:c r="AC694" s="80" t="str">
        <x:v>Consistent</x:v>
      </x:c>
      <x:c r="AD694" s="80" t="str">
        <x:v>Eligible</x:v>
      </x:c>
      <x:c r="AE694" s="80" t="str">
        <x:f>IF(OR($AH694&lt;&gt;"Valid",$AI694&lt;&gt;"Valid",$AJ694&lt;&gt;"Valid",LEFT($AM694,7)="Invalid",IFERROR(ABS($AQ694)&gt;0.01,FALSE),IFERROR(ABS($AR694)&gt;0.01,FALSE),COUNTIF($AS694,"*Conflicting duplicate*")&gt;0,COUNTIF($AS694,"*Completed order not paid*")&gt;0),"Invalid",IF(OR($H694="Unknown",$N694="Unknown",$AM694="Missing discount imputed as 0"),"Warning","Clean"))</x:f>
        <x:v>Clean</x:v>
      </x:c>
      <x:c r="AF694" s="80" t="str">
        <x:v>Cleaned</x:v>
      </x:c>
      <x:c r="AG694" s="80" t="str">
        <x:v>segment: Case standardization</x:v>
      </x:c>
      <x:c r="AH694" s="12" t="str">
        <x:f>IF(C694="","Missing date",IF(ISNUMBER(C694),"Valid","Unrecognized/invalid date"))</x:f>
        <x:v>Valid</x:v>
      </x:c>
      <x:c r="AI694" s="12" t="str">
        <x:f>IF(D694="","Missing date",IF(ISNUMBER(D694),"Valid","Unrecognized/invalid date"))</x:f>
        <x:v>Valid</x:v>
      </x:c>
      <x:c r="AJ694" s="12" t="str">
        <x:v>Valid</x:v>
      </x:c>
      <x:c r="AK694" s="12" t="str">
        <x:v>Pass</x:v>
      </x:c>
      <x:c r="AL694" s="12" t="str">
        <x:v>None</x:v>
      </x:c>
      <x:c r="AM694" s="12" t="str">
        <x:v>Valid</x:v>
      </x:c>
      <x:c r="AN694" s="12" t="str">
        <x:v>Include in completed sales</x:v>
      </x:c>
      <x:c r="AO694" s="12" t="str">
        <x:v>Not a refunded record</x:v>
      </x:c>
      <x:c r="AP694" s="37" t="n">
        <x:f>IF(LEFT($AM694,7)="Invalid","",IF($AM694="Missing discount imputed as 0",IF(AND(COUNT($O694,$P694,$R694,$S694)=4,$O694&gt;0,$P694&gt;=0,$R694&gt;=0,$S694&gt;=0),0,""),IF(AND(ISNUMBER($Q694),$Q694&gt;=0,$Q694&lt;=0.5),$Q694,"")))</x:f>
        <x:v>0.1</x:v>
      </x:c>
      <x:c r="AQ694" s="152" t="n">
        <x:f>IF(OR($W694="",NOT(ISNUMBER($R694))),"",ROUND($R694-$W694,2))</x:f>
        <x:v>0</x:v>
      </x:c>
      <x:c r="AR694" s="152" t="n">
        <x:f>IF(OR($X694="",NOT(ISNUMBER($T694))),"",ROUND($T694-$X694,2))</x:f>
        <x:v>0</x:v>
      </x:c>
      <x:c r="AS694" s="14" t="str">
        <x:v>OK</x:v>
      </x:c>
    </x:row>
    <x:row r="695">
      <x:c r="A695" s="80" t="n">
        <x:v>695</x:v>
      </x:c>
      <x:c r="B695" s="80" t="str">
        <x:v>ORD-2025-10694</x:v>
      </x:c>
      <x:c r="C695" s="81" t="n">
        <x:v>45750</x:v>
      </x:c>
      <x:c r="D695" s="81" t="n">
        <x:v>45758</x:v>
      </x:c>
      <x:c r="E695" s="80" t="str">
        <x:v>CUST-6032</x:v>
      </x:c>
      <x:c r="F695" s="80" t="str">
        <x:v>Arjun Bose</x:v>
      </x:c>
      <x:c r="G695" s="80" t="str">
        <x:v>Consumer</x:v>
      </x:c>
      <x:c r="H695" s="80" t="str">
        <x:v>South</x:v>
      </x:c>
      <x:c r="I695" s="80" t="str">
        <x:v>Tamil Nadu</x:v>
      </x:c>
      <x:c r="J695" s="80" t="str">
        <x:v>Chennai</x:v>
      </x:c>
      <x:c r="K695" s="80" t="str">
        <x:v>Furniture</x:v>
      </x:c>
      <x:c r="L695" s="80" t="str">
        <x:v>Bookcases</x:v>
      </x:c>
      <x:c r="M695" s="80" t="str">
        <x:v>Smart Bookcases 828</x:v>
      </x:c>
      <x:c r="N695" s="80" t="str">
        <x:v>Second Class</x:v>
      </x:c>
      <x:c r="O695" s="82" t="n">
        <x:v>3</x:v>
      </x:c>
      <x:c r="P695" s="83" t="n">
        <x:v>4149.77</x:v>
      </x:c>
      <x:c r="Q695" s="84" t="n">
        <x:v>0.05</x:v>
      </x:c>
      <x:c r="R695" s="83" t="n">
        <x:v>11826.84</x:v>
      </x:c>
      <x:c r="S695" s="83" t="n">
        <x:v>8035.96</x:v>
      </x:c>
      <x:c r="T695" s="83" t="n">
        <x:v>3790.88</x:v>
      </x:c>
      <x:c r="U695" s="83" t="str">
        <x:v>Paid</x:v>
      </x:c>
      <x:c r="V695" s="83" t="str">
        <x:v>Completed</x:v>
      </x:c>
      <x:c r="W695" s="151" t="n">
        <x:f>IF(OR(NOT(ISNUMBER($AP695)),COUNT($O695,$P695)&lt;2,$O695&lt;=0,$P695&lt;0),"",ROUND($O695*$P695*(1-$AP695),2))</x:f>
        <x:v>11826.84</x:v>
      </x:c>
      <x:c r="X695" s="151" t="n">
        <x:f>IF(OR(NOT(ISNUMBER($W695)),NOT(ISNUMBER($S695))),"",ROUND($W695-$S695,2))</x:f>
        <x:v>3790.88</x:v>
      </x:c>
      <x:c r="Y695" s="85" t="n">
        <x:f>IF(OR(NOT(ISNUMBER($W695)),NOT(ISNUMBER($X695)),$W695=0),"",ROUND($X695/$W695,4))</x:f>
        <x:v>0.3205</x:v>
      </x:c>
      <x:c r="Z695" s="82" t="n">
        <x:f>IF(OR($AH695&lt;&gt;"Valid",$AI695&lt;&gt;"Valid"),"",INT($D695-$C695))</x:f>
        <x:v>8</x:v>
      </x:c>
      <x:c r="AA695" s="86" t="str">
        <x:f>IF($AH695&lt;&gt;"Valid","",TEXT($C695,"mmmm"))</x:f>
        <x:v>April</x:v>
      </x:c>
      <x:c r="AB695" s="82" t="n">
        <x:f>IF($AH695&lt;&gt;"Valid","",YEAR($C695))</x:f>
        <x:v>2025</x:v>
      </x:c>
      <x:c r="AC695" s="80" t="str">
        <x:v>Consistent</x:v>
      </x:c>
      <x:c r="AD695" s="80" t="str">
        <x:v>Eligible</x:v>
      </x:c>
      <x:c r="AE695" s="80" t="str">
        <x:f>IF(OR($AH695&lt;&gt;"Valid",$AI695&lt;&gt;"Valid",$AJ695&lt;&gt;"Valid",LEFT($AM695,7)="Invalid",IFERROR(ABS($AQ695)&gt;0.01,FALSE),IFERROR(ABS($AR695)&gt;0.01,FALSE),COUNTIF($AS695,"*Conflicting duplicate*")&gt;0,COUNTIF($AS695,"*Completed order not paid*")&gt;0),"Invalid",IF(OR($H695="Unknown",$N695="Unknown",$AM695="Missing discount imputed as 0"),"Warning","Clean"))</x:f>
        <x:v>Clean</x:v>
      </x:c>
      <x:c r="AF695" s="80" t="str">
        <x:v>Pass</x:v>
      </x:c>
      <x:c r="AG695" s="80" t="str">
        <x:v>No text cleanup required</x:v>
      </x:c>
      <x:c r="AH695" s="12" t="str">
        <x:f>IF(C695="","Missing date",IF(ISNUMBER(C695),"Valid","Unrecognized/invalid date"))</x:f>
        <x:v>Valid</x:v>
      </x:c>
      <x:c r="AI695" s="12" t="str">
        <x:f>IF(D695="","Missing date",IF(ISNUMBER(D695),"Valid","Unrecognized/invalid date"))</x:f>
        <x:v>Valid</x:v>
      </x:c>
      <x:c r="AJ695" s="12" t="str">
        <x:v>Valid</x:v>
      </x:c>
      <x:c r="AK695" s="12" t="str">
        <x:v>Pass</x:v>
      </x:c>
      <x:c r="AL695" s="12" t="str">
        <x:v>None</x:v>
      </x:c>
      <x:c r="AM695" s="12" t="str">
        <x:v>Valid</x:v>
      </x:c>
      <x:c r="AN695" s="12" t="str">
        <x:v>Include in completed sales</x:v>
      </x:c>
      <x:c r="AO695" s="12" t="str">
        <x:v>Not a refunded record</x:v>
      </x:c>
      <x:c r="AP695" s="37" t="n">
        <x:f>IF(LEFT($AM695,7)="Invalid","",IF($AM695="Missing discount imputed as 0",IF(AND(COUNT($O695,$P695,$R695,$S695)=4,$O695&gt;0,$P695&gt;=0,$R695&gt;=0,$S695&gt;=0),0,""),IF(AND(ISNUMBER($Q695),$Q695&gt;=0,$Q695&lt;=0.5),$Q695,"")))</x:f>
        <x:v>0.05</x:v>
      </x:c>
      <x:c r="AQ695" s="152" t="n">
        <x:f>IF(OR($W695="",NOT(ISNUMBER($R695))),"",ROUND($R695-$W695,2))</x:f>
        <x:v>0</x:v>
      </x:c>
      <x:c r="AR695" s="152" t="n">
        <x:f>IF(OR($X695="",NOT(ISNUMBER($T695))),"",ROUND($T695-$X695,2))</x:f>
        <x:v>0</x:v>
      </x:c>
      <x:c r="AS695" s="14" t="str">
        <x:v>OK</x:v>
      </x:c>
    </x:row>
    <x:row r="696">
      <x:c r="A696" s="80" t="n">
        <x:v>696</x:v>
      </x:c>
      <x:c r="B696" s="80" t="str">
        <x:v>ORD-2025-10695</x:v>
      </x:c>
      <x:c r="C696" s="81" t="n">
        <x:v>45870</x:v>
      </x:c>
      <x:c r="D696" s="81" t="n">
        <x:v>45878</x:v>
      </x:c>
      <x:c r="E696" s="80" t="str">
        <x:v>CUST-8025</x:v>
      </x:c>
      <x:c r="F696" s="80" t="str">
        <x:v>Isha Nair</x:v>
      </x:c>
      <x:c r="G696" s="80" t="str">
        <x:v>Consumer</x:v>
      </x:c>
      <x:c r="H696" s="80" t="str">
        <x:v>South</x:v>
      </x:c>
      <x:c r="I696" s="80" t="str">
        <x:v>Andhra Pradesh</x:v>
      </x:c>
      <x:c r="J696" s="80" t="str">
        <x:v>Vijayawada</x:v>
      </x:c>
      <x:c r="K696" s="80" t="str">
        <x:v>Office Supplies</x:v>
      </x:c>
      <x:c r="L696" s="80" t="str">
        <x:v>Storage</x:v>
      </x:c>
      <x:c r="M696" s="80" t="str">
        <x:v>Classic Storage 291</x:v>
      </x:c>
      <x:c r="N696" s="80" t="str">
        <x:v>First Class</x:v>
      </x:c>
      <x:c r="O696" s="82" t="n">
        <x:v>5</x:v>
      </x:c>
      <x:c r="P696" s="83" t="n">
        <x:v>2736.24</x:v>
      </x:c>
      <x:c r="Q696" s="84" t="n">
        <x:v>0.15</x:v>
      </x:c>
      <x:c r="R696" s="83" t="n">
        <x:v>11629.02</x:v>
      </x:c>
      <x:c r="S696" s="83" t="n">
        <x:v>9627.21</x:v>
      </x:c>
      <x:c r="T696" s="83" t="n">
        <x:v>2001.81</x:v>
      </x:c>
      <x:c r="U696" s="83" t="str">
        <x:v>Paid</x:v>
      </x:c>
      <x:c r="V696" s="83" t="str">
        <x:v>Completed</x:v>
      </x:c>
      <x:c r="W696" s="151" t="n">
        <x:f>IF(OR(NOT(ISNUMBER($AP696)),COUNT($O696,$P696)&lt;2,$O696&lt;=0,$P696&lt;0),"",ROUND($O696*$P696*(1-$AP696),2))</x:f>
        <x:v>11629.02</x:v>
      </x:c>
      <x:c r="X696" s="151" t="n">
        <x:f>IF(OR(NOT(ISNUMBER($W696)),NOT(ISNUMBER($S696))),"",ROUND($W696-$S696,2))</x:f>
        <x:v>2001.81</x:v>
      </x:c>
      <x:c r="Y696" s="85" t="n">
        <x:f>IF(OR(NOT(ISNUMBER($W696)),NOT(ISNUMBER($X696)),$W696=0),"",ROUND($X696/$W696,4))</x:f>
        <x:v>0.1721</x:v>
      </x:c>
      <x:c r="Z696" s="82" t="n">
        <x:f>IF(OR($AH696&lt;&gt;"Valid",$AI696&lt;&gt;"Valid"),"",INT($D696-$C696))</x:f>
        <x:v>8</x:v>
      </x:c>
      <x:c r="AA696" s="86" t="str">
        <x:f>IF($AH696&lt;&gt;"Valid","",TEXT($C696,"mmmm"))</x:f>
        <x:v>August</x:v>
      </x:c>
      <x:c r="AB696" s="82" t="n">
        <x:f>IF($AH696&lt;&gt;"Valid","",YEAR($C696))</x:f>
        <x:v>2025</x:v>
      </x:c>
      <x:c r="AC696" s="80" t="str">
        <x:v>Consistent</x:v>
      </x:c>
      <x:c r="AD696" s="80" t="str">
        <x:v>Eligible</x:v>
      </x:c>
      <x:c r="AE696" s="80" t="str">
        <x:f>IF(OR($AH696&lt;&gt;"Valid",$AI696&lt;&gt;"Valid",$AJ696&lt;&gt;"Valid",LEFT($AM696,7)="Invalid",IFERROR(ABS($AQ696)&gt;0.01,FALSE),IFERROR(ABS($AR696)&gt;0.01,FALSE),COUNTIF($AS696,"*Conflicting duplicate*")&gt;0,COUNTIF($AS696,"*Completed order not paid*")&gt;0),"Invalid",IF(OR($H696="Unknown",$N696="Unknown",$AM696="Missing discount imputed as 0"),"Warning","Clean"))</x:f>
        <x:v>Clean</x:v>
      </x:c>
      <x:c r="AF696" s="80" t="str">
        <x:v>Pass</x:v>
      </x:c>
      <x:c r="AG696" s="80" t="str">
        <x:v>No text cleanup required</x:v>
      </x:c>
      <x:c r="AH696" s="12" t="str">
        <x:f>IF(C696="","Missing date",IF(ISNUMBER(C696),"Valid","Unrecognized/invalid date"))</x:f>
        <x:v>Valid</x:v>
      </x:c>
      <x:c r="AI696" s="12" t="str">
        <x:f>IF(D696="","Missing date",IF(ISNUMBER(D696),"Valid","Unrecognized/invalid date"))</x:f>
        <x:v>Valid</x:v>
      </x:c>
      <x:c r="AJ696" s="12" t="str">
        <x:v>Valid</x:v>
      </x:c>
      <x:c r="AK696" s="12" t="str">
        <x:v>Pass</x:v>
      </x:c>
      <x:c r="AL696" s="12" t="str">
        <x:v>None</x:v>
      </x:c>
      <x:c r="AM696" s="12" t="str">
        <x:v>Valid</x:v>
      </x:c>
      <x:c r="AN696" s="12" t="str">
        <x:v>Include in completed sales</x:v>
      </x:c>
      <x:c r="AO696" s="12" t="str">
        <x:v>Not a refunded record</x:v>
      </x:c>
      <x:c r="AP696" s="37" t="n">
        <x:f>IF(LEFT($AM696,7)="Invalid","",IF($AM696="Missing discount imputed as 0",IF(AND(COUNT($O696,$P696,$R696,$S696)=4,$O696&gt;0,$P696&gt;=0,$R696&gt;=0,$S696&gt;=0),0,""),IF(AND(ISNUMBER($Q696),$Q696&gt;=0,$Q696&lt;=0.5),$Q696,"")))</x:f>
        <x:v>0.15</x:v>
      </x:c>
      <x:c r="AQ696" s="152" t="n">
        <x:f>IF(OR($W696="",NOT(ISNUMBER($R696))),"",ROUND($R696-$W696,2))</x:f>
        <x:v>0</x:v>
      </x:c>
      <x:c r="AR696" s="152" t="n">
        <x:f>IF(OR($X696="",NOT(ISNUMBER($T696))),"",ROUND($T696-$X696,2))</x:f>
        <x:v>0</x:v>
      </x:c>
      <x:c r="AS696" s="14" t="str">
        <x:v>OK</x:v>
      </x:c>
    </x:row>
    <x:row r="697">
      <x:c r="A697" s="80" t="n">
        <x:v>697</x:v>
      </x:c>
      <x:c r="B697" s="80" t="str">
        <x:v>ORD-2024-10696</x:v>
      </x:c>
      <x:c r="C697" s="81" t="n">
        <x:v>45474</x:v>
      </x:c>
      <x:c r="D697" s="81" t="n">
        <x:v>45474</x:v>
      </x:c>
      <x:c r="E697" s="80" t="str">
        <x:v>CUST-6257</x:v>
      </x:c>
      <x:c r="F697" s="80" t="str">
        <x:v>Aarav Sharma</x:v>
      </x:c>
      <x:c r="G697" s="80" t="str">
        <x:v>Consumer</x:v>
      </x:c>
      <x:c r="H697" s="80" t="str">
        <x:v>West</x:v>
      </x:c>
      <x:c r="I697" s="80" t="str">
        <x:v>Madhya Pradesh</x:v>
      </x:c>
      <x:c r="J697" s="80" t="str">
        <x:v>Indore</x:v>
      </x:c>
      <x:c r="K697" s="80" t="str">
        <x:v>Technology</x:v>
      </x:c>
      <x:c r="L697" s="80" t="str">
        <x:v>Machines</x:v>
      </x:c>
      <x:c r="M697" s="80" t="str">
        <x:v>Prime Machines 102</x:v>
      </x:c>
      <x:c r="N697" s="80" t="str">
        <x:v>Standard Class</x:v>
      </x:c>
      <x:c r="O697" s="82" t="n">
        <x:v>4</x:v>
      </x:c>
      <x:c r="P697" s="83" t="n">
        <x:v>257.39</x:v>
      </x:c>
      <x:c r="Q697" s="84" t="n">
        <x:v>0</x:v>
      </x:c>
      <x:c r="R697" s="83" t="n">
        <x:v>1029.56</x:v>
      </x:c>
      <x:c r="S697" s="83" t="n">
        <x:v>626.33</x:v>
      </x:c>
      <x:c r="T697" s="83" t="n">
        <x:v>403.23</x:v>
      </x:c>
      <x:c r="U697" s="83" t="str">
        <x:v>Paid</x:v>
      </x:c>
      <x:c r="V697" s="83" t="str">
        <x:v>Completed</x:v>
      </x:c>
      <x:c r="W697" s="151" t="n">
        <x:f>IF(OR(NOT(ISNUMBER($AP697)),COUNT($O697,$P697)&lt;2,$O697&lt;=0,$P697&lt;0),"",ROUND($O697*$P697*(1-$AP697),2))</x:f>
        <x:v>1029.56</x:v>
      </x:c>
      <x:c r="X697" s="151" t="n">
        <x:f>IF(OR(NOT(ISNUMBER($W697)),NOT(ISNUMBER($S697))),"",ROUND($W697-$S697,2))</x:f>
        <x:v>403.23</x:v>
      </x:c>
      <x:c r="Y697" s="85" t="n">
        <x:f>IF(OR(NOT(ISNUMBER($W697)),NOT(ISNUMBER($X697)),$W697=0),"",ROUND($X697/$W697,4))</x:f>
        <x:v>0.3917</x:v>
      </x:c>
      <x:c r="Z697" s="82" t="n">
        <x:f>IF(OR($AH697&lt;&gt;"Valid",$AI697&lt;&gt;"Valid"),"",INT($D697-$C697))</x:f>
        <x:v>0</x:v>
      </x:c>
      <x:c r="AA697" s="86" t="str">
        <x:f>IF($AH697&lt;&gt;"Valid","",TEXT($C697,"mmmm"))</x:f>
        <x:v>July</x:v>
      </x:c>
      <x:c r="AB697" s="82" t="n">
        <x:f>IF($AH697&lt;&gt;"Valid","",YEAR($C697))</x:f>
        <x:v>2024</x:v>
      </x:c>
      <x:c r="AC697" s="80" t="str">
        <x:v>Consistent</x:v>
      </x:c>
      <x:c r="AD697" s="80" t="str">
        <x:v>Eligible</x:v>
      </x:c>
      <x:c r="AE697" s="80" t="str">
        <x:f>IF(OR($AH697&lt;&gt;"Valid",$AI697&lt;&gt;"Valid",$AJ697&lt;&gt;"Valid",LEFT($AM697,7)="Invalid",IFERROR(ABS($AQ697)&gt;0.01,FALSE),IFERROR(ABS($AR697)&gt;0.01,FALSE),COUNTIF($AS697,"*Conflicting duplicate*")&gt;0,COUNTIF($AS697,"*Completed order not paid*")&gt;0),"Invalid",IF(OR($H697="Unknown",$N697="Unknown",$AM697="Missing discount imputed as 0"),"Warning","Clean"))</x:f>
        <x:v>Clean</x:v>
      </x:c>
      <x:c r="AF697" s="80" t="str">
        <x:v>Cleaned</x:v>
      </x:c>
      <x:c r="AG697" s="80" t="str">
        <x:v>sub_category: TRIM/SUBSTITUTE whitespace cleanup</x:v>
      </x:c>
      <x:c r="AH697" s="12" t="str">
        <x:f>IF(C697="","Missing date",IF(ISNUMBER(C697),"Valid","Unrecognized/invalid date"))</x:f>
        <x:v>Valid</x:v>
      </x:c>
      <x:c r="AI697" s="12" t="str">
        <x:f>IF(D697="","Missing date",IF(ISNUMBER(D697),"Valid","Unrecognized/invalid date"))</x:f>
        <x:v>Valid</x:v>
      </x:c>
      <x:c r="AJ697" s="12" t="str">
        <x:v>Valid</x:v>
      </x:c>
      <x:c r="AK697" s="12" t="str">
        <x:v>Pass</x:v>
      </x:c>
      <x:c r="AL697" s="12" t="str">
        <x:v>None</x:v>
      </x:c>
      <x:c r="AM697" s="12" t="str">
        <x:v>Valid</x:v>
      </x:c>
      <x:c r="AN697" s="12" t="str">
        <x:v>Include in completed sales</x:v>
      </x:c>
      <x:c r="AO697" s="12" t="str">
        <x:v>Not a refunded record</x:v>
      </x:c>
      <x:c r="AP697" s="37" t="n">
        <x:f>IF(LEFT($AM697,7)="Invalid","",IF($AM697="Missing discount imputed as 0",IF(AND(COUNT($O697,$P697,$R697,$S697)=4,$O697&gt;0,$P697&gt;=0,$R697&gt;=0,$S697&gt;=0),0,""),IF(AND(ISNUMBER($Q697),$Q697&gt;=0,$Q697&lt;=0.5),$Q697,"")))</x:f>
        <x:v>0</x:v>
      </x:c>
      <x:c r="AQ697" s="152" t="n">
        <x:f>IF(OR($W697="",NOT(ISNUMBER($R697))),"",ROUND($R697-$W697,2))</x:f>
        <x:v>0</x:v>
      </x:c>
      <x:c r="AR697" s="152" t="n">
        <x:f>IF(OR($X697="",NOT(ISNUMBER($T697))),"",ROUND($T697-$X697,2))</x:f>
        <x:v>0</x:v>
      </x:c>
      <x:c r="AS697" s="14" t="str">
        <x:v>OK</x:v>
      </x:c>
    </x:row>
    <x:row r="698">
      <x:c r="A698" s="80" t="n">
        <x:v>698</x:v>
      </x:c>
      <x:c r="B698" s="80" t="str">
        <x:v>ORD-2025-10697</x:v>
      </x:c>
      <x:c r="C698" s="81" t="n">
        <x:v>45922</x:v>
      </x:c>
      <x:c r="D698" s="81" t="n">
        <x:v>45925</x:v>
      </x:c>
      <x:c r="E698" s="80" t="str">
        <x:v>CUST-7812</x:v>
      </x:c>
      <x:c r="F698" s="80" t="str">
        <x:v>Isha Nair</x:v>
      </x:c>
      <x:c r="G698" s="80" t="str">
        <x:v>Small Business</x:v>
      </x:c>
      <x:c r="H698" s="80" t="str">
        <x:v>South</x:v>
      </x:c>
      <x:c r="I698" s="80" t="str">
        <x:v>Kerala</x:v>
      </x:c>
      <x:c r="J698" s="80" t="str">
        <x:v>Kochi</x:v>
      </x:c>
      <x:c r="K698" s="80" t="str">
        <x:v>Technology</x:v>
      </x:c>
      <x:c r="L698" s="80" t="str">
        <x:v>Phones</x:v>
      </x:c>
      <x:c r="M698" s="80" t="str">
        <x:v>Classic Phones 842</x:v>
      </x:c>
      <x:c r="N698" s="80" t="str">
        <x:v>Unknown</x:v>
      </x:c>
      <x:c r="O698" s="82" t="n">
        <x:v>4</x:v>
      </x:c>
      <x:c r="P698" s="83" t="n">
        <x:v>1178.84</x:v>
      </x:c>
      <x:c r="Q698" s="84" t="n">
        <x:v>0.25</x:v>
      </x:c>
      <x:c r="R698" s="83" t="n">
        <x:v>3536.52</x:v>
      </x:c>
      <x:c r="S698" s="83" t="n">
        <x:v>2102.41</x:v>
      </x:c>
      <x:c r="T698" s="83" t="n">
        <x:v>1363.28</x:v>
      </x:c>
      <x:c r="U698" s="83" t="str">
        <x:v>Paid</x:v>
      </x:c>
      <x:c r="V698" s="83" t="str">
        <x:v>Completed</x:v>
      </x:c>
      <x:c r="W698" s="151" t="n">
        <x:f>IF(OR(NOT(ISNUMBER($AP698)),COUNT($O698,$P698)&lt;2,$O698&lt;=0,$P698&lt;0),"",ROUND($O698*$P698*(1-$AP698),2))</x:f>
        <x:v>3536.52</x:v>
      </x:c>
      <x:c r="X698" s="151" t="n">
        <x:f>IF(OR(NOT(ISNUMBER($W698)),NOT(ISNUMBER($S698))),"",ROUND($W698-$S698,2))</x:f>
        <x:v>1434.11</x:v>
      </x:c>
      <x:c r="Y698" s="85" t="n">
        <x:f>IF(OR(NOT(ISNUMBER($W698)),NOT(ISNUMBER($X698)),$W698=0),"",ROUND($X698/$W698,4))</x:f>
        <x:v>0.4055</x:v>
      </x:c>
      <x:c r="Z698" s="82" t="n">
        <x:f>IF(OR($AH698&lt;&gt;"Valid",$AI698&lt;&gt;"Valid"),"",INT($D698-$C698))</x:f>
        <x:v>3</x:v>
      </x:c>
      <x:c r="AA698" s="86" t="str">
        <x:f>IF($AH698&lt;&gt;"Valid","",TEXT($C698,"mmmm"))</x:f>
        <x:v>September</x:v>
      </x:c>
      <x:c r="AB698" s="82" t="n">
        <x:f>IF($AH698&lt;&gt;"Valid","",YEAR($C698))</x:f>
        <x:v>2025</x:v>
      </x:c>
      <x:c r="AC698" s="80" t="str">
        <x:v>Consistent</x:v>
      </x:c>
      <x:c r="AD698" s="80" t="str">
        <x:v>Excluded</x:v>
      </x:c>
      <x:c r="AE698" s="80" t="str">
        <x:f>IF(OR($AH698&lt;&gt;"Valid",$AI698&lt;&gt;"Valid",$AJ698&lt;&gt;"Valid",LEFT($AM698,7)="Invalid",IFERROR(ABS($AQ698)&gt;0.01,FALSE),IFERROR(ABS($AR698)&gt;0.01,FALSE),COUNTIF($AS698,"*Conflicting duplicate*")&gt;0,COUNTIF($AS698,"*Completed order not paid*")&gt;0),"Invalid",IF(OR($H698="Unknown",$N698="Unknown",$AM698="Missing discount imputed as 0"),"Warning","Clean"))</x:f>
        <x:v>Invalid</x:v>
      </x:c>
      <x:c r="AF698" s="80" t="str">
        <x:v>Review</x:v>
      </x:c>
      <x:c r="AG698" s="80" t="str">
        <x:v>ship_mode: Missing value filled as Unknown</x:v>
      </x:c>
      <x:c r="AH698" s="12" t="str">
        <x:f>IF(C698="","Missing date",IF(ISNUMBER(C698),"Valid","Unrecognized/invalid date"))</x:f>
        <x:v>Valid</x:v>
      </x:c>
      <x:c r="AI698" s="12" t="str">
        <x:f>IF(D698="","Missing date",IF(ISNUMBER(D698),"Valid","Unrecognized/invalid date"))</x:f>
        <x:v>Valid</x:v>
      </x:c>
      <x:c r="AJ698" s="12" t="str">
        <x:v>Valid</x:v>
      </x:c>
      <x:c r="AK698" s="12" t="str">
        <x:v>Pass</x:v>
      </x:c>
      <x:c r="AL698" s="12" t="str">
        <x:v>Missing ship_mode filled as Unknown</x:v>
      </x:c>
      <x:c r="AM698" s="12" t="str">
        <x:v>Valid</x:v>
      </x:c>
      <x:c r="AN698" s="12" t="str">
        <x:v>Exclude from completed sales</x:v>
      </x:c>
      <x:c r="AO698" s="12" t="str">
        <x:v>Not a refunded record</x:v>
      </x:c>
      <x:c r="AP698" s="37" t="n">
        <x:f>IF(LEFT($AM698,7)="Invalid","",IF($AM698="Missing discount imputed as 0",IF(AND(COUNT($O698,$P698,$R698,$S698)=4,$O698&gt;0,$P698&gt;=0,$R698&gt;=0,$S698&gt;=0),0,""),IF(AND(ISNUMBER($Q698),$Q698&gt;=0,$Q698&lt;=0.5),$Q698,"")))</x:f>
        <x:v>0.25</x:v>
      </x:c>
      <x:c r="AQ698" s="152" t="n">
        <x:f>IF(OR($W698="",NOT(ISNUMBER($R698))),"",ROUND($R698-$W698,2))</x:f>
        <x:v>0</x:v>
      </x:c>
      <x:c r="AR698" s="152" t="n">
        <x:f>IF(OR($X698="",NOT(ISNUMBER($T698))),"",ROUND($T698-$X698,2))</x:f>
        <x:v>-70.83</x:v>
      </x:c>
      <x:c r="AS698" s="14" t="str">
        <x:v>Profit calculation mismatch</x:v>
      </x:c>
    </x:row>
    <x:row r="699">
      <x:c r="A699" s="80" t="n">
        <x:v>699</x:v>
      </x:c>
      <x:c r="B699" s="80" t="str">
        <x:v>ORD-2025-10698</x:v>
      </x:c>
      <x:c r="C699" s="81" t="n">
        <x:v>45717</x:v>
      </x:c>
      <x:c r="D699" s="81" t="n">
        <x:v>45723</x:v>
      </x:c>
      <x:c r="E699" s="80" t="str">
        <x:v>CUST-6205</x:v>
      </x:c>
      <x:c r="F699" s="80" t="str">
        <x:v>Arjun Bose</x:v>
      </x:c>
      <x:c r="G699" s="80" t="str">
        <x:v>Corporate</x:v>
      </x:c>
      <x:c r="H699" s="80" t="str">
        <x:v>South</x:v>
      </x:c>
      <x:c r="I699" s="80" t="str">
        <x:v>Andhra Pradesh</x:v>
      </x:c>
      <x:c r="J699" s="80" t="str">
        <x:v>Vijayawada</x:v>
      </x:c>
      <x:c r="K699" s="80" t="str">
        <x:v>Office Supplies</x:v>
      </x:c>
      <x:c r="L699" s="80" t="str">
        <x:v>Labels</x:v>
      </x:c>
      <x:c r="M699" s="80" t="str">
        <x:v>Max Labels 970</x:v>
      </x:c>
      <x:c r="N699" s="80" t="str">
        <x:v>First Class</x:v>
      </x:c>
      <x:c r="O699" s="82" t="n">
        <x:v>7</x:v>
      </x:c>
      <x:c r="P699" s="83" t="n">
        <x:v>567.15</x:v>
      </x:c>
      <x:c r="Q699" s="84" t="n">
        <x:v>0</x:v>
      </x:c>
      <x:c r="R699" s="83" t="n">
        <x:v>2977.54</x:v>
      </x:c>
      <x:c r="S699" s="83" t="n">
        <x:v>1849.3</x:v>
      </x:c>
      <x:c r="T699" s="83" t="n">
        <x:v>1128.24</x:v>
      </x:c>
      <x:c r="U699" s="83" t="str">
        <x:v>Refunded</x:v>
      </x:c>
      <x:c r="V699" s="83" t="str">
        <x:v>Returned</x:v>
      </x:c>
      <x:c r="W699" s="151" t="n">
        <x:f>IF(OR(NOT(ISNUMBER($AP699)),COUNT($O699,$P699)&lt;2,$O699&lt;=0,$P699&lt;0),"",ROUND($O699*$P699*(1-$AP699),2))</x:f>
        <x:v>3970.05</x:v>
      </x:c>
      <x:c r="X699" s="151" t="n">
        <x:f>IF(OR(NOT(ISNUMBER($W699)),NOT(ISNUMBER($S699))),"",ROUND($W699-$S699,2))</x:f>
        <x:v>2120.75</x:v>
      </x:c>
      <x:c r="Y699" s="85" t="n">
        <x:f>IF(OR(NOT(ISNUMBER($W699)),NOT(ISNUMBER($X699)),$W699=0),"",ROUND($X699/$W699,4))</x:f>
        <x:v>0.5342</x:v>
      </x:c>
      <x:c r="Z699" s="82" t="n">
        <x:f>IF(OR($AH699&lt;&gt;"Valid",$AI699&lt;&gt;"Valid"),"",INT($D699-$C699))</x:f>
        <x:v>6</x:v>
      </x:c>
      <x:c r="AA699" s="86" t="str">
        <x:f>IF($AH699&lt;&gt;"Valid","",TEXT($C699,"mmmm"))</x:f>
        <x:v>March</x:v>
      </x:c>
      <x:c r="AB699" s="82" t="n">
        <x:f>IF($AH699&lt;&gt;"Valid","",YEAR($C699))</x:f>
        <x:v>2025</x:v>
      </x:c>
      <x:c r="AC699" s="80" t="str">
        <x:v>Refunded (separately summarized)</x:v>
      </x:c>
      <x:c r="AD699" s="80" t="str">
        <x:v>Excluded</x:v>
      </x:c>
      <x:c r="AE699" s="80" t="str">
        <x:f>IF(OR($AH699&lt;&gt;"Valid",$AI699&lt;&gt;"Valid",$AJ699&lt;&gt;"Valid",LEFT($AM699,7)="Invalid",IFERROR(ABS($AQ699)&gt;0.01,FALSE),IFERROR(ABS($AR699)&gt;0.01,FALSE),COUNTIF($AS699,"*Conflicting duplicate*")&gt;0,COUNTIF($AS699,"*Completed order not paid*")&gt;0),"Invalid",IF(OR($H699="Unknown",$N699="Unknown",$AM699="Missing discount imputed as 0"),"Warning","Clean"))</x:f>
        <x:v>Invalid</x:v>
      </x:c>
      <x:c r="AF699" s="80" t="str">
        <x:v>Review</x:v>
      </x:c>
      <x:c r="AG699" s="80" t="str">
        <x:v>discount: Imputed 0; discount: Missing value set to 0 after sales-field validation</x:v>
      </x:c>
      <x:c r="AH699" s="12" t="str">
        <x:f>IF(C699="","Missing date",IF(ISNUMBER(C699),"Valid","Unrecognized/invalid date"))</x:f>
        <x:v>Valid</x:v>
      </x:c>
      <x:c r="AI699" s="12" t="str">
        <x:f>IF(D699="","Missing date",IF(ISNUMBER(D699),"Valid","Unrecognized/invalid date"))</x:f>
        <x:v>Valid</x:v>
      </x:c>
      <x:c r="AJ699" s="12" t="str">
        <x:v>Valid</x:v>
      </x:c>
      <x:c r="AK699" s="12" t="str">
        <x:v>Pass</x:v>
      </x:c>
      <x:c r="AL699" s="12" t="str">
        <x:v>Missing discount imputed as 0; Refunded payment – separately summarized</x:v>
      </x:c>
      <x:c r="AM699" s="12" t="str">
        <x:v>Missing discount imputed as 0</x:v>
      </x:c>
      <x:c r="AN699" s="12" t="str">
        <x:v>Exclude from completed sales</x:v>
      </x:c>
      <x:c r="AO699" s="12" t="str">
        <x:v>Include in refunded summary</x:v>
      </x:c>
      <x:c r="AP699" s="37" t="n">
        <x:f>IF(LEFT($AM699,7)="Invalid","",IF($AM699="Missing discount imputed as 0",IF(AND(COUNT($O699,$P699,$R699,$S699)=4,$O699&gt;0,$P699&gt;=0,$R699&gt;=0,$S699&gt;=0),0,""),IF(AND(ISNUMBER($Q699),$Q699&gt;=0,$Q699&lt;=0.5),$Q699,"")))</x:f>
        <x:v>0</x:v>
      </x:c>
      <x:c r="AQ699" s="152" t="n">
        <x:f>IF(OR($W699="",NOT(ISNUMBER($R699))),"",ROUND($R699-$W699,2))</x:f>
        <x:v>-992.51</x:v>
      </x:c>
      <x:c r="AR699" s="152" t="n">
        <x:f>IF(OR($X699="",NOT(ISNUMBER($T699))),"",ROUND($T699-$X699,2))</x:f>
        <x:v>-992.51</x:v>
      </x:c>
      <x:c r="AS699" s="14" t="str">
        <x:v>Sales calculation mismatch</x:v>
      </x:c>
    </x:row>
    <x:row r="700">
      <x:c r="A700" s="80" t="n">
        <x:v>700</x:v>
      </x:c>
      <x:c r="B700" s="80" t="str">
        <x:v>ORD-2024-10699</x:v>
      </x:c>
      <x:c r="C700" s="81" t="n">
        <x:v>45549</x:v>
      </x:c>
      <x:c r="D700" s="81" t="n">
        <x:v>45549</x:v>
      </x:c>
      <x:c r="E700" s="80" t="str">
        <x:v>CUST-5357</x:v>
      </x:c>
      <x:c r="F700" s="80" t="str">
        <x:v>Mira Das</x:v>
      </x:c>
      <x:c r="G700" s="80" t="str">
        <x:v>Corporate</x:v>
      </x:c>
      <x:c r="H700" s="80" t="str">
        <x:v>North</x:v>
      </x:c>
      <x:c r="I700" s="80" t="str">
        <x:v>Rajasthan</x:v>
      </x:c>
      <x:c r="J700" s="80" t="str">
        <x:v>Jaipur</x:v>
      </x:c>
      <x:c r="K700" s="80" t="str">
        <x:v>Technology</x:v>
      </x:c>
      <x:c r="L700" s="80" t="str">
        <x:v>Machines</x:v>
      </x:c>
      <x:c r="M700" s="80" t="str">
        <x:v>Classic Machines 648</x:v>
      </x:c>
      <x:c r="N700" s="80" t="str">
        <x:v>Standard Class</x:v>
      </x:c>
      <x:c r="O700" s="82" t="n">
        <x:v>8</x:v>
      </x:c>
      <x:c r="P700" s="83" t="n">
        <x:v>4081.66</x:v>
      </x:c>
      <x:c r="Q700" s="84" t="n">
        <x:v>0.15</x:v>
      </x:c>
      <x:c r="R700" s="83" t="n">
        <x:v>28208.1</x:v>
      </x:c>
      <x:c r="S700" s="83" t="n">
        <x:v>23751.91</x:v>
      </x:c>
      <x:c r="T700" s="83" t="n">
        <x:v>4003.38</x:v>
      </x:c>
      <x:c r="U700" s="83" t="str">
        <x:v>Paid</x:v>
      </x:c>
      <x:c r="V700" s="83" t="str">
        <x:v>Returned</x:v>
      </x:c>
      <x:c r="W700" s="151" t="n">
        <x:f>IF(OR(NOT(ISNUMBER($AP700)),COUNT($O700,$P700)&lt;2,$O700&lt;=0,$P700&lt;0),"",ROUND($O700*$P700*(1-$AP700),2))</x:f>
        <x:v>27755.29</x:v>
      </x:c>
      <x:c r="X700" s="151" t="n">
        <x:f>IF(OR(NOT(ISNUMBER($W700)),NOT(ISNUMBER($S700))),"",ROUND($W700-$S700,2))</x:f>
        <x:v>4003.38</x:v>
      </x:c>
      <x:c r="Y700" s="85" t="n">
        <x:f>IF(OR(NOT(ISNUMBER($W700)),NOT(ISNUMBER($X700)),$W700=0),"",ROUND($X700/$W700,4))</x:f>
        <x:v>0.1442</x:v>
      </x:c>
      <x:c r="Z700" s="82" t="n">
        <x:f>IF(OR($AH700&lt;&gt;"Valid",$AI700&lt;&gt;"Valid"),"",INT($D700-$C700))</x:f>
        <x:v>0</x:v>
      </x:c>
      <x:c r="AA700" s="86" t="str">
        <x:f>IF($AH700&lt;&gt;"Valid","",TEXT($C700,"mmmm"))</x:f>
        <x:v>September</x:v>
      </x:c>
      <x:c r="AB700" s="82" t="n">
        <x:f>IF($AH700&lt;&gt;"Valid","",YEAR($C700))</x:f>
        <x:v>2024</x:v>
      </x:c>
      <x:c r="AC700" s="80" t="str">
        <x:v>Consistent</x:v>
      </x:c>
      <x:c r="AD700" s="80" t="str">
        <x:v>Excluded</x:v>
      </x:c>
      <x:c r="AE700" s="80" t="str">
        <x:f>IF(OR($AH700&lt;&gt;"Valid",$AI700&lt;&gt;"Valid",$AJ700&lt;&gt;"Valid",LEFT($AM700,7)="Invalid",IFERROR(ABS($AQ700)&gt;0.01,FALSE),IFERROR(ABS($AR700)&gt;0.01,FALSE),COUNTIF($AS700,"*Conflicting duplicate*")&gt;0,COUNTIF($AS700,"*Completed order not paid*")&gt;0),"Invalid",IF(OR($H700="Unknown",$N700="Unknown",$AM700="Missing discount imputed as 0"),"Warning","Clean"))</x:f>
        <x:v>Invalid</x:v>
      </x:c>
      <x:c r="AF700" s="80" t="str">
        <x:v>Review</x:v>
      </x:c>
      <x:c r="AG700" s="80" t="str">
        <x:v>No text cleanup required</x:v>
      </x:c>
      <x:c r="AH700" s="12" t="str">
        <x:f>IF(C700="","Missing date",IF(ISNUMBER(C700),"Valid","Unrecognized/invalid date"))</x:f>
        <x:v>Valid</x:v>
      </x:c>
      <x:c r="AI700" s="12" t="str">
        <x:f>IF(D700="","Missing date",IF(ISNUMBER(D700),"Valid","Unrecognized/invalid date"))</x:f>
        <x:v>Valid</x:v>
      </x:c>
      <x:c r="AJ700" s="12" t="str">
        <x:v>Valid</x:v>
      </x:c>
      <x:c r="AK700" s="12" t="str">
        <x:v>Pass</x:v>
      </x:c>
      <x:c r="AL700" s="12" t="str">
        <x:v>None</x:v>
      </x:c>
      <x:c r="AM700" s="12" t="str">
        <x:v>Valid</x:v>
      </x:c>
      <x:c r="AN700" s="12" t="str">
        <x:v>Exclude from completed sales</x:v>
      </x:c>
      <x:c r="AO700" s="12" t="str">
        <x:v>Not a refunded record</x:v>
      </x:c>
      <x:c r="AP700" s="37" t="n">
        <x:f>IF(LEFT($AM700,7)="Invalid","",IF($AM700="Missing discount imputed as 0",IF(AND(COUNT($O700,$P700,$R700,$S700)=4,$O700&gt;0,$P700&gt;=0,$R700&gt;=0,$S700&gt;=0),0,""),IF(AND(ISNUMBER($Q700),$Q700&gt;=0,$Q700&lt;=0.5),$Q700,"")))</x:f>
        <x:v>0.15</x:v>
      </x:c>
      <x:c r="AQ700" s="152" t="n">
        <x:f>IF(OR($W700="",NOT(ISNUMBER($R700))),"",ROUND($R700-$W700,2))</x:f>
        <x:v>452.81</x:v>
      </x:c>
      <x:c r="AR700" s="152" t="n">
        <x:f>IF(OR($X700="",NOT(ISNUMBER($T700))),"",ROUND($T700-$X700,2))</x:f>
        <x:v>0</x:v>
      </x:c>
      <x:c r="AS700" s="14" t="str">
        <x:v>Sales calculation mismatch; Profit calculation mismatch</x:v>
      </x:c>
    </x:row>
    <x:row r="701">
      <x:c r="A701" s="80" t="n">
        <x:v>701</x:v>
      </x:c>
      <x:c r="B701" s="80" t="str">
        <x:v>ORD-2024-10700</x:v>
      </x:c>
      <x:c r="C701" s="81" t="n">
        <x:v>45454</x:v>
      </x:c>
      <x:c r="D701" s="81" t="n">
        <x:v>45454</x:v>
      </x:c>
      <x:c r="E701" s="80" t="str">
        <x:v>CUST-9802</x:v>
      </x:c>
      <x:c r="F701" s="80" t="str">
        <x:v>Arjun Bose</x:v>
      </x:c>
      <x:c r="G701" s="80" t="str">
        <x:v>Small Business</x:v>
      </x:c>
      <x:c r="H701" s="80" t="str">
        <x:v>South</x:v>
      </x:c>
      <x:c r="I701" s="80" t="str">
        <x:v>Karnataka</x:v>
      </x:c>
      <x:c r="J701" s="80" t="str">
        <x:v>Bengaluru</x:v>
      </x:c>
      <x:c r="K701" s="80" t="str">
        <x:v>Furniture</x:v>
      </x:c>
      <x:c r="L701" s="80" t="str">
        <x:v>Bookcases</x:v>
      </x:c>
      <x:c r="M701" s="80" t="str">
        <x:v>Max Bookcases 565</x:v>
      </x:c>
      <x:c r="N701" s="80" t="str">
        <x:v>Standard Class</x:v>
      </x:c>
      <x:c r="O701" s="82" t="n">
        <x:v>9</x:v>
      </x:c>
      <x:c r="P701" s="83" t="n">
        <x:v>1400.11</x:v>
      </x:c>
      <x:c r="Q701" s="84" t="n">
        <x:v>0.25</x:v>
      </x:c>
      <x:c r="R701" s="83" t="n">
        <x:v>9450.74</x:v>
      </x:c>
      <x:c r="S701" s="83" t="n">
        <x:v>7798.56</x:v>
      </x:c>
      <x:c r="T701" s="83" t="n">
        <x:v>1652.18</x:v>
      </x:c>
      <x:c r="U701" s="83" t="str">
        <x:v>Paid</x:v>
      </x:c>
      <x:c r="V701" s="83" t="str">
        <x:v>Completed</x:v>
      </x:c>
      <x:c r="W701" s="151" t="n">
        <x:f>IF(OR(NOT(ISNUMBER($AP701)),COUNT($O701,$P701)&lt;2,$O701&lt;=0,$P701&lt;0),"",ROUND($O701*$P701*(1-$AP701),2))</x:f>
        <x:v>9450.74</x:v>
      </x:c>
      <x:c r="X701" s="151" t="n">
        <x:f>IF(OR(NOT(ISNUMBER($W701)),NOT(ISNUMBER($S701))),"",ROUND($W701-$S701,2))</x:f>
        <x:v>1652.18</x:v>
      </x:c>
      <x:c r="Y701" s="85" t="n">
        <x:f>IF(OR(NOT(ISNUMBER($W701)),NOT(ISNUMBER($X701)),$W701=0),"",ROUND($X701/$W701,4))</x:f>
        <x:v>0.1748</x:v>
      </x:c>
      <x:c r="Z701" s="82" t="n">
        <x:f>IF(OR($AH701&lt;&gt;"Valid",$AI701&lt;&gt;"Valid"),"",INT($D701-$C701))</x:f>
        <x:v>0</x:v>
      </x:c>
      <x:c r="AA701" s="86" t="str">
        <x:f>IF($AH701&lt;&gt;"Valid","",TEXT($C701,"mmmm"))</x:f>
        <x:v>June</x:v>
      </x:c>
      <x:c r="AB701" s="82" t="n">
        <x:f>IF($AH701&lt;&gt;"Valid","",YEAR($C701))</x:f>
        <x:v>2024</x:v>
      </x:c>
      <x:c r="AC701" s="80" t="str">
        <x:v>Consistent</x:v>
      </x:c>
      <x:c r="AD701" s="80" t="str">
        <x:v>Eligible</x:v>
      </x:c>
      <x:c r="AE701" s="80" t="str">
        <x:f>IF(OR($AH701&lt;&gt;"Valid",$AI701&lt;&gt;"Valid",$AJ701&lt;&gt;"Valid",LEFT($AM701,7)="Invalid",IFERROR(ABS($AQ701)&gt;0.01,FALSE),IFERROR(ABS($AR701)&gt;0.01,FALSE),COUNTIF($AS701,"*Conflicting duplicate*")&gt;0,COUNTIF($AS701,"*Completed order not paid*")&gt;0),"Invalid",IF(OR($H701="Unknown",$N701="Unknown",$AM701="Missing discount imputed as 0"),"Warning","Clean"))</x:f>
        <x:v>Clean</x:v>
      </x:c>
      <x:c r="AF701" s="80" t="str">
        <x:v>Pass</x:v>
      </x:c>
      <x:c r="AG701" s="80" t="str">
        <x:v>No text cleanup required</x:v>
      </x:c>
      <x:c r="AH701" s="12" t="str">
        <x:f>IF(C701="","Missing date",IF(ISNUMBER(C701),"Valid","Unrecognized/invalid date"))</x:f>
        <x:v>Valid</x:v>
      </x:c>
      <x:c r="AI701" s="12" t="str">
        <x:f>IF(D701="","Missing date",IF(ISNUMBER(D701),"Valid","Unrecognized/invalid date"))</x:f>
        <x:v>Valid</x:v>
      </x:c>
      <x:c r="AJ701" s="12" t="str">
        <x:v>Valid</x:v>
      </x:c>
      <x:c r="AK701" s="12" t="str">
        <x:v>Pass</x:v>
      </x:c>
      <x:c r="AL701" s="12" t="str">
        <x:v>None</x:v>
      </x:c>
      <x:c r="AM701" s="12" t="str">
        <x:v>Valid</x:v>
      </x:c>
      <x:c r="AN701" s="12" t="str">
        <x:v>Include in completed sales</x:v>
      </x:c>
      <x:c r="AO701" s="12" t="str">
        <x:v>Not a refunded record</x:v>
      </x:c>
      <x:c r="AP701" s="37" t="n">
        <x:f>IF(LEFT($AM701,7)="Invalid","",IF($AM701="Missing discount imputed as 0",IF(AND(COUNT($O701,$P701,$R701,$S701)=4,$O701&gt;0,$P701&gt;=0,$R701&gt;=0,$S701&gt;=0),0,""),IF(AND(ISNUMBER($Q701),$Q701&gt;=0,$Q701&lt;=0.5),$Q701,"")))</x:f>
        <x:v>0.25</x:v>
      </x:c>
      <x:c r="AQ701" s="152" t="n">
        <x:f>IF(OR($W701="",NOT(ISNUMBER($R701))),"",ROUND($R701-$W701,2))</x:f>
        <x:v>0</x:v>
      </x:c>
      <x:c r="AR701" s="152" t="n">
        <x:f>IF(OR($X701="",NOT(ISNUMBER($T701))),"",ROUND($T701-$X701,2))</x:f>
        <x:v>0</x:v>
      </x:c>
      <x:c r="AS701" s="14" t="str">
        <x:v>OK</x:v>
      </x:c>
    </x:row>
    <x:row r="702">
      <x:c r="A702" s="80" t="n">
        <x:v>702</x:v>
      </x:c>
      <x:c r="B702" s="80" t="str">
        <x:v>ORD-2024-10701</x:v>
      </x:c>
      <x:c r="C702" s="81" t="n">
        <x:v>45553</x:v>
      </x:c>
      <x:c r="D702" s="81" t="n">
        <x:v>45556</x:v>
      </x:c>
      <x:c r="E702" s="80" t="str">
        <x:v>CUST-5646</x:v>
      </x:c>
      <x:c r="F702" s="80" t="str">
        <x:v>Neha Gupta</x:v>
      </x:c>
      <x:c r="G702" s="80" t="str">
        <x:v>Corporate</x:v>
      </x:c>
      <x:c r="H702" s="80" t="str">
        <x:v>East</x:v>
      </x:c>
      <x:c r="I702" s="80" t="str">
        <x:v>West Bengal</x:v>
      </x:c>
      <x:c r="J702" s="80" t="str">
        <x:v>Kolkata</x:v>
      </x:c>
      <x:c r="K702" s="80" t="str">
        <x:v>Technology</x:v>
      </x:c>
      <x:c r="L702" s="80" t="str">
        <x:v>Machines</x:v>
      </x:c>
      <x:c r="M702" s="80" t="str">
        <x:v>Basic Machines 220</x:v>
      </x:c>
      <x:c r="N702" s="80" t="str">
        <x:v>Standard Class</x:v>
      </x:c>
      <x:c r="O702" s="82" t="n">
        <x:v>3</x:v>
      </x:c>
      <x:c r="P702" s="83" t="n">
        <x:v>3055.9</x:v>
      </x:c>
      <x:c r="Q702" s="84" t="n">
        <x:v>0.15</x:v>
      </x:c>
      <x:c r="R702" s="83" t="n">
        <x:v>7792.55</x:v>
      </x:c>
      <x:c r="S702" s="83" t="n">
        <x:v>4691.73</x:v>
      </x:c>
      <x:c r="T702" s="83" t="n">
        <x:v>3100.82</x:v>
      </x:c>
      <x:c r="U702" s="83" t="str">
        <x:v>Paid</x:v>
      </x:c>
      <x:c r="V702" s="83" t="str">
        <x:v>Completed</x:v>
      </x:c>
      <x:c r="W702" s="151" t="n">
        <x:f>IF(OR(NOT(ISNUMBER($AP702)),COUNT($O702,$P702)&lt;2,$O702&lt;=0,$P702&lt;0),"",ROUND($O702*$P702*(1-$AP702),2))</x:f>
        <x:v>7792.55</x:v>
      </x:c>
      <x:c r="X702" s="151" t="n">
        <x:f>IF(OR(NOT(ISNUMBER($W702)),NOT(ISNUMBER($S702))),"",ROUND($W702-$S702,2))</x:f>
        <x:v>3100.82</x:v>
      </x:c>
      <x:c r="Y702" s="85" t="n">
        <x:f>IF(OR(NOT(ISNUMBER($W702)),NOT(ISNUMBER($X702)),$W702=0),"",ROUND($X702/$W702,4))</x:f>
        <x:v>0.3979</x:v>
      </x:c>
      <x:c r="Z702" s="82" t="n">
        <x:f>IF(OR($AH702&lt;&gt;"Valid",$AI702&lt;&gt;"Valid"),"",INT($D702-$C702))</x:f>
        <x:v>3</x:v>
      </x:c>
      <x:c r="AA702" s="86" t="str">
        <x:f>IF($AH702&lt;&gt;"Valid","",TEXT($C702,"mmmm"))</x:f>
        <x:v>September</x:v>
      </x:c>
      <x:c r="AB702" s="82" t="n">
        <x:f>IF($AH702&lt;&gt;"Valid","",YEAR($C702))</x:f>
        <x:v>2024</x:v>
      </x:c>
      <x:c r="AC702" s="80" t="str">
        <x:v>Consistent</x:v>
      </x:c>
      <x:c r="AD702" s="80" t="str">
        <x:v>Eligible</x:v>
      </x:c>
      <x:c r="AE702" s="80" t="str">
        <x:f>IF(OR($AH702&lt;&gt;"Valid",$AI702&lt;&gt;"Valid",$AJ702&lt;&gt;"Valid",LEFT($AM702,7)="Invalid",IFERROR(ABS($AQ702)&gt;0.01,FALSE),IFERROR(ABS($AR702)&gt;0.01,FALSE),COUNTIF($AS702,"*Conflicting duplicate*")&gt;0,COUNTIF($AS702,"*Completed order not paid*")&gt;0),"Invalid",IF(OR($H702="Unknown",$N702="Unknown",$AM702="Missing discount imputed as 0"),"Warning","Clean"))</x:f>
        <x:v>Clean</x:v>
      </x:c>
      <x:c r="AF702" s="80" t="str">
        <x:v>Pass</x:v>
      </x:c>
      <x:c r="AG702" s="80" t="str">
        <x:v>No text cleanup required</x:v>
      </x:c>
      <x:c r="AH702" s="12" t="str">
        <x:f>IF(C702="","Missing date",IF(ISNUMBER(C702),"Valid","Unrecognized/invalid date"))</x:f>
        <x:v>Valid</x:v>
      </x:c>
      <x:c r="AI702" s="12" t="str">
        <x:f>IF(D702="","Missing date",IF(ISNUMBER(D702),"Valid","Unrecognized/invalid date"))</x:f>
        <x:v>Valid</x:v>
      </x:c>
      <x:c r="AJ702" s="12" t="str">
        <x:v>Valid</x:v>
      </x:c>
      <x:c r="AK702" s="12" t="str">
        <x:v>Pass</x:v>
      </x:c>
      <x:c r="AL702" s="12" t="str">
        <x:v>None</x:v>
      </x:c>
      <x:c r="AM702" s="12" t="str">
        <x:v>Valid</x:v>
      </x:c>
      <x:c r="AN702" s="12" t="str">
        <x:v>Include in completed sales</x:v>
      </x:c>
      <x:c r="AO702" s="12" t="str">
        <x:v>Not a refunded record</x:v>
      </x:c>
      <x:c r="AP702" s="37" t="n">
        <x:f>IF(LEFT($AM702,7)="Invalid","",IF($AM702="Missing discount imputed as 0",IF(AND(COUNT($O702,$P702,$R702,$S702)=4,$O702&gt;0,$P702&gt;=0,$R702&gt;=0,$S702&gt;=0),0,""),IF(AND(ISNUMBER($Q702),$Q702&gt;=0,$Q702&lt;=0.5),$Q702,"")))</x:f>
        <x:v>0.15</x:v>
      </x:c>
      <x:c r="AQ702" s="152" t="n">
        <x:f>IF(OR($W702="",NOT(ISNUMBER($R702))),"",ROUND($R702-$W702,2))</x:f>
        <x:v>0</x:v>
      </x:c>
      <x:c r="AR702" s="152" t="n">
        <x:f>IF(OR($X702="",NOT(ISNUMBER($T702))),"",ROUND($T702-$X702,2))</x:f>
        <x:v>0</x:v>
      </x:c>
      <x:c r="AS702" s="14" t="str">
        <x:v>OK</x:v>
      </x:c>
    </x:row>
    <x:row r="703">
      <x:c r="A703" s="80" t="n">
        <x:v>703</x:v>
      </x:c>
      <x:c r="B703" s="80" t="str">
        <x:v>ORD-2024-10702</x:v>
      </x:c>
      <x:c r="C703" s="81" t="n">
        <x:v>45412</x:v>
      </x:c>
      <x:c r="D703" s="81" t="n">
        <x:v>45416</x:v>
      </x:c>
      <x:c r="E703" s="80" t="str">
        <x:v>CUST-7171</x:v>
      </x:c>
      <x:c r="F703" s="80" t="str">
        <x:v>Rohan Mehta</x:v>
      </x:c>
      <x:c r="G703" s="80" t="str">
        <x:v>Small Business</x:v>
      </x:c>
      <x:c r="H703" s="80" t="str">
        <x:v>West</x:v>
      </x:c>
      <x:c r="I703" s="80" t="str">
        <x:v>Gujarat</x:v>
      </x:c>
      <x:c r="J703" s="80" t="str">
        <x:v>Ahmedabad</x:v>
      </x:c>
      <x:c r="K703" s="80" t="str">
        <x:v>Office Supplies</x:v>
      </x:c>
      <x:c r="L703" s="80" t="str">
        <x:v>Art</x:v>
      </x:c>
      <x:c r="M703" s="80" t="str">
        <x:v>Pro Art 151</x:v>
      </x:c>
      <x:c r="N703" s="80" t="str">
        <x:v>Same Day</x:v>
      </x:c>
      <x:c r="O703" s="82" t="n">
        <x:v>7</x:v>
      </x:c>
      <x:c r="P703" s="83" t="n">
        <x:v>1224.94</x:v>
      </x:c>
      <x:c r="Q703" s="84" t="n">
        <x:v>0</x:v>
      </x:c>
      <x:c r="R703" s="83" t="n">
        <x:v>8574.58</x:v>
      </x:c>
      <x:c r="S703" s="83" t="n">
        <x:v>6685.81</x:v>
      </x:c>
      <x:c r="T703" s="83" t="n">
        <x:v>1888.77</x:v>
      </x:c>
      <x:c r="U703" s="83" t="str">
        <x:v>Paid</x:v>
      </x:c>
      <x:c r="V703" s="83" t="str">
        <x:v>Returned</x:v>
      </x:c>
      <x:c r="W703" s="151" t="n">
        <x:f>IF(OR(NOT(ISNUMBER($AP703)),COUNT($O703,$P703)&lt;2,$O703&lt;=0,$P703&lt;0),"",ROUND($O703*$P703*(1-$AP703),2))</x:f>
        <x:v>8574.58</x:v>
      </x:c>
      <x:c r="X703" s="151" t="n">
        <x:f>IF(OR(NOT(ISNUMBER($W703)),NOT(ISNUMBER($S703))),"",ROUND($W703-$S703,2))</x:f>
        <x:v>1888.77</x:v>
      </x:c>
      <x:c r="Y703" s="85" t="n">
        <x:f>IF(OR(NOT(ISNUMBER($W703)),NOT(ISNUMBER($X703)),$W703=0),"",ROUND($X703/$W703,4))</x:f>
        <x:v>0.2203</x:v>
      </x:c>
      <x:c r="Z703" s="82" t="n">
        <x:f>IF(OR($AH703&lt;&gt;"Valid",$AI703&lt;&gt;"Valid"),"",INT($D703-$C703))</x:f>
        <x:v>4</x:v>
      </x:c>
      <x:c r="AA703" s="86" t="str">
        <x:f>IF($AH703&lt;&gt;"Valid","",TEXT($C703,"mmmm"))</x:f>
        <x:v>April</x:v>
      </x:c>
      <x:c r="AB703" s="82" t="n">
        <x:f>IF($AH703&lt;&gt;"Valid","",YEAR($C703))</x:f>
        <x:v>2024</x:v>
      </x:c>
      <x:c r="AC703" s="80" t="str">
        <x:v>Consistent</x:v>
      </x:c>
      <x:c r="AD703" s="80" t="str">
        <x:v>Excluded</x:v>
      </x:c>
      <x:c r="AE703" s="80" t="str">
        <x:f>IF(OR($AH703&lt;&gt;"Valid",$AI703&lt;&gt;"Valid",$AJ703&lt;&gt;"Valid",LEFT($AM703,7)="Invalid",IFERROR(ABS($AQ703)&gt;0.01,FALSE),IFERROR(ABS($AR703)&gt;0.01,FALSE),COUNTIF($AS703,"*Conflicting duplicate*")&gt;0,COUNTIF($AS703,"*Completed order not paid*")&gt;0),"Invalid",IF(OR($H703="Unknown",$N703="Unknown",$AM703="Missing discount imputed as 0"),"Warning","Clean"))</x:f>
        <x:v>Clean</x:v>
      </x:c>
      <x:c r="AF703" s="80" t="str">
        <x:v>Pass</x:v>
      </x:c>
      <x:c r="AG703" s="80" t="str">
        <x:v>No text cleanup required</x:v>
      </x:c>
      <x:c r="AH703" s="12" t="str">
        <x:f>IF(C703="","Missing date",IF(ISNUMBER(C703),"Valid","Unrecognized/invalid date"))</x:f>
        <x:v>Valid</x:v>
      </x:c>
      <x:c r="AI703" s="12" t="str">
        <x:f>IF(D703="","Missing date",IF(ISNUMBER(D703),"Valid","Unrecognized/invalid date"))</x:f>
        <x:v>Valid</x:v>
      </x:c>
      <x:c r="AJ703" s="12" t="str">
        <x:v>Valid</x:v>
      </x:c>
      <x:c r="AK703" s="12" t="str">
        <x:v>Pass</x:v>
      </x:c>
      <x:c r="AL703" s="12" t="str">
        <x:v>None</x:v>
      </x:c>
      <x:c r="AM703" s="12" t="str">
        <x:v>Valid</x:v>
      </x:c>
      <x:c r="AN703" s="12" t="str">
        <x:v>Exclude from completed sales</x:v>
      </x:c>
      <x:c r="AO703" s="12" t="str">
        <x:v>Not a refunded record</x:v>
      </x:c>
      <x:c r="AP703" s="37" t="n">
        <x:f>IF(LEFT($AM703,7)="Invalid","",IF($AM703="Missing discount imputed as 0",IF(AND(COUNT($O703,$P703,$R703,$S703)=4,$O703&gt;0,$P703&gt;=0,$R703&gt;=0,$S703&gt;=0),0,""),IF(AND(ISNUMBER($Q703),$Q703&gt;=0,$Q703&lt;=0.5),$Q703,"")))</x:f>
        <x:v>0</x:v>
      </x:c>
      <x:c r="AQ703" s="152" t="n">
        <x:f>IF(OR($W703="",NOT(ISNUMBER($R703))),"",ROUND($R703-$W703,2))</x:f>
        <x:v>0</x:v>
      </x:c>
      <x:c r="AR703" s="152" t="n">
        <x:f>IF(OR($X703="",NOT(ISNUMBER($T703))),"",ROUND($T703-$X703,2))</x:f>
        <x:v>0</x:v>
      </x:c>
      <x:c r="AS703" s="14" t="str">
        <x:v>OK</x:v>
      </x:c>
    </x:row>
    <x:row r="704">
      <x:c r="A704" s="80" t="n">
        <x:v>704</x:v>
      </x:c>
      <x:c r="B704" s="80" t="str">
        <x:v>ORD-2025-10703</x:v>
      </x:c>
      <x:c r="C704" s="81" t="n">
        <x:v>45690</x:v>
      </x:c>
      <x:c r="D704" s="81" t="n">
        <x:v>45694</x:v>
      </x:c>
      <x:c r="E704" s="80" t="str">
        <x:v>CUST-5231</x:v>
      </x:c>
      <x:c r="F704" s="80" t="str">
        <x:v>Karan Malhotra</x:v>
      </x:c>
      <x:c r="G704" s="80" t="str">
        <x:v>Small Business</x:v>
      </x:c>
      <x:c r="H704" s="80" t="str">
        <x:v>West</x:v>
      </x:c>
      <x:c r="I704" s="80" t="str">
        <x:v>Rajasthan</x:v>
      </x:c>
      <x:c r="J704" s="80" t="str">
        <x:v>Udaipur</x:v>
      </x:c>
      <x:c r="K704" s="80" t="str">
        <x:v>Furniture</x:v>
      </x:c>
      <x:c r="L704" s="80" t="str">
        <x:v>Tables</x:v>
      </x:c>
      <x:c r="M704" s="80" t="str">
        <x:v>Pro Tables 980</x:v>
      </x:c>
      <x:c r="N704" s="80" t="str">
        <x:v>Second Class</x:v>
      </x:c>
      <x:c r="O704" s="82" t="n">
        <x:v>3</x:v>
      </x:c>
      <x:c r="P704" s="83" t="n">
        <x:v>997.34</x:v>
      </x:c>
      <x:c r="Q704" s="84" t="n">
        <x:v>0.1</x:v>
      </x:c>
      <x:c r="R704" s="83" t="n">
        <x:v>2692.82</x:v>
      </x:c>
      <x:c r="S704" s="83" t="n">
        <x:v>1820.08</x:v>
      </x:c>
      <x:c r="T704" s="83" t="n">
        <x:v>872.74</x:v>
      </x:c>
      <x:c r="U704" s="83" t="str">
        <x:v>Paid</x:v>
      </x:c>
      <x:c r="V704" s="83" t="str">
        <x:v>Completed</x:v>
      </x:c>
      <x:c r="W704" s="151" t="n">
        <x:f>IF(OR(NOT(ISNUMBER($AP704)),COUNT($O704,$P704)&lt;2,$O704&lt;=0,$P704&lt;0),"",ROUND($O704*$P704*(1-$AP704),2))</x:f>
        <x:v>2692.82</x:v>
      </x:c>
      <x:c r="X704" s="151" t="n">
        <x:f>IF(OR(NOT(ISNUMBER($W704)),NOT(ISNUMBER($S704))),"",ROUND($W704-$S704,2))</x:f>
        <x:v>872.74</x:v>
      </x:c>
      <x:c r="Y704" s="85" t="n">
        <x:f>IF(OR(NOT(ISNUMBER($W704)),NOT(ISNUMBER($X704)),$W704=0),"",ROUND($X704/$W704,4))</x:f>
        <x:v>0.3241</x:v>
      </x:c>
      <x:c r="Z704" s="82" t="n">
        <x:f>IF(OR($AH704&lt;&gt;"Valid",$AI704&lt;&gt;"Valid"),"",INT($D704-$C704))</x:f>
        <x:v>4</x:v>
      </x:c>
      <x:c r="AA704" s="86" t="str">
        <x:f>IF($AH704&lt;&gt;"Valid","",TEXT($C704,"mmmm"))</x:f>
        <x:v>February</x:v>
      </x:c>
      <x:c r="AB704" s="82" t="n">
        <x:f>IF($AH704&lt;&gt;"Valid","",YEAR($C704))</x:f>
        <x:v>2025</x:v>
      </x:c>
      <x:c r="AC704" s="80" t="str">
        <x:v>Consistent</x:v>
      </x:c>
      <x:c r="AD704" s="80" t="str">
        <x:v>Eligible</x:v>
      </x:c>
      <x:c r="AE704" s="80" t="str">
        <x:f>IF(OR($AH704&lt;&gt;"Valid",$AI704&lt;&gt;"Valid",$AJ704&lt;&gt;"Valid",LEFT($AM704,7)="Invalid",IFERROR(ABS($AQ704)&gt;0.01,FALSE),IFERROR(ABS($AR704)&gt;0.01,FALSE),COUNTIF($AS704,"*Conflicting duplicate*")&gt;0,COUNTIF($AS704,"*Completed order not paid*")&gt;0),"Invalid",IF(OR($H704="Unknown",$N704="Unknown",$AM704="Missing discount imputed as 0"),"Warning","Clean"))</x:f>
        <x:v>Clean</x:v>
      </x:c>
      <x:c r="AF704" s="80" t="str">
        <x:v>Pass</x:v>
      </x:c>
      <x:c r="AG704" s="80" t="str">
        <x:v>No text cleanup required</x:v>
      </x:c>
      <x:c r="AH704" s="12" t="str">
        <x:f>IF(C704="","Missing date",IF(ISNUMBER(C704),"Valid","Unrecognized/invalid date"))</x:f>
        <x:v>Valid</x:v>
      </x:c>
      <x:c r="AI704" s="12" t="str">
        <x:f>IF(D704="","Missing date",IF(ISNUMBER(D704),"Valid","Unrecognized/invalid date"))</x:f>
        <x:v>Valid</x:v>
      </x:c>
      <x:c r="AJ704" s="12" t="str">
        <x:v>Valid</x:v>
      </x:c>
      <x:c r="AK704" s="12" t="str">
        <x:v>Pass</x:v>
      </x:c>
      <x:c r="AL704" s="12" t="str">
        <x:v>None</x:v>
      </x:c>
      <x:c r="AM704" s="12" t="str">
        <x:v>Valid</x:v>
      </x:c>
      <x:c r="AN704" s="12" t="str">
        <x:v>Include in completed sales</x:v>
      </x:c>
      <x:c r="AO704" s="12" t="str">
        <x:v>Not a refunded record</x:v>
      </x:c>
      <x:c r="AP704" s="37" t="n">
        <x:f>IF(LEFT($AM704,7)="Invalid","",IF($AM704="Missing discount imputed as 0",IF(AND(COUNT($O704,$P704,$R704,$S704)=4,$O704&gt;0,$P704&gt;=0,$R704&gt;=0,$S704&gt;=0),0,""),IF(AND(ISNUMBER($Q704),$Q704&gt;=0,$Q704&lt;=0.5),$Q704,"")))</x:f>
        <x:v>0.1</x:v>
      </x:c>
      <x:c r="AQ704" s="152" t="n">
        <x:f>IF(OR($W704="",NOT(ISNUMBER($R704))),"",ROUND($R704-$W704,2))</x:f>
        <x:v>0</x:v>
      </x:c>
      <x:c r="AR704" s="152" t="n">
        <x:f>IF(OR($X704="",NOT(ISNUMBER($T704))),"",ROUND($T704-$X704,2))</x:f>
        <x:v>0</x:v>
      </x:c>
      <x:c r="AS704" s="14" t="str">
        <x:v>OK</x:v>
      </x:c>
    </x:row>
    <x:row r="705">
      <x:c r="A705" s="80" t="n">
        <x:v>705</x:v>
      </x:c>
      <x:c r="B705" s="80" t="str">
        <x:v>ORD-2024-10704</x:v>
      </x:c>
      <x:c r="C705" s="81" t="n">
        <x:v>45584</x:v>
      </x:c>
      <x:c r="D705" s="81" t="n">
        <x:v>45585</x:v>
      </x:c>
      <x:c r="E705" s="80" t="str">
        <x:v>CUST-8734</x:v>
      </x:c>
      <x:c r="F705" s="80" t="str">
        <x:v>Aditi Sen</x:v>
      </x:c>
      <x:c r="G705" s="80" t="str">
        <x:v>Corporate</x:v>
      </x:c>
      <x:c r="H705" s="80" t="str">
        <x:v>North</x:v>
      </x:c>
      <x:c r="I705" s="80" t="str">
        <x:v>Rajasthan</x:v>
      </x:c>
      <x:c r="J705" s="80" t="str">
        <x:v>Jaipur</x:v>
      </x:c>
      <x:c r="K705" s="80" t="str">
        <x:v>Furniture</x:v>
      </x:c>
      <x:c r="L705" s="80" t="str">
        <x:v>Tables</x:v>
      </x:c>
      <x:c r="M705" s="80" t="str">
        <x:v>Classic Tables 997</x:v>
      </x:c>
      <x:c r="N705" s="80" t="str">
        <x:v>First Class</x:v>
      </x:c>
      <x:c r="O705" s="82" t="n">
        <x:v>1</x:v>
      </x:c>
      <x:c r="P705" s="83" t="n">
        <x:v>1150.03</x:v>
      </x:c>
      <x:c r="Q705" s="84" t="n">
        <x:v>0.1</x:v>
      </x:c>
      <x:c r="R705" s="83" t="n">
        <x:v>1035.03</x:v>
      </x:c>
      <x:c r="S705" s="83" t="n">
        <x:v>854.35</x:v>
      </x:c>
      <x:c r="T705" s="83" t="n">
        <x:v>180.68</x:v>
      </x:c>
      <x:c r="U705" s="83" t="str">
        <x:v>Paid</x:v>
      </x:c>
      <x:c r="V705" s="83" t="str">
        <x:v>Completed</x:v>
      </x:c>
      <x:c r="W705" s="151" t="n">
        <x:f>IF(OR(NOT(ISNUMBER($AP705)),COUNT($O705,$P705)&lt;2,$O705&lt;=0,$P705&lt;0),"",ROUND($O705*$P705*(1-$AP705),2))</x:f>
        <x:v>1035.03</x:v>
      </x:c>
      <x:c r="X705" s="151" t="n">
        <x:f>IF(OR(NOT(ISNUMBER($W705)),NOT(ISNUMBER($S705))),"",ROUND($W705-$S705,2))</x:f>
        <x:v>180.68</x:v>
      </x:c>
      <x:c r="Y705" s="85" t="n">
        <x:f>IF(OR(NOT(ISNUMBER($W705)),NOT(ISNUMBER($X705)),$W705=0),"",ROUND($X705/$W705,4))</x:f>
        <x:v>0.1746</x:v>
      </x:c>
      <x:c r="Z705" s="82" t="n">
        <x:f>IF(OR($AH705&lt;&gt;"Valid",$AI705&lt;&gt;"Valid"),"",INT($D705-$C705))</x:f>
        <x:v>1</x:v>
      </x:c>
      <x:c r="AA705" s="86" t="str">
        <x:f>IF($AH705&lt;&gt;"Valid","",TEXT($C705,"mmmm"))</x:f>
        <x:v>October</x:v>
      </x:c>
      <x:c r="AB705" s="82" t="n">
        <x:f>IF($AH705&lt;&gt;"Valid","",YEAR($C705))</x:f>
        <x:v>2024</x:v>
      </x:c>
      <x:c r="AC705" s="80" t="str">
        <x:v>Consistent</x:v>
      </x:c>
      <x:c r="AD705" s="80" t="str">
        <x:v>Eligible</x:v>
      </x:c>
      <x:c r="AE705" s="80" t="str">
        <x:f>IF(OR($AH705&lt;&gt;"Valid",$AI705&lt;&gt;"Valid",$AJ705&lt;&gt;"Valid",LEFT($AM705,7)="Invalid",IFERROR(ABS($AQ705)&gt;0.01,FALSE),IFERROR(ABS($AR705)&gt;0.01,FALSE),COUNTIF($AS705,"*Conflicting duplicate*")&gt;0,COUNTIF($AS705,"*Completed order not paid*")&gt;0),"Invalid",IF(OR($H705="Unknown",$N705="Unknown",$AM705="Missing discount imputed as 0"),"Warning","Clean"))</x:f>
        <x:v>Clean</x:v>
      </x:c>
      <x:c r="AF705" s="80" t="str">
        <x:v>Pass</x:v>
      </x:c>
      <x:c r="AG705" s="80" t="str">
        <x:v>No text cleanup required</x:v>
      </x:c>
      <x:c r="AH705" s="12" t="str">
        <x:f>IF(C705="","Missing date",IF(ISNUMBER(C705),"Valid","Unrecognized/invalid date"))</x:f>
        <x:v>Valid</x:v>
      </x:c>
      <x:c r="AI705" s="12" t="str">
        <x:f>IF(D705="","Missing date",IF(ISNUMBER(D705),"Valid","Unrecognized/invalid date"))</x:f>
        <x:v>Valid</x:v>
      </x:c>
      <x:c r="AJ705" s="12" t="str">
        <x:v>Valid</x:v>
      </x:c>
      <x:c r="AK705" s="12" t="str">
        <x:v>Pass</x:v>
      </x:c>
      <x:c r="AL705" s="12" t="str">
        <x:v>None</x:v>
      </x:c>
      <x:c r="AM705" s="12" t="str">
        <x:v>Valid</x:v>
      </x:c>
      <x:c r="AN705" s="12" t="str">
        <x:v>Include in completed sales</x:v>
      </x:c>
      <x:c r="AO705" s="12" t="str">
        <x:v>Not a refunded record</x:v>
      </x:c>
      <x:c r="AP705" s="37" t="n">
        <x:f>IF(LEFT($AM705,7)="Invalid","",IF($AM705="Missing discount imputed as 0",IF(AND(COUNT($O705,$P705,$R705,$S705)=4,$O705&gt;0,$P705&gt;=0,$R705&gt;=0,$S705&gt;=0),0,""),IF(AND(ISNUMBER($Q705),$Q705&gt;=0,$Q705&lt;=0.5),$Q705,"")))</x:f>
        <x:v>0.1</x:v>
      </x:c>
      <x:c r="AQ705" s="152" t="n">
        <x:f>IF(OR($W705="",NOT(ISNUMBER($R705))),"",ROUND($R705-$W705,2))</x:f>
        <x:v>0</x:v>
      </x:c>
      <x:c r="AR705" s="152" t="n">
        <x:f>IF(OR($X705="",NOT(ISNUMBER($T705))),"",ROUND($T705-$X705,2))</x:f>
        <x:v>0</x:v>
      </x:c>
      <x:c r="AS705" s="14" t="str">
        <x:v>OK</x:v>
      </x:c>
    </x:row>
    <x:row r="706">
      <x:c r="A706" s="80" t="n">
        <x:v>706</x:v>
      </x:c>
      <x:c r="B706" s="80" t="str">
        <x:v>ORD-2024-10705</x:v>
      </x:c>
      <x:c r="C706" s="81" t="n">
        <x:v>45364</x:v>
      </x:c>
      <x:c r="D706" s="81" t="n">
        <x:v>45371</x:v>
      </x:c>
      <x:c r="E706" s="80" t="str">
        <x:v>CUST-4916</x:v>
      </x:c>
      <x:c r="F706" s="80" t="str">
        <x:v>Priya Menon</x:v>
      </x:c>
      <x:c r="G706" s="80" t="str">
        <x:v>Home Office</x:v>
      </x:c>
      <x:c r="H706" s="80" t="str">
        <x:v>South</x:v>
      </x:c>
      <x:c r="I706" s="80" t="str">
        <x:v>Tamil Nadu</x:v>
      </x:c>
      <x:c r="J706" s="80" t="str">
        <x:v>Chennai</x:v>
      </x:c>
      <x:c r="K706" s="80" t="str">
        <x:v>Furniture</x:v>
      </x:c>
      <x:c r="L706" s="80" t="str">
        <x:v>Bookcases</x:v>
      </x:c>
      <x:c r="M706" s="80" t="str">
        <x:v>Max Bookcases 738</x:v>
      </x:c>
      <x:c r="N706" s="80" t="str">
        <x:v>Unknown</x:v>
      </x:c>
      <x:c r="O706" s="82" t="n">
        <x:v>1</x:v>
      </x:c>
      <x:c r="P706" s="83" t="n">
        <x:v>2825.63</x:v>
      </x:c>
      <x:c r="Q706" s="84" t="n">
        <x:v>0.15</x:v>
      </x:c>
      <x:c r="R706" s="83" t="n">
        <x:v>2401.79</x:v>
      </x:c>
      <x:c r="S706" s="83" t="n">
        <x:v>1820.34</x:v>
      </x:c>
      <x:c r="T706" s="83" t="n">
        <x:v>581.45</x:v>
      </x:c>
      <x:c r="U706" s="83" t="str">
        <x:v>Paid</x:v>
      </x:c>
      <x:c r="V706" s="83" t="str">
        <x:v>Completed</x:v>
      </x:c>
      <x:c r="W706" s="151" t="n">
        <x:f>IF(OR(NOT(ISNUMBER($AP706)),COUNT($O706,$P706)&lt;2,$O706&lt;=0,$P706&lt;0),"",ROUND($O706*$P706*(1-$AP706),2))</x:f>
        <x:v>2401.79</x:v>
      </x:c>
      <x:c r="X706" s="151" t="n">
        <x:f>IF(OR(NOT(ISNUMBER($W706)),NOT(ISNUMBER($S706))),"",ROUND($W706-$S706,2))</x:f>
        <x:v>581.45</x:v>
      </x:c>
      <x:c r="Y706" s="85" t="n">
        <x:f>IF(OR(NOT(ISNUMBER($W706)),NOT(ISNUMBER($X706)),$W706=0),"",ROUND($X706/$W706,4))</x:f>
        <x:v>0.2421</x:v>
      </x:c>
      <x:c r="Z706" s="82" t="n">
        <x:f>IF(OR($AH706&lt;&gt;"Valid",$AI706&lt;&gt;"Valid"),"",INT($D706-$C706))</x:f>
        <x:v>7</x:v>
      </x:c>
      <x:c r="AA706" s="86" t="str">
        <x:f>IF($AH706&lt;&gt;"Valid","",TEXT($C706,"mmmm"))</x:f>
        <x:v>March</x:v>
      </x:c>
      <x:c r="AB706" s="82" t="n">
        <x:f>IF($AH706&lt;&gt;"Valid","",YEAR($C706))</x:f>
        <x:v>2024</x:v>
      </x:c>
      <x:c r="AC706" s="80" t="str">
        <x:v>Consistent</x:v>
      </x:c>
      <x:c r="AD706" s="80" t="str">
        <x:v>Eligible</x:v>
      </x:c>
      <x:c r="AE706" s="80" t="str">
        <x:f>IF(OR($AH706&lt;&gt;"Valid",$AI706&lt;&gt;"Valid",$AJ706&lt;&gt;"Valid",LEFT($AM706,7)="Invalid",IFERROR(ABS($AQ706)&gt;0.01,FALSE),IFERROR(ABS($AR706)&gt;0.01,FALSE),COUNTIF($AS706,"*Conflicting duplicate*")&gt;0,COUNTIF($AS706,"*Completed order not paid*")&gt;0),"Invalid",IF(OR($H706="Unknown",$N706="Unknown",$AM706="Missing discount imputed as 0"),"Warning","Clean"))</x:f>
        <x:v>Warning</x:v>
      </x:c>
      <x:c r="AF706" s="80" t="str">
        <x:v>Cleaned</x:v>
      </x:c>
      <x:c r="AG706" s="80" t="str">
        <x:v>ship_mode: Missing value filled as Unknown</x:v>
      </x:c>
      <x:c r="AH706" s="12" t="str">
        <x:f>IF(C706="","Missing date",IF(ISNUMBER(C706),"Valid","Unrecognized/invalid date"))</x:f>
        <x:v>Valid</x:v>
      </x:c>
      <x:c r="AI706" s="12" t="str">
        <x:f>IF(D706="","Missing date",IF(ISNUMBER(D706),"Valid","Unrecognized/invalid date"))</x:f>
        <x:v>Valid</x:v>
      </x:c>
      <x:c r="AJ706" s="12" t="str">
        <x:v>Valid</x:v>
      </x:c>
      <x:c r="AK706" s="12" t="str">
        <x:v>Pass</x:v>
      </x:c>
      <x:c r="AL706" s="12" t="str">
        <x:v>Missing ship_mode filled as Unknown</x:v>
      </x:c>
      <x:c r="AM706" s="12" t="str">
        <x:v>Valid</x:v>
      </x:c>
      <x:c r="AN706" s="12" t="str">
        <x:v>Include in completed sales</x:v>
      </x:c>
      <x:c r="AO706" s="12" t="str">
        <x:v>Not a refunded record</x:v>
      </x:c>
      <x:c r="AP706" s="37" t="n">
        <x:f>IF(LEFT($AM706,7)="Invalid","",IF($AM706="Missing discount imputed as 0",IF(AND(COUNT($O706,$P706,$R706,$S706)=4,$O706&gt;0,$P706&gt;=0,$R706&gt;=0,$S706&gt;=0),0,""),IF(AND(ISNUMBER($Q706),$Q706&gt;=0,$Q706&lt;=0.5),$Q706,"")))</x:f>
        <x:v>0.15</x:v>
      </x:c>
      <x:c r="AQ706" s="152" t="n">
        <x:f>IF(OR($W706="",NOT(ISNUMBER($R706))),"",ROUND($R706-$W706,2))</x:f>
        <x:v>0</x:v>
      </x:c>
      <x:c r="AR706" s="152" t="n">
        <x:f>IF(OR($X706="",NOT(ISNUMBER($T706))),"",ROUND($T706-$X706,2))</x:f>
        <x:v>0</x:v>
      </x:c>
      <x:c r="AS706" s="14" t="str">
        <x:v>OK</x:v>
      </x:c>
    </x:row>
    <x:row r="707">
      <x:c r="A707" s="80" t="n">
        <x:v>707</x:v>
      </x:c>
      <x:c r="B707" s="80" t="str">
        <x:v>ORD-2024-10706</x:v>
      </x:c>
      <x:c r="C707" s="81" t="n">
        <x:v>45543</x:v>
      </x:c>
      <x:c r="D707" s="81" t="n">
        <x:v>45549</x:v>
      </x:c>
      <x:c r="E707" s="80" t="str">
        <x:v>CUST-3289</x:v>
      </x:c>
      <x:c r="F707" s="80" t="str">
        <x:v>Rohan Mehta</x:v>
      </x:c>
      <x:c r="G707" s="80" t="str">
        <x:v>Consumer</x:v>
      </x:c>
      <x:c r="H707" s="80" t="str">
        <x:v>North</x:v>
      </x:c>
      <x:c r="I707" s="80" t="str">
        <x:v>Rajasthan</x:v>
      </x:c>
      <x:c r="J707" s="80" t="str">
        <x:v>Jaipur</x:v>
      </x:c>
      <x:c r="K707" s="80" t="str">
        <x:v>Office Supplies</x:v>
      </x:c>
      <x:c r="L707" s="80" t="str">
        <x:v>Binders</x:v>
      </x:c>
      <x:c r="M707" s="80" t="str">
        <x:v>Max Binders 411</x:v>
      </x:c>
      <x:c r="N707" s="80" t="str">
        <x:v>Standard Class</x:v>
      </x:c>
      <x:c r="O707" s="82" t="n">
        <x:v>5</x:v>
      </x:c>
      <x:c r="P707" s="83" t="n">
        <x:v>3371.75</x:v>
      </x:c>
      <x:c r="Q707" s="84" t="n">
        <x:v>0.05</x:v>
      </x:c>
      <x:c r="R707" s="83" t="n">
        <x:v>16015.81</x:v>
      </x:c>
      <x:c r="S707" s="83" t="n">
        <x:v>11352.38</x:v>
      </x:c>
      <x:c r="T707" s="83" t="n">
        <x:v>4663.43</x:v>
      </x:c>
      <x:c r="U707" s="83" t="str">
        <x:v>Paid</x:v>
      </x:c>
      <x:c r="V707" s="83" t="str">
        <x:v>Completed</x:v>
      </x:c>
      <x:c r="W707" s="151" t="n">
        <x:f>IF(OR(NOT(ISNUMBER($AP707)),COUNT($O707,$P707)&lt;2,$O707&lt;=0,$P707&lt;0),"",ROUND($O707*$P707*(1-$AP707),2))</x:f>
        <x:v>16015.81</x:v>
      </x:c>
      <x:c r="X707" s="151" t="n">
        <x:f>IF(OR(NOT(ISNUMBER($W707)),NOT(ISNUMBER($S707))),"",ROUND($W707-$S707,2))</x:f>
        <x:v>4663.43</x:v>
      </x:c>
      <x:c r="Y707" s="85" t="n">
        <x:f>IF(OR(NOT(ISNUMBER($W707)),NOT(ISNUMBER($X707)),$W707=0),"",ROUND($X707/$W707,4))</x:f>
        <x:v>0.2912</x:v>
      </x:c>
      <x:c r="Z707" s="82" t="n">
        <x:f>IF(OR($AH707&lt;&gt;"Valid",$AI707&lt;&gt;"Valid"),"",INT($D707-$C707))</x:f>
        <x:v>6</x:v>
      </x:c>
      <x:c r="AA707" s="86" t="str">
        <x:f>IF($AH707&lt;&gt;"Valid","",TEXT($C707,"mmmm"))</x:f>
        <x:v>September</x:v>
      </x:c>
      <x:c r="AB707" s="82" t="n">
        <x:f>IF($AH707&lt;&gt;"Valid","",YEAR($C707))</x:f>
        <x:v>2024</x:v>
      </x:c>
      <x:c r="AC707" s="80" t="str">
        <x:v>Consistent</x:v>
      </x:c>
      <x:c r="AD707" s="80" t="str">
        <x:v>Eligible</x:v>
      </x:c>
      <x:c r="AE707" s="80" t="str">
        <x:f>IF(OR($AH707&lt;&gt;"Valid",$AI707&lt;&gt;"Valid",$AJ707&lt;&gt;"Valid",LEFT($AM707,7)="Invalid",IFERROR(ABS($AQ707)&gt;0.01,FALSE),IFERROR(ABS($AR707)&gt;0.01,FALSE),COUNTIF($AS707,"*Conflicting duplicate*")&gt;0,COUNTIF($AS707,"*Completed order not paid*")&gt;0),"Invalid",IF(OR($H707="Unknown",$N707="Unknown",$AM707="Missing discount imputed as 0"),"Warning","Clean"))</x:f>
        <x:v>Clean</x:v>
      </x:c>
      <x:c r="AF707" s="80" t="str">
        <x:v>Pass</x:v>
      </x:c>
      <x:c r="AG707" s="80" t="str">
        <x:v>No text cleanup required</x:v>
      </x:c>
      <x:c r="AH707" s="12" t="str">
        <x:f>IF(C707="","Missing date",IF(ISNUMBER(C707),"Valid","Unrecognized/invalid date"))</x:f>
        <x:v>Valid</x:v>
      </x:c>
      <x:c r="AI707" s="12" t="str">
        <x:f>IF(D707="","Missing date",IF(ISNUMBER(D707),"Valid","Unrecognized/invalid date"))</x:f>
        <x:v>Valid</x:v>
      </x:c>
      <x:c r="AJ707" s="12" t="str">
        <x:v>Valid</x:v>
      </x:c>
      <x:c r="AK707" s="12" t="str">
        <x:v>Pass</x:v>
      </x:c>
      <x:c r="AL707" s="12" t="str">
        <x:v>None</x:v>
      </x:c>
      <x:c r="AM707" s="12" t="str">
        <x:v>Valid</x:v>
      </x:c>
      <x:c r="AN707" s="12" t="str">
        <x:v>Include in completed sales</x:v>
      </x:c>
      <x:c r="AO707" s="12" t="str">
        <x:v>Not a refunded record</x:v>
      </x:c>
      <x:c r="AP707" s="37" t="n">
        <x:f>IF(LEFT($AM707,7)="Invalid","",IF($AM707="Missing discount imputed as 0",IF(AND(COUNT($O707,$P707,$R707,$S707)=4,$O707&gt;0,$P707&gt;=0,$R707&gt;=0,$S707&gt;=0),0,""),IF(AND(ISNUMBER($Q707),$Q707&gt;=0,$Q707&lt;=0.5),$Q707,"")))</x:f>
        <x:v>0.05</x:v>
      </x:c>
      <x:c r="AQ707" s="152" t="n">
        <x:f>IF(OR($W707="",NOT(ISNUMBER($R707))),"",ROUND($R707-$W707,2))</x:f>
        <x:v>0</x:v>
      </x:c>
      <x:c r="AR707" s="152" t="n">
        <x:f>IF(OR($X707="",NOT(ISNUMBER($T707))),"",ROUND($T707-$X707,2))</x:f>
        <x:v>0</x:v>
      </x:c>
      <x:c r="AS707" s="14" t="str">
        <x:v>OK</x:v>
      </x:c>
    </x:row>
    <x:row r="708">
      <x:c r="A708" s="80" t="n">
        <x:v>708</x:v>
      </x:c>
      <x:c r="B708" s="80" t="str">
        <x:v>ORD-2024-10707</x:v>
      </x:c>
      <x:c r="C708" s="81" t="n">
        <x:v>45467</x:v>
      </x:c>
      <x:c r="D708" s="81" t="n">
        <x:v>45471</x:v>
      </x:c>
      <x:c r="E708" s="80" t="str">
        <x:v>CUST-4928</x:v>
      </x:c>
      <x:c r="F708" s="80" t="str">
        <x:v>Isha Nair</x:v>
      </x:c>
      <x:c r="G708" s="80" t="str">
        <x:v>Small Business</x:v>
      </x:c>
      <x:c r="H708" s="80" t="str">
        <x:v>East</x:v>
      </x:c>
      <x:c r="I708" s="80" t="str">
        <x:v>Odisha</x:v>
      </x:c>
      <x:c r="J708" s="80" t="str">
        <x:v>Bhubaneswar</x:v>
      </x:c>
      <x:c r="K708" s="80" t="str">
        <x:v>Office Supplies</x:v>
      </x:c>
      <x:c r="L708" s="80" t="str">
        <x:v>Paper</x:v>
      </x:c>
      <x:c r="M708" s="80" t="str">
        <x:v>Max Paper 343</x:v>
      </x:c>
      <x:c r="N708" s="80" t="str">
        <x:v>Same Day</x:v>
      </x:c>
      <x:c r="O708" s="82" t="n">
        <x:v>1</x:v>
      </x:c>
      <x:c r="P708" s="83" t="n">
        <x:v>2112.75</x:v>
      </x:c>
      <x:c r="Q708" s="84" t="n">
        <x:v>0.1</x:v>
      </x:c>
      <x:c r="R708" s="83" t="n">
        <x:v>1901.48</x:v>
      </x:c>
      <x:c r="S708" s="83" t="n">
        <x:v>1354.28</x:v>
      </x:c>
      <x:c r="T708" s="83" t="n">
        <x:v>547.2</x:v>
      </x:c>
      <x:c r="U708" s="83" t="str">
        <x:v>Paid</x:v>
      </x:c>
      <x:c r="V708" s="83" t="str">
        <x:v>Completed</x:v>
      </x:c>
      <x:c r="W708" s="151" t="n">
        <x:f>IF(OR(NOT(ISNUMBER($AP708)),COUNT($O708,$P708)&lt;2,$O708&lt;=0,$P708&lt;0),"",ROUND($O708*$P708*(1-$AP708),2))</x:f>
        <x:v>1901.48</x:v>
      </x:c>
      <x:c r="X708" s="151" t="n">
        <x:f>IF(OR(NOT(ISNUMBER($W708)),NOT(ISNUMBER($S708))),"",ROUND($W708-$S708,2))</x:f>
        <x:v>547.2</x:v>
      </x:c>
      <x:c r="Y708" s="85" t="n">
        <x:f>IF(OR(NOT(ISNUMBER($W708)),NOT(ISNUMBER($X708)),$W708=0),"",ROUND($X708/$W708,4))</x:f>
        <x:v>0.2878</x:v>
      </x:c>
      <x:c r="Z708" s="82" t="n">
        <x:f>IF(OR($AH708&lt;&gt;"Valid",$AI708&lt;&gt;"Valid"),"",INT($D708-$C708))</x:f>
        <x:v>4</x:v>
      </x:c>
      <x:c r="AA708" s="86" t="str">
        <x:f>IF($AH708&lt;&gt;"Valid","",TEXT($C708,"mmmm"))</x:f>
        <x:v>June</x:v>
      </x:c>
      <x:c r="AB708" s="82" t="n">
        <x:f>IF($AH708&lt;&gt;"Valid","",YEAR($C708))</x:f>
        <x:v>2024</x:v>
      </x:c>
      <x:c r="AC708" s="80" t="str">
        <x:v>Consistent</x:v>
      </x:c>
      <x:c r="AD708" s="80" t="str">
        <x:v>Eligible</x:v>
      </x:c>
      <x:c r="AE708" s="80" t="str">
        <x:f>IF(OR($AH708&lt;&gt;"Valid",$AI708&lt;&gt;"Valid",$AJ708&lt;&gt;"Valid",LEFT($AM708,7)="Invalid",IFERROR(ABS($AQ708)&gt;0.01,FALSE),IFERROR(ABS($AR708)&gt;0.01,FALSE),COUNTIF($AS708,"*Conflicting duplicate*")&gt;0,COUNTIF($AS708,"*Completed order not paid*")&gt;0),"Invalid",IF(OR($H708="Unknown",$N708="Unknown",$AM708="Missing discount imputed as 0"),"Warning","Clean"))</x:f>
        <x:v>Clean</x:v>
      </x:c>
      <x:c r="AF708" s="80" t="str">
        <x:v>Pass</x:v>
      </x:c>
      <x:c r="AG708" s="80" t="str">
        <x:v>No text cleanup required</x:v>
      </x:c>
      <x:c r="AH708" s="12" t="str">
        <x:f>IF(C708="","Missing date",IF(ISNUMBER(C708),"Valid","Unrecognized/invalid date"))</x:f>
        <x:v>Valid</x:v>
      </x:c>
      <x:c r="AI708" s="12" t="str">
        <x:f>IF(D708="","Missing date",IF(ISNUMBER(D708),"Valid","Unrecognized/invalid date"))</x:f>
        <x:v>Valid</x:v>
      </x:c>
      <x:c r="AJ708" s="12" t="str">
        <x:v>Valid</x:v>
      </x:c>
      <x:c r="AK708" s="12" t="str">
        <x:v>Pass</x:v>
      </x:c>
      <x:c r="AL708" s="12" t="str">
        <x:v>None</x:v>
      </x:c>
      <x:c r="AM708" s="12" t="str">
        <x:v>Valid</x:v>
      </x:c>
      <x:c r="AN708" s="12" t="str">
        <x:v>Include in completed sales</x:v>
      </x:c>
      <x:c r="AO708" s="12" t="str">
        <x:v>Not a refunded record</x:v>
      </x:c>
      <x:c r="AP708" s="37" t="n">
        <x:f>IF(LEFT($AM708,7)="Invalid","",IF($AM708="Missing discount imputed as 0",IF(AND(COUNT($O708,$P708,$R708,$S708)=4,$O708&gt;0,$P708&gt;=0,$R708&gt;=0,$S708&gt;=0),0,""),IF(AND(ISNUMBER($Q708),$Q708&gt;=0,$Q708&lt;=0.5),$Q708,"")))</x:f>
        <x:v>0.1</x:v>
      </x:c>
      <x:c r="AQ708" s="152" t="n">
        <x:f>IF(OR($W708="",NOT(ISNUMBER($R708))),"",ROUND($R708-$W708,2))</x:f>
        <x:v>0</x:v>
      </x:c>
      <x:c r="AR708" s="152" t="n">
        <x:f>IF(OR($X708="",NOT(ISNUMBER($T708))),"",ROUND($T708-$X708,2))</x:f>
        <x:v>0</x:v>
      </x:c>
      <x:c r="AS708" s="14" t="str">
        <x:v>OK</x:v>
      </x:c>
    </x:row>
    <x:row r="709">
      <x:c r="A709" s="80" t="n">
        <x:v>709</x:v>
      </x:c>
      <x:c r="B709" s="80" t="str">
        <x:v>ORD-2025-10708</x:v>
      </x:c>
      <x:c r="C709" s="81" t="n">
        <x:v>45832</x:v>
      </x:c>
      <x:c r="D709" s="81" t="n">
        <x:v>45834</x:v>
      </x:c>
      <x:c r="E709" s="80" t="str">
        <x:v>CUST-4902</x:v>
      </x:c>
      <x:c r="F709" s="80" t="str">
        <x:v>Vikram Iyer</x:v>
      </x:c>
      <x:c r="G709" s="80" t="str">
        <x:v>Consumer</x:v>
      </x:c>
      <x:c r="H709" s="80" t="str">
        <x:v>North</x:v>
      </x:c>
      <x:c r="I709" s="80" t="str">
        <x:v>Rajasthan</x:v>
      </x:c>
      <x:c r="J709" s="80" t="str">
        <x:v>Jaipur</x:v>
      </x:c>
      <x:c r="K709" s="80" t="str">
        <x:v>Technology</x:v>
      </x:c>
      <x:c r="L709" s="80" t="str">
        <x:v>Accessories</x:v>
      </x:c>
      <x:c r="M709" s="80" t="str">
        <x:v>Pro Accessories 485</x:v>
      </x:c>
      <x:c r="N709" s="80" t="str">
        <x:v>Same Day</x:v>
      </x:c>
      <x:c r="O709" s="82" t="n">
        <x:v>5</x:v>
      </x:c>
      <x:c r="P709" s="83" t="n">
        <x:v>3722.66</x:v>
      </x:c>
      <x:c r="Q709" s="84" t="n">
        <x:v>0.55</x:v>
      </x:c>
      <x:c r="R709" s="83" t="n">
        <x:v>16751.97</x:v>
      </x:c>
      <x:c r="S709" s="83" t="n">
        <x:v>11678.32</x:v>
      </x:c>
      <x:c r="T709" s="83" t="n">
        <x:v>5073.65</x:v>
      </x:c>
      <x:c r="U709" s="83" t="str">
        <x:v>Paid</x:v>
      </x:c>
      <x:c r="V709" s="83" t="str">
        <x:v>Completed</x:v>
      </x:c>
      <x:c r="W709" s="151" t="str">
        <x:f>IF(OR(NOT(ISNUMBER($AP709)),COUNT($O709,$P709)&lt;2,$O709&lt;=0,$P709&lt;0),"",ROUND($O709*$P709*(1-$AP709),2))</x:f>
      </x:c>
      <x:c r="X709" s="151" t="str">
        <x:f>IF(OR(NOT(ISNUMBER($W709)),NOT(ISNUMBER($S709))),"",ROUND($W709-$S709,2))</x:f>
      </x:c>
      <x:c r="Y709" s="85" t="str">
        <x:f>IF(OR(NOT(ISNUMBER($W709)),NOT(ISNUMBER($X709)),$W709=0),"",ROUND($X709/$W709,4))</x:f>
      </x:c>
      <x:c r="Z709" s="82" t="n">
        <x:f>IF(OR($AH709&lt;&gt;"Valid",$AI709&lt;&gt;"Valid"),"",INT($D709-$C709))</x:f>
        <x:v>2</x:v>
      </x:c>
      <x:c r="AA709" s="86" t="str">
        <x:f>IF($AH709&lt;&gt;"Valid","",TEXT($C709,"mmmm"))</x:f>
        <x:v>June</x:v>
      </x:c>
      <x:c r="AB709" s="82" t="n">
        <x:f>IF($AH709&lt;&gt;"Valid","",YEAR($C709))</x:f>
        <x:v>2025</x:v>
      </x:c>
      <x:c r="AC709" s="80" t="str">
        <x:v>Consistent</x:v>
      </x:c>
      <x:c r="AD709" s="80" t="str">
        <x:v>Excluded</x:v>
      </x:c>
      <x:c r="AE709" s="80" t="str">
        <x:f>IF(OR($AH709&lt;&gt;"Valid",$AI709&lt;&gt;"Valid",$AJ709&lt;&gt;"Valid",LEFT($AM709,7)="Invalid",IFERROR(ABS($AQ709)&gt;0.01,FALSE),IFERROR(ABS($AR709)&gt;0.01,FALSE),COUNTIF($AS709,"*Conflicting duplicate*")&gt;0,COUNTIF($AS709,"*Completed order not paid*")&gt;0),"Invalid",IF(OR($H709="Unknown",$N709="Unknown",$AM709="Missing discount imputed as 0"),"Warning","Clean"))</x:f>
        <x:v>Invalid</x:v>
      </x:c>
      <x:c r="AF709" s="80" t="str">
        <x:v>Review</x:v>
      </x:c>
      <x:c r="AG709" s="80" t="str">
        <x:v>sub_category: TRIM/SUBSTITUTE whitespace cleanup</x:v>
      </x:c>
      <x:c r="AH709" s="12" t="str">
        <x:f>IF(C709="","Missing date",IF(ISNUMBER(C709),"Valid","Unrecognized/invalid date"))</x:f>
        <x:v>Valid</x:v>
      </x:c>
      <x:c r="AI709" s="12" t="str">
        <x:f>IF(D709="","Missing date",IF(ISNUMBER(D709),"Valid","Unrecognized/invalid date"))</x:f>
        <x:v>Valid</x:v>
      </x:c>
      <x:c r="AJ709" s="12" t="str">
        <x:v>Valid</x:v>
      </x:c>
      <x:c r="AK709" s="12" t="str">
        <x:v>Pass</x:v>
      </x:c>
      <x:c r="AL709" s="12" t="str">
        <x:v>None</x:v>
      </x:c>
      <x:c r="AM709" s="12" t="str">
        <x:v>Invalid discount – above 50% allowed range</x:v>
      </x:c>
      <x:c r="AN709" s="12" t="str">
        <x:v>Exclude from completed sales</x:v>
      </x:c>
      <x:c r="AO709" s="12" t="str">
        <x:v>Not a refunded record</x:v>
      </x:c>
      <x:c r="AP709" s="37" t="str">
        <x:f>IF(LEFT($AM709,7)="Invalid","",IF($AM709="Missing discount imputed as 0",IF(AND(COUNT($O709,$P709,$R709,$S709)=4,$O709&gt;0,$P709&gt;=0,$R709&gt;=0,$S709&gt;=0),0,""),IF(AND(ISNUMBER($Q709),$Q709&gt;=0,$Q709&lt;=0.5),$Q709,"")))</x:f>
      </x:c>
      <x:c r="AQ709" s="152" t="str">
        <x:f>IF(OR($W709="",NOT(ISNUMBER($R709))),"",ROUND($R709-$W709,2))</x:f>
      </x:c>
      <x:c r="AR709" s="152" t="str">
        <x:f>IF(OR($X709="",NOT(ISNUMBER($T709))),"",ROUND($T709-$X709,2))</x:f>
      </x:c>
      <x:c r="AS709" s="14" t="str">
        <x:v>Discount above allowed range (&gt;50%)</x:v>
      </x:c>
    </x:row>
    <x:row r="710">
      <x:c r="A710" s="80" t="n">
        <x:v>710</x:v>
      </x:c>
      <x:c r="B710" s="80" t="str">
        <x:v>ORD-2025-10709</x:v>
      </x:c>
      <x:c r="C710" s="81" t="n">
        <x:v>45736</x:v>
      </x:c>
      <x:c r="D710" s="81" t="n">
        <x:v>45742</x:v>
      </x:c>
      <x:c r="E710" s="80" t="str">
        <x:v>CUST-6504</x:v>
      </x:c>
      <x:c r="F710" s="80" t="str">
        <x:v>Sneha Kapoor</x:v>
      </x:c>
      <x:c r="G710" s="80" t="str">
        <x:v>Consumer</x:v>
      </x:c>
      <x:c r="H710" s="80" t="str">
        <x:v>East</x:v>
      </x:c>
      <x:c r="I710" s="80" t="str">
        <x:v>Assam</x:v>
      </x:c>
      <x:c r="J710" s="80" t="str">
        <x:v>Guwahati</x:v>
      </x:c>
      <x:c r="K710" s="80" t="str">
        <x:v>Furniture</x:v>
      </x:c>
      <x:c r="L710" s="80" t="str">
        <x:v>Bookcases</x:v>
      </x:c>
      <x:c r="M710" s="80" t="str">
        <x:v>Elite Bookcases 113</x:v>
      </x:c>
      <x:c r="N710" s="80" t="str">
        <x:v>First Class</x:v>
      </x:c>
      <x:c r="O710" s="82" t="n">
        <x:v>4</x:v>
      </x:c>
      <x:c r="P710" s="83" t="n">
        <x:v>4357.66</x:v>
      </x:c>
      <x:c r="Q710" s="84" t="n">
        <x:v>0.05</x:v>
      </x:c>
      <x:c r="R710" s="83" t="n">
        <x:v>16559.11</x:v>
      </x:c>
      <x:c r="S710" s="83" t="n">
        <x:v>13233.79</x:v>
      </x:c>
      <x:c r="T710" s="83" t="n">
        <x:v>3325.32</x:v>
      </x:c>
      <x:c r="U710" s="83" t="str">
        <x:v>Paid</x:v>
      </x:c>
      <x:c r="V710" s="83" t="str">
        <x:v>Completed</x:v>
      </x:c>
      <x:c r="W710" s="151" t="n">
        <x:f>IF(OR(NOT(ISNUMBER($AP710)),COUNT($O710,$P710)&lt;2,$O710&lt;=0,$P710&lt;0),"",ROUND($O710*$P710*(1-$AP710),2))</x:f>
        <x:v>16559.11</x:v>
      </x:c>
      <x:c r="X710" s="151" t="n">
        <x:f>IF(OR(NOT(ISNUMBER($W710)),NOT(ISNUMBER($S710))),"",ROUND($W710-$S710,2))</x:f>
        <x:v>3325.32</x:v>
      </x:c>
      <x:c r="Y710" s="85" t="n">
        <x:f>IF(OR(NOT(ISNUMBER($W710)),NOT(ISNUMBER($X710)),$W710=0),"",ROUND($X710/$W710,4))</x:f>
        <x:v>0.2008</x:v>
      </x:c>
      <x:c r="Z710" s="82" t="n">
        <x:f>IF(OR($AH710&lt;&gt;"Valid",$AI710&lt;&gt;"Valid"),"",INT($D710-$C710))</x:f>
        <x:v>6</x:v>
      </x:c>
      <x:c r="AA710" s="86" t="str">
        <x:f>IF($AH710&lt;&gt;"Valid","",TEXT($C710,"mmmm"))</x:f>
        <x:v>March</x:v>
      </x:c>
      <x:c r="AB710" s="82" t="n">
        <x:f>IF($AH710&lt;&gt;"Valid","",YEAR($C710))</x:f>
        <x:v>2025</x:v>
      </x:c>
      <x:c r="AC710" s="80" t="str">
        <x:v>Consistent</x:v>
      </x:c>
      <x:c r="AD710" s="80" t="str">
        <x:v>Eligible</x:v>
      </x:c>
      <x:c r="AE710" s="80" t="str">
        <x:f>IF(OR($AH710&lt;&gt;"Valid",$AI710&lt;&gt;"Valid",$AJ710&lt;&gt;"Valid",LEFT($AM710,7)="Invalid",IFERROR(ABS($AQ710)&gt;0.01,FALSE),IFERROR(ABS($AR710)&gt;0.01,FALSE),COUNTIF($AS710,"*Conflicting duplicate*")&gt;0,COUNTIF($AS710,"*Completed order not paid*")&gt;0),"Invalid",IF(OR($H710="Unknown",$N710="Unknown",$AM710="Missing discount imputed as 0"),"Warning","Clean"))</x:f>
        <x:v>Clean</x:v>
      </x:c>
      <x:c r="AF710" s="80" t="str">
        <x:v>Pass</x:v>
      </x:c>
      <x:c r="AG710" s="80" t="str">
        <x:v>No text cleanup required</x:v>
      </x:c>
      <x:c r="AH710" s="12" t="str">
        <x:f>IF(C710="","Missing date",IF(ISNUMBER(C710),"Valid","Unrecognized/invalid date"))</x:f>
        <x:v>Valid</x:v>
      </x:c>
      <x:c r="AI710" s="12" t="str">
        <x:f>IF(D710="","Missing date",IF(ISNUMBER(D710),"Valid","Unrecognized/invalid date"))</x:f>
        <x:v>Valid</x:v>
      </x:c>
      <x:c r="AJ710" s="12" t="str">
        <x:v>Valid</x:v>
      </x:c>
      <x:c r="AK710" s="12" t="str">
        <x:v>Pass</x:v>
      </x:c>
      <x:c r="AL710" s="12" t="str">
        <x:v>None</x:v>
      </x:c>
      <x:c r="AM710" s="12" t="str">
        <x:v>Valid</x:v>
      </x:c>
      <x:c r="AN710" s="12" t="str">
        <x:v>Include in completed sales</x:v>
      </x:c>
      <x:c r="AO710" s="12" t="str">
        <x:v>Not a refunded record</x:v>
      </x:c>
      <x:c r="AP710" s="37" t="n">
        <x:f>IF(LEFT($AM710,7)="Invalid","",IF($AM710="Missing discount imputed as 0",IF(AND(COUNT($O710,$P710,$R710,$S710)=4,$O710&gt;0,$P710&gt;=0,$R710&gt;=0,$S710&gt;=0),0,""),IF(AND(ISNUMBER($Q710),$Q710&gt;=0,$Q710&lt;=0.5),$Q710,"")))</x:f>
        <x:v>0.05</x:v>
      </x:c>
      <x:c r="AQ710" s="152" t="n">
        <x:f>IF(OR($W710="",NOT(ISNUMBER($R710))),"",ROUND($R710-$W710,2))</x:f>
        <x:v>0</x:v>
      </x:c>
      <x:c r="AR710" s="152" t="n">
        <x:f>IF(OR($X710="",NOT(ISNUMBER($T710))),"",ROUND($T710-$X710,2))</x:f>
        <x:v>0</x:v>
      </x:c>
      <x:c r="AS710" s="14" t="str">
        <x:v>OK</x:v>
      </x:c>
    </x:row>
    <x:row r="711">
      <x:c r="A711" s="80" t="n">
        <x:v>711</x:v>
      </x:c>
      <x:c r="B711" s="80" t="str">
        <x:v>ORD-2025-10710</x:v>
      </x:c>
      <x:c r="C711" s="81" t="n">
        <x:v>45676</x:v>
      </x:c>
      <x:c r="D711" s="81" t="n">
        <x:v>45680</x:v>
      </x:c>
      <x:c r="E711" s="80" t="str">
        <x:v>CUST-8036</x:v>
      </x:c>
      <x:c r="F711" s="80" t="str">
        <x:v>Kabir Singh</x:v>
      </x:c>
      <x:c r="G711" s="80" t="str">
        <x:v>Home Office</x:v>
      </x:c>
      <x:c r="H711" s="80" t="str">
        <x:v>North</x:v>
      </x:c>
      <x:c r="I711" s="80" t="str">
        <x:v>Punjab</x:v>
      </x:c>
      <x:c r="J711" s="80" t="str">
        <x:v>Ludhiana</x:v>
      </x:c>
      <x:c r="K711" s="80" t="str">
        <x:v>Technology</x:v>
      </x:c>
      <x:c r="L711" s="80" t="str">
        <x:v>Phones</x:v>
      </x:c>
      <x:c r="M711" s="80" t="str">
        <x:v>Eco Phones 787</x:v>
      </x:c>
      <x:c r="N711" s="80" t="str">
        <x:v>Same Day</x:v>
      </x:c>
      <x:c r="O711" s="82" t="n">
        <x:v>7</x:v>
      </x:c>
      <x:c r="P711" s="83" t="n">
        <x:v>1363.04</x:v>
      </x:c>
      <x:c r="Q711" s="84" t="n">
        <x:v>0.15</x:v>
      </x:c>
      <x:c r="R711" s="83" t="n">
        <x:v>8110.09</x:v>
      </x:c>
      <x:c r="S711" s="83" t="n">
        <x:v>6417.32</x:v>
      </x:c>
      <x:c r="T711" s="83" t="n">
        <x:v>1692.77</x:v>
      </x:c>
      <x:c r="U711" s="83" t="str">
        <x:v>Paid</x:v>
      </x:c>
      <x:c r="V711" s="83" t="str">
        <x:v>Cancelled</x:v>
      </x:c>
      <x:c r="W711" s="151" t="n">
        <x:f>IF(OR(NOT(ISNUMBER($AP711)),COUNT($O711,$P711)&lt;2,$O711&lt;=0,$P711&lt;0),"",ROUND($O711*$P711*(1-$AP711),2))</x:f>
        <x:v>8110.09</x:v>
      </x:c>
      <x:c r="X711" s="151" t="n">
        <x:f>IF(OR(NOT(ISNUMBER($W711)),NOT(ISNUMBER($S711))),"",ROUND($W711-$S711,2))</x:f>
        <x:v>1692.77</x:v>
      </x:c>
      <x:c r="Y711" s="85" t="n">
        <x:f>IF(OR(NOT(ISNUMBER($W711)),NOT(ISNUMBER($X711)),$W711=0),"",ROUND($X711/$W711,4))</x:f>
        <x:v>0.2087</x:v>
      </x:c>
      <x:c r="Z711" s="82" t="n">
        <x:f>IF(OR($AH711&lt;&gt;"Valid",$AI711&lt;&gt;"Valid"),"",INT($D711-$C711))</x:f>
        <x:v>4</x:v>
      </x:c>
      <x:c r="AA711" s="86" t="str">
        <x:f>IF($AH711&lt;&gt;"Valid","",TEXT($C711,"mmmm"))</x:f>
        <x:v>January</x:v>
      </x:c>
      <x:c r="AB711" s="82" t="n">
        <x:f>IF($AH711&lt;&gt;"Valid","",YEAR($C711))</x:f>
        <x:v>2025</x:v>
      </x:c>
      <x:c r="AC711" s="80" t="str">
        <x:v>Cancelled (excluded from completed-sales summary)</x:v>
      </x:c>
      <x:c r="AD711" s="80" t="str">
        <x:v>Excluded</x:v>
      </x:c>
      <x:c r="AE711" s="80" t="str">
        <x:f>IF(OR($AH711&lt;&gt;"Valid",$AI711&lt;&gt;"Valid",$AJ711&lt;&gt;"Valid",LEFT($AM711,7)="Invalid",IFERROR(ABS($AQ711)&gt;0.01,FALSE),IFERROR(ABS($AR711)&gt;0.01,FALSE),COUNTIF($AS711,"*Conflicting duplicate*")&gt;0,COUNTIF($AS711,"*Completed order not paid*")&gt;0),"Invalid",IF(OR($H711="Unknown",$N711="Unknown",$AM711="Missing discount imputed as 0"),"Warning","Clean"))</x:f>
        <x:v>Clean</x:v>
      </x:c>
      <x:c r="AF711" s="80" t="str">
        <x:v>Pass</x:v>
      </x:c>
      <x:c r="AG711" s="80" t="str">
        <x:v>No text cleanup required</x:v>
      </x:c>
      <x:c r="AH711" s="12" t="str">
        <x:f>IF(C711="","Missing date",IF(ISNUMBER(C711),"Valid","Unrecognized/invalid date"))</x:f>
        <x:v>Valid</x:v>
      </x:c>
      <x:c r="AI711" s="12" t="str">
        <x:f>IF(D711="","Missing date",IF(ISNUMBER(D711),"Valid","Unrecognized/invalid date"))</x:f>
        <x:v>Valid</x:v>
      </x:c>
      <x:c r="AJ711" s="12" t="str">
        <x:v>Valid</x:v>
      </x:c>
      <x:c r="AK711" s="12" t="str">
        <x:v>Pass</x:v>
      </x:c>
      <x:c r="AL711" s="12" t="str">
        <x:v>Cancelled order – excluded from completed sales</x:v>
      </x:c>
      <x:c r="AM711" s="12" t="str">
        <x:v>Valid</x:v>
      </x:c>
      <x:c r="AN711" s="12" t="str">
        <x:v>Exclude from completed sales</x:v>
      </x:c>
      <x:c r="AO711" s="12" t="str">
        <x:v>Not a refunded record</x:v>
      </x:c>
      <x:c r="AP711" s="37" t="n">
        <x:f>IF(LEFT($AM711,7)="Invalid","",IF($AM711="Missing discount imputed as 0",IF(AND(COUNT($O711,$P711,$R711,$S711)=4,$O711&gt;0,$P711&gt;=0,$R711&gt;=0,$S711&gt;=0),0,""),IF(AND(ISNUMBER($Q711),$Q711&gt;=0,$Q711&lt;=0.5),$Q711,"")))</x:f>
        <x:v>0.15</x:v>
      </x:c>
      <x:c r="AQ711" s="152" t="n">
        <x:f>IF(OR($W711="",NOT(ISNUMBER($R711))),"",ROUND($R711-$W711,2))</x:f>
        <x:v>0</x:v>
      </x:c>
      <x:c r="AR711" s="152" t="n">
        <x:f>IF(OR($X711="",NOT(ISNUMBER($T711))),"",ROUND($T711-$X711,2))</x:f>
        <x:v>0</x:v>
      </x:c>
      <x:c r="AS711" s="14" t="str">
        <x:v>OK</x:v>
      </x:c>
    </x:row>
    <x:row r="712">
      <x:c r="A712" s="80" t="n">
        <x:v>712</x:v>
      </x:c>
      <x:c r="B712" s="80" t="str">
        <x:v>ORD-2024-10711</x:v>
      </x:c>
      <x:c r="C712" s="81" t="n">
        <x:v>45485</x:v>
      </x:c>
      <x:c r="D712" s="81" t="n">
        <x:v>45492</x:v>
      </x:c>
      <x:c r="E712" s="80" t="str">
        <x:v>CUST-7199</x:v>
      </x:c>
      <x:c r="F712" s="80" t="str">
        <x:v>Vikram Iyer</x:v>
      </x:c>
      <x:c r="G712" s="80" t="str">
        <x:v>Corporate</x:v>
      </x:c>
      <x:c r="H712" s="80" t="str">
        <x:v>North</x:v>
      </x:c>
      <x:c r="I712" s="80" t="str">
        <x:v>Punjab</x:v>
      </x:c>
      <x:c r="J712" s="80" t="str">
        <x:v>Ludhiana</x:v>
      </x:c>
      <x:c r="K712" s="80" t="str">
        <x:v>Office Supplies</x:v>
      </x:c>
      <x:c r="L712" s="80" t="str">
        <x:v>Art</x:v>
      </x:c>
      <x:c r="M712" s="80" t="str">
        <x:v>Smart Art 279</x:v>
      </x:c>
      <x:c r="N712" s="80" t="str">
        <x:v>Second Class</x:v>
      </x:c>
      <x:c r="O712" s="82" t="n">
        <x:v>5</x:v>
      </x:c>
      <x:c r="P712" s="83" t="n">
        <x:v>1559.16</x:v>
      </x:c>
      <x:c r="Q712" s="84" t="n">
        <x:v>0.05</x:v>
      </x:c>
      <x:c r="R712" s="83" t="n">
        <x:v>7406.01</x:v>
      </x:c>
      <x:c r="S712" s="83" t="n">
        <x:v>5941.74</x:v>
      </x:c>
      <x:c r="T712" s="83" t="n">
        <x:v>1464.27</x:v>
      </x:c>
      <x:c r="U712" s="83" t="str">
        <x:v>Paid</x:v>
      </x:c>
      <x:c r="V712" s="83" t="str">
        <x:v>Completed</x:v>
      </x:c>
      <x:c r="W712" s="151" t="n">
        <x:f>IF(OR(NOT(ISNUMBER($AP712)),COUNT($O712,$P712)&lt;2,$O712&lt;=0,$P712&lt;0),"",ROUND($O712*$P712*(1-$AP712),2))</x:f>
        <x:v>7406.01</x:v>
      </x:c>
      <x:c r="X712" s="151" t="n">
        <x:f>IF(OR(NOT(ISNUMBER($W712)),NOT(ISNUMBER($S712))),"",ROUND($W712-$S712,2))</x:f>
        <x:v>1464.27</x:v>
      </x:c>
      <x:c r="Y712" s="85" t="n">
        <x:f>IF(OR(NOT(ISNUMBER($W712)),NOT(ISNUMBER($X712)),$W712=0),"",ROUND($X712/$W712,4))</x:f>
        <x:v>0.1977</x:v>
      </x:c>
      <x:c r="Z712" s="82" t="n">
        <x:f>IF(OR($AH712&lt;&gt;"Valid",$AI712&lt;&gt;"Valid"),"",INT($D712-$C712))</x:f>
        <x:v>7</x:v>
      </x:c>
      <x:c r="AA712" s="86" t="str">
        <x:f>IF($AH712&lt;&gt;"Valid","",TEXT($C712,"mmmm"))</x:f>
        <x:v>July</x:v>
      </x:c>
      <x:c r="AB712" s="82" t="n">
        <x:f>IF($AH712&lt;&gt;"Valid","",YEAR($C712))</x:f>
        <x:v>2024</x:v>
      </x:c>
      <x:c r="AC712" s="80" t="str">
        <x:v>Consistent</x:v>
      </x:c>
      <x:c r="AD712" s="80" t="str">
        <x:v>Eligible</x:v>
      </x:c>
      <x:c r="AE712" s="80" t="str">
        <x:f>IF(OR($AH712&lt;&gt;"Valid",$AI712&lt;&gt;"Valid",$AJ712&lt;&gt;"Valid",LEFT($AM712,7)="Invalid",IFERROR(ABS($AQ712)&gt;0.01,FALSE),IFERROR(ABS($AR712)&gt;0.01,FALSE),COUNTIF($AS712,"*Conflicting duplicate*")&gt;0,COUNTIF($AS712,"*Completed order not paid*")&gt;0),"Invalid",IF(OR($H712="Unknown",$N712="Unknown",$AM712="Missing discount imputed as 0"),"Warning","Clean"))</x:f>
        <x:v>Clean</x:v>
      </x:c>
      <x:c r="AF712" s="80" t="str">
        <x:v>Pass</x:v>
      </x:c>
      <x:c r="AG712" s="80" t="str">
        <x:v>No text cleanup required</x:v>
      </x:c>
      <x:c r="AH712" s="12" t="str">
        <x:f>IF(C712="","Missing date",IF(ISNUMBER(C712),"Valid","Unrecognized/invalid date"))</x:f>
        <x:v>Valid</x:v>
      </x:c>
      <x:c r="AI712" s="12" t="str">
        <x:f>IF(D712="","Missing date",IF(ISNUMBER(D712),"Valid","Unrecognized/invalid date"))</x:f>
        <x:v>Valid</x:v>
      </x:c>
      <x:c r="AJ712" s="12" t="str">
        <x:v>Valid</x:v>
      </x:c>
      <x:c r="AK712" s="12" t="str">
        <x:v>Pass</x:v>
      </x:c>
      <x:c r="AL712" s="12" t="str">
        <x:v>None</x:v>
      </x:c>
      <x:c r="AM712" s="12" t="str">
        <x:v>Valid</x:v>
      </x:c>
      <x:c r="AN712" s="12" t="str">
        <x:v>Include in completed sales</x:v>
      </x:c>
      <x:c r="AO712" s="12" t="str">
        <x:v>Not a refunded record</x:v>
      </x:c>
      <x:c r="AP712" s="37" t="n">
        <x:f>IF(LEFT($AM712,7)="Invalid","",IF($AM712="Missing discount imputed as 0",IF(AND(COUNT($O712,$P712,$R712,$S712)=4,$O712&gt;0,$P712&gt;=0,$R712&gt;=0,$S712&gt;=0),0,""),IF(AND(ISNUMBER($Q712),$Q712&gt;=0,$Q712&lt;=0.5),$Q712,"")))</x:f>
        <x:v>0.05</x:v>
      </x:c>
      <x:c r="AQ712" s="152" t="n">
        <x:f>IF(OR($W712="",NOT(ISNUMBER($R712))),"",ROUND($R712-$W712,2))</x:f>
        <x:v>0</x:v>
      </x:c>
      <x:c r="AR712" s="152" t="n">
        <x:f>IF(OR($X712="",NOT(ISNUMBER($T712))),"",ROUND($T712-$X712,2))</x:f>
        <x:v>0</x:v>
      </x:c>
      <x:c r="AS712" s="14" t="str">
        <x:v>OK</x:v>
      </x:c>
    </x:row>
    <x:row r="713">
      <x:c r="A713" s="80" t="n">
        <x:v>713</x:v>
      </x:c>
      <x:c r="B713" s="80" t="str">
        <x:v>ORD-2025-10712</x:v>
      </x:c>
      <x:c r="C713" s="81" t="n">
        <x:v>45690</x:v>
      </x:c>
      <x:c r="D713" s="81" t="n">
        <x:v>45690</x:v>
      </x:c>
      <x:c r="E713" s="80" t="str">
        <x:v>CUST-6176</x:v>
      </x:c>
      <x:c r="F713" s="80" t="str">
        <x:v>Kabir Singh</x:v>
      </x:c>
      <x:c r="G713" s="80" t="str">
        <x:v>Corporate</x:v>
      </x:c>
      <x:c r="H713" s="80" t="str">
        <x:v>East</x:v>
      </x:c>
      <x:c r="I713" s="80" t="str">
        <x:v>West Bengal</x:v>
      </x:c>
      <x:c r="J713" s="80" t="str">
        <x:v>Kolkata</x:v>
      </x:c>
      <x:c r="K713" s="80" t="str">
        <x:v>Technology</x:v>
      </x:c>
      <x:c r="L713" s="80" t="str">
        <x:v>Machines</x:v>
      </x:c>
      <x:c r="M713" s="80" t="str">
        <x:v>Basic Machines 172</x:v>
      </x:c>
      <x:c r="N713" s="80" t="str">
        <x:v>First Class</x:v>
      </x:c>
      <x:c r="O713" s="82" t="n">
        <x:v>1</x:v>
      </x:c>
      <x:c r="P713" s="83" t="n">
        <x:v>4326.75</x:v>
      </x:c>
      <x:c r="Q713" s="84" t="n">
        <x:v>0.05</x:v>
      </x:c>
      <x:c r="R713" s="83" t="n">
        <x:v>4110.41</x:v>
      </x:c>
      <x:c r="S713" s="83" t="n">
        <x:v>2394.14</x:v>
      </x:c>
      <x:c r="T713" s="83" t="n">
        <x:v>1716.27</x:v>
      </x:c>
      <x:c r="U713" s="83" t="str">
        <x:v>Pending</x:v>
      </x:c>
      <x:c r="V713" s="83" t="str">
        <x:v>Returned</x:v>
      </x:c>
      <x:c r="W713" s="151" t="n">
        <x:f>IF(OR(NOT(ISNUMBER($AP713)),COUNT($O713,$P713)&lt;2,$O713&lt;=0,$P713&lt;0),"",ROUND($O713*$P713*(1-$AP713),2))</x:f>
        <x:v>4110.41</x:v>
      </x:c>
      <x:c r="X713" s="151" t="n">
        <x:f>IF(OR(NOT(ISNUMBER($W713)),NOT(ISNUMBER($S713))),"",ROUND($W713-$S713,2))</x:f>
        <x:v>1716.27</x:v>
      </x:c>
      <x:c r="Y713" s="85" t="n">
        <x:f>IF(OR(NOT(ISNUMBER($W713)),NOT(ISNUMBER($X713)),$W713=0),"",ROUND($X713/$W713,4))</x:f>
        <x:v>0.4175</x:v>
      </x:c>
      <x:c r="Z713" s="82" t="n">
        <x:f>IF(OR($AH713&lt;&gt;"Valid",$AI713&lt;&gt;"Valid"),"",INT($D713-$C713))</x:f>
        <x:v>0</x:v>
      </x:c>
      <x:c r="AA713" s="86" t="str">
        <x:f>IF($AH713&lt;&gt;"Valid","",TEXT($C713,"mmmm"))</x:f>
        <x:v>February</x:v>
      </x:c>
      <x:c r="AB713" s="82" t="n">
        <x:f>IF($AH713&lt;&gt;"Valid","",YEAR($C713))</x:f>
        <x:v>2025</x:v>
      </x:c>
      <x:c r="AC713" s="80" t="str">
        <x:v>Consistent</x:v>
      </x:c>
      <x:c r="AD713" s="80" t="str">
        <x:v>Excluded</x:v>
      </x:c>
      <x:c r="AE713" s="80" t="str">
        <x:f>IF(OR($AH713&lt;&gt;"Valid",$AI713&lt;&gt;"Valid",$AJ713&lt;&gt;"Valid",LEFT($AM713,7)="Invalid",IFERROR(ABS($AQ713)&gt;0.01,FALSE),IFERROR(ABS($AR713)&gt;0.01,FALSE),COUNTIF($AS713,"*Conflicting duplicate*")&gt;0,COUNTIF($AS713,"*Completed order not paid*")&gt;0),"Invalid",IF(OR($H713="Unknown",$N713="Unknown",$AM713="Missing discount imputed as 0"),"Warning","Clean"))</x:f>
        <x:v>Clean</x:v>
      </x:c>
      <x:c r="AF713" s="80" t="str">
        <x:v>Pass</x:v>
      </x:c>
      <x:c r="AG713" s="80" t="str">
        <x:v>No text cleanup required</x:v>
      </x:c>
      <x:c r="AH713" s="12" t="str">
        <x:f>IF(C713="","Missing date",IF(ISNUMBER(C713),"Valid","Unrecognized/invalid date"))</x:f>
        <x:v>Valid</x:v>
      </x:c>
      <x:c r="AI713" s="12" t="str">
        <x:f>IF(D713="","Missing date",IF(ISNUMBER(D713),"Valid","Unrecognized/invalid date"))</x:f>
        <x:v>Valid</x:v>
      </x:c>
      <x:c r="AJ713" s="12" t="str">
        <x:v>Valid</x:v>
      </x:c>
      <x:c r="AK713" s="12" t="str">
        <x:v>Pass</x:v>
      </x:c>
      <x:c r="AL713" s="12" t="str">
        <x:v>None</x:v>
      </x:c>
      <x:c r="AM713" s="12" t="str">
        <x:v>Valid</x:v>
      </x:c>
      <x:c r="AN713" s="12" t="str">
        <x:v>Exclude from completed sales</x:v>
      </x:c>
      <x:c r="AO713" s="12" t="str">
        <x:v>Not a refunded record</x:v>
      </x:c>
      <x:c r="AP713" s="37" t="n">
        <x:f>IF(LEFT($AM713,7)="Invalid","",IF($AM713="Missing discount imputed as 0",IF(AND(COUNT($O713,$P713,$R713,$S713)=4,$O713&gt;0,$P713&gt;=0,$R713&gt;=0,$S713&gt;=0),0,""),IF(AND(ISNUMBER($Q713),$Q713&gt;=0,$Q713&lt;=0.5),$Q713,"")))</x:f>
        <x:v>0.05</x:v>
      </x:c>
      <x:c r="AQ713" s="152" t="n">
        <x:f>IF(OR($W713="",NOT(ISNUMBER($R713))),"",ROUND($R713-$W713,2))</x:f>
        <x:v>0</x:v>
      </x:c>
      <x:c r="AR713" s="152" t="n">
        <x:f>IF(OR($X713="",NOT(ISNUMBER($T713))),"",ROUND($T713-$X713,2))</x:f>
        <x:v>0</x:v>
      </x:c>
      <x:c r="AS713" s="14" t="str">
        <x:v>OK</x:v>
      </x:c>
    </x:row>
    <x:row r="714">
      <x:c r="A714" s="80" t="n">
        <x:v>714</x:v>
      </x:c>
      <x:c r="B714" s="80" t="str">
        <x:v>ORD-2024-10713</x:v>
      </x:c>
      <x:c r="C714" s="81" t="n">
        <x:v>45332</x:v>
      </x:c>
      <x:c r="D714" s="81" t="n">
        <x:v>45340</x:v>
      </x:c>
      <x:c r="E714" s="80" t="str">
        <x:v>CUST-5127</x:v>
      </x:c>
      <x:c r="F714" s="80" t="str">
        <x:v>Isha Nair</x:v>
      </x:c>
      <x:c r="G714" s="80" t="str">
        <x:v>Home Office</x:v>
      </x:c>
      <x:c r="H714" s="80" t="str">
        <x:v>West</x:v>
      </x:c>
      <x:c r="I714" s="80" t="str">
        <x:v>Madhya Pradesh</x:v>
      </x:c>
      <x:c r="J714" s="80" t="str">
        <x:v>Indore</x:v>
      </x:c>
      <x:c r="K714" s="80" t="str">
        <x:v>Furniture</x:v>
      </x:c>
      <x:c r="L714" s="80" t="str">
        <x:v>Chairs</x:v>
      </x:c>
      <x:c r="M714" s="80" t="str">
        <x:v>Smart Chairs 259</x:v>
      </x:c>
      <x:c r="N714" s="80" t="str">
        <x:v>First Class</x:v>
      </x:c>
      <x:c r="O714" s="82" t="n">
        <x:v>7</x:v>
      </x:c>
      <x:c r="P714" s="83" t="n">
        <x:v>1382.86</x:v>
      </x:c>
      <x:c r="Q714" s="84" t="n">
        <x:v>0</x:v>
      </x:c>
      <x:c r="R714" s="83" t="n">
        <x:v>9680.02</x:v>
      </x:c>
      <x:c r="S714" s="83" t="n">
        <x:v>6876.66</x:v>
      </x:c>
      <x:c r="T714" s="83" t="n">
        <x:v>2803.36</x:v>
      </x:c>
      <x:c r="U714" s="83" t="str">
        <x:v>Paid</x:v>
      </x:c>
      <x:c r="V714" s="83" t="str">
        <x:v>Completed</x:v>
      </x:c>
      <x:c r="W714" s="151" t="n">
        <x:f>IF(OR(NOT(ISNUMBER($AP714)),COUNT($O714,$P714)&lt;2,$O714&lt;=0,$P714&lt;0),"",ROUND($O714*$P714*(1-$AP714),2))</x:f>
        <x:v>9680.02</x:v>
      </x:c>
      <x:c r="X714" s="151" t="n">
        <x:f>IF(OR(NOT(ISNUMBER($W714)),NOT(ISNUMBER($S714))),"",ROUND($W714-$S714,2))</x:f>
        <x:v>2803.36</x:v>
      </x:c>
      <x:c r="Y714" s="85" t="n">
        <x:f>IF(OR(NOT(ISNUMBER($W714)),NOT(ISNUMBER($X714)),$W714=0),"",ROUND($X714/$W714,4))</x:f>
        <x:v>0.2896</x:v>
      </x:c>
      <x:c r="Z714" s="82" t="n">
        <x:f>IF(OR($AH714&lt;&gt;"Valid",$AI714&lt;&gt;"Valid"),"",INT($D714-$C714))</x:f>
        <x:v>8</x:v>
      </x:c>
      <x:c r="AA714" s="86" t="str">
        <x:f>IF($AH714&lt;&gt;"Valid","",TEXT($C714,"mmmm"))</x:f>
        <x:v>February</x:v>
      </x:c>
      <x:c r="AB714" s="82" t="n">
        <x:f>IF($AH714&lt;&gt;"Valid","",YEAR($C714))</x:f>
        <x:v>2024</x:v>
      </x:c>
      <x:c r="AC714" s="80" t="str">
        <x:v>Consistent</x:v>
      </x:c>
      <x:c r="AD714" s="80" t="str">
        <x:v>Eligible</x:v>
      </x:c>
      <x:c r="AE714" s="80" t="str">
        <x:f>IF(OR($AH714&lt;&gt;"Valid",$AI714&lt;&gt;"Valid",$AJ714&lt;&gt;"Valid",LEFT($AM714,7)="Invalid",IFERROR(ABS($AQ714)&gt;0.01,FALSE),IFERROR(ABS($AR714)&gt;0.01,FALSE),COUNTIF($AS714,"*Conflicting duplicate*")&gt;0,COUNTIF($AS714,"*Completed order not paid*")&gt;0),"Invalid",IF(OR($H714="Unknown",$N714="Unknown",$AM714="Missing discount imputed as 0"),"Warning","Clean"))</x:f>
        <x:v>Clean</x:v>
      </x:c>
      <x:c r="AF714" s="80" t="str">
        <x:v>Pass</x:v>
      </x:c>
      <x:c r="AG714" s="80" t="str">
        <x:v>No text cleanup required</x:v>
      </x:c>
      <x:c r="AH714" s="12" t="str">
        <x:f>IF(C714="","Missing date",IF(ISNUMBER(C714),"Valid","Unrecognized/invalid date"))</x:f>
        <x:v>Valid</x:v>
      </x:c>
      <x:c r="AI714" s="12" t="str">
        <x:f>IF(D714="","Missing date",IF(ISNUMBER(D714),"Valid","Unrecognized/invalid date"))</x:f>
        <x:v>Valid</x:v>
      </x:c>
      <x:c r="AJ714" s="12" t="str">
        <x:v>Valid</x:v>
      </x:c>
      <x:c r="AK714" s="12" t="str">
        <x:v>Pass</x:v>
      </x:c>
      <x:c r="AL714" s="12" t="str">
        <x:v>None</x:v>
      </x:c>
      <x:c r="AM714" s="12" t="str">
        <x:v>Valid</x:v>
      </x:c>
      <x:c r="AN714" s="12" t="str">
        <x:v>Include in completed sales</x:v>
      </x:c>
      <x:c r="AO714" s="12" t="str">
        <x:v>Not a refunded record</x:v>
      </x:c>
      <x:c r="AP714" s="37" t="n">
        <x:f>IF(LEFT($AM714,7)="Invalid","",IF($AM714="Missing discount imputed as 0",IF(AND(COUNT($O714,$P714,$R714,$S714)=4,$O714&gt;0,$P714&gt;=0,$R714&gt;=0,$S714&gt;=0),0,""),IF(AND(ISNUMBER($Q714),$Q714&gt;=0,$Q714&lt;=0.5),$Q714,"")))</x:f>
        <x:v>0</x:v>
      </x:c>
      <x:c r="AQ714" s="152" t="n">
        <x:f>IF(OR($W714="",NOT(ISNUMBER($R714))),"",ROUND($R714-$W714,2))</x:f>
        <x:v>0</x:v>
      </x:c>
      <x:c r="AR714" s="152" t="n">
        <x:f>IF(OR($X714="",NOT(ISNUMBER($T714))),"",ROUND($T714-$X714,2))</x:f>
        <x:v>0</x:v>
      </x:c>
      <x:c r="AS714" s="14" t="str">
        <x:v>OK</x:v>
      </x:c>
    </x:row>
    <x:row r="715">
      <x:c r="A715" s="80" t="n">
        <x:v>715</x:v>
      </x:c>
      <x:c r="B715" s="80" t="str">
        <x:v>ORD-2025-10714</x:v>
      </x:c>
      <x:c r="C715" s="81" t="n">
        <x:v>45814</x:v>
      </x:c>
      <x:c r="D715" s="81" t="n">
        <x:v>45818</x:v>
      </x:c>
      <x:c r="E715" s="80" t="str">
        <x:v>CUST-2548</x:v>
      </x:c>
      <x:c r="F715" s="80" t="str">
        <x:v>Mira Das</x:v>
      </x:c>
      <x:c r="G715" s="80" t="str">
        <x:v>Consumer</x:v>
      </x:c>
      <x:c r="H715" s="80" t="str">
        <x:v>West</x:v>
      </x:c>
      <x:c r="I715" s="80" t="str">
        <x:v>Rajasthan</x:v>
      </x:c>
      <x:c r="J715" s="80" t="str">
        <x:v>Udaipur</x:v>
      </x:c>
      <x:c r="K715" s="80" t="str">
        <x:v>Technology</x:v>
      </x:c>
      <x:c r="L715" s="80" t="str">
        <x:v>Machines</x:v>
      </x:c>
      <x:c r="M715" s="80" t="str">
        <x:v>Pro Machines 987</x:v>
      </x:c>
      <x:c r="N715" s="80" t="str">
        <x:v>Second Class</x:v>
      </x:c>
      <x:c r="O715" s="82" t="n">
        <x:v>1</x:v>
      </x:c>
      <x:c r="P715" s="83" t="n">
        <x:v>289.97</x:v>
      </x:c>
      <x:c r="Q715" s="84" t="n">
        <x:v>0.25</x:v>
      </x:c>
      <x:c r="R715" s="83" t="n">
        <x:v>217.48</x:v>
      </x:c>
      <x:c r="S715" s="83" t="n">
        <x:v>132.13</x:v>
      </x:c>
      <x:c r="T715" s="83" t="n">
        <x:v>85.35</x:v>
      </x:c>
      <x:c r="U715" s="83" t="str">
        <x:v>Paid</x:v>
      </x:c>
      <x:c r="V715" s="83" t="str">
        <x:v>Completed</x:v>
      </x:c>
      <x:c r="W715" s="151" t="n">
        <x:f>IF(OR(NOT(ISNUMBER($AP715)),COUNT($O715,$P715)&lt;2,$O715&lt;=0,$P715&lt;0),"",ROUND($O715*$P715*(1-$AP715),2))</x:f>
        <x:v>217.48</x:v>
      </x:c>
      <x:c r="X715" s="151" t="n">
        <x:f>IF(OR(NOT(ISNUMBER($W715)),NOT(ISNUMBER($S715))),"",ROUND($W715-$S715,2))</x:f>
        <x:v>85.35</x:v>
      </x:c>
      <x:c r="Y715" s="85" t="n">
        <x:f>IF(OR(NOT(ISNUMBER($W715)),NOT(ISNUMBER($X715)),$W715=0),"",ROUND($X715/$W715,4))</x:f>
        <x:v>0.3924</x:v>
      </x:c>
      <x:c r="Z715" s="82" t="n">
        <x:f>IF(OR($AH715&lt;&gt;"Valid",$AI715&lt;&gt;"Valid"),"",INT($D715-$C715))</x:f>
        <x:v>4</x:v>
      </x:c>
      <x:c r="AA715" s="86" t="str">
        <x:f>IF($AH715&lt;&gt;"Valid","",TEXT($C715,"mmmm"))</x:f>
        <x:v>June</x:v>
      </x:c>
      <x:c r="AB715" s="82" t="n">
        <x:f>IF($AH715&lt;&gt;"Valid","",YEAR($C715))</x:f>
        <x:v>2025</x:v>
      </x:c>
      <x:c r="AC715" s="80" t="str">
        <x:v>Consistent</x:v>
      </x:c>
      <x:c r="AD715" s="80" t="str">
        <x:v>Eligible</x:v>
      </x:c>
      <x:c r="AE715" s="80" t="str">
        <x:f>IF(OR($AH715&lt;&gt;"Valid",$AI715&lt;&gt;"Valid",$AJ715&lt;&gt;"Valid",LEFT($AM715,7)="Invalid",IFERROR(ABS($AQ715)&gt;0.01,FALSE),IFERROR(ABS($AR715)&gt;0.01,FALSE),COUNTIF($AS715,"*Conflicting duplicate*")&gt;0,COUNTIF($AS715,"*Completed order not paid*")&gt;0),"Invalid",IF(OR($H715="Unknown",$N715="Unknown",$AM715="Missing discount imputed as 0"),"Warning","Clean"))</x:f>
        <x:v>Clean</x:v>
      </x:c>
      <x:c r="AF715" s="80" t="str">
        <x:v>Pass</x:v>
      </x:c>
      <x:c r="AG715" s="80" t="str">
        <x:v>No text cleanup required</x:v>
      </x:c>
      <x:c r="AH715" s="12" t="str">
        <x:f>IF(C715="","Missing date",IF(ISNUMBER(C715),"Valid","Unrecognized/invalid date"))</x:f>
        <x:v>Valid</x:v>
      </x:c>
      <x:c r="AI715" s="12" t="str">
        <x:f>IF(D715="","Missing date",IF(ISNUMBER(D715),"Valid","Unrecognized/invalid date"))</x:f>
        <x:v>Valid</x:v>
      </x:c>
      <x:c r="AJ715" s="12" t="str">
        <x:v>Valid</x:v>
      </x:c>
      <x:c r="AK715" s="12" t="str">
        <x:v>Pass</x:v>
      </x:c>
      <x:c r="AL715" s="12" t="str">
        <x:v>None</x:v>
      </x:c>
      <x:c r="AM715" s="12" t="str">
        <x:v>Valid</x:v>
      </x:c>
      <x:c r="AN715" s="12" t="str">
        <x:v>Include in completed sales</x:v>
      </x:c>
      <x:c r="AO715" s="12" t="str">
        <x:v>Not a refunded record</x:v>
      </x:c>
      <x:c r="AP715" s="37" t="n">
        <x:f>IF(LEFT($AM715,7)="Invalid","",IF($AM715="Missing discount imputed as 0",IF(AND(COUNT($O715,$P715,$R715,$S715)=4,$O715&gt;0,$P715&gt;=0,$R715&gt;=0,$S715&gt;=0),0,""),IF(AND(ISNUMBER($Q715),$Q715&gt;=0,$Q715&lt;=0.5),$Q715,"")))</x:f>
        <x:v>0.25</x:v>
      </x:c>
      <x:c r="AQ715" s="152" t="n">
        <x:f>IF(OR($W715="",NOT(ISNUMBER($R715))),"",ROUND($R715-$W715,2))</x:f>
        <x:v>0</x:v>
      </x:c>
      <x:c r="AR715" s="152" t="n">
        <x:f>IF(OR($X715="",NOT(ISNUMBER($T715))),"",ROUND($T715-$X715,2))</x:f>
        <x:v>0</x:v>
      </x:c>
      <x:c r="AS715" s="14" t="str">
        <x:v>OK</x:v>
      </x:c>
    </x:row>
    <x:row r="716">
      <x:c r="A716" s="80" t="n">
        <x:v>716</x:v>
      </x:c>
      <x:c r="B716" s="80" t="str">
        <x:v>ORD-2025-10715</x:v>
      </x:c>
      <x:c r="C716" s="81" t="n">
        <x:v>45738</x:v>
      </x:c>
      <x:c r="D716" s="81" t="n">
        <x:v>45739</x:v>
      </x:c>
      <x:c r="E716" s="80" t="str">
        <x:v>CUST-9902</x:v>
      </x:c>
      <x:c r="F716" s="80" t="str">
        <x:v>Karan Malhotra</x:v>
      </x:c>
      <x:c r="G716" s="80" t="str">
        <x:v>Home Office</x:v>
      </x:c>
      <x:c r="H716" s="80" t="str">
        <x:v>North</x:v>
      </x:c>
      <x:c r="I716" s="80" t="str">
        <x:v>Delhi</x:v>
      </x:c>
      <x:c r="J716" s="80" t="str">
        <x:v>New Delhi</x:v>
      </x:c>
      <x:c r="K716" s="80" t="str">
        <x:v>Technology</x:v>
      </x:c>
      <x:c r="L716" s="80" t="str">
        <x:v>Copiers</x:v>
      </x:c>
      <x:c r="M716" s="80" t="str">
        <x:v>Pro Copiers 206</x:v>
      </x:c>
      <x:c r="N716" s="80" t="str">
        <x:v>Standard Class</x:v>
      </x:c>
      <x:c r="O716" s="82" t="n">
        <x:v>9</x:v>
      </x:c>
      <x:c r="P716" s="83" t="n">
        <x:v>2075.02</x:v>
      </x:c>
      <x:c r="Q716" s="84" t="n">
        <x:v>0</x:v>
      </x:c>
      <x:c r="R716" s="83" t="n">
        <x:v>18675.18</x:v>
      </x:c>
      <x:c r="S716" s="83" t="n">
        <x:v>13974.7</x:v>
      </x:c>
      <x:c r="T716" s="83" t="n">
        <x:v>4700.48</x:v>
      </x:c>
      <x:c r="U716" s="83" t="str">
        <x:v>Paid</x:v>
      </x:c>
      <x:c r="V716" s="83" t="str">
        <x:v>Completed</x:v>
      </x:c>
      <x:c r="W716" s="151" t="n">
        <x:f>IF(OR(NOT(ISNUMBER($AP716)),COUNT($O716,$P716)&lt;2,$O716&lt;=0,$P716&lt;0),"",ROUND($O716*$P716*(1-$AP716),2))</x:f>
        <x:v>18675.18</x:v>
      </x:c>
      <x:c r="X716" s="151" t="n">
        <x:f>IF(OR(NOT(ISNUMBER($W716)),NOT(ISNUMBER($S716))),"",ROUND($W716-$S716,2))</x:f>
        <x:v>4700.48</x:v>
      </x:c>
      <x:c r="Y716" s="85" t="n">
        <x:f>IF(OR(NOT(ISNUMBER($W716)),NOT(ISNUMBER($X716)),$W716=0),"",ROUND($X716/$W716,4))</x:f>
        <x:v>0.2517</x:v>
      </x:c>
      <x:c r="Z716" s="82" t="n">
        <x:f>IF(OR($AH716&lt;&gt;"Valid",$AI716&lt;&gt;"Valid"),"",INT($D716-$C716))</x:f>
        <x:v>1</x:v>
      </x:c>
      <x:c r="AA716" s="86" t="str">
        <x:f>IF($AH716&lt;&gt;"Valid","",TEXT($C716,"mmmm"))</x:f>
        <x:v>March</x:v>
      </x:c>
      <x:c r="AB716" s="82" t="n">
        <x:f>IF($AH716&lt;&gt;"Valid","",YEAR($C716))</x:f>
        <x:v>2025</x:v>
      </x:c>
      <x:c r="AC716" s="80" t="str">
        <x:v>Consistent</x:v>
      </x:c>
      <x:c r="AD716" s="80" t="str">
        <x:v>Eligible</x:v>
      </x:c>
      <x:c r="AE716" s="80" t="str">
        <x:f>IF(OR($AH716&lt;&gt;"Valid",$AI716&lt;&gt;"Valid",$AJ716&lt;&gt;"Valid",LEFT($AM716,7)="Invalid",IFERROR(ABS($AQ716)&gt;0.01,FALSE),IFERROR(ABS($AR716)&gt;0.01,FALSE),COUNTIF($AS716,"*Conflicting duplicate*")&gt;0,COUNTIF($AS716,"*Completed order not paid*")&gt;0),"Invalid",IF(OR($H716="Unknown",$N716="Unknown",$AM716="Missing discount imputed as 0"),"Warning","Clean"))</x:f>
        <x:v>Clean</x:v>
      </x:c>
      <x:c r="AF716" s="80" t="str">
        <x:v>Pass</x:v>
      </x:c>
      <x:c r="AG716" s="80" t="str">
        <x:v>No text cleanup required</x:v>
      </x:c>
      <x:c r="AH716" s="12" t="str">
        <x:f>IF(C716="","Missing date",IF(ISNUMBER(C716),"Valid","Unrecognized/invalid date"))</x:f>
        <x:v>Valid</x:v>
      </x:c>
      <x:c r="AI716" s="12" t="str">
        <x:f>IF(D716="","Missing date",IF(ISNUMBER(D716),"Valid","Unrecognized/invalid date"))</x:f>
        <x:v>Valid</x:v>
      </x:c>
      <x:c r="AJ716" s="12" t="str">
        <x:v>Valid</x:v>
      </x:c>
      <x:c r="AK716" s="12" t="str">
        <x:v>Pass</x:v>
      </x:c>
      <x:c r="AL716" s="12" t="str">
        <x:v>None</x:v>
      </x:c>
      <x:c r="AM716" s="12" t="str">
        <x:v>Valid</x:v>
      </x:c>
      <x:c r="AN716" s="12" t="str">
        <x:v>Include in completed sales</x:v>
      </x:c>
      <x:c r="AO716" s="12" t="str">
        <x:v>Not a refunded record</x:v>
      </x:c>
      <x:c r="AP716" s="37" t="n">
        <x:f>IF(LEFT($AM716,7)="Invalid","",IF($AM716="Missing discount imputed as 0",IF(AND(COUNT($O716,$P716,$R716,$S716)=4,$O716&gt;0,$P716&gt;=0,$R716&gt;=0,$S716&gt;=0),0,""),IF(AND(ISNUMBER($Q716),$Q716&gt;=0,$Q716&lt;=0.5),$Q716,"")))</x:f>
        <x:v>0</x:v>
      </x:c>
      <x:c r="AQ716" s="152" t="n">
        <x:f>IF(OR($W716="",NOT(ISNUMBER($R716))),"",ROUND($R716-$W716,2))</x:f>
        <x:v>0</x:v>
      </x:c>
      <x:c r="AR716" s="152" t="n">
        <x:f>IF(OR($X716="",NOT(ISNUMBER($T716))),"",ROUND($T716-$X716,2))</x:f>
        <x:v>0</x:v>
      </x:c>
      <x:c r="AS716" s="14" t="str">
        <x:v>OK</x:v>
      </x:c>
    </x:row>
    <x:row r="717">
      <x:c r="A717" s="80" t="n">
        <x:v>717</x:v>
      </x:c>
      <x:c r="B717" s="80" t="str">
        <x:v>ORD-2025-10716</x:v>
      </x:c>
      <x:c r="C717" s="81" t="n">
        <x:v>45891</x:v>
      </x:c>
      <x:c r="D717" s="81" t="n">
        <x:v>45896</x:v>
      </x:c>
      <x:c r="E717" s="80" t="str">
        <x:v>CUST-7446</x:v>
      </x:c>
      <x:c r="F717" s="80" t="str">
        <x:v>Priya Menon</x:v>
      </x:c>
      <x:c r="G717" s="80" t="str">
        <x:v>Consumer</x:v>
      </x:c>
      <x:c r="H717" s="80" t="str">
        <x:v>North</x:v>
      </x:c>
      <x:c r="I717" s="80" t="str">
        <x:v>Haryana</x:v>
      </x:c>
      <x:c r="J717" s="80" t="str">
        <x:v>Gurugram</x:v>
      </x:c>
      <x:c r="K717" s="80" t="str">
        <x:v>Furniture</x:v>
      </x:c>
      <x:c r="L717" s="80" t="str">
        <x:v>Chairs</x:v>
      </x:c>
      <x:c r="M717" s="80" t="str">
        <x:v>Max Chairs 372</x:v>
      </x:c>
      <x:c r="N717" s="80" t="str">
        <x:v>Second Class</x:v>
      </x:c>
      <x:c r="O717" s="82" t="n">
        <x:v>7</x:v>
      </x:c>
      <x:c r="P717" s="83" t="n">
        <x:v>2843.09</x:v>
      </x:c>
      <x:c r="Q717" s="84" t="n">
        <x:v>0</x:v>
      </x:c>
      <x:c r="R717" s="83" t="n">
        <x:v>19901.63</x:v>
      </x:c>
      <x:c r="S717" s="83" t="n">
        <x:v>15492.03</x:v>
      </x:c>
      <x:c r="T717" s="83" t="n">
        <x:v>4409.6</x:v>
      </x:c>
      <x:c r="U717" s="83" t="str">
        <x:v>Refunded</x:v>
      </x:c>
      <x:c r="V717" s="83" t="str">
        <x:v>Cancelled</x:v>
      </x:c>
      <x:c r="W717" s="151" t="n">
        <x:f>IF(OR(NOT(ISNUMBER($AP717)),COUNT($O717,$P717)&lt;2,$O717&lt;=0,$P717&lt;0),"",ROUND($O717*$P717*(1-$AP717),2))</x:f>
        <x:v>19901.63</x:v>
      </x:c>
      <x:c r="X717" s="151" t="n">
        <x:f>IF(OR(NOT(ISNUMBER($W717)),NOT(ISNUMBER($S717))),"",ROUND($W717-$S717,2))</x:f>
        <x:v>4409.6</x:v>
      </x:c>
      <x:c r="Y717" s="85" t="n">
        <x:f>IF(OR(NOT(ISNUMBER($W717)),NOT(ISNUMBER($X717)),$W717=0),"",ROUND($X717/$W717,4))</x:f>
        <x:v>0.2216</x:v>
      </x:c>
      <x:c r="Z717" s="82" t="n">
        <x:f>IF(OR($AH717&lt;&gt;"Valid",$AI717&lt;&gt;"Valid"),"",INT($D717-$C717))</x:f>
        <x:v>5</x:v>
      </x:c>
      <x:c r="AA717" s="86" t="str">
        <x:f>IF($AH717&lt;&gt;"Valid","",TEXT($C717,"mmmm"))</x:f>
        <x:v>August</x:v>
      </x:c>
      <x:c r="AB717" s="82" t="n">
        <x:f>IF($AH717&lt;&gt;"Valid","",YEAR($C717))</x:f>
        <x:v>2025</x:v>
      </x:c>
      <x:c r="AC717" s="80" t="str">
        <x:v>Cancelled (excluded from completed-sales summary)</x:v>
      </x:c>
      <x:c r="AD717" s="80" t="str">
        <x:v>Excluded</x:v>
      </x:c>
      <x:c r="AE717" s="80" t="str">
        <x:f>IF(OR($AH717&lt;&gt;"Valid",$AI717&lt;&gt;"Valid",$AJ717&lt;&gt;"Valid",LEFT($AM717,7)="Invalid",IFERROR(ABS($AQ717)&gt;0.01,FALSE),IFERROR(ABS($AR717)&gt;0.01,FALSE),COUNTIF($AS717,"*Conflicting duplicate*")&gt;0,COUNTIF($AS717,"*Completed order not paid*")&gt;0),"Invalid",IF(OR($H717="Unknown",$N717="Unknown",$AM717="Missing discount imputed as 0"),"Warning","Clean"))</x:f>
        <x:v>Clean</x:v>
      </x:c>
      <x:c r="AF717" s="80" t="str">
        <x:v>Pass</x:v>
      </x:c>
      <x:c r="AG717" s="80" t="str">
        <x:v>No text cleanup required</x:v>
      </x:c>
      <x:c r="AH717" s="12" t="str">
        <x:f>IF(C717="","Missing date",IF(ISNUMBER(C717),"Valid","Unrecognized/invalid date"))</x:f>
        <x:v>Valid</x:v>
      </x:c>
      <x:c r="AI717" s="12" t="str">
        <x:f>IF(D717="","Missing date",IF(ISNUMBER(D717),"Valid","Unrecognized/invalid date"))</x:f>
        <x:v>Valid</x:v>
      </x:c>
      <x:c r="AJ717" s="12" t="str">
        <x:v>Valid</x:v>
      </x:c>
      <x:c r="AK717" s="12" t="str">
        <x:v>Pass</x:v>
      </x:c>
      <x:c r="AL717" s="12" t="str">
        <x:v>Cancelled order – excluded from completed sales; Refunded payment – separately summarized</x:v>
      </x:c>
      <x:c r="AM717" s="12" t="str">
        <x:v>Valid</x:v>
      </x:c>
      <x:c r="AN717" s="12" t="str">
        <x:v>Exclude from completed sales</x:v>
      </x:c>
      <x:c r="AO717" s="12" t="str">
        <x:v>Include in refunded summary</x:v>
      </x:c>
      <x:c r="AP717" s="37" t="n">
        <x:f>IF(LEFT($AM717,7)="Invalid","",IF($AM717="Missing discount imputed as 0",IF(AND(COUNT($O717,$P717,$R717,$S717)=4,$O717&gt;0,$P717&gt;=0,$R717&gt;=0,$S717&gt;=0),0,""),IF(AND(ISNUMBER($Q717),$Q717&gt;=0,$Q717&lt;=0.5),$Q717,"")))</x:f>
        <x:v>0</x:v>
      </x:c>
      <x:c r="AQ717" s="152" t="n">
        <x:f>IF(OR($W717="",NOT(ISNUMBER($R717))),"",ROUND($R717-$W717,2))</x:f>
        <x:v>0</x:v>
      </x:c>
      <x:c r="AR717" s="152" t="n">
        <x:f>IF(OR($X717="",NOT(ISNUMBER($T717))),"",ROUND($T717-$X717,2))</x:f>
        <x:v>0</x:v>
      </x:c>
      <x:c r="AS717" s="14" t="str">
        <x:v>OK</x:v>
      </x:c>
    </x:row>
    <x:row r="718">
      <x:c r="A718" s="80" t="n">
        <x:v>718</x:v>
      </x:c>
      <x:c r="B718" s="80" t="str">
        <x:v>ORD-2025-10717</x:v>
      </x:c>
      <x:c r="C718" s="81" t="n">
        <x:v>45895</x:v>
      </x:c>
      <x:c r="D718" s="81" t="n">
        <x:v>45900</x:v>
      </x:c>
      <x:c r="E718" s="80" t="str">
        <x:v>CUST-7540</x:v>
      </x:c>
      <x:c r="F718" s="80" t="str">
        <x:v>Diya Patel</x:v>
      </x:c>
      <x:c r="G718" s="80" t="str">
        <x:v>Small Business</x:v>
      </x:c>
      <x:c r="H718" s="80" t="str">
        <x:v>North</x:v>
      </x:c>
      <x:c r="I718" s="80" t="str">
        <x:v>Haryana</x:v>
      </x:c>
      <x:c r="J718" s="80" t="str">
        <x:v>Gurugram</x:v>
      </x:c>
      <x:c r="K718" s="80" t="str">
        <x:v>Technology</x:v>
      </x:c>
      <x:c r="L718" s="80" t="str">
        <x:v>Phones</x:v>
      </x:c>
      <x:c r="M718" s="80" t="str">
        <x:v>Basic Phones 496</x:v>
      </x:c>
      <x:c r="N718" s="80" t="str">
        <x:v>First Class</x:v>
      </x:c>
      <x:c r="O718" s="82" t="n">
        <x:v>1</x:v>
      </x:c>
      <x:c r="P718" s="83" t="n">
        <x:v>3388.02</x:v>
      </x:c>
      <x:c r="Q718" s="84" t="n">
        <x:v>0.15</x:v>
      </x:c>
      <x:c r="R718" s="83" t="n">
        <x:v>2879.82</x:v>
      </x:c>
      <x:c r="S718" s="83" t="n">
        <x:v>1824.88</x:v>
      </x:c>
      <x:c r="T718" s="83" t="n">
        <x:v>1054.94</x:v>
      </x:c>
      <x:c r="U718" s="83" t="str">
        <x:v>Paid</x:v>
      </x:c>
      <x:c r="V718" s="83" t="str">
        <x:v>Completed</x:v>
      </x:c>
      <x:c r="W718" s="151" t="n">
        <x:f>IF(OR(NOT(ISNUMBER($AP718)),COUNT($O718,$P718)&lt;2,$O718&lt;=0,$P718&lt;0),"",ROUND($O718*$P718*(1-$AP718),2))</x:f>
        <x:v>2879.82</x:v>
      </x:c>
      <x:c r="X718" s="151" t="n">
        <x:f>IF(OR(NOT(ISNUMBER($W718)),NOT(ISNUMBER($S718))),"",ROUND($W718-$S718,2))</x:f>
        <x:v>1054.94</x:v>
      </x:c>
      <x:c r="Y718" s="85" t="n">
        <x:f>IF(OR(NOT(ISNUMBER($W718)),NOT(ISNUMBER($X718)),$W718=0),"",ROUND($X718/$W718,4))</x:f>
        <x:v>0.3663</x:v>
      </x:c>
      <x:c r="Z718" s="82" t="n">
        <x:f>IF(OR($AH718&lt;&gt;"Valid",$AI718&lt;&gt;"Valid"),"",INT($D718-$C718))</x:f>
        <x:v>5</x:v>
      </x:c>
      <x:c r="AA718" s="86" t="str">
        <x:f>IF($AH718&lt;&gt;"Valid","",TEXT($C718,"mmmm"))</x:f>
        <x:v>August</x:v>
      </x:c>
      <x:c r="AB718" s="82" t="n">
        <x:f>IF($AH718&lt;&gt;"Valid","",YEAR($C718))</x:f>
        <x:v>2025</x:v>
      </x:c>
      <x:c r="AC718" s="80" t="str">
        <x:v>Consistent</x:v>
      </x:c>
      <x:c r="AD718" s="80" t="str">
        <x:v>Eligible</x:v>
      </x:c>
      <x:c r="AE718" s="80" t="str">
        <x:f>IF(OR($AH718&lt;&gt;"Valid",$AI718&lt;&gt;"Valid",$AJ718&lt;&gt;"Valid",LEFT($AM718,7)="Invalid",IFERROR(ABS($AQ718)&gt;0.01,FALSE),IFERROR(ABS($AR718)&gt;0.01,FALSE),COUNTIF($AS718,"*Conflicting duplicate*")&gt;0,COUNTIF($AS718,"*Completed order not paid*")&gt;0),"Invalid",IF(OR($H718="Unknown",$N718="Unknown",$AM718="Missing discount imputed as 0"),"Warning","Clean"))</x:f>
        <x:v>Clean</x:v>
      </x:c>
      <x:c r="AF718" s="80" t="str">
        <x:v>Pass</x:v>
      </x:c>
      <x:c r="AG718" s="80" t="str">
        <x:v>No text cleanup required</x:v>
      </x:c>
      <x:c r="AH718" s="12" t="str">
        <x:f>IF(C718="","Missing date",IF(ISNUMBER(C718),"Valid","Unrecognized/invalid date"))</x:f>
        <x:v>Valid</x:v>
      </x:c>
      <x:c r="AI718" s="12" t="str">
        <x:f>IF(D718="","Missing date",IF(ISNUMBER(D718),"Valid","Unrecognized/invalid date"))</x:f>
        <x:v>Valid</x:v>
      </x:c>
      <x:c r="AJ718" s="12" t="str">
        <x:v>Valid</x:v>
      </x:c>
      <x:c r="AK718" s="12" t="str">
        <x:v>Pass</x:v>
      </x:c>
      <x:c r="AL718" s="12" t="str">
        <x:v>None</x:v>
      </x:c>
      <x:c r="AM718" s="12" t="str">
        <x:v>Valid</x:v>
      </x:c>
      <x:c r="AN718" s="12" t="str">
        <x:v>Include in completed sales</x:v>
      </x:c>
      <x:c r="AO718" s="12" t="str">
        <x:v>Not a refunded record</x:v>
      </x:c>
      <x:c r="AP718" s="37" t="n">
        <x:f>IF(LEFT($AM718,7)="Invalid","",IF($AM718="Missing discount imputed as 0",IF(AND(COUNT($O718,$P718,$R718,$S718)=4,$O718&gt;0,$P718&gt;=0,$R718&gt;=0,$S718&gt;=0),0,""),IF(AND(ISNUMBER($Q718),$Q718&gt;=0,$Q718&lt;=0.5),$Q718,"")))</x:f>
        <x:v>0.15</x:v>
      </x:c>
      <x:c r="AQ718" s="152" t="n">
        <x:f>IF(OR($W718="",NOT(ISNUMBER($R718))),"",ROUND($R718-$W718,2))</x:f>
        <x:v>0</x:v>
      </x:c>
      <x:c r="AR718" s="152" t="n">
        <x:f>IF(OR($X718="",NOT(ISNUMBER($T718))),"",ROUND($T718-$X718,2))</x:f>
        <x:v>0</x:v>
      </x:c>
      <x:c r="AS718" s="14" t="str">
        <x:v>OK</x:v>
      </x:c>
    </x:row>
    <x:row r="719">
      <x:c r="A719" s="80" t="n">
        <x:v>719</x:v>
      </x:c>
      <x:c r="B719" s="80" t="str">
        <x:v>ORD-2025-10718</x:v>
      </x:c>
      <x:c r="C719" s="81" t="n">
        <x:v>45942</x:v>
      </x:c>
      <x:c r="D719" s="81" t="n">
        <x:v>45945</x:v>
      </x:c>
      <x:c r="E719" s="80" t="str">
        <x:v>CUST-8351</x:v>
      </x:c>
      <x:c r="F719" s="80" t="str">
        <x:v>Kabir Singh</x:v>
      </x:c>
      <x:c r="G719" s="80" t="str">
        <x:v>Small Business</x:v>
      </x:c>
      <x:c r="H719" s="80" t="str">
        <x:v>North</x:v>
      </x:c>
      <x:c r="I719" s="80" t="str">
        <x:v>Haryana</x:v>
      </x:c>
      <x:c r="J719" s="80" t="str">
        <x:v>Gurugram</x:v>
      </x:c>
      <x:c r="K719" s="80" t="str">
        <x:v>Technology</x:v>
      </x:c>
      <x:c r="L719" s="80" t="str">
        <x:v>Machines</x:v>
      </x:c>
      <x:c r="M719" s="80" t="str">
        <x:v>Prime Machines 612</x:v>
      </x:c>
      <x:c r="N719" s="80" t="str">
        <x:v>Standard Class</x:v>
      </x:c>
      <x:c r="O719" s="82" t="n">
        <x:v>9</x:v>
      </x:c>
      <x:c r="P719" s="83" t="n">
        <x:v>2598.92</x:v>
      </x:c>
      <x:c r="Q719" s="84" t="n">
        <x:v>0.2</x:v>
      </x:c>
      <x:c r="R719" s="83" t="n">
        <x:v>18712.22</x:v>
      </x:c>
      <x:c r="S719" s="83" t="n">
        <x:v>11852.22</x:v>
      </x:c>
      <x:c r="T719" s="83" t="n">
        <x:v>6860</x:v>
      </x:c>
      <x:c r="U719" s="83" t="str">
        <x:v>Pending</x:v>
      </x:c>
      <x:c r="V719" s="83" t="str">
        <x:v>Cancelled</x:v>
      </x:c>
      <x:c r="W719" s="151" t="n">
        <x:f>IF(OR(NOT(ISNUMBER($AP719)),COUNT($O719,$P719)&lt;2,$O719&lt;=0,$P719&lt;0),"",ROUND($O719*$P719*(1-$AP719),2))</x:f>
        <x:v>18712.22</x:v>
      </x:c>
      <x:c r="X719" s="151" t="n">
        <x:f>IF(OR(NOT(ISNUMBER($W719)),NOT(ISNUMBER($S719))),"",ROUND($W719-$S719,2))</x:f>
        <x:v>6860</x:v>
      </x:c>
      <x:c r="Y719" s="85" t="n">
        <x:f>IF(OR(NOT(ISNUMBER($W719)),NOT(ISNUMBER($X719)),$W719=0),"",ROUND($X719/$W719,4))</x:f>
        <x:v>0.3666</x:v>
      </x:c>
      <x:c r="Z719" s="82" t="n">
        <x:f>IF(OR($AH719&lt;&gt;"Valid",$AI719&lt;&gt;"Valid"),"",INT($D719-$C719))</x:f>
        <x:v>3</x:v>
      </x:c>
      <x:c r="AA719" s="86" t="str">
        <x:f>IF($AH719&lt;&gt;"Valid","",TEXT($C719,"mmmm"))</x:f>
        <x:v>October</x:v>
      </x:c>
      <x:c r="AB719" s="82" t="n">
        <x:f>IF($AH719&lt;&gt;"Valid","",YEAR($C719))</x:f>
        <x:v>2025</x:v>
      </x:c>
      <x:c r="AC719" s="80" t="str">
        <x:v>Cancelled (excluded from completed-sales summary)</x:v>
      </x:c>
      <x:c r="AD719" s="80" t="str">
        <x:v>Excluded</x:v>
      </x:c>
      <x:c r="AE719" s="80" t="str">
        <x:f>IF(OR($AH719&lt;&gt;"Valid",$AI719&lt;&gt;"Valid",$AJ719&lt;&gt;"Valid",LEFT($AM719,7)="Invalid",IFERROR(ABS($AQ719)&gt;0.01,FALSE),IFERROR(ABS($AR719)&gt;0.01,FALSE),COUNTIF($AS719,"*Conflicting duplicate*")&gt;0,COUNTIF($AS719,"*Completed order not paid*")&gt;0),"Invalid",IF(OR($H719="Unknown",$N719="Unknown",$AM719="Missing discount imputed as 0"),"Warning","Clean"))</x:f>
        <x:v>Clean</x:v>
      </x:c>
      <x:c r="AF719" s="80" t="str">
        <x:v>Pass</x:v>
      </x:c>
      <x:c r="AG719" s="80" t="str">
        <x:v>No text cleanup required</x:v>
      </x:c>
      <x:c r="AH719" s="12" t="str">
        <x:f>IF(C719="","Missing date",IF(ISNUMBER(C719),"Valid","Unrecognized/invalid date"))</x:f>
        <x:v>Valid</x:v>
      </x:c>
      <x:c r="AI719" s="12" t="str">
        <x:f>IF(D719="","Missing date",IF(ISNUMBER(D719),"Valid","Unrecognized/invalid date"))</x:f>
        <x:v>Valid</x:v>
      </x:c>
      <x:c r="AJ719" s="12" t="str">
        <x:v>Valid</x:v>
      </x:c>
      <x:c r="AK719" s="12" t="str">
        <x:v>Pass</x:v>
      </x:c>
      <x:c r="AL719" s="12" t="str">
        <x:v>Cancelled order – excluded from completed sales</x:v>
      </x:c>
      <x:c r="AM719" s="12" t="str">
        <x:v>Valid</x:v>
      </x:c>
      <x:c r="AN719" s="12" t="str">
        <x:v>Exclude from completed sales</x:v>
      </x:c>
      <x:c r="AO719" s="12" t="str">
        <x:v>Not a refunded record</x:v>
      </x:c>
      <x:c r="AP719" s="37" t="n">
        <x:f>IF(LEFT($AM719,7)="Invalid","",IF($AM719="Missing discount imputed as 0",IF(AND(COUNT($O719,$P719,$R719,$S719)=4,$O719&gt;0,$P719&gt;=0,$R719&gt;=0,$S719&gt;=0),0,""),IF(AND(ISNUMBER($Q719),$Q719&gt;=0,$Q719&lt;=0.5),$Q719,"")))</x:f>
        <x:v>0.2</x:v>
      </x:c>
      <x:c r="AQ719" s="152" t="n">
        <x:f>IF(OR($W719="",NOT(ISNUMBER($R719))),"",ROUND($R719-$W719,2))</x:f>
        <x:v>0</x:v>
      </x:c>
      <x:c r="AR719" s="152" t="n">
        <x:f>IF(OR($X719="",NOT(ISNUMBER($T719))),"",ROUND($T719-$X719,2))</x:f>
        <x:v>0</x:v>
      </x:c>
      <x:c r="AS719" s="14" t="str">
        <x:v>OK</x:v>
      </x:c>
    </x:row>
    <x:row r="720">
      <x:c r="A720" s="80" t="n">
        <x:v>720</x:v>
      </x:c>
      <x:c r="B720" s="80" t="str">
        <x:v>ORD-2024-10719</x:v>
      </x:c>
      <x:c r="C720" s="81" t="n">
        <x:v>45541</x:v>
      </x:c>
      <x:c r="D720" s="81" t="n">
        <x:v>45544</x:v>
      </x:c>
      <x:c r="E720" s="80" t="str">
        <x:v>CUST-3918</x:v>
      </x:c>
      <x:c r="F720" s="80" t="str">
        <x:v>Mira Das</x:v>
      </x:c>
      <x:c r="G720" s="80" t="str">
        <x:v>Consumer</x:v>
      </x:c>
      <x:c r="H720" s="80" t="str">
        <x:v>West</x:v>
      </x:c>
      <x:c r="I720" s="80" t="str">
        <x:v>Maharashtra</x:v>
      </x:c>
      <x:c r="J720" s="80" t="str">
        <x:v>Mumbai</x:v>
      </x:c>
      <x:c r="K720" s="80" t="str">
        <x:v>Office Supplies</x:v>
      </x:c>
      <x:c r="L720" s="80" t="str">
        <x:v>Art</x:v>
      </x:c>
      <x:c r="M720" s="80" t="str">
        <x:v>Smart Art 866</x:v>
      </x:c>
      <x:c r="N720" s="80" t="str">
        <x:v>Same Day</x:v>
      </x:c>
      <x:c r="O720" s="82" t="n">
        <x:v>3</x:v>
      </x:c>
      <x:c r="P720" s="83" t="n">
        <x:v>1972.27</x:v>
      </x:c>
      <x:c r="Q720" s="84" t="n">
        <x:v>0.2</x:v>
      </x:c>
      <x:c r="R720" s="83" t="n">
        <x:v>4733.45</x:v>
      </x:c>
      <x:c r="S720" s="83" t="n">
        <x:v>3672.32</x:v>
      </x:c>
      <x:c r="T720" s="83" t="n">
        <x:v>1061.13</x:v>
      </x:c>
      <x:c r="U720" s="83" t="str">
        <x:v>Paid</x:v>
      </x:c>
      <x:c r="V720" s="83" t="str">
        <x:v>Completed</x:v>
      </x:c>
      <x:c r="W720" s="151" t="n">
        <x:f>IF(OR(NOT(ISNUMBER($AP720)),COUNT($O720,$P720)&lt;2,$O720&lt;=0,$P720&lt;0),"",ROUND($O720*$P720*(1-$AP720),2))</x:f>
        <x:v>4733.45</x:v>
      </x:c>
      <x:c r="X720" s="151" t="n">
        <x:f>IF(OR(NOT(ISNUMBER($W720)),NOT(ISNUMBER($S720))),"",ROUND($W720-$S720,2))</x:f>
        <x:v>1061.13</x:v>
      </x:c>
      <x:c r="Y720" s="85" t="n">
        <x:f>IF(OR(NOT(ISNUMBER($W720)),NOT(ISNUMBER($X720)),$W720=0),"",ROUND($X720/$W720,4))</x:f>
        <x:v>0.2242</x:v>
      </x:c>
      <x:c r="Z720" s="82" t="n">
        <x:f>IF(OR($AH720&lt;&gt;"Valid",$AI720&lt;&gt;"Valid"),"",INT($D720-$C720))</x:f>
        <x:v>3</x:v>
      </x:c>
      <x:c r="AA720" s="86" t="str">
        <x:f>IF($AH720&lt;&gt;"Valid","",TEXT($C720,"mmmm"))</x:f>
        <x:v>September</x:v>
      </x:c>
      <x:c r="AB720" s="82" t="n">
        <x:f>IF($AH720&lt;&gt;"Valid","",YEAR($C720))</x:f>
        <x:v>2024</x:v>
      </x:c>
      <x:c r="AC720" s="80" t="str">
        <x:v>Consistent</x:v>
      </x:c>
      <x:c r="AD720" s="80" t="str">
        <x:v>Eligible</x:v>
      </x:c>
      <x:c r="AE720" s="80" t="str">
        <x:f>IF(OR($AH720&lt;&gt;"Valid",$AI720&lt;&gt;"Valid",$AJ720&lt;&gt;"Valid",LEFT($AM720,7)="Invalid",IFERROR(ABS($AQ720)&gt;0.01,FALSE),IFERROR(ABS($AR720)&gt;0.01,FALSE),COUNTIF($AS720,"*Conflicting duplicate*")&gt;0,COUNTIF($AS720,"*Completed order not paid*")&gt;0),"Invalid",IF(OR($H720="Unknown",$N720="Unknown",$AM720="Missing discount imputed as 0"),"Warning","Clean"))</x:f>
        <x:v>Clean</x:v>
      </x:c>
      <x:c r="AF720" s="80" t="str">
        <x:v>Pass</x:v>
      </x:c>
      <x:c r="AG720" s="80" t="str">
        <x:v>No text cleanup required</x:v>
      </x:c>
      <x:c r="AH720" s="12" t="str">
        <x:f>IF(C720="","Missing date",IF(ISNUMBER(C720),"Valid","Unrecognized/invalid date"))</x:f>
        <x:v>Valid</x:v>
      </x:c>
      <x:c r="AI720" s="12" t="str">
        <x:f>IF(D720="","Missing date",IF(ISNUMBER(D720),"Valid","Unrecognized/invalid date"))</x:f>
        <x:v>Valid</x:v>
      </x:c>
      <x:c r="AJ720" s="12" t="str">
        <x:v>Valid</x:v>
      </x:c>
      <x:c r="AK720" s="12" t="str">
        <x:v>Pass</x:v>
      </x:c>
      <x:c r="AL720" s="12" t="str">
        <x:v>None</x:v>
      </x:c>
      <x:c r="AM720" s="12" t="str">
        <x:v>Valid</x:v>
      </x:c>
      <x:c r="AN720" s="12" t="str">
        <x:v>Include in completed sales</x:v>
      </x:c>
      <x:c r="AO720" s="12" t="str">
        <x:v>Not a refunded record</x:v>
      </x:c>
      <x:c r="AP720" s="37" t="n">
        <x:f>IF(LEFT($AM720,7)="Invalid","",IF($AM720="Missing discount imputed as 0",IF(AND(COUNT($O720,$P720,$R720,$S720)=4,$O720&gt;0,$P720&gt;=0,$R720&gt;=0,$S720&gt;=0),0,""),IF(AND(ISNUMBER($Q720),$Q720&gt;=0,$Q720&lt;=0.5),$Q720,"")))</x:f>
        <x:v>0.2</x:v>
      </x:c>
      <x:c r="AQ720" s="152" t="n">
        <x:f>IF(OR($W720="",NOT(ISNUMBER($R720))),"",ROUND($R720-$W720,2))</x:f>
        <x:v>0</x:v>
      </x:c>
      <x:c r="AR720" s="152" t="n">
        <x:f>IF(OR($X720="",NOT(ISNUMBER($T720))),"",ROUND($T720-$X720,2))</x:f>
        <x:v>0</x:v>
      </x:c>
      <x:c r="AS720" s="14" t="str">
        <x:v>OK</x:v>
      </x:c>
    </x:row>
    <x:row r="721">
      <x:c r="A721" s="80" t="n">
        <x:v>721</x:v>
      </x:c>
      <x:c r="B721" s="80" t="str">
        <x:v>ORD-2025-10720</x:v>
      </x:c>
      <x:c r="C721" s="81" t="n">
        <x:v>45908</x:v>
      </x:c>
      <x:c r="D721" s="81" t="n">
        <x:v>45909</x:v>
      </x:c>
      <x:c r="E721" s="80" t="str">
        <x:v>CUST-3190</x:v>
      </x:c>
      <x:c r="F721" s="80" t="str">
        <x:v>Kabir Singh</x:v>
      </x:c>
      <x:c r="G721" s="80" t="str">
        <x:v>Corporate</x:v>
      </x:c>
      <x:c r="H721" s="80" t="str">
        <x:v>West</x:v>
      </x:c>
      <x:c r="I721" s="80" t="str">
        <x:v>Gujarat</x:v>
      </x:c>
      <x:c r="J721" s="80" t="str">
        <x:v>Ahmedabad</x:v>
      </x:c>
      <x:c r="K721" s="80" t="str">
        <x:v>Office Supplies</x:v>
      </x:c>
      <x:c r="L721" s="80" t="str">
        <x:v>Art</x:v>
      </x:c>
      <x:c r="M721" s="80" t="str">
        <x:v>Pro Art 447</x:v>
      </x:c>
      <x:c r="N721" s="80" t="str">
        <x:v>Same Day</x:v>
      </x:c>
      <x:c r="O721" s="82" t="n">
        <x:v>2</x:v>
      </x:c>
      <x:c r="P721" s="83" t="n">
        <x:v>2372.41</x:v>
      </x:c>
      <x:c r="Q721" s="84" t="n">
        <x:v>0.2</x:v>
      </x:c>
      <x:c r="R721" s="83" t="n">
        <x:v>3795.86</x:v>
      </x:c>
      <x:c r="S721" s="83" t="n">
        <x:v>2264.92</x:v>
      </x:c>
      <x:c r="T721" s="83" t="n">
        <x:v>1530.94</x:v>
      </x:c>
      <x:c r="U721" s="83" t="str">
        <x:v>Paid</x:v>
      </x:c>
      <x:c r="V721" s="83" t="str">
        <x:v>Completed</x:v>
      </x:c>
      <x:c r="W721" s="151" t="n">
        <x:f>IF(OR(NOT(ISNUMBER($AP721)),COUNT($O721,$P721)&lt;2,$O721&lt;=0,$P721&lt;0),"",ROUND($O721*$P721*(1-$AP721),2))</x:f>
        <x:v>3795.86</x:v>
      </x:c>
      <x:c r="X721" s="151" t="n">
        <x:f>IF(OR(NOT(ISNUMBER($W721)),NOT(ISNUMBER($S721))),"",ROUND($W721-$S721,2))</x:f>
        <x:v>1530.94</x:v>
      </x:c>
      <x:c r="Y721" s="85" t="n">
        <x:f>IF(OR(NOT(ISNUMBER($W721)),NOT(ISNUMBER($X721)),$W721=0),"",ROUND($X721/$W721,4))</x:f>
        <x:v>0.4033</x:v>
      </x:c>
      <x:c r="Z721" s="82" t="n">
        <x:f>IF(OR($AH721&lt;&gt;"Valid",$AI721&lt;&gt;"Valid"),"",INT($D721-$C721))</x:f>
        <x:v>1</x:v>
      </x:c>
      <x:c r="AA721" s="86" t="str">
        <x:f>IF($AH721&lt;&gt;"Valid","",TEXT($C721,"mmmm"))</x:f>
        <x:v>September</x:v>
      </x:c>
      <x:c r="AB721" s="82" t="n">
        <x:f>IF($AH721&lt;&gt;"Valid","",YEAR($C721))</x:f>
        <x:v>2025</x:v>
      </x:c>
      <x:c r="AC721" s="80" t="str">
        <x:v>Consistent</x:v>
      </x:c>
      <x:c r="AD721" s="80" t="str">
        <x:v>Eligible</x:v>
      </x:c>
      <x:c r="AE721" s="80" t="str">
        <x:f>IF(OR($AH721&lt;&gt;"Valid",$AI721&lt;&gt;"Valid",$AJ721&lt;&gt;"Valid",LEFT($AM721,7)="Invalid",IFERROR(ABS($AQ721)&gt;0.01,FALSE),IFERROR(ABS($AR721)&gt;0.01,FALSE),COUNTIF($AS721,"*Conflicting duplicate*")&gt;0,COUNTIF($AS721,"*Completed order not paid*")&gt;0),"Invalid",IF(OR($H721="Unknown",$N721="Unknown",$AM721="Missing discount imputed as 0"),"Warning","Clean"))</x:f>
        <x:v>Clean</x:v>
      </x:c>
      <x:c r="AF721" s="80" t="str">
        <x:v>Pass</x:v>
      </x:c>
      <x:c r="AG721" s="80" t="str">
        <x:v>No text cleanup required</x:v>
      </x:c>
      <x:c r="AH721" s="12" t="str">
        <x:f>IF(C721="","Missing date",IF(ISNUMBER(C721),"Valid","Unrecognized/invalid date"))</x:f>
        <x:v>Valid</x:v>
      </x:c>
      <x:c r="AI721" s="12" t="str">
        <x:f>IF(D721="","Missing date",IF(ISNUMBER(D721),"Valid","Unrecognized/invalid date"))</x:f>
        <x:v>Valid</x:v>
      </x:c>
      <x:c r="AJ721" s="12" t="str">
        <x:v>Valid</x:v>
      </x:c>
      <x:c r="AK721" s="12" t="str">
        <x:v>Pass</x:v>
      </x:c>
      <x:c r="AL721" s="12" t="str">
        <x:v>None</x:v>
      </x:c>
      <x:c r="AM721" s="12" t="str">
        <x:v>Valid</x:v>
      </x:c>
      <x:c r="AN721" s="12" t="str">
        <x:v>Include in completed sales</x:v>
      </x:c>
      <x:c r="AO721" s="12" t="str">
        <x:v>Not a refunded record</x:v>
      </x:c>
      <x:c r="AP721" s="37" t="n">
        <x:f>IF(LEFT($AM721,7)="Invalid","",IF($AM721="Missing discount imputed as 0",IF(AND(COUNT($O721,$P721,$R721,$S721)=4,$O721&gt;0,$P721&gt;=0,$R721&gt;=0,$S721&gt;=0),0,""),IF(AND(ISNUMBER($Q721),$Q721&gt;=0,$Q721&lt;=0.5),$Q721,"")))</x:f>
        <x:v>0.2</x:v>
      </x:c>
      <x:c r="AQ721" s="152" t="n">
        <x:f>IF(OR($W721="",NOT(ISNUMBER($R721))),"",ROUND($R721-$W721,2))</x:f>
        <x:v>0</x:v>
      </x:c>
      <x:c r="AR721" s="152" t="n">
        <x:f>IF(OR($X721="",NOT(ISNUMBER($T721))),"",ROUND($T721-$X721,2))</x:f>
        <x:v>0</x:v>
      </x:c>
      <x:c r="AS721" s="14" t="str">
        <x:v>OK</x:v>
      </x:c>
    </x:row>
    <x:row r="722">
      <x:c r="A722" s="80" t="n">
        <x:v>722</x:v>
      </x:c>
      <x:c r="B722" s="80" t="str">
        <x:v>ORD-2024-10721</x:v>
      </x:c>
      <x:c r="C722" s="81" t="n">
        <x:v>45489</x:v>
      </x:c>
      <x:c r="D722" s="81" t="n">
        <x:v>45489</x:v>
      </x:c>
      <x:c r="E722" s="80" t="str">
        <x:v>CUST-1991</x:v>
      </x:c>
      <x:c r="F722" s="80" t="str">
        <x:v>Aditi Sen</x:v>
      </x:c>
      <x:c r="G722" s="80" t="str">
        <x:v>Home Office</x:v>
      </x:c>
      <x:c r="H722" s="80" t="str">
        <x:v>West</x:v>
      </x:c>
      <x:c r="I722" s="80" t="str">
        <x:v>Madhya Pradesh</x:v>
      </x:c>
      <x:c r="J722" s="80" t="str">
        <x:v>Indore</x:v>
      </x:c>
      <x:c r="K722" s="80" t="str">
        <x:v>Technology</x:v>
      </x:c>
      <x:c r="L722" s="80" t="str">
        <x:v>Copiers</x:v>
      </x:c>
      <x:c r="M722" s="80" t="str">
        <x:v>Smart Copiers 196</x:v>
      </x:c>
      <x:c r="N722" s="80" t="str">
        <x:v>Same Day</x:v>
      </x:c>
      <x:c r="O722" s="82" t="n">
        <x:v>4</x:v>
      </x:c>
      <x:c r="P722" s="83" t="n">
        <x:v>4479.92</x:v>
      </x:c>
      <x:c r="Q722" s="84" t="n">
        <x:v>0.15</x:v>
      </x:c>
      <x:c r="R722" s="83" t="n">
        <x:v>15231.73</x:v>
      </x:c>
      <x:c r="S722" s="83" t="n">
        <x:v>12451.46</x:v>
      </x:c>
      <x:c r="T722" s="83" t="n">
        <x:v>2780.27</x:v>
      </x:c>
      <x:c r="U722" s="83" t="str">
        <x:v>Paid</x:v>
      </x:c>
      <x:c r="V722" s="83" t="str">
        <x:v>Completed</x:v>
      </x:c>
      <x:c r="W722" s="151" t="n">
        <x:f>IF(OR(NOT(ISNUMBER($AP722)),COUNT($O722,$P722)&lt;2,$O722&lt;=0,$P722&lt;0),"",ROUND($O722*$P722*(1-$AP722),2))</x:f>
        <x:v>15231.73</x:v>
      </x:c>
      <x:c r="X722" s="151" t="n">
        <x:f>IF(OR(NOT(ISNUMBER($W722)),NOT(ISNUMBER($S722))),"",ROUND($W722-$S722,2))</x:f>
        <x:v>2780.27</x:v>
      </x:c>
      <x:c r="Y722" s="85" t="n">
        <x:f>IF(OR(NOT(ISNUMBER($W722)),NOT(ISNUMBER($X722)),$W722=0),"",ROUND($X722/$W722,4))</x:f>
        <x:v>0.1825</x:v>
      </x:c>
      <x:c r="Z722" s="82" t="n">
        <x:f>IF(OR($AH722&lt;&gt;"Valid",$AI722&lt;&gt;"Valid"),"",INT($D722-$C722))</x:f>
        <x:v>0</x:v>
      </x:c>
      <x:c r="AA722" s="86" t="str">
        <x:f>IF($AH722&lt;&gt;"Valid","",TEXT($C722,"mmmm"))</x:f>
        <x:v>July</x:v>
      </x:c>
      <x:c r="AB722" s="82" t="n">
        <x:f>IF($AH722&lt;&gt;"Valid","",YEAR($C722))</x:f>
        <x:v>2024</x:v>
      </x:c>
      <x:c r="AC722" s="80" t="str">
        <x:v>Consistent</x:v>
      </x:c>
      <x:c r="AD722" s="80" t="str">
        <x:v>Eligible</x:v>
      </x:c>
      <x:c r="AE722" s="80" t="str">
        <x:f>IF(OR($AH722&lt;&gt;"Valid",$AI722&lt;&gt;"Valid",$AJ722&lt;&gt;"Valid",LEFT($AM722,7)="Invalid",IFERROR(ABS($AQ722)&gt;0.01,FALSE),IFERROR(ABS($AR722)&gt;0.01,FALSE),COUNTIF($AS722,"*Conflicting duplicate*")&gt;0,COUNTIF($AS722,"*Completed order not paid*")&gt;0),"Invalid",IF(OR($H722="Unknown",$N722="Unknown",$AM722="Missing discount imputed as 0"),"Warning","Clean"))</x:f>
        <x:v>Clean</x:v>
      </x:c>
      <x:c r="AF722" s="80" t="str">
        <x:v>Pass</x:v>
      </x:c>
      <x:c r="AG722" s="80" t="str">
        <x:v>No text cleanup required</x:v>
      </x:c>
      <x:c r="AH722" s="12" t="str">
        <x:f>IF(C722="","Missing date",IF(ISNUMBER(C722),"Valid","Unrecognized/invalid date"))</x:f>
        <x:v>Valid</x:v>
      </x:c>
      <x:c r="AI722" s="12" t="str">
        <x:f>IF(D722="","Missing date",IF(ISNUMBER(D722),"Valid","Unrecognized/invalid date"))</x:f>
        <x:v>Valid</x:v>
      </x:c>
      <x:c r="AJ722" s="12" t="str">
        <x:v>Valid</x:v>
      </x:c>
      <x:c r="AK722" s="12" t="str">
        <x:v>Pass</x:v>
      </x:c>
      <x:c r="AL722" s="12" t="str">
        <x:v>None</x:v>
      </x:c>
      <x:c r="AM722" s="12" t="str">
        <x:v>Valid</x:v>
      </x:c>
      <x:c r="AN722" s="12" t="str">
        <x:v>Include in completed sales</x:v>
      </x:c>
      <x:c r="AO722" s="12" t="str">
        <x:v>Not a refunded record</x:v>
      </x:c>
      <x:c r="AP722" s="37" t="n">
        <x:f>IF(LEFT($AM722,7)="Invalid","",IF($AM722="Missing discount imputed as 0",IF(AND(COUNT($O722,$P722,$R722,$S722)=4,$O722&gt;0,$P722&gt;=0,$R722&gt;=0,$S722&gt;=0),0,""),IF(AND(ISNUMBER($Q722),$Q722&gt;=0,$Q722&lt;=0.5),$Q722,"")))</x:f>
        <x:v>0.15</x:v>
      </x:c>
      <x:c r="AQ722" s="152" t="n">
        <x:f>IF(OR($W722="",NOT(ISNUMBER($R722))),"",ROUND($R722-$W722,2))</x:f>
        <x:v>0</x:v>
      </x:c>
      <x:c r="AR722" s="152" t="n">
        <x:f>IF(OR($X722="",NOT(ISNUMBER($T722))),"",ROUND($T722-$X722,2))</x:f>
        <x:v>0</x:v>
      </x:c>
      <x:c r="AS722" s="14" t="str">
        <x:v>OK</x:v>
      </x:c>
    </x:row>
    <x:row r="723">
      <x:c r="A723" s="80" t="n">
        <x:v>723</x:v>
      </x:c>
      <x:c r="B723" s="80" t="str">
        <x:v>ORD-2025-10722</x:v>
      </x:c>
      <x:c r="C723" s="81" t="n">
        <x:v>45827</x:v>
      </x:c>
      <x:c r="D723" s="81" t="n">
        <x:v>45831</x:v>
      </x:c>
      <x:c r="E723" s="80" t="str">
        <x:v>CUST-7606</x:v>
      </x:c>
      <x:c r="F723" s="80" t="str">
        <x:v>Sneha Kapoor</x:v>
      </x:c>
      <x:c r="G723" s="80" t="str">
        <x:v>Consumer</x:v>
      </x:c>
      <x:c r="H723" s="80" t="str">
        <x:v>South</x:v>
      </x:c>
      <x:c r="I723" s="80" t="str">
        <x:v>Karnataka</x:v>
      </x:c>
      <x:c r="J723" s="80" t="str">
        <x:v>Bengaluru</x:v>
      </x:c>
      <x:c r="K723" s="80" t="str">
        <x:v>Technology</x:v>
      </x:c>
      <x:c r="L723" s="80" t="str">
        <x:v>Copiers</x:v>
      </x:c>
      <x:c r="M723" s="80" t="str">
        <x:v>Pro Copiers 532</x:v>
      </x:c>
      <x:c r="N723" s="80" t="str">
        <x:v>First Class</x:v>
      </x:c>
      <x:c r="O723" s="82" t="n">
        <x:v>5</x:v>
      </x:c>
      <x:c r="P723" s="83" t="n">
        <x:v>2729.95</x:v>
      </x:c>
      <x:c r="Q723" s="84" t="n">
        <x:v>0</x:v>
      </x:c>
      <x:c r="R723" s="83" t="n">
        <x:v>13649.75</x:v>
      </x:c>
      <x:c r="S723" s="83" t="n">
        <x:v>10288.03</x:v>
      </x:c>
      <x:c r="T723" s="83" t="n">
        <x:v>3361.72</x:v>
      </x:c>
      <x:c r="U723" s="83" t="str">
        <x:v>Paid</x:v>
      </x:c>
      <x:c r="V723" s="83" t="str">
        <x:v>Completed</x:v>
      </x:c>
      <x:c r="W723" s="151" t="n">
        <x:f>IF(OR(NOT(ISNUMBER($AP723)),COUNT($O723,$P723)&lt;2,$O723&lt;=0,$P723&lt;0),"",ROUND($O723*$P723*(1-$AP723),2))</x:f>
        <x:v>13649.75</x:v>
      </x:c>
      <x:c r="X723" s="151" t="n">
        <x:f>IF(OR(NOT(ISNUMBER($W723)),NOT(ISNUMBER($S723))),"",ROUND($W723-$S723,2))</x:f>
        <x:v>3361.72</x:v>
      </x:c>
      <x:c r="Y723" s="85" t="n">
        <x:f>IF(OR(NOT(ISNUMBER($W723)),NOT(ISNUMBER($X723)),$W723=0),"",ROUND($X723/$W723,4))</x:f>
        <x:v>0.2463</x:v>
      </x:c>
      <x:c r="Z723" s="82" t="n">
        <x:f>IF(OR($AH723&lt;&gt;"Valid",$AI723&lt;&gt;"Valid"),"",INT($D723-$C723))</x:f>
        <x:v>4</x:v>
      </x:c>
      <x:c r="AA723" s="86" t="str">
        <x:f>IF($AH723&lt;&gt;"Valid","",TEXT($C723,"mmmm"))</x:f>
        <x:v>June</x:v>
      </x:c>
      <x:c r="AB723" s="82" t="n">
        <x:f>IF($AH723&lt;&gt;"Valid","",YEAR($C723))</x:f>
        <x:v>2025</x:v>
      </x:c>
      <x:c r="AC723" s="80" t="str">
        <x:v>Consistent</x:v>
      </x:c>
      <x:c r="AD723" s="80" t="str">
        <x:v>Eligible</x:v>
      </x:c>
      <x:c r="AE723" s="80" t="str">
        <x:f>IF(OR($AH723&lt;&gt;"Valid",$AI723&lt;&gt;"Valid",$AJ723&lt;&gt;"Valid",LEFT($AM723,7)="Invalid",IFERROR(ABS($AQ723)&gt;0.01,FALSE),IFERROR(ABS($AR723)&gt;0.01,FALSE),COUNTIF($AS723,"*Conflicting duplicate*")&gt;0,COUNTIF($AS723,"*Completed order not paid*")&gt;0),"Invalid",IF(OR($H723="Unknown",$N723="Unknown",$AM723="Missing discount imputed as 0"),"Warning","Clean"))</x:f>
        <x:v>Clean</x:v>
      </x:c>
      <x:c r="AF723" s="80" t="str">
        <x:v>Pass</x:v>
      </x:c>
      <x:c r="AG723" s="80" t="str">
        <x:v>No text cleanup required</x:v>
      </x:c>
      <x:c r="AH723" s="12" t="str">
        <x:f>IF(C723="","Missing date",IF(ISNUMBER(C723),"Valid","Unrecognized/invalid date"))</x:f>
        <x:v>Valid</x:v>
      </x:c>
      <x:c r="AI723" s="12" t="str">
        <x:f>IF(D723="","Missing date",IF(ISNUMBER(D723),"Valid","Unrecognized/invalid date"))</x:f>
        <x:v>Valid</x:v>
      </x:c>
      <x:c r="AJ723" s="12" t="str">
        <x:v>Valid</x:v>
      </x:c>
      <x:c r="AK723" s="12" t="str">
        <x:v>Pass</x:v>
      </x:c>
      <x:c r="AL723" s="12" t="str">
        <x:v>None</x:v>
      </x:c>
      <x:c r="AM723" s="12" t="str">
        <x:v>Valid</x:v>
      </x:c>
      <x:c r="AN723" s="12" t="str">
        <x:v>Include in completed sales</x:v>
      </x:c>
      <x:c r="AO723" s="12" t="str">
        <x:v>Not a refunded record</x:v>
      </x:c>
      <x:c r="AP723" s="37" t="n">
        <x:f>IF(LEFT($AM723,7)="Invalid","",IF($AM723="Missing discount imputed as 0",IF(AND(COUNT($O723,$P723,$R723,$S723)=4,$O723&gt;0,$P723&gt;=0,$R723&gt;=0,$S723&gt;=0),0,""),IF(AND(ISNUMBER($Q723),$Q723&gt;=0,$Q723&lt;=0.5),$Q723,"")))</x:f>
        <x:v>0</x:v>
      </x:c>
      <x:c r="AQ723" s="152" t="n">
        <x:f>IF(OR($W723="",NOT(ISNUMBER($R723))),"",ROUND($R723-$W723,2))</x:f>
        <x:v>0</x:v>
      </x:c>
      <x:c r="AR723" s="152" t="n">
        <x:f>IF(OR($X723="",NOT(ISNUMBER($T723))),"",ROUND($T723-$X723,2))</x:f>
        <x:v>0</x:v>
      </x:c>
      <x:c r="AS723" s="14" t="str">
        <x:v>OK</x:v>
      </x:c>
    </x:row>
    <x:row r="724">
      <x:c r="A724" s="80" t="n">
        <x:v>724</x:v>
      </x:c>
      <x:c r="B724" s="80" t="str">
        <x:v>ORD-2024-10723</x:v>
      </x:c>
      <x:c r="C724" s="81" t="n">
        <x:v>45572</x:v>
      </x:c>
      <x:c r="D724" s="81" t="n">
        <x:v>45575</x:v>
      </x:c>
      <x:c r="E724" s="80" t="str">
        <x:v>CUST-8844</x:v>
      </x:c>
      <x:c r="F724" s="80" t="str">
        <x:v>Vikram Iyer</x:v>
      </x:c>
      <x:c r="G724" s="80" t="str">
        <x:v>Consumer</x:v>
      </x:c>
      <x:c r="H724" s="80" t="str">
        <x:v>East</x:v>
      </x:c>
      <x:c r="I724" s="80" t="str">
        <x:v>West Bengal</x:v>
      </x:c>
      <x:c r="J724" s="80" t="str">
        <x:v>Kolkata</x:v>
      </x:c>
      <x:c r="K724" s="80" t="str">
        <x:v>Furniture</x:v>
      </x:c>
      <x:c r="L724" s="80" t="str">
        <x:v>Chairs</x:v>
      </x:c>
      <x:c r="M724" s="80" t="str">
        <x:v>Eco Chairs 442</x:v>
      </x:c>
      <x:c r="N724" s="80" t="str">
        <x:v>Second Class</x:v>
      </x:c>
      <x:c r="O724" s="82" t="n">
        <x:v>9</x:v>
      </x:c>
      <x:c r="P724" s="83" t="n">
        <x:v>481.51</x:v>
      </x:c>
      <x:c r="Q724" s="84" t="n">
        <x:v>0</x:v>
      </x:c>
      <x:c r="R724" s="83" t="n">
        <x:v>4333.59</x:v>
      </x:c>
      <x:c r="S724" s="83" t="n">
        <x:v>2533.59</x:v>
      </x:c>
      <x:c r="T724" s="83" t="n">
        <x:v>1800</x:v>
      </x:c>
      <x:c r="U724" s="83" t="str">
        <x:v>Refunded</x:v>
      </x:c>
      <x:c r="V724" s="83" t="str">
        <x:v>Cancelled</x:v>
      </x:c>
      <x:c r="W724" s="151" t="n">
        <x:f>IF(OR(NOT(ISNUMBER($AP724)),COUNT($O724,$P724)&lt;2,$O724&lt;=0,$P724&lt;0),"",ROUND($O724*$P724*(1-$AP724),2))</x:f>
        <x:v>4333.59</x:v>
      </x:c>
      <x:c r="X724" s="151" t="n">
        <x:f>IF(OR(NOT(ISNUMBER($W724)),NOT(ISNUMBER($S724))),"",ROUND($W724-$S724,2))</x:f>
        <x:v>1800</x:v>
      </x:c>
      <x:c r="Y724" s="85" t="n">
        <x:f>IF(OR(NOT(ISNUMBER($W724)),NOT(ISNUMBER($X724)),$W724=0),"",ROUND($X724/$W724,4))</x:f>
        <x:v>0.4154</x:v>
      </x:c>
      <x:c r="Z724" s="82" t="n">
        <x:f>IF(OR($AH724&lt;&gt;"Valid",$AI724&lt;&gt;"Valid"),"",INT($D724-$C724))</x:f>
        <x:v>3</x:v>
      </x:c>
      <x:c r="AA724" s="86" t="str">
        <x:f>IF($AH724&lt;&gt;"Valid","",TEXT($C724,"mmmm"))</x:f>
        <x:v>October</x:v>
      </x:c>
      <x:c r="AB724" s="82" t="n">
        <x:f>IF($AH724&lt;&gt;"Valid","",YEAR($C724))</x:f>
        <x:v>2024</x:v>
      </x:c>
      <x:c r="AC724" s="80" t="str">
        <x:v>Cancelled (excluded from completed-sales summary)</x:v>
      </x:c>
      <x:c r="AD724" s="80" t="str">
        <x:v>Excluded</x:v>
      </x:c>
      <x:c r="AE724" s="80" t="str">
        <x:f>IF(OR($AH724&lt;&gt;"Valid",$AI724&lt;&gt;"Valid",$AJ724&lt;&gt;"Valid",LEFT($AM724,7)="Invalid",IFERROR(ABS($AQ724)&gt;0.01,FALSE),IFERROR(ABS($AR724)&gt;0.01,FALSE),COUNTIF($AS724,"*Conflicting duplicate*")&gt;0,COUNTIF($AS724,"*Completed order not paid*")&gt;0),"Invalid",IF(OR($H724="Unknown",$N724="Unknown",$AM724="Missing discount imputed as 0"),"Warning","Clean"))</x:f>
        <x:v>Warning</x:v>
      </x:c>
      <x:c r="AF724" s="80" t="str">
        <x:v>Cleaned</x:v>
      </x:c>
      <x:c r="AG724" s="80" t="str">
        <x:v>discount: Imputed 0; discount: Missing value set to 0 after sales-field validation</x:v>
      </x:c>
      <x:c r="AH724" s="12" t="str">
        <x:f>IF(C724="","Missing date",IF(ISNUMBER(C724),"Valid","Unrecognized/invalid date"))</x:f>
        <x:v>Valid</x:v>
      </x:c>
      <x:c r="AI724" s="12" t="str">
        <x:f>IF(D724="","Missing date",IF(ISNUMBER(D724),"Valid","Unrecognized/invalid date"))</x:f>
        <x:v>Valid</x:v>
      </x:c>
      <x:c r="AJ724" s="12" t="str">
        <x:v>Valid</x:v>
      </x:c>
      <x:c r="AK724" s="12" t="str">
        <x:v>Pass</x:v>
      </x:c>
      <x:c r="AL724" s="12" t="str">
        <x:v>Missing discount imputed as 0; Cancelled order – excluded from completed sales; Refunded payment – separately summarized</x:v>
      </x:c>
      <x:c r="AM724" s="12" t="str">
        <x:v>Missing discount imputed as 0</x:v>
      </x:c>
      <x:c r="AN724" s="12" t="str">
        <x:v>Exclude from completed sales</x:v>
      </x:c>
      <x:c r="AO724" s="12" t="str">
        <x:v>Include in refunded summary</x:v>
      </x:c>
      <x:c r="AP724" s="37" t="n">
        <x:f>IF(LEFT($AM724,7)="Invalid","",IF($AM724="Missing discount imputed as 0",IF(AND(COUNT($O724,$P724,$R724,$S724)=4,$O724&gt;0,$P724&gt;=0,$R724&gt;=0,$S724&gt;=0),0,""),IF(AND(ISNUMBER($Q724),$Q724&gt;=0,$Q724&lt;=0.5),$Q724,"")))</x:f>
        <x:v>0</x:v>
      </x:c>
      <x:c r="AQ724" s="152" t="n">
        <x:f>IF(OR($W724="",NOT(ISNUMBER($R724))),"",ROUND($R724-$W724,2))</x:f>
        <x:v>0</x:v>
      </x:c>
      <x:c r="AR724" s="152" t="n">
        <x:f>IF(OR($X724="",NOT(ISNUMBER($T724))),"",ROUND($T724-$X724,2))</x:f>
        <x:v>0</x:v>
      </x:c>
      <x:c r="AS724" s="14" t="str">
        <x:v>OK</x:v>
      </x:c>
    </x:row>
    <x:row r="725">
      <x:c r="A725" s="80" t="n">
        <x:v>725</x:v>
      </x:c>
      <x:c r="B725" s="80" t="str">
        <x:v>ORD-2025-10724</x:v>
      </x:c>
      <x:c r="C725" s="81" t="n">
        <x:v>45936</x:v>
      </x:c>
      <x:c r="D725" s="81" t="n">
        <x:v>45943</x:v>
      </x:c>
      <x:c r="E725" s="80" t="str">
        <x:v>CUST-4335</x:v>
      </x:c>
      <x:c r="F725" s="80" t="str">
        <x:v>Kabir Singh</x:v>
      </x:c>
      <x:c r="G725" s="80" t="str">
        <x:v>Home Office</x:v>
      </x:c>
      <x:c r="H725" s="80" t="str">
        <x:v>East</x:v>
      </x:c>
      <x:c r="I725" s="80" t="str">
        <x:v>Jharkhand</x:v>
      </x:c>
      <x:c r="J725" s="80" t="str">
        <x:v>Ranchi</x:v>
      </x:c>
      <x:c r="K725" s="80" t="str">
        <x:v>Technology</x:v>
      </x:c>
      <x:c r="L725" s="80" t="str">
        <x:v>Accessories</x:v>
      </x:c>
      <x:c r="M725" s="80" t="str">
        <x:v>Eco Accessories 364</x:v>
      </x:c>
      <x:c r="N725" s="80" t="str">
        <x:v>Standard Class</x:v>
      </x:c>
      <x:c r="O725" s="82" t="n">
        <x:v>6</x:v>
      </x:c>
      <x:c r="P725" s="83" t="n">
        <x:v>2391.93</x:v>
      </x:c>
      <x:c r="Q725" s="84" t="n">
        <x:v>0.05</x:v>
      </x:c>
      <x:c r="R725" s="83" t="n">
        <x:v>13634</x:v>
      </x:c>
      <x:c r="S725" s="83" t="n">
        <x:v>9589.81</x:v>
      </x:c>
      <x:c r="T725" s="83" t="n">
        <x:v>4044.19</x:v>
      </x:c>
      <x:c r="U725" s="83" t="str">
        <x:v>Failed</x:v>
      </x:c>
      <x:c r="V725" s="83" t="str">
        <x:v>Returned</x:v>
      </x:c>
      <x:c r="W725" s="151" t="n">
        <x:f>IF(OR(NOT(ISNUMBER($AP725)),COUNT($O725,$P725)&lt;2,$O725&lt;=0,$P725&lt;0),"",ROUND($O725*$P725*(1-$AP725),2))</x:f>
        <x:v>13634</x:v>
      </x:c>
      <x:c r="X725" s="151" t="n">
        <x:f>IF(OR(NOT(ISNUMBER($W725)),NOT(ISNUMBER($S725))),"",ROUND($W725-$S725,2))</x:f>
        <x:v>4044.19</x:v>
      </x:c>
      <x:c r="Y725" s="85" t="n">
        <x:f>IF(OR(NOT(ISNUMBER($W725)),NOT(ISNUMBER($X725)),$W725=0),"",ROUND($X725/$W725,4))</x:f>
        <x:v>0.2966</x:v>
      </x:c>
      <x:c r="Z725" s="82" t="n">
        <x:f>IF(OR($AH725&lt;&gt;"Valid",$AI725&lt;&gt;"Valid"),"",INT($D725-$C725))</x:f>
        <x:v>7</x:v>
      </x:c>
      <x:c r="AA725" s="86" t="str">
        <x:f>IF($AH725&lt;&gt;"Valid","",TEXT($C725,"mmmm"))</x:f>
        <x:v>October</x:v>
      </x:c>
      <x:c r="AB725" s="82" t="n">
        <x:f>IF($AH725&lt;&gt;"Valid","",YEAR($C725))</x:f>
        <x:v>2025</x:v>
      </x:c>
      <x:c r="AC725" s="80" t="str">
        <x:v>Failed payment (excluded from completed-sales summary)</x:v>
      </x:c>
      <x:c r="AD725" s="80" t="str">
        <x:v>Excluded</x:v>
      </x:c>
      <x:c r="AE725" s="80" t="str">
        <x:f>IF(OR($AH725&lt;&gt;"Valid",$AI725&lt;&gt;"Valid",$AJ725&lt;&gt;"Valid",LEFT($AM725,7)="Invalid",IFERROR(ABS($AQ725)&gt;0.01,FALSE),IFERROR(ABS($AR725)&gt;0.01,FALSE),COUNTIF($AS725,"*Conflicting duplicate*")&gt;0,COUNTIF($AS725,"*Completed order not paid*")&gt;0),"Invalid",IF(OR($H725="Unknown",$N725="Unknown",$AM725="Missing discount imputed as 0"),"Warning","Clean"))</x:f>
        <x:v>Clean</x:v>
      </x:c>
      <x:c r="AF725" s="80" t="str">
        <x:v>Pass</x:v>
      </x:c>
      <x:c r="AG725" s="80" t="str">
        <x:v>No text cleanup required</x:v>
      </x:c>
      <x:c r="AH725" s="12" t="str">
        <x:f>IF(C725="","Missing date",IF(ISNUMBER(C725),"Valid","Unrecognized/invalid date"))</x:f>
        <x:v>Valid</x:v>
      </x:c>
      <x:c r="AI725" s="12" t="str">
        <x:f>IF(D725="","Missing date",IF(ISNUMBER(D725),"Valid","Unrecognized/invalid date"))</x:f>
        <x:v>Valid</x:v>
      </x:c>
      <x:c r="AJ725" s="12" t="str">
        <x:v>Valid</x:v>
      </x:c>
      <x:c r="AK725" s="12" t="str">
        <x:v>Pass</x:v>
      </x:c>
      <x:c r="AL725" s="12" t="str">
        <x:v>Failed payment – excluded from completed sales</x:v>
      </x:c>
      <x:c r="AM725" s="12" t="str">
        <x:v>Valid</x:v>
      </x:c>
      <x:c r="AN725" s="12" t="str">
        <x:v>Exclude from completed sales</x:v>
      </x:c>
      <x:c r="AO725" s="12" t="str">
        <x:v>Not a refunded record</x:v>
      </x:c>
      <x:c r="AP725" s="37" t="n">
        <x:f>IF(LEFT($AM725,7)="Invalid","",IF($AM725="Missing discount imputed as 0",IF(AND(COUNT($O725,$P725,$R725,$S725)=4,$O725&gt;0,$P725&gt;=0,$R725&gt;=0,$S725&gt;=0),0,""),IF(AND(ISNUMBER($Q725),$Q725&gt;=0,$Q725&lt;=0.5),$Q725,"")))</x:f>
        <x:v>0.05</x:v>
      </x:c>
      <x:c r="AQ725" s="152" t="n">
        <x:f>IF(OR($W725="",NOT(ISNUMBER($R725))),"",ROUND($R725-$W725,2))</x:f>
        <x:v>0</x:v>
      </x:c>
      <x:c r="AR725" s="152" t="n">
        <x:f>IF(OR($X725="",NOT(ISNUMBER($T725))),"",ROUND($T725-$X725,2))</x:f>
        <x:v>0</x:v>
      </x:c>
      <x:c r="AS725" s="14" t="str">
        <x:v>OK</x:v>
      </x:c>
    </x:row>
    <x:row r="726">
      <x:c r="A726" s="80" t="n">
        <x:v>726</x:v>
      </x:c>
      <x:c r="B726" s="80" t="str">
        <x:v>ORD-2024-10725</x:v>
      </x:c>
      <x:c r="C726" s="81" t="n">
        <x:v>45332</x:v>
      </x:c>
      <x:c r="D726" s="81" t="n">
        <x:v>45338</x:v>
      </x:c>
      <x:c r="E726" s="80" t="str">
        <x:v>CUST-5891</x:v>
      </x:c>
      <x:c r="F726" s="80" t="str">
        <x:v>Karan Malhotra</x:v>
      </x:c>
      <x:c r="G726" s="80" t="str">
        <x:v>Consumer</x:v>
      </x:c>
      <x:c r="H726" s="80" t="str">
        <x:v>West</x:v>
      </x:c>
      <x:c r="I726" s="80" t="str">
        <x:v>Goa</x:v>
      </x:c>
      <x:c r="J726" s="80" t="str">
        <x:v>Panaji</x:v>
      </x:c>
      <x:c r="K726" s="80" t="str">
        <x:v>Furniture</x:v>
      </x:c>
      <x:c r="L726" s="80" t="str">
        <x:v>Furnishings</x:v>
      </x:c>
      <x:c r="M726" s="80" t="str">
        <x:v>Elite Furnishings 921</x:v>
      </x:c>
      <x:c r="N726" s="80" t="str">
        <x:v>Second Class</x:v>
      </x:c>
      <x:c r="O726" s="82" t="n">
        <x:v>3</x:v>
      </x:c>
      <x:c r="P726" s="83" t="n">
        <x:v>253.43</x:v>
      </x:c>
      <x:c r="Q726" s="84" t="n">
        <x:v>0</x:v>
      </x:c>
      <x:c r="R726" s="83" t="n">
        <x:v>760.29</x:v>
      </x:c>
      <x:c r="S726" s="83" t="n">
        <x:v>497.77</x:v>
      </x:c>
      <x:c r="T726" s="83" t="n">
        <x:v>262.52</x:v>
      </x:c>
      <x:c r="U726" s="83" t="str">
        <x:v>Paid</x:v>
      </x:c>
      <x:c r="V726" s="83" t="str">
        <x:v>Completed</x:v>
      </x:c>
      <x:c r="W726" s="151" t="n">
        <x:f>IF(OR(NOT(ISNUMBER($AP726)),COUNT($O726,$P726)&lt;2,$O726&lt;=0,$P726&lt;0),"",ROUND($O726*$P726*(1-$AP726),2))</x:f>
        <x:v>760.29</x:v>
      </x:c>
      <x:c r="X726" s="151" t="n">
        <x:f>IF(OR(NOT(ISNUMBER($W726)),NOT(ISNUMBER($S726))),"",ROUND($W726-$S726,2))</x:f>
        <x:v>262.52</x:v>
      </x:c>
      <x:c r="Y726" s="85" t="n">
        <x:f>IF(OR(NOT(ISNUMBER($W726)),NOT(ISNUMBER($X726)),$W726=0),"",ROUND($X726/$W726,4))</x:f>
        <x:v>0.3453</x:v>
      </x:c>
      <x:c r="Z726" s="82" t="n">
        <x:f>IF(OR($AH726&lt;&gt;"Valid",$AI726&lt;&gt;"Valid"),"",INT($D726-$C726))</x:f>
        <x:v>6</x:v>
      </x:c>
      <x:c r="AA726" s="86" t="str">
        <x:f>IF($AH726&lt;&gt;"Valid","",TEXT($C726,"mmmm"))</x:f>
        <x:v>February</x:v>
      </x:c>
      <x:c r="AB726" s="82" t="n">
        <x:f>IF($AH726&lt;&gt;"Valid","",YEAR($C726))</x:f>
        <x:v>2024</x:v>
      </x:c>
      <x:c r="AC726" s="80" t="str">
        <x:v>Consistent</x:v>
      </x:c>
      <x:c r="AD726" s="80" t="str">
        <x:v>Eligible</x:v>
      </x:c>
      <x:c r="AE726" s="80" t="str">
        <x:f>IF(OR($AH726&lt;&gt;"Valid",$AI726&lt;&gt;"Valid",$AJ726&lt;&gt;"Valid",LEFT($AM726,7)="Invalid",IFERROR(ABS($AQ726)&gt;0.01,FALSE),IFERROR(ABS($AR726)&gt;0.01,FALSE),COUNTIF($AS726,"*Conflicting duplicate*")&gt;0,COUNTIF($AS726,"*Completed order not paid*")&gt;0),"Invalid",IF(OR($H726="Unknown",$N726="Unknown",$AM726="Missing discount imputed as 0"),"Warning","Clean"))</x:f>
        <x:v>Clean</x:v>
      </x:c>
      <x:c r="AF726" s="80" t="str">
        <x:v>Pass</x:v>
      </x:c>
      <x:c r="AG726" s="80" t="str">
        <x:v>No text cleanup required</x:v>
      </x:c>
      <x:c r="AH726" s="12" t="str">
        <x:f>IF(C726="","Missing date",IF(ISNUMBER(C726),"Valid","Unrecognized/invalid date"))</x:f>
        <x:v>Valid</x:v>
      </x:c>
      <x:c r="AI726" s="12" t="str">
        <x:f>IF(D726="","Missing date",IF(ISNUMBER(D726),"Valid","Unrecognized/invalid date"))</x:f>
        <x:v>Valid</x:v>
      </x:c>
      <x:c r="AJ726" s="12" t="str">
        <x:v>Valid</x:v>
      </x:c>
      <x:c r="AK726" s="12" t="str">
        <x:v>Pass</x:v>
      </x:c>
      <x:c r="AL726" s="12" t="str">
        <x:v>None</x:v>
      </x:c>
      <x:c r="AM726" s="12" t="str">
        <x:v>Valid</x:v>
      </x:c>
      <x:c r="AN726" s="12" t="str">
        <x:v>Include in completed sales</x:v>
      </x:c>
      <x:c r="AO726" s="12" t="str">
        <x:v>Not a refunded record</x:v>
      </x:c>
      <x:c r="AP726" s="37" t="n">
        <x:f>IF(LEFT($AM726,7)="Invalid","",IF($AM726="Missing discount imputed as 0",IF(AND(COUNT($O726,$P726,$R726,$S726)=4,$O726&gt;0,$P726&gt;=0,$R726&gt;=0,$S726&gt;=0),0,""),IF(AND(ISNUMBER($Q726),$Q726&gt;=0,$Q726&lt;=0.5),$Q726,"")))</x:f>
        <x:v>0</x:v>
      </x:c>
      <x:c r="AQ726" s="152" t="n">
        <x:f>IF(OR($W726="",NOT(ISNUMBER($R726))),"",ROUND($R726-$W726,2))</x:f>
        <x:v>0</x:v>
      </x:c>
      <x:c r="AR726" s="152" t="n">
        <x:f>IF(OR($X726="",NOT(ISNUMBER($T726))),"",ROUND($T726-$X726,2))</x:f>
        <x:v>0</x:v>
      </x:c>
      <x:c r="AS726" s="14" t="str">
        <x:v>OK</x:v>
      </x:c>
    </x:row>
    <x:row r="727">
      <x:c r="A727" s="80" t="n">
        <x:v>727</x:v>
      </x:c>
      <x:c r="B727" s="80" t="str">
        <x:v>ORD-2025-10726</x:v>
      </x:c>
      <x:c r="C727" s="81" t="n">
        <x:v>45935</x:v>
      </x:c>
      <x:c r="D727" s="81" t="n">
        <x:v>45942</x:v>
      </x:c>
      <x:c r="E727" s="80" t="str">
        <x:v>CUST-6371</x:v>
      </x:c>
      <x:c r="F727" s="80" t="str">
        <x:v>Priya Menon</x:v>
      </x:c>
      <x:c r="G727" s="80" t="str">
        <x:v>Corporate</x:v>
      </x:c>
      <x:c r="H727" s="80" t="str">
        <x:v>South</x:v>
      </x:c>
      <x:c r="I727" s="80" t="str">
        <x:v>Karnataka</x:v>
      </x:c>
      <x:c r="J727" s="80" t="str">
        <x:v>Bengaluru</x:v>
      </x:c>
      <x:c r="K727" s="80" t="str">
        <x:v>Furniture</x:v>
      </x:c>
      <x:c r="L727" s="80" t="str">
        <x:v>Tables</x:v>
      </x:c>
      <x:c r="M727" s="80" t="str">
        <x:v>Max Tables 309</x:v>
      </x:c>
      <x:c r="N727" s="80" t="str">
        <x:v>Second Class</x:v>
      </x:c>
      <x:c r="O727" s="82" t="n">
        <x:v>7</x:v>
      </x:c>
      <x:c r="P727" s="83" t="n">
        <x:v>2134.73</x:v>
      </x:c>
      <x:c r="Q727" s="84" t="n">
        <x:v>0</x:v>
      </x:c>
      <x:c r="R727" s="83" t="n">
        <x:v>14943.11</x:v>
      </x:c>
      <x:c r="S727" s="83" t="n">
        <x:v>8521.5</x:v>
      </x:c>
      <x:c r="T727" s="83" t="n">
        <x:v>6421.61</x:v>
      </x:c>
      <x:c r="U727" s="83" t="str">
        <x:v>Paid</x:v>
      </x:c>
      <x:c r="V727" s="83" t="str">
        <x:v>Completed</x:v>
      </x:c>
      <x:c r="W727" s="151" t="n">
        <x:f>IF(OR(NOT(ISNUMBER($AP727)),COUNT($O727,$P727)&lt;2,$O727&lt;=0,$P727&lt;0),"",ROUND($O727*$P727*(1-$AP727),2))</x:f>
        <x:v>14943.11</x:v>
      </x:c>
      <x:c r="X727" s="151" t="n">
        <x:f>IF(OR(NOT(ISNUMBER($W727)),NOT(ISNUMBER($S727))),"",ROUND($W727-$S727,2))</x:f>
        <x:v>6421.61</x:v>
      </x:c>
      <x:c r="Y727" s="85" t="n">
        <x:f>IF(OR(NOT(ISNUMBER($W727)),NOT(ISNUMBER($X727)),$W727=0),"",ROUND($X727/$W727,4))</x:f>
        <x:v>0.4297</x:v>
      </x:c>
      <x:c r="Z727" s="82" t="n">
        <x:f>IF(OR($AH727&lt;&gt;"Valid",$AI727&lt;&gt;"Valid"),"",INT($D727-$C727))</x:f>
        <x:v>7</x:v>
      </x:c>
      <x:c r="AA727" s="86" t="str">
        <x:f>IF($AH727&lt;&gt;"Valid","",TEXT($C727,"mmmm"))</x:f>
        <x:v>October</x:v>
      </x:c>
      <x:c r="AB727" s="82" t="n">
        <x:f>IF($AH727&lt;&gt;"Valid","",YEAR($C727))</x:f>
        <x:v>2025</x:v>
      </x:c>
      <x:c r="AC727" s="80" t="str">
        <x:v>Consistent</x:v>
      </x:c>
      <x:c r="AD727" s="80" t="str">
        <x:v>Eligible</x:v>
      </x:c>
      <x:c r="AE727" s="80" t="str">
        <x:f>IF(OR($AH727&lt;&gt;"Valid",$AI727&lt;&gt;"Valid",$AJ727&lt;&gt;"Valid",LEFT($AM727,7)="Invalid",IFERROR(ABS($AQ727)&gt;0.01,FALSE),IFERROR(ABS($AR727)&gt;0.01,FALSE),COUNTIF($AS727,"*Conflicting duplicate*")&gt;0,COUNTIF($AS727,"*Completed order not paid*")&gt;0),"Invalid",IF(OR($H727="Unknown",$N727="Unknown",$AM727="Missing discount imputed as 0"),"Warning","Clean"))</x:f>
        <x:v>Clean</x:v>
      </x:c>
      <x:c r="AF727" s="80" t="str">
        <x:v>Pass</x:v>
      </x:c>
      <x:c r="AG727" s="80" t="str">
        <x:v>No text cleanup required</x:v>
      </x:c>
      <x:c r="AH727" s="12" t="str">
        <x:f>IF(C727="","Missing date",IF(ISNUMBER(C727),"Valid","Unrecognized/invalid date"))</x:f>
        <x:v>Valid</x:v>
      </x:c>
      <x:c r="AI727" s="12" t="str">
        <x:f>IF(D727="","Missing date",IF(ISNUMBER(D727),"Valid","Unrecognized/invalid date"))</x:f>
        <x:v>Valid</x:v>
      </x:c>
      <x:c r="AJ727" s="12" t="str">
        <x:v>Valid</x:v>
      </x:c>
      <x:c r="AK727" s="12" t="str">
        <x:v>Pass</x:v>
      </x:c>
      <x:c r="AL727" s="12" t="str">
        <x:v>None</x:v>
      </x:c>
      <x:c r="AM727" s="12" t="str">
        <x:v>Valid</x:v>
      </x:c>
      <x:c r="AN727" s="12" t="str">
        <x:v>Include in completed sales</x:v>
      </x:c>
      <x:c r="AO727" s="12" t="str">
        <x:v>Not a refunded record</x:v>
      </x:c>
      <x:c r="AP727" s="37" t="n">
        <x:f>IF(LEFT($AM727,7)="Invalid","",IF($AM727="Missing discount imputed as 0",IF(AND(COUNT($O727,$P727,$R727,$S727)=4,$O727&gt;0,$P727&gt;=0,$R727&gt;=0,$S727&gt;=0),0,""),IF(AND(ISNUMBER($Q727),$Q727&gt;=0,$Q727&lt;=0.5),$Q727,"")))</x:f>
        <x:v>0</x:v>
      </x:c>
      <x:c r="AQ727" s="152" t="n">
        <x:f>IF(OR($W727="",NOT(ISNUMBER($R727))),"",ROUND($R727-$W727,2))</x:f>
        <x:v>0</x:v>
      </x:c>
      <x:c r="AR727" s="152" t="n">
        <x:f>IF(OR($X727="",NOT(ISNUMBER($T727))),"",ROUND($T727-$X727,2))</x:f>
        <x:v>0</x:v>
      </x:c>
      <x:c r="AS727" s="14" t="str">
        <x:v>OK</x:v>
      </x:c>
    </x:row>
    <x:row r="728">
      <x:c r="A728" s="80" t="n">
        <x:v>728</x:v>
      </x:c>
      <x:c r="B728" s="80" t="str">
        <x:v>ORD-2024-10727</x:v>
      </x:c>
      <x:c r="C728" s="81" t="n">
        <x:v>45308</x:v>
      </x:c>
      <x:c r="D728" s="81" t="n">
        <x:v>45314</x:v>
      </x:c>
      <x:c r="E728" s="80" t="str">
        <x:v>CUST-6655</x:v>
      </x:c>
      <x:c r="F728" s="80" t="str">
        <x:v>Kabir Singh</x:v>
      </x:c>
      <x:c r="G728" s="80" t="str">
        <x:v>Home Office</x:v>
      </x:c>
      <x:c r="H728" s="80" t="str">
        <x:v>West</x:v>
      </x:c>
      <x:c r="I728" s="80" t="str">
        <x:v>Gujarat</x:v>
      </x:c>
      <x:c r="J728" s="80" t="str">
        <x:v>Ahmedabad</x:v>
      </x:c>
      <x:c r="K728" s="80" t="str">
        <x:v>Technology</x:v>
      </x:c>
      <x:c r="L728" s="80" t="str">
        <x:v>Phones</x:v>
      </x:c>
      <x:c r="M728" s="80" t="str">
        <x:v>Pro Phones 857</x:v>
      </x:c>
      <x:c r="N728" s="80" t="str">
        <x:v>Standard Class</x:v>
      </x:c>
      <x:c r="O728" s="82" t="n">
        <x:v>5</x:v>
      </x:c>
      <x:c r="P728" s="83" t="n">
        <x:v>2018</x:v>
      </x:c>
      <x:c r="Q728" s="84" t="n">
        <x:v>0.2</x:v>
      </x:c>
      <x:c r="R728" s="83" t="n">
        <x:v>8072</x:v>
      </x:c>
      <x:c r="S728" s="83" t="n">
        <x:v>5379.22</x:v>
      </x:c>
      <x:c r="T728" s="83" t="n">
        <x:v>2692.78</x:v>
      </x:c>
      <x:c r="U728" s="83" t="str">
        <x:v>Pending</x:v>
      </x:c>
      <x:c r="V728" s="83" t="str">
        <x:v>Returned</x:v>
      </x:c>
      <x:c r="W728" s="151" t="n">
        <x:f>IF(OR(NOT(ISNUMBER($AP728)),COUNT($O728,$P728)&lt;2,$O728&lt;=0,$P728&lt;0),"",ROUND($O728*$P728*(1-$AP728),2))</x:f>
        <x:v>8072</x:v>
      </x:c>
      <x:c r="X728" s="151" t="n">
        <x:f>IF(OR(NOT(ISNUMBER($W728)),NOT(ISNUMBER($S728))),"",ROUND($W728-$S728,2))</x:f>
        <x:v>2692.78</x:v>
      </x:c>
      <x:c r="Y728" s="85" t="n">
        <x:f>IF(OR(NOT(ISNUMBER($W728)),NOT(ISNUMBER($X728)),$W728=0),"",ROUND($X728/$W728,4))</x:f>
        <x:v>0.3336</x:v>
      </x:c>
      <x:c r="Z728" s="82" t="n">
        <x:f>IF(OR($AH728&lt;&gt;"Valid",$AI728&lt;&gt;"Valid"),"",INT($D728-$C728))</x:f>
        <x:v>6</x:v>
      </x:c>
      <x:c r="AA728" s="86" t="str">
        <x:f>IF($AH728&lt;&gt;"Valid","",TEXT($C728,"mmmm"))</x:f>
        <x:v>January</x:v>
      </x:c>
      <x:c r="AB728" s="82" t="n">
        <x:f>IF($AH728&lt;&gt;"Valid","",YEAR($C728))</x:f>
        <x:v>2024</x:v>
      </x:c>
      <x:c r="AC728" s="80" t="str">
        <x:v>Consistent</x:v>
      </x:c>
      <x:c r="AD728" s="80" t="str">
        <x:v>Excluded</x:v>
      </x:c>
      <x:c r="AE728" s="80" t="str">
        <x:f>IF(OR($AH728&lt;&gt;"Valid",$AI728&lt;&gt;"Valid",$AJ728&lt;&gt;"Valid",LEFT($AM728,7)="Invalid",IFERROR(ABS($AQ728)&gt;0.01,FALSE),IFERROR(ABS($AR728)&gt;0.01,FALSE),COUNTIF($AS728,"*Conflicting duplicate*")&gt;0,COUNTIF($AS728,"*Completed order not paid*")&gt;0),"Invalid",IF(OR($H728="Unknown",$N728="Unknown",$AM728="Missing discount imputed as 0"),"Warning","Clean"))</x:f>
        <x:v>Clean</x:v>
      </x:c>
      <x:c r="AF728" s="80" t="str">
        <x:v>Pass</x:v>
      </x:c>
      <x:c r="AG728" s="80" t="str">
        <x:v>No text cleanup required</x:v>
      </x:c>
      <x:c r="AH728" s="12" t="str">
        <x:f>IF(C728="","Missing date",IF(ISNUMBER(C728),"Valid","Unrecognized/invalid date"))</x:f>
        <x:v>Valid</x:v>
      </x:c>
      <x:c r="AI728" s="12" t="str">
        <x:f>IF(D728="","Missing date",IF(ISNUMBER(D728),"Valid","Unrecognized/invalid date"))</x:f>
        <x:v>Valid</x:v>
      </x:c>
      <x:c r="AJ728" s="12" t="str">
        <x:v>Valid</x:v>
      </x:c>
      <x:c r="AK728" s="12" t="str">
        <x:v>Pass</x:v>
      </x:c>
      <x:c r="AL728" s="12" t="str">
        <x:v>None</x:v>
      </x:c>
      <x:c r="AM728" s="12" t="str">
        <x:v>Valid</x:v>
      </x:c>
      <x:c r="AN728" s="12" t="str">
        <x:v>Exclude from completed sales</x:v>
      </x:c>
      <x:c r="AO728" s="12" t="str">
        <x:v>Not a refunded record</x:v>
      </x:c>
      <x:c r="AP728" s="37" t="n">
        <x:f>IF(LEFT($AM728,7)="Invalid","",IF($AM728="Missing discount imputed as 0",IF(AND(COUNT($O728,$P728,$R728,$S728)=4,$O728&gt;0,$P728&gt;=0,$R728&gt;=0,$S728&gt;=0),0,""),IF(AND(ISNUMBER($Q728),$Q728&gt;=0,$Q728&lt;=0.5),$Q728,"")))</x:f>
        <x:v>0.2</x:v>
      </x:c>
      <x:c r="AQ728" s="152" t="n">
        <x:f>IF(OR($W728="",NOT(ISNUMBER($R728))),"",ROUND($R728-$W728,2))</x:f>
        <x:v>0</x:v>
      </x:c>
      <x:c r="AR728" s="152" t="n">
        <x:f>IF(OR($X728="",NOT(ISNUMBER($T728))),"",ROUND($T728-$X728,2))</x:f>
        <x:v>0</x:v>
      </x:c>
      <x:c r="AS728" s="14" t="str">
        <x:v>OK</x:v>
      </x:c>
    </x:row>
    <x:row r="729">
      <x:c r="A729" s="80" t="n">
        <x:v>729</x:v>
      </x:c>
      <x:c r="B729" s="80" t="str">
        <x:v>ORD-2024-10728</x:v>
      </x:c>
      <x:c r="C729" s="81" t="n">
        <x:v>45578</x:v>
      </x:c>
      <x:c r="D729" s="81" t="n">
        <x:v>45578</x:v>
      </x:c>
      <x:c r="E729" s="80" t="str">
        <x:v>CUST-6492</x:v>
      </x:c>
      <x:c r="F729" s="80" t="str">
        <x:v>Aarav Sharma</x:v>
      </x:c>
      <x:c r="G729" s="80" t="str">
        <x:v>Small Business</x:v>
      </x:c>
      <x:c r="H729" s="80" t="str">
        <x:v>East</x:v>
      </x:c>
      <x:c r="I729" s="80" t="str">
        <x:v>Assam</x:v>
      </x:c>
      <x:c r="J729" s="80" t="str">
        <x:v>Guwahati</x:v>
      </x:c>
      <x:c r="K729" s="80" t="str">
        <x:v>Technology</x:v>
      </x:c>
      <x:c r="L729" s="80" t="str">
        <x:v>Accessories</x:v>
      </x:c>
      <x:c r="M729" s="80" t="str">
        <x:v>Max Accessories 567</x:v>
      </x:c>
      <x:c r="N729" s="80" t="str">
        <x:v>Second Class</x:v>
      </x:c>
      <x:c r="O729" s="82" t="n">
        <x:v>8</x:v>
      </x:c>
      <x:c r="P729" s="83" t="n">
        <x:v>3730.66</x:v>
      </x:c>
      <x:c r="Q729" s="84" t="n">
        <x:v>0.05</x:v>
      </x:c>
      <x:c r="R729" s="83" t="n">
        <x:v>28353.02</x:v>
      </x:c>
      <x:c r="S729" s="83" t="n">
        <x:v>19257.85</x:v>
      </x:c>
      <x:c r="T729" s="83" t="n">
        <x:v>9095.17</x:v>
      </x:c>
      <x:c r="U729" s="83" t="str">
        <x:v>Paid</x:v>
      </x:c>
      <x:c r="V729" s="83" t="str">
        <x:v>Completed</x:v>
      </x:c>
      <x:c r="W729" s="151" t="n">
        <x:f>IF(OR(NOT(ISNUMBER($AP729)),COUNT($O729,$P729)&lt;2,$O729&lt;=0,$P729&lt;0),"",ROUND($O729*$P729*(1-$AP729),2))</x:f>
        <x:v>28353.02</x:v>
      </x:c>
      <x:c r="X729" s="151" t="n">
        <x:f>IF(OR(NOT(ISNUMBER($W729)),NOT(ISNUMBER($S729))),"",ROUND($W729-$S729,2))</x:f>
        <x:v>9095.17</x:v>
      </x:c>
      <x:c r="Y729" s="85" t="n">
        <x:f>IF(OR(NOT(ISNUMBER($W729)),NOT(ISNUMBER($X729)),$W729=0),"",ROUND($X729/$W729,4))</x:f>
        <x:v>0.3208</x:v>
      </x:c>
      <x:c r="Z729" s="82" t="n">
        <x:f>IF(OR($AH729&lt;&gt;"Valid",$AI729&lt;&gt;"Valid"),"",INT($D729-$C729))</x:f>
        <x:v>0</x:v>
      </x:c>
      <x:c r="AA729" s="86" t="str">
        <x:f>IF($AH729&lt;&gt;"Valid","",TEXT($C729,"mmmm"))</x:f>
        <x:v>October</x:v>
      </x:c>
      <x:c r="AB729" s="82" t="n">
        <x:f>IF($AH729&lt;&gt;"Valid","",YEAR($C729))</x:f>
        <x:v>2024</x:v>
      </x:c>
      <x:c r="AC729" s="80" t="str">
        <x:v>Consistent</x:v>
      </x:c>
      <x:c r="AD729" s="80" t="str">
        <x:v>Eligible</x:v>
      </x:c>
      <x:c r="AE729" s="80" t="str">
        <x:f>IF(OR($AH729&lt;&gt;"Valid",$AI729&lt;&gt;"Valid",$AJ729&lt;&gt;"Valid",LEFT($AM729,7)="Invalid",IFERROR(ABS($AQ729)&gt;0.01,FALSE),IFERROR(ABS($AR729)&gt;0.01,FALSE),COUNTIF($AS729,"*Conflicting duplicate*")&gt;0,COUNTIF($AS729,"*Completed order not paid*")&gt;0),"Invalid",IF(OR($H729="Unknown",$N729="Unknown",$AM729="Missing discount imputed as 0"),"Warning","Clean"))</x:f>
        <x:v>Clean</x:v>
      </x:c>
      <x:c r="AF729" s="80" t="str">
        <x:v>Pass</x:v>
      </x:c>
      <x:c r="AG729" s="80" t="str">
        <x:v>No text cleanup required</x:v>
      </x:c>
      <x:c r="AH729" s="12" t="str">
        <x:f>IF(C729="","Missing date",IF(ISNUMBER(C729),"Valid","Unrecognized/invalid date"))</x:f>
        <x:v>Valid</x:v>
      </x:c>
      <x:c r="AI729" s="12" t="str">
        <x:f>IF(D729="","Missing date",IF(ISNUMBER(D729),"Valid","Unrecognized/invalid date"))</x:f>
        <x:v>Valid</x:v>
      </x:c>
      <x:c r="AJ729" s="12" t="str">
        <x:v>Valid</x:v>
      </x:c>
      <x:c r="AK729" s="12" t="str">
        <x:v>Pass</x:v>
      </x:c>
      <x:c r="AL729" s="12" t="str">
        <x:v>None</x:v>
      </x:c>
      <x:c r="AM729" s="12" t="str">
        <x:v>Valid</x:v>
      </x:c>
      <x:c r="AN729" s="12" t="str">
        <x:v>Include in completed sales</x:v>
      </x:c>
      <x:c r="AO729" s="12" t="str">
        <x:v>Not a refunded record</x:v>
      </x:c>
      <x:c r="AP729" s="37" t="n">
        <x:f>IF(LEFT($AM729,7)="Invalid","",IF($AM729="Missing discount imputed as 0",IF(AND(COUNT($O729,$P729,$R729,$S729)=4,$O729&gt;0,$P729&gt;=0,$R729&gt;=0,$S729&gt;=0),0,""),IF(AND(ISNUMBER($Q729),$Q729&gt;=0,$Q729&lt;=0.5),$Q729,"")))</x:f>
        <x:v>0.05</x:v>
      </x:c>
      <x:c r="AQ729" s="152" t="n">
        <x:f>IF(OR($W729="",NOT(ISNUMBER($R729))),"",ROUND($R729-$W729,2))</x:f>
        <x:v>0</x:v>
      </x:c>
      <x:c r="AR729" s="152" t="n">
        <x:f>IF(OR($X729="",NOT(ISNUMBER($T729))),"",ROUND($T729-$X729,2))</x:f>
        <x:v>0</x:v>
      </x:c>
      <x:c r="AS729" s="14" t="str">
        <x:v>OK</x:v>
      </x:c>
    </x:row>
    <x:row r="730">
      <x:c r="A730" s="80" t="n">
        <x:v>730</x:v>
      </x:c>
      <x:c r="B730" s="80" t="str">
        <x:v>ORD-2024-10729</x:v>
      </x:c>
      <x:c r="C730" s="81" t="n">
        <x:v>45295</x:v>
      </x:c>
      <x:c r="D730" s="81" t="n">
        <x:v>45298</x:v>
      </x:c>
      <x:c r="E730" s="80" t="str">
        <x:v>CUST-1154</x:v>
      </x:c>
      <x:c r="F730" s="80" t="str">
        <x:v>Sneha Kapoor</x:v>
      </x:c>
      <x:c r="G730" s="80" t="str">
        <x:v>Small Business</x:v>
      </x:c>
      <x:c r="H730" s="80" t="str">
        <x:v>South</x:v>
      </x:c>
      <x:c r="I730" s="80" t="str">
        <x:v>Karnataka</x:v>
      </x:c>
      <x:c r="J730" s="80" t="str">
        <x:v>Bengaluru</x:v>
      </x:c>
      <x:c r="K730" s="80" t="str">
        <x:v>Technology</x:v>
      </x:c>
      <x:c r="L730" s="80" t="str">
        <x:v>Machines</x:v>
      </x:c>
      <x:c r="M730" s="80" t="str">
        <x:v>Max Machines 200</x:v>
      </x:c>
      <x:c r="N730" s="80" t="str">
        <x:v>First Class</x:v>
      </x:c>
      <x:c r="O730" s="82" t="n">
        <x:v>1</x:v>
      </x:c>
      <x:c r="P730" s="83" t="n">
        <x:v>2363.02</x:v>
      </x:c>
      <x:c r="Q730" s="84" t="n">
        <x:v>0.15</x:v>
      </x:c>
      <x:c r="R730" s="83" t="n">
        <x:v>2008.57</x:v>
      </x:c>
      <x:c r="S730" s="83" t="n">
        <x:v>1194.83</x:v>
      </x:c>
      <x:c r="T730" s="83" t="n">
        <x:v>813.74</x:v>
      </x:c>
      <x:c r="U730" s="83" t="str">
        <x:v>Paid</x:v>
      </x:c>
      <x:c r="V730" s="83" t="str">
        <x:v>Completed</x:v>
      </x:c>
      <x:c r="W730" s="151" t="n">
        <x:f>IF(OR(NOT(ISNUMBER($AP730)),COUNT($O730,$P730)&lt;2,$O730&lt;=0,$P730&lt;0),"",ROUND($O730*$P730*(1-$AP730),2))</x:f>
        <x:v>2008.57</x:v>
      </x:c>
      <x:c r="X730" s="151" t="n">
        <x:f>IF(OR(NOT(ISNUMBER($W730)),NOT(ISNUMBER($S730))),"",ROUND($W730-$S730,2))</x:f>
        <x:v>813.74</x:v>
      </x:c>
      <x:c r="Y730" s="85" t="n">
        <x:f>IF(OR(NOT(ISNUMBER($W730)),NOT(ISNUMBER($X730)),$W730=0),"",ROUND($X730/$W730,4))</x:f>
        <x:v>0.4051</x:v>
      </x:c>
      <x:c r="Z730" s="82" t="n">
        <x:f>IF(OR($AH730&lt;&gt;"Valid",$AI730&lt;&gt;"Valid"),"",INT($D730-$C730))</x:f>
        <x:v>3</x:v>
      </x:c>
      <x:c r="AA730" s="86" t="str">
        <x:f>IF($AH730&lt;&gt;"Valid","",TEXT($C730,"mmmm"))</x:f>
        <x:v>January</x:v>
      </x:c>
      <x:c r="AB730" s="82" t="n">
        <x:f>IF($AH730&lt;&gt;"Valid","",YEAR($C730))</x:f>
        <x:v>2024</x:v>
      </x:c>
      <x:c r="AC730" s="80" t="str">
        <x:v>Consistent</x:v>
      </x:c>
      <x:c r="AD730" s="80" t="str">
        <x:v>Eligible</x:v>
      </x:c>
      <x:c r="AE730" s="80" t="str">
        <x:f>IF(OR($AH730&lt;&gt;"Valid",$AI730&lt;&gt;"Valid",$AJ730&lt;&gt;"Valid",LEFT($AM730,7)="Invalid",IFERROR(ABS($AQ730)&gt;0.01,FALSE),IFERROR(ABS($AR730)&gt;0.01,FALSE),COUNTIF($AS730,"*Conflicting duplicate*")&gt;0,COUNTIF($AS730,"*Completed order not paid*")&gt;0),"Invalid",IF(OR($H730="Unknown",$N730="Unknown",$AM730="Missing discount imputed as 0"),"Warning","Clean"))</x:f>
        <x:v>Clean</x:v>
      </x:c>
      <x:c r="AF730" s="80" t="str">
        <x:v>Pass</x:v>
      </x:c>
      <x:c r="AG730" s="80" t="str">
        <x:v>No text cleanup required</x:v>
      </x:c>
      <x:c r="AH730" s="12" t="str">
        <x:f>IF(C730="","Missing date",IF(ISNUMBER(C730),"Valid","Unrecognized/invalid date"))</x:f>
        <x:v>Valid</x:v>
      </x:c>
      <x:c r="AI730" s="12" t="str">
        <x:f>IF(D730="","Missing date",IF(ISNUMBER(D730),"Valid","Unrecognized/invalid date"))</x:f>
        <x:v>Valid</x:v>
      </x:c>
      <x:c r="AJ730" s="12" t="str">
        <x:v>Valid</x:v>
      </x:c>
      <x:c r="AK730" s="12" t="str">
        <x:v>Pass</x:v>
      </x:c>
      <x:c r="AL730" s="12" t="str">
        <x:v>None</x:v>
      </x:c>
      <x:c r="AM730" s="12" t="str">
        <x:v>Valid</x:v>
      </x:c>
      <x:c r="AN730" s="12" t="str">
        <x:v>Include in completed sales</x:v>
      </x:c>
      <x:c r="AO730" s="12" t="str">
        <x:v>Not a refunded record</x:v>
      </x:c>
      <x:c r="AP730" s="37" t="n">
        <x:f>IF(LEFT($AM730,7)="Invalid","",IF($AM730="Missing discount imputed as 0",IF(AND(COUNT($O730,$P730,$R730,$S730)=4,$O730&gt;0,$P730&gt;=0,$R730&gt;=0,$S730&gt;=0),0,""),IF(AND(ISNUMBER($Q730),$Q730&gt;=0,$Q730&lt;=0.5),$Q730,"")))</x:f>
        <x:v>0.15</x:v>
      </x:c>
      <x:c r="AQ730" s="152" t="n">
        <x:f>IF(OR($W730="",NOT(ISNUMBER($R730))),"",ROUND($R730-$W730,2))</x:f>
        <x:v>0</x:v>
      </x:c>
      <x:c r="AR730" s="152" t="n">
        <x:f>IF(OR($X730="",NOT(ISNUMBER($T730))),"",ROUND($T730-$X730,2))</x:f>
        <x:v>0</x:v>
      </x:c>
      <x:c r="AS730" s="14" t="str">
        <x:v>OK</x:v>
      </x:c>
    </x:row>
    <x:row r="731">
      <x:c r="A731" s="80" t="n">
        <x:v>731</x:v>
      </x:c>
      <x:c r="B731" s="80" t="str">
        <x:v>ORD-2025-10730</x:v>
      </x:c>
      <x:c r="C731" s="81" t="n">
        <x:v>45794</x:v>
      </x:c>
      <x:c r="D731" s="81" t="n">
        <x:v>45802</x:v>
      </x:c>
      <x:c r="E731" s="80" t="str">
        <x:v>CUST-8713</x:v>
      </x:c>
      <x:c r="F731" s="80" t="str">
        <x:v>Ananya Rao</x:v>
      </x:c>
      <x:c r="G731" s="80" t="str">
        <x:v>Corporate</x:v>
      </x:c>
      <x:c r="H731" s="80" t="str">
        <x:v>South</x:v>
      </x:c>
      <x:c r="I731" s="80" t="str">
        <x:v>Tamil Nadu</x:v>
      </x:c>
      <x:c r="J731" s="80" t="str">
        <x:v>Chennai</x:v>
      </x:c>
      <x:c r="K731" s="80" t="str">
        <x:v>Technology</x:v>
      </x:c>
      <x:c r="L731" s="80" t="str">
        <x:v>Machines</x:v>
      </x:c>
      <x:c r="M731" s="80" t="str">
        <x:v>Pro Machines 563</x:v>
      </x:c>
      <x:c r="N731" s="80" t="str">
        <x:v>Same Day</x:v>
      </x:c>
      <x:c r="O731" s="82" t="n">
        <x:v>6</x:v>
      </x:c>
      <x:c r="P731" s="83" t="n">
        <x:v>1810.63</x:v>
      </x:c>
      <x:c r="Q731" s="84" t="n">
        <x:v>0.15</x:v>
      </x:c>
      <x:c r="R731" s="83" t="n">
        <x:v>9234.21</x:v>
      </x:c>
      <x:c r="S731" s="83" t="n">
        <x:v>5516.52</x:v>
      </x:c>
      <x:c r="T731" s="83" t="n">
        <x:v>3717.69</x:v>
      </x:c>
      <x:c r="U731" s="83" t="str">
        <x:v>Paid</x:v>
      </x:c>
      <x:c r="V731" s="83" t="str">
        <x:v>Completed</x:v>
      </x:c>
      <x:c r="W731" s="151" t="n">
        <x:f>IF(OR(NOT(ISNUMBER($AP731)),COUNT($O731,$P731)&lt;2,$O731&lt;=0,$P731&lt;0),"",ROUND($O731*$P731*(1-$AP731),2))</x:f>
        <x:v>9234.21</x:v>
      </x:c>
      <x:c r="X731" s="151" t="n">
        <x:f>IF(OR(NOT(ISNUMBER($W731)),NOT(ISNUMBER($S731))),"",ROUND($W731-$S731,2))</x:f>
        <x:v>3717.69</x:v>
      </x:c>
      <x:c r="Y731" s="85" t="n">
        <x:f>IF(OR(NOT(ISNUMBER($W731)),NOT(ISNUMBER($X731)),$W731=0),"",ROUND($X731/$W731,4))</x:f>
        <x:v>0.4026</x:v>
      </x:c>
      <x:c r="Z731" s="82" t="n">
        <x:f>IF(OR($AH731&lt;&gt;"Valid",$AI731&lt;&gt;"Valid"),"",INT($D731-$C731))</x:f>
        <x:v>8</x:v>
      </x:c>
      <x:c r="AA731" s="86" t="str">
        <x:f>IF($AH731&lt;&gt;"Valid","",TEXT($C731,"mmmm"))</x:f>
        <x:v>May</x:v>
      </x:c>
      <x:c r="AB731" s="82" t="n">
        <x:f>IF($AH731&lt;&gt;"Valid","",YEAR($C731))</x:f>
        <x:v>2025</x:v>
      </x:c>
      <x:c r="AC731" s="80" t="str">
        <x:v>Consistent</x:v>
      </x:c>
      <x:c r="AD731" s="80" t="str">
        <x:v>Eligible</x:v>
      </x:c>
      <x:c r="AE731" s="80" t="str">
        <x:f>IF(OR($AH731&lt;&gt;"Valid",$AI731&lt;&gt;"Valid",$AJ731&lt;&gt;"Valid",LEFT($AM731,7)="Invalid",IFERROR(ABS($AQ731)&gt;0.01,FALSE),IFERROR(ABS($AR731)&gt;0.01,FALSE),COUNTIF($AS731,"*Conflicting duplicate*")&gt;0,COUNTIF($AS731,"*Completed order not paid*")&gt;0),"Invalid",IF(OR($H731="Unknown",$N731="Unknown",$AM731="Missing discount imputed as 0"),"Warning","Clean"))</x:f>
        <x:v>Clean</x:v>
      </x:c>
      <x:c r="AF731" s="80" t="str">
        <x:v>Pass</x:v>
      </x:c>
      <x:c r="AG731" s="80" t="str">
        <x:v>No text cleanup required</x:v>
      </x:c>
      <x:c r="AH731" s="12" t="str">
        <x:f>IF(C731="","Missing date",IF(ISNUMBER(C731),"Valid","Unrecognized/invalid date"))</x:f>
        <x:v>Valid</x:v>
      </x:c>
      <x:c r="AI731" s="12" t="str">
        <x:f>IF(D731="","Missing date",IF(ISNUMBER(D731),"Valid","Unrecognized/invalid date"))</x:f>
        <x:v>Valid</x:v>
      </x:c>
      <x:c r="AJ731" s="12" t="str">
        <x:v>Valid</x:v>
      </x:c>
      <x:c r="AK731" s="12" t="str">
        <x:v>Pass</x:v>
      </x:c>
      <x:c r="AL731" s="12" t="str">
        <x:v>None</x:v>
      </x:c>
      <x:c r="AM731" s="12" t="str">
        <x:v>Valid</x:v>
      </x:c>
      <x:c r="AN731" s="12" t="str">
        <x:v>Include in completed sales</x:v>
      </x:c>
      <x:c r="AO731" s="12" t="str">
        <x:v>Not a refunded record</x:v>
      </x:c>
      <x:c r="AP731" s="37" t="n">
        <x:f>IF(LEFT($AM731,7)="Invalid","",IF($AM731="Missing discount imputed as 0",IF(AND(COUNT($O731,$P731,$R731,$S731)=4,$O731&gt;0,$P731&gt;=0,$R731&gt;=0,$S731&gt;=0),0,""),IF(AND(ISNUMBER($Q731),$Q731&gt;=0,$Q731&lt;=0.5),$Q731,"")))</x:f>
        <x:v>0.15</x:v>
      </x:c>
      <x:c r="AQ731" s="152" t="n">
        <x:f>IF(OR($W731="",NOT(ISNUMBER($R731))),"",ROUND($R731-$W731,2))</x:f>
        <x:v>0</x:v>
      </x:c>
      <x:c r="AR731" s="152" t="n">
        <x:f>IF(OR($X731="",NOT(ISNUMBER($T731))),"",ROUND($T731-$X731,2))</x:f>
        <x:v>0</x:v>
      </x:c>
      <x:c r="AS731" s="14" t="str">
        <x:v>OK</x:v>
      </x:c>
    </x:row>
    <x:row r="732">
      <x:c r="A732" s="80" t="n">
        <x:v>732</x:v>
      </x:c>
      <x:c r="B732" s="80" t="str">
        <x:v>ORD-2025-10731</x:v>
      </x:c>
      <x:c r="C732" s="81" t="n">
        <x:v>45827</x:v>
      </x:c>
      <x:c r="D732" s="81" t="n">
        <x:v>45832</x:v>
      </x:c>
      <x:c r="E732" s="80" t="str">
        <x:v>CUST-6765</x:v>
      </x:c>
      <x:c r="F732" s="80" t="str">
        <x:v>Arjun Bose</x:v>
      </x:c>
      <x:c r="G732" s="80" t="str">
        <x:v>Consumer</x:v>
      </x:c>
      <x:c r="H732" s="80" t="str">
        <x:v>East</x:v>
      </x:c>
      <x:c r="I732" s="80" t="str">
        <x:v>West Bengal</x:v>
      </x:c>
      <x:c r="J732" s="80" t="str">
        <x:v>Kolkata</x:v>
      </x:c>
      <x:c r="K732" s="80" t="str">
        <x:v>Office Supplies</x:v>
      </x:c>
      <x:c r="L732" s="80" t="str">
        <x:v>Art</x:v>
      </x:c>
      <x:c r="M732" s="80" t="str">
        <x:v>Elite Art 696</x:v>
      </x:c>
      <x:c r="N732" s="80" t="str">
        <x:v>Second Class</x:v>
      </x:c>
      <x:c r="O732" s="82" t="n">
        <x:v>4</x:v>
      </x:c>
      <x:c r="P732" s="83" t="n">
        <x:v>782.01</x:v>
      </x:c>
      <x:c r="Q732" s="84" t="n">
        <x:v>0.15</x:v>
      </x:c>
      <x:c r="R732" s="83" t="n">
        <x:v>2658.83</x:v>
      </x:c>
      <x:c r="S732" s="83" t="n">
        <x:v>2226.97</x:v>
      </x:c>
      <x:c r="T732" s="83" t="n">
        <x:v>431.86</x:v>
      </x:c>
      <x:c r="U732" s="83" t="str">
        <x:v>Refunded</x:v>
      </x:c>
      <x:c r="V732" s="83" t="str">
        <x:v>Returned</x:v>
      </x:c>
      <x:c r="W732" s="151" t="n">
        <x:f>IF(OR(NOT(ISNUMBER($AP732)),COUNT($O732,$P732)&lt;2,$O732&lt;=0,$P732&lt;0),"",ROUND($O732*$P732*(1-$AP732),2))</x:f>
        <x:v>2658.83</x:v>
      </x:c>
      <x:c r="X732" s="151" t="n">
        <x:f>IF(OR(NOT(ISNUMBER($W732)),NOT(ISNUMBER($S732))),"",ROUND($W732-$S732,2))</x:f>
        <x:v>431.86</x:v>
      </x:c>
      <x:c r="Y732" s="85" t="n">
        <x:f>IF(OR(NOT(ISNUMBER($W732)),NOT(ISNUMBER($X732)),$W732=0),"",ROUND($X732/$W732,4))</x:f>
        <x:v>0.1624</x:v>
      </x:c>
      <x:c r="Z732" s="82" t="n">
        <x:f>IF(OR($AH732&lt;&gt;"Valid",$AI732&lt;&gt;"Valid"),"",INT($D732-$C732))</x:f>
        <x:v>5</x:v>
      </x:c>
      <x:c r="AA732" s="86" t="str">
        <x:f>IF($AH732&lt;&gt;"Valid","",TEXT($C732,"mmmm"))</x:f>
        <x:v>June</x:v>
      </x:c>
      <x:c r="AB732" s="82" t="n">
        <x:f>IF($AH732&lt;&gt;"Valid","",YEAR($C732))</x:f>
        <x:v>2025</x:v>
      </x:c>
      <x:c r="AC732" s="80" t="str">
        <x:v>Refunded (separately summarized)</x:v>
      </x:c>
      <x:c r="AD732" s="80" t="str">
        <x:v>Excluded</x:v>
      </x:c>
      <x:c r="AE732" s="80" t="str">
        <x:f>IF(OR($AH732&lt;&gt;"Valid",$AI732&lt;&gt;"Valid",$AJ732&lt;&gt;"Valid",LEFT($AM732,7)="Invalid",IFERROR(ABS($AQ732)&gt;0.01,FALSE),IFERROR(ABS($AR732)&gt;0.01,FALSE),COUNTIF($AS732,"*Conflicting duplicate*")&gt;0,COUNTIF($AS732,"*Completed order not paid*")&gt;0),"Invalid",IF(OR($H732="Unknown",$N732="Unknown",$AM732="Missing discount imputed as 0"),"Warning","Clean"))</x:f>
        <x:v>Clean</x:v>
      </x:c>
      <x:c r="AF732" s="80" t="str">
        <x:v>Pass</x:v>
      </x:c>
      <x:c r="AG732" s="80" t="str">
        <x:v>No text cleanup required</x:v>
      </x:c>
      <x:c r="AH732" s="12" t="str">
        <x:f>IF(C732="","Missing date",IF(ISNUMBER(C732),"Valid","Unrecognized/invalid date"))</x:f>
        <x:v>Valid</x:v>
      </x:c>
      <x:c r="AI732" s="12" t="str">
        <x:f>IF(D732="","Missing date",IF(ISNUMBER(D732),"Valid","Unrecognized/invalid date"))</x:f>
        <x:v>Valid</x:v>
      </x:c>
      <x:c r="AJ732" s="12" t="str">
        <x:v>Valid</x:v>
      </x:c>
      <x:c r="AK732" s="12" t="str">
        <x:v>Pass</x:v>
      </x:c>
      <x:c r="AL732" s="12" t="str">
        <x:v>Refunded payment – separately summarized</x:v>
      </x:c>
      <x:c r="AM732" s="12" t="str">
        <x:v>Valid</x:v>
      </x:c>
      <x:c r="AN732" s="12" t="str">
        <x:v>Exclude from completed sales</x:v>
      </x:c>
      <x:c r="AO732" s="12" t="str">
        <x:v>Include in refunded summary</x:v>
      </x:c>
      <x:c r="AP732" s="37" t="n">
        <x:f>IF(LEFT($AM732,7)="Invalid","",IF($AM732="Missing discount imputed as 0",IF(AND(COUNT($O732,$P732,$R732,$S732)=4,$O732&gt;0,$P732&gt;=0,$R732&gt;=0,$S732&gt;=0),0,""),IF(AND(ISNUMBER($Q732),$Q732&gt;=0,$Q732&lt;=0.5),$Q732,"")))</x:f>
        <x:v>0.15</x:v>
      </x:c>
      <x:c r="AQ732" s="152" t="n">
        <x:f>IF(OR($W732="",NOT(ISNUMBER($R732))),"",ROUND($R732-$W732,2))</x:f>
        <x:v>0</x:v>
      </x:c>
      <x:c r="AR732" s="152" t="n">
        <x:f>IF(OR($X732="",NOT(ISNUMBER($T732))),"",ROUND($T732-$X732,2))</x:f>
        <x:v>0</x:v>
      </x:c>
      <x:c r="AS732" s="14" t="str">
        <x:v>OK</x:v>
      </x:c>
    </x:row>
    <x:row r="733">
      <x:c r="A733" s="80" t="n">
        <x:v>733</x:v>
      </x:c>
      <x:c r="B733" s="80" t="str">
        <x:v>ORD-2024-10732</x:v>
      </x:c>
      <x:c r="C733" s="81" t="n">
        <x:v>45368</x:v>
      </x:c>
      <x:c r="D733" s="81" t="n">
        <x:v>45370</x:v>
      </x:c>
      <x:c r="E733" s="80" t="str">
        <x:v>CUST-6849</x:v>
      </x:c>
      <x:c r="F733" s="80" t="str">
        <x:v>Ananya Rao</x:v>
      </x:c>
      <x:c r="G733" s="80" t="str">
        <x:v>Corporate</x:v>
      </x:c>
      <x:c r="H733" s="80" t="str">
        <x:v>East</x:v>
      </x:c>
      <x:c r="I733" s="80" t="str">
        <x:v>Odisha</x:v>
      </x:c>
      <x:c r="J733" s="80" t="str">
        <x:v>Bhubaneswar</x:v>
      </x:c>
      <x:c r="K733" s="80" t="str">
        <x:v>Office Supplies</x:v>
      </x:c>
      <x:c r="L733" s="80" t="str">
        <x:v>Binders</x:v>
      </x:c>
      <x:c r="M733" s="80" t="str">
        <x:v>Eco Binders 178</x:v>
      </x:c>
      <x:c r="N733" s="80" t="str">
        <x:v>First Class</x:v>
      </x:c>
      <x:c r="O733" s="82" t="n">
        <x:v>4</x:v>
      </x:c>
      <x:c r="P733" s="83" t="n">
        <x:v>4376.68</x:v>
      </x:c>
      <x:c r="Q733" s="84" t="n">
        <x:v>0.1</x:v>
      </x:c>
      <x:c r="R733" s="83" t="n">
        <x:v>15756.05</x:v>
      </x:c>
      <x:c r="S733" s="83" t="n">
        <x:v>10245.44</x:v>
      </x:c>
      <x:c r="T733" s="83" t="n">
        <x:v>5510.61</x:v>
      </x:c>
      <x:c r="U733" s="83" t="str">
        <x:v>Paid</x:v>
      </x:c>
      <x:c r="V733" s="83" t="str">
        <x:v>Completed</x:v>
      </x:c>
      <x:c r="W733" s="151" t="n">
        <x:f>IF(OR(NOT(ISNUMBER($AP733)),COUNT($O733,$P733)&lt;2,$O733&lt;=0,$P733&lt;0),"",ROUND($O733*$P733*(1-$AP733),2))</x:f>
        <x:v>15756.05</x:v>
      </x:c>
      <x:c r="X733" s="151" t="n">
        <x:f>IF(OR(NOT(ISNUMBER($W733)),NOT(ISNUMBER($S733))),"",ROUND($W733-$S733,2))</x:f>
        <x:v>5510.61</x:v>
      </x:c>
      <x:c r="Y733" s="85" t="n">
        <x:f>IF(OR(NOT(ISNUMBER($W733)),NOT(ISNUMBER($X733)),$W733=0),"",ROUND($X733/$W733,4))</x:f>
        <x:v>0.3497</x:v>
      </x:c>
      <x:c r="Z733" s="82" t="n">
        <x:f>IF(OR($AH733&lt;&gt;"Valid",$AI733&lt;&gt;"Valid"),"",INT($D733-$C733))</x:f>
        <x:v>2</x:v>
      </x:c>
      <x:c r="AA733" s="86" t="str">
        <x:f>IF($AH733&lt;&gt;"Valid","",TEXT($C733,"mmmm"))</x:f>
        <x:v>March</x:v>
      </x:c>
      <x:c r="AB733" s="82" t="n">
        <x:f>IF($AH733&lt;&gt;"Valid","",YEAR($C733))</x:f>
        <x:v>2024</x:v>
      </x:c>
      <x:c r="AC733" s="80" t="str">
        <x:v>Consistent</x:v>
      </x:c>
      <x:c r="AD733" s="80" t="str">
        <x:v>Eligible</x:v>
      </x:c>
      <x:c r="AE733" s="80" t="str">
        <x:f>IF(OR($AH733&lt;&gt;"Valid",$AI733&lt;&gt;"Valid",$AJ733&lt;&gt;"Valid",LEFT($AM733,7)="Invalid",IFERROR(ABS($AQ733)&gt;0.01,FALSE),IFERROR(ABS($AR733)&gt;0.01,FALSE),COUNTIF($AS733,"*Conflicting duplicate*")&gt;0,COUNTIF($AS733,"*Completed order not paid*")&gt;0),"Invalid",IF(OR($H733="Unknown",$N733="Unknown",$AM733="Missing discount imputed as 0"),"Warning","Clean"))</x:f>
        <x:v>Clean</x:v>
      </x:c>
      <x:c r="AF733" s="80" t="str">
        <x:v>Pass</x:v>
      </x:c>
      <x:c r="AG733" s="80" t="str">
        <x:v>No text cleanup required</x:v>
      </x:c>
      <x:c r="AH733" s="12" t="str">
        <x:f>IF(C733="","Missing date",IF(ISNUMBER(C733),"Valid","Unrecognized/invalid date"))</x:f>
        <x:v>Valid</x:v>
      </x:c>
      <x:c r="AI733" s="12" t="str">
        <x:f>IF(D733="","Missing date",IF(ISNUMBER(D733),"Valid","Unrecognized/invalid date"))</x:f>
        <x:v>Valid</x:v>
      </x:c>
      <x:c r="AJ733" s="12" t="str">
        <x:v>Valid</x:v>
      </x:c>
      <x:c r="AK733" s="12" t="str">
        <x:v>Pass</x:v>
      </x:c>
      <x:c r="AL733" s="12" t="str">
        <x:v>None</x:v>
      </x:c>
      <x:c r="AM733" s="12" t="str">
        <x:v>Valid</x:v>
      </x:c>
      <x:c r="AN733" s="12" t="str">
        <x:v>Include in completed sales</x:v>
      </x:c>
      <x:c r="AO733" s="12" t="str">
        <x:v>Not a refunded record</x:v>
      </x:c>
      <x:c r="AP733" s="37" t="n">
        <x:f>IF(LEFT($AM733,7)="Invalid","",IF($AM733="Missing discount imputed as 0",IF(AND(COUNT($O733,$P733,$R733,$S733)=4,$O733&gt;0,$P733&gt;=0,$R733&gt;=0,$S733&gt;=0),0,""),IF(AND(ISNUMBER($Q733),$Q733&gt;=0,$Q733&lt;=0.5),$Q733,"")))</x:f>
        <x:v>0.1</x:v>
      </x:c>
      <x:c r="AQ733" s="152" t="n">
        <x:f>IF(OR($W733="",NOT(ISNUMBER($R733))),"",ROUND($R733-$W733,2))</x:f>
        <x:v>0</x:v>
      </x:c>
      <x:c r="AR733" s="152" t="n">
        <x:f>IF(OR($X733="",NOT(ISNUMBER($T733))),"",ROUND($T733-$X733,2))</x:f>
        <x:v>0</x:v>
      </x:c>
      <x:c r="AS733" s="14" t="str">
        <x:v>OK</x:v>
      </x:c>
    </x:row>
    <x:row r="734">
      <x:c r="A734" s="80" t="n">
        <x:v>734</x:v>
      </x:c>
      <x:c r="B734" s="80" t="str">
        <x:v>ORD-2024-10733</x:v>
      </x:c>
      <x:c r="C734" s="81" t="n">
        <x:v>45624</x:v>
      </x:c>
      <x:c r="D734" s="81" t="n">
        <x:v>45632</x:v>
      </x:c>
      <x:c r="E734" s="80" t="str">
        <x:v>CUST-4973</x:v>
      </x:c>
      <x:c r="F734" s="80" t="str">
        <x:v>Arjun Bose</x:v>
      </x:c>
      <x:c r="G734" s="80" t="str">
        <x:v>Small Business</x:v>
      </x:c>
      <x:c r="H734" s="80" t="str">
        <x:v>North</x:v>
      </x:c>
      <x:c r="I734" s="80" t="str">
        <x:v>Punjab</x:v>
      </x:c>
      <x:c r="J734" s="80" t="str">
        <x:v>Ludhiana</x:v>
      </x:c>
      <x:c r="K734" s="80" t="str">
        <x:v>Technology</x:v>
      </x:c>
      <x:c r="L734" s="80" t="str">
        <x:v>Phones</x:v>
      </x:c>
      <x:c r="M734" s="80" t="str">
        <x:v>Max Phones 678</x:v>
      </x:c>
      <x:c r="N734" s="80" t="str">
        <x:v>Standard Class</x:v>
      </x:c>
      <x:c r="O734" s="82" t="n">
        <x:v>6</x:v>
      </x:c>
      <x:c r="P734" s="83" t="n">
        <x:v>2464.63</x:v>
      </x:c>
      <x:c r="Q734" s="84" t="n">
        <x:v>0</x:v>
      </x:c>
      <x:c r="R734" s="83" t="n">
        <x:v>14787.78</x:v>
      </x:c>
      <x:c r="S734" s="83" t="n">
        <x:v>8596.65</x:v>
      </x:c>
      <x:c r="T734" s="83" t="n">
        <x:v>6191.13</x:v>
      </x:c>
      <x:c r="U734" s="83" t="str">
        <x:v>Paid</x:v>
      </x:c>
      <x:c r="V734" s="83" t="str">
        <x:v>Completed</x:v>
      </x:c>
      <x:c r="W734" s="151" t="n">
        <x:f>IF(OR(NOT(ISNUMBER($AP734)),COUNT($O734,$P734)&lt;2,$O734&lt;=0,$P734&lt;0),"",ROUND($O734*$P734*(1-$AP734),2))</x:f>
        <x:v>14787.78</x:v>
      </x:c>
      <x:c r="X734" s="151" t="n">
        <x:f>IF(OR(NOT(ISNUMBER($W734)),NOT(ISNUMBER($S734))),"",ROUND($W734-$S734,2))</x:f>
        <x:v>6191.13</x:v>
      </x:c>
      <x:c r="Y734" s="85" t="n">
        <x:f>IF(OR(NOT(ISNUMBER($W734)),NOT(ISNUMBER($X734)),$W734=0),"",ROUND($X734/$W734,4))</x:f>
        <x:v>0.4187</x:v>
      </x:c>
      <x:c r="Z734" s="82" t="n">
        <x:f>IF(OR($AH734&lt;&gt;"Valid",$AI734&lt;&gt;"Valid"),"",INT($D734-$C734))</x:f>
        <x:v>8</x:v>
      </x:c>
      <x:c r="AA734" s="86" t="str">
        <x:f>IF($AH734&lt;&gt;"Valid","",TEXT($C734,"mmmm"))</x:f>
        <x:v>November</x:v>
      </x:c>
      <x:c r="AB734" s="82" t="n">
        <x:f>IF($AH734&lt;&gt;"Valid","",YEAR($C734))</x:f>
        <x:v>2024</x:v>
      </x:c>
      <x:c r="AC734" s="80" t="str">
        <x:v>Consistent</x:v>
      </x:c>
      <x:c r="AD734" s="80" t="str">
        <x:v>Eligible</x:v>
      </x:c>
      <x:c r="AE734" s="80" t="str">
        <x:f>IF(OR($AH734&lt;&gt;"Valid",$AI734&lt;&gt;"Valid",$AJ734&lt;&gt;"Valid",LEFT($AM734,7)="Invalid",IFERROR(ABS($AQ734)&gt;0.01,FALSE),IFERROR(ABS($AR734)&gt;0.01,FALSE),COUNTIF($AS734,"*Conflicting duplicate*")&gt;0,COUNTIF($AS734,"*Completed order not paid*")&gt;0),"Invalid",IF(OR($H734="Unknown",$N734="Unknown",$AM734="Missing discount imputed as 0"),"Warning","Clean"))</x:f>
        <x:v>Clean</x:v>
      </x:c>
      <x:c r="AF734" s="80" t="str">
        <x:v>Pass</x:v>
      </x:c>
      <x:c r="AG734" s="80" t="str">
        <x:v>No text cleanup required</x:v>
      </x:c>
      <x:c r="AH734" s="12" t="str">
        <x:f>IF(C734="","Missing date",IF(ISNUMBER(C734),"Valid","Unrecognized/invalid date"))</x:f>
        <x:v>Valid</x:v>
      </x:c>
      <x:c r="AI734" s="12" t="str">
        <x:f>IF(D734="","Missing date",IF(ISNUMBER(D734),"Valid","Unrecognized/invalid date"))</x:f>
        <x:v>Valid</x:v>
      </x:c>
      <x:c r="AJ734" s="12" t="str">
        <x:v>Valid</x:v>
      </x:c>
      <x:c r="AK734" s="12" t="str">
        <x:v>Pass</x:v>
      </x:c>
      <x:c r="AL734" s="12" t="str">
        <x:v>None</x:v>
      </x:c>
      <x:c r="AM734" s="12" t="str">
        <x:v>Valid</x:v>
      </x:c>
      <x:c r="AN734" s="12" t="str">
        <x:v>Include in completed sales</x:v>
      </x:c>
      <x:c r="AO734" s="12" t="str">
        <x:v>Not a refunded record</x:v>
      </x:c>
      <x:c r="AP734" s="37" t="n">
        <x:f>IF(LEFT($AM734,7)="Invalid","",IF($AM734="Missing discount imputed as 0",IF(AND(COUNT($O734,$P734,$R734,$S734)=4,$O734&gt;0,$P734&gt;=0,$R734&gt;=0,$S734&gt;=0),0,""),IF(AND(ISNUMBER($Q734),$Q734&gt;=0,$Q734&lt;=0.5),$Q734,"")))</x:f>
        <x:v>0</x:v>
      </x:c>
      <x:c r="AQ734" s="152" t="n">
        <x:f>IF(OR($W734="",NOT(ISNUMBER($R734))),"",ROUND($R734-$W734,2))</x:f>
        <x:v>0</x:v>
      </x:c>
      <x:c r="AR734" s="152" t="n">
        <x:f>IF(OR($X734="",NOT(ISNUMBER($T734))),"",ROUND($T734-$X734,2))</x:f>
        <x:v>0</x:v>
      </x:c>
      <x:c r="AS734" s="14" t="str">
        <x:v>OK</x:v>
      </x:c>
    </x:row>
    <x:row r="735">
      <x:c r="A735" s="80" t="n">
        <x:v>735</x:v>
      </x:c>
      <x:c r="B735" s="80" t="str">
        <x:v>ORD-2024-10734</x:v>
      </x:c>
      <x:c r="C735" s="81" t="n">
        <x:v>45464</x:v>
      </x:c>
      <x:c r="D735" s="81" t="n">
        <x:v>45471</x:v>
      </x:c>
      <x:c r="E735" s="80" t="str">
        <x:v>CUST-2394</x:v>
      </x:c>
      <x:c r="F735" s="80" t="str">
        <x:v>Aarav Sharma</x:v>
      </x:c>
      <x:c r="G735" s="80" t="str">
        <x:v>Home Office</x:v>
      </x:c>
      <x:c r="H735" s="80" t="str">
        <x:v>North</x:v>
      </x:c>
      <x:c r="I735" s="80" t="str">
        <x:v>Rajasthan</x:v>
      </x:c>
      <x:c r="J735" s="80" t="str">
        <x:v>Jaipur</x:v>
      </x:c>
      <x:c r="K735" s="80" t="str">
        <x:v>Furniture</x:v>
      </x:c>
      <x:c r="L735" s="80" t="str">
        <x:v>Furnishings</x:v>
      </x:c>
      <x:c r="M735" s="80" t="str">
        <x:v>Classic Furnishings 582</x:v>
      </x:c>
      <x:c r="N735" s="80" t="str">
        <x:v>First Class</x:v>
      </x:c>
      <x:c r="O735" s="82" t="n">
        <x:v>9</x:v>
      </x:c>
      <x:c r="P735" s="83" t="n">
        <x:v>2797.96</x:v>
      </x:c>
      <x:c r="Q735" s="84" t="n">
        <x:v>0</x:v>
      </x:c>
      <x:c r="R735" s="83" t="n">
        <x:v>25181.64</x:v>
      </x:c>
      <x:c r="S735" s="83" t="n">
        <x:v>15337.9</x:v>
      </x:c>
      <x:c r="T735" s="83" t="n">
        <x:v>9843.74</x:v>
      </x:c>
      <x:c r="U735" s="83" t="str">
        <x:v>Paid</x:v>
      </x:c>
      <x:c r="V735" s="83" t="str">
        <x:v>Completed</x:v>
      </x:c>
      <x:c r="W735" s="151" t="n">
        <x:f>IF(OR(NOT(ISNUMBER($AP735)),COUNT($O735,$P735)&lt;2,$O735&lt;=0,$P735&lt;0),"",ROUND($O735*$P735*(1-$AP735),2))</x:f>
        <x:v>25181.64</x:v>
      </x:c>
      <x:c r="X735" s="151" t="n">
        <x:f>IF(OR(NOT(ISNUMBER($W735)),NOT(ISNUMBER($S735))),"",ROUND($W735-$S735,2))</x:f>
        <x:v>9843.74</x:v>
      </x:c>
      <x:c r="Y735" s="85" t="n">
        <x:f>IF(OR(NOT(ISNUMBER($W735)),NOT(ISNUMBER($X735)),$W735=0),"",ROUND($X735/$W735,4))</x:f>
        <x:v>0.3909</x:v>
      </x:c>
      <x:c r="Z735" s="82" t="n">
        <x:f>IF(OR($AH735&lt;&gt;"Valid",$AI735&lt;&gt;"Valid"),"",INT($D735-$C735))</x:f>
        <x:v>7</x:v>
      </x:c>
      <x:c r="AA735" s="86" t="str">
        <x:f>IF($AH735&lt;&gt;"Valid","",TEXT($C735,"mmmm"))</x:f>
        <x:v>June</x:v>
      </x:c>
      <x:c r="AB735" s="82" t="n">
        <x:f>IF($AH735&lt;&gt;"Valid","",YEAR($C735))</x:f>
        <x:v>2024</x:v>
      </x:c>
      <x:c r="AC735" s="80" t="str">
        <x:v>Consistent</x:v>
      </x:c>
      <x:c r="AD735" s="80" t="str">
        <x:v>Eligible</x:v>
      </x:c>
      <x:c r="AE735" s="80" t="str">
        <x:f>IF(OR($AH735&lt;&gt;"Valid",$AI735&lt;&gt;"Valid",$AJ735&lt;&gt;"Valid",LEFT($AM735,7)="Invalid",IFERROR(ABS($AQ735)&gt;0.01,FALSE),IFERROR(ABS($AR735)&gt;0.01,FALSE),COUNTIF($AS735,"*Conflicting duplicate*")&gt;0,COUNTIF($AS735,"*Completed order not paid*")&gt;0),"Invalid",IF(OR($H735="Unknown",$N735="Unknown",$AM735="Missing discount imputed as 0"),"Warning","Clean"))</x:f>
        <x:v>Clean</x:v>
      </x:c>
      <x:c r="AF735" s="80" t="str">
        <x:v>Pass</x:v>
      </x:c>
      <x:c r="AG735" s="80" t="str">
        <x:v>No text cleanup required</x:v>
      </x:c>
      <x:c r="AH735" s="12" t="str">
        <x:f>IF(C735="","Missing date",IF(ISNUMBER(C735),"Valid","Unrecognized/invalid date"))</x:f>
        <x:v>Valid</x:v>
      </x:c>
      <x:c r="AI735" s="12" t="str">
        <x:f>IF(D735="","Missing date",IF(ISNUMBER(D735),"Valid","Unrecognized/invalid date"))</x:f>
        <x:v>Valid</x:v>
      </x:c>
      <x:c r="AJ735" s="12" t="str">
        <x:v>Valid</x:v>
      </x:c>
      <x:c r="AK735" s="12" t="str">
        <x:v>Pass</x:v>
      </x:c>
      <x:c r="AL735" s="12" t="str">
        <x:v>None</x:v>
      </x:c>
      <x:c r="AM735" s="12" t="str">
        <x:v>Valid</x:v>
      </x:c>
      <x:c r="AN735" s="12" t="str">
        <x:v>Include in completed sales</x:v>
      </x:c>
      <x:c r="AO735" s="12" t="str">
        <x:v>Not a refunded record</x:v>
      </x:c>
      <x:c r="AP735" s="37" t="n">
        <x:f>IF(LEFT($AM735,7)="Invalid","",IF($AM735="Missing discount imputed as 0",IF(AND(COUNT($O735,$P735,$R735,$S735)=4,$O735&gt;0,$P735&gt;=0,$R735&gt;=0,$S735&gt;=0),0,""),IF(AND(ISNUMBER($Q735),$Q735&gt;=0,$Q735&lt;=0.5),$Q735,"")))</x:f>
        <x:v>0</x:v>
      </x:c>
      <x:c r="AQ735" s="152" t="n">
        <x:f>IF(OR($W735="",NOT(ISNUMBER($R735))),"",ROUND($R735-$W735,2))</x:f>
        <x:v>0</x:v>
      </x:c>
      <x:c r="AR735" s="152" t="n">
        <x:f>IF(OR($X735="",NOT(ISNUMBER($T735))),"",ROUND($T735-$X735,2))</x:f>
        <x:v>0</x:v>
      </x:c>
      <x:c r="AS735" s="14" t="str">
        <x:v>OK</x:v>
      </x:c>
    </x:row>
    <x:row r="736">
      <x:c r="A736" s="80" t="n">
        <x:v>736</x:v>
      </x:c>
      <x:c r="B736" s="80" t="str">
        <x:v>ORD-2024-10735</x:v>
      </x:c>
      <x:c r="C736" s="81" t="n">
        <x:v>45528</x:v>
      </x:c>
      <x:c r="D736" s="81" t="n">
        <x:v>45528</x:v>
      </x:c>
      <x:c r="E736" s="80" t="str">
        <x:v>CUST-5406</x:v>
      </x:c>
      <x:c r="F736" s="80" t="str">
        <x:v>Ananya Rao</x:v>
      </x:c>
      <x:c r="G736" s="80" t="str">
        <x:v>Small Business</x:v>
      </x:c>
      <x:c r="H736" s="80" t="str">
        <x:v>North</x:v>
      </x:c>
      <x:c r="I736" s="80" t="str">
        <x:v>Rajasthan</x:v>
      </x:c>
      <x:c r="J736" s="80" t="str">
        <x:v>Jaipur</x:v>
      </x:c>
      <x:c r="K736" s="80" t="str">
        <x:v>Technology</x:v>
      </x:c>
      <x:c r="L736" s="80" t="str">
        <x:v>Accessories</x:v>
      </x:c>
      <x:c r="M736" s="80" t="str">
        <x:v>Classic Accessories 981</x:v>
      </x:c>
      <x:c r="N736" s="80" t="str">
        <x:v>First Class</x:v>
      </x:c>
      <x:c r="O736" s="82" t="n">
        <x:v>4</x:v>
      </x:c>
      <x:c r="P736" s="83" t="n">
        <x:v>2761.86</x:v>
      </x:c>
      <x:c r="Q736" s="84" t="n">
        <x:v>0.2</x:v>
      </x:c>
      <x:c r="R736" s="83" t="n">
        <x:v>8837.95</x:v>
      </x:c>
      <x:c r="S736" s="83" t="n">
        <x:v>6157.27</x:v>
      </x:c>
      <x:c r="T736" s="83" t="n">
        <x:v>2680.68</x:v>
      </x:c>
      <x:c r="U736" s="83" t="str">
        <x:v>Paid</x:v>
      </x:c>
      <x:c r="V736" s="83" t="str">
        <x:v>Completed</x:v>
      </x:c>
      <x:c r="W736" s="151" t="n">
        <x:f>IF(OR(NOT(ISNUMBER($AP736)),COUNT($O736,$P736)&lt;2,$O736&lt;=0,$P736&lt;0),"",ROUND($O736*$P736*(1-$AP736),2))</x:f>
        <x:v>8837.95</x:v>
      </x:c>
      <x:c r="X736" s="151" t="n">
        <x:f>IF(OR(NOT(ISNUMBER($W736)),NOT(ISNUMBER($S736))),"",ROUND($W736-$S736,2))</x:f>
        <x:v>2680.68</x:v>
      </x:c>
      <x:c r="Y736" s="85" t="n">
        <x:f>IF(OR(NOT(ISNUMBER($W736)),NOT(ISNUMBER($X736)),$W736=0),"",ROUND($X736/$W736,4))</x:f>
        <x:v>0.3033</x:v>
      </x:c>
      <x:c r="Z736" s="82" t="n">
        <x:f>IF(OR($AH736&lt;&gt;"Valid",$AI736&lt;&gt;"Valid"),"",INT($D736-$C736))</x:f>
        <x:v>0</x:v>
      </x:c>
      <x:c r="AA736" s="86" t="str">
        <x:f>IF($AH736&lt;&gt;"Valid","",TEXT($C736,"mmmm"))</x:f>
        <x:v>August</x:v>
      </x:c>
      <x:c r="AB736" s="82" t="n">
        <x:f>IF($AH736&lt;&gt;"Valid","",YEAR($C736))</x:f>
        <x:v>2024</x:v>
      </x:c>
      <x:c r="AC736" s="80" t="str">
        <x:v>Consistent</x:v>
      </x:c>
      <x:c r="AD736" s="80" t="str">
        <x:v>Eligible</x:v>
      </x:c>
      <x:c r="AE736" s="80" t="str">
        <x:f>IF(OR($AH736&lt;&gt;"Valid",$AI736&lt;&gt;"Valid",$AJ736&lt;&gt;"Valid",LEFT($AM736,7)="Invalid",IFERROR(ABS($AQ736)&gt;0.01,FALSE),IFERROR(ABS($AR736)&gt;0.01,FALSE),COUNTIF($AS736,"*Conflicting duplicate*")&gt;0,COUNTIF($AS736,"*Completed order not paid*")&gt;0),"Invalid",IF(OR($H736="Unknown",$N736="Unknown",$AM736="Missing discount imputed as 0"),"Warning","Clean"))</x:f>
        <x:v>Clean</x:v>
      </x:c>
      <x:c r="AF736" s="80" t="str">
        <x:v>Pass</x:v>
      </x:c>
      <x:c r="AG736" s="80" t="str">
        <x:v>No text cleanup required</x:v>
      </x:c>
      <x:c r="AH736" s="12" t="str">
        <x:f>IF(C736="","Missing date",IF(ISNUMBER(C736),"Valid","Unrecognized/invalid date"))</x:f>
        <x:v>Valid</x:v>
      </x:c>
      <x:c r="AI736" s="12" t="str">
        <x:f>IF(D736="","Missing date",IF(ISNUMBER(D736),"Valid","Unrecognized/invalid date"))</x:f>
        <x:v>Valid</x:v>
      </x:c>
      <x:c r="AJ736" s="12" t="str">
        <x:v>Valid</x:v>
      </x:c>
      <x:c r="AK736" s="12" t="str">
        <x:v>Pass</x:v>
      </x:c>
      <x:c r="AL736" s="12" t="str">
        <x:v>None</x:v>
      </x:c>
      <x:c r="AM736" s="12" t="str">
        <x:v>Valid</x:v>
      </x:c>
      <x:c r="AN736" s="12" t="str">
        <x:v>Include in completed sales</x:v>
      </x:c>
      <x:c r="AO736" s="12" t="str">
        <x:v>Not a refunded record</x:v>
      </x:c>
      <x:c r="AP736" s="37" t="n">
        <x:f>IF(LEFT($AM736,7)="Invalid","",IF($AM736="Missing discount imputed as 0",IF(AND(COUNT($O736,$P736,$R736,$S736)=4,$O736&gt;0,$P736&gt;=0,$R736&gt;=0,$S736&gt;=0),0,""),IF(AND(ISNUMBER($Q736),$Q736&gt;=0,$Q736&lt;=0.5),$Q736,"")))</x:f>
        <x:v>0.2</x:v>
      </x:c>
      <x:c r="AQ736" s="152" t="n">
        <x:f>IF(OR($W736="",NOT(ISNUMBER($R736))),"",ROUND($R736-$W736,2))</x:f>
        <x:v>0</x:v>
      </x:c>
      <x:c r="AR736" s="152" t="n">
        <x:f>IF(OR($X736="",NOT(ISNUMBER($T736))),"",ROUND($T736-$X736,2))</x:f>
        <x:v>0</x:v>
      </x:c>
      <x:c r="AS736" s="14" t="str">
        <x:v>OK</x:v>
      </x:c>
    </x:row>
    <x:row r="737">
      <x:c r="A737" s="80" t="n">
        <x:v>737</x:v>
      </x:c>
      <x:c r="B737" s="80" t="str">
        <x:v>ORD-2024-10736</x:v>
      </x:c>
      <x:c r="C737" s="81" t="n">
        <x:v>45515</x:v>
      </x:c>
      <x:c r="D737" s="81" t="n">
        <x:v>45523</x:v>
      </x:c>
      <x:c r="E737" s="80" t="str">
        <x:v>CUST-1963</x:v>
      </x:c>
      <x:c r="F737" s="80" t="str">
        <x:v>Mira Das</x:v>
      </x:c>
      <x:c r="G737" s="80" t="str">
        <x:v>Consumer</x:v>
      </x:c>
      <x:c r="H737" s="80" t="str">
        <x:v>West</x:v>
      </x:c>
      <x:c r="I737" s="80" t="str">
        <x:v>Maharashtra</x:v>
      </x:c>
      <x:c r="J737" s="80" t="str">
        <x:v>Mumbai</x:v>
      </x:c>
      <x:c r="K737" s="80" t="str">
        <x:v>Furniture</x:v>
      </x:c>
      <x:c r="L737" s="80" t="str">
        <x:v>Tables</x:v>
      </x:c>
      <x:c r="M737" s="80" t="str">
        <x:v>Classic Tables 534</x:v>
      </x:c>
      <x:c r="N737" s="80" t="str">
        <x:v>Standard Class</x:v>
      </x:c>
      <x:c r="O737" s="82" t="n">
        <x:v>6</x:v>
      </x:c>
      <x:c r="P737" s="83" t="n">
        <x:v>1515.79</x:v>
      </x:c>
      <x:c r="Q737" s="84" t="n">
        <x:v>0.2</x:v>
      </x:c>
      <x:c r="R737" s="83" t="n">
        <x:v>7275.79</x:v>
      </x:c>
      <x:c r="S737" s="83" t="n">
        <x:v>6152.87</x:v>
      </x:c>
      <x:c r="T737" s="83" t="n">
        <x:v>1122.92</x:v>
      </x:c>
      <x:c r="U737" s="83" t="str">
        <x:v>Paid</x:v>
      </x:c>
      <x:c r="V737" s="83" t="str">
        <x:v>Completed</x:v>
      </x:c>
      <x:c r="W737" s="151" t="n">
        <x:f>IF(OR(NOT(ISNUMBER($AP737)),COUNT($O737,$P737)&lt;2,$O737&lt;=0,$P737&lt;0),"",ROUND($O737*$P737*(1-$AP737),2))</x:f>
        <x:v>7275.79</x:v>
      </x:c>
      <x:c r="X737" s="151" t="n">
        <x:f>IF(OR(NOT(ISNUMBER($W737)),NOT(ISNUMBER($S737))),"",ROUND($W737-$S737,2))</x:f>
        <x:v>1122.92</x:v>
      </x:c>
      <x:c r="Y737" s="85" t="n">
        <x:f>IF(OR(NOT(ISNUMBER($W737)),NOT(ISNUMBER($X737)),$W737=0),"",ROUND($X737/$W737,4))</x:f>
        <x:v>0.1543</x:v>
      </x:c>
      <x:c r="Z737" s="82" t="n">
        <x:f>IF(OR($AH737&lt;&gt;"Valid",$AI737&lt;&gt;"Valid"),"",INT($D737-$C737))</x:f>
        <x:v>8</x:v>
      </x:c>
      <x:c r="AA737" s="86" t="str">
        <x:f>IF($AH737&lt;&gt;"Valid","",TEXT($C737,"mmmm"))</x:f>
        <x:v>August</x:v>
      </x:c>
      <x:c r="AB737" s="82" t="n">
        <x:f>IF($AH737&lt;&gt;"Valid","",YEAR($C737))</x:f>
        <x:v>2024</x:v>
      </x:c>
      <x:c r="AC737" s="80" t="str">
        <x:v>Consistent</x:v>
      </x:c>
      <x:c r="AD737" s="80" t="str">
        <x:v>Eligible</x:v>
      </x:c>
      <x:c r="AE737" s="80" t="str">
        <x:f>IF(OR($AH737&lt;&gt;"Valid",$AI737&lt;&gt;"Valid",$AJ737&lt;&gt;"Valid",LEFT($AM737,7)="Invalid",IFERROR(ABS($AQ737)&gt;0.01,FALSE),IFERROR(ABS($AR737)&gt;0.01,FALSE),COUNTIF($AS737,"*Conflicting duplicate*")&gt;0,COUNTIF($AS737,"*Completed order not paid*")&gt;0),"Invalid",IF(OR($H737="Unknown",$N737="Unknown",$AM737="Missing discount imputed as 0"),"Warning","Clean"))</x:f>
        <x:v>Clean</x:v>
      </x:c>
      <x:c r="AF737" s="80" t="str">
        <x:v>Pass</x:v>
      </x:c>
      <x:c r="AG737" s="80" t="str">
        <x:v>No text cleanup required</x:v>
      </x:c>
      <x:c r="AH737" s="12" t="str">
        <x:f>IF(C737="","Missing date",IF(ISNUMBER(C737),"Valid","Unrecognized/invalid date"))</x:f>
        <x:v>Valid</x:v>
      </x:c>
      <x:c r="AI737" s="12" t="str">
        <x:f>IF(D737="","Missing date",IF(ISNUMBER(D737),"Valid","Unrecognized/invalid date"))</x:f>
        <x:v>Valid</x:v>
      </x:c>
      <x:c r="AJ737" s="12" t="str">
        <x:v>Valid</x:v>
      </x:c>
      <x:c r="AK737" s="12" t="str">
        <x:v>Pass</x:v>
      </x:c>
      <x:c r="AL737" s="12" t="str">
        <x:v>None</x:v>
      </x:c>
      <x:c r="AM737" s="12" t="str">
        <x:v>Valid</x:v>
      </x:c>
      <x:c r="AN737" s="12" t="str">
        <x:v>Include in completed sales</x:v>
      </x:c>
      <x:c r="AO737" s="12" t="str">
        <x:v>Not a refunded record</x:v>
      </x:c>
      <x:c r="AP737" s="37" t="n">
        <x:f>IF(LEFT($AM737,7)="Invalid","",IF($AM737="Missing discount imputed as 0",IF(AND(COUNT($O737,$P737,$R737,$S737)=4,$O737&gt;0,$P737&gt;=0,$R737&gt;=0,$S737&gt;=0),0,""),IF(AND(ISNUMBER($Q737),$Q737&gt;=0,$Q737&lt;=0.5),$Q737,"")))</x:f>
        <x:v>0.2</x:v>
      </x:c>
      <x:c r="AQ737" s="152" t="n">
        <x:f>IF(OR($W737="",NOT(ISNUMBER($R737))),"",ROUND($R737-$W737,2))</x:f>
        <x:v>0</x:v>
      </x:c>
      <x:c r="AR737" s="152" t="n">
        <x:f>IF(OR($X737="",NOT(ISNUMBER($T737))),"",ROUND($T737-$X737,2))</x:f>
        <x:v>0</x:v>
      </x:c>
      <x:c r="AS737" s="14" t="str">
        <x:v>OK</x:v>
      </x:c>
    </x:row>
    <x:row r="738">
      <x:c r="A738" s="80" t="n">
        <x:v>738</x:v>
      </x:c>
      <x:c r="B738" s="80" t="str">
        <x:v>ORD-2024-10737</x:v>
      </x:c>
      <x:c r="C738" s="81" t="n">
        <x:v>45632</x:v>
      </x:c>
      <x:c r="D738" s="81" t="n">
        <x:v>45635</x:v>
      </x:c>
      <x:c r="E738" s="80" t="str">
        <x:v>CUST-9017</x:v>
      </x:c>
      <x:c r="F738" s="80" t="str">
        <x:v>Aditi Sen</x:v>
      </x:c>
      <x:c r="G738" s="80" t="str">
        <x:v>Consumer</x:v>
      </x:c>
      <x:c r="H738" s="80" t="str">
        <x:v>West</x:v>
      </x:c>
      <x:c r="I738" s="80" t="str">
        <x:v>Maharashtra</x:v>
      </x:c>
      <x:c r="J738" s="80" t="str">
        <x:v>Mumbai</x:v>
      </x:c>
      <x:c r="K738" s="80" t="str">
        <x:v>Furniture</x:v>
      </x:c>
      <x:c r="L738" s="80" t="str">
        <x:v>Chairs</x:v>
      </x:c>
      <x:c r="M738" s="80" t="str">
        <x:v>Pro Chairs 383</x:v>
      </x:c>
      <x:c r="N738" s="80" t="str">
        <x:v>Second Class</x:v>
      </x:c>
      <x:c r="O738" s="82" t="n">
        <x:v>9</x:v>
      </x:c>
      <x:c r="P738" s="83" t="n">
        <x:v>290.75</x:v>
      </x:c>
      <x:c r="Q738" s="84" t="n">
        <x:v>0.1</x:v>
      </x:c>
      <x:c r="R738" s="83" t="n">
        <x:v>2355.08</x:v>
      </x:c>
      <x:c r="S738" s="83" t="n">
        <x:v>1350.03</x:v>
      </x:c>
      <x:c r="T738" s="83" t="n">
        <x:v>1005.05</x:v>
      </x:c>
      <x:c r="U738" s="83" t="str">
        <x:v>Paid</x:v>
      </x:c>
      <x:c r="V738" s="83" t="str">
        <x:v>Completed</x:v>
      </x:c>
      <x:c r="W738" s="151" t="n">
        <x:f>IF(OR(NOT(ISNUMBER($AP738)),COUNT($O738,$P738)&lt;2,$O738&lt;=0,$P738&lt;0),"",ROUND($O738*$P738*(1-$AP738),2))</x:f>
        <x:v>2355.08</x:v>
      </x:c>
      <x:c r="X738" s="151" t="n">
        <x:f>IF(OR(NOT(ISNUMBER($W738)),NOT(ISNUMBER($S738))),"",ROUND($W738-$S738,2))</x:f>
        <x:v>1005.05</x:v>
      </x:c>
      <x:c r="Y738" s="85" t="n">
        <x:f>IF(OR(NOT(ISNUMBER($W738)),NOT(ISNUMBER($X738)),$W738=0),"",ROUND($X738/$W738,4))</x:f>
        <x:v>0.4268</x:v>
      </x:c>
      <x:c r="Z738" s="82" t="n">
        <x:f>IF(OR($AH738&lt;&gt;"Valid",$AI738&lt;&gt;"Valid"),"",INT($D738-$C738))</x:f>
        <x:v>3</x:v>
      </x:c>
      <x:c r="AA738" s="86" t="str">
        <x:f>IF($AH738&lt;&gt;"Valid","",TEXT($C738,"mmmm"))</x:f>
        <x:v>December</x:v>
      </x:c>
      <x:c r="AB738" s="82" t="n">
        <x:f>IF($AH738&lt;&gt;"Valid","",YEAR($C738))</x:f>
        <x:v>2024</x:v>
      </x:c>
      <x:c r="AC738" s="80" t="str">
        <x:v>Consistent</x:v>
      </x:c>
      <x:c r="AD738" s="80" t="str">
        <x:v>Eligible</x:v>
      </x:c>
      <x:c r="AE738" s="80" t="str">
        <x:f>IF(OR($AH738&lt;&gt;"Valid",$AI738&lt;&gt;"Valid",$AJ738&lt;&gt;"Valid",LEFT($AM738,7)="Invalid",IFERROR(ABS($AQ738)&gt;0.01,FALSE),IFERROR(ABS($AR738)&gt;0.01,FALSE),COUNTIF($AS738,"*Conflicting duplicate*")&gt;0,COUNTIF($AS738,"*Completed order not paid*")&gt;0),"Invalid",IF(OR($H738="Unknown",$N738="Unknown",$AM738="Missing discount imputed as 0"),"Warning","Clean"))</x:f>
        <x:v>Clean</x:v>
      </x:c>
      <x:c r="AF738" s="80" t="str">
        <x:v>Pass</x:v>
      </x:c>
      <x:c r="AG738" s="80" t="str">
        <x:v>No text cleanup required</x:v>
      </x:c>
      <x:c r="AH738" s="12" t="str">
        <x:f>IF(C738="","Missing date",IF(ISNUMBER(C738),"Valid","Unrecognized/invalid date"))</x:f>
        <x:v>Valid</x:v>
      </x:c>
      <x:c r="AI738" s="12" t="str">
        <x:f>IF(D738="","Missing date",IF(ISNUMBER(D738),"Valid","Unrecognized/invalid date"))</x:f>
        <x:v>Valid</x:v>
      </x:c>
      <x:c r="AJ738" s="12" t="str">
        <x:v>Valid</x:v>
      </x:c>
      <x:c r="AK738" s="12" t="str">
        <x:v>Pass</x:v>
      </x:c>
      <x:c r="AL738" s="12" t="str">
        <x:v>None</x:v>
      </x:c>
      <x:c r="AM738" s="12" t="str">
        <x:v>Valid</x:v>
      </x:c>
      <x:c r="AN738" s="12" t="str">
        <x:v>Include in completed sales</x:v>
      </x:c>
      <x:c r="AO738" s="12" t="str">
        <x:v>Not a refunded record</x:v>
      </x:c>
      <x:c r="AP738" s="37" t="n">
        <x:f>IF(LEFT($AM738,7)="Invalid","",IF($AM738="Missing discount imputed as 0",IF(AND(COUNT($O738,$P738,$R738,$S738)=4,$O738&gt;0,$P738&gt;=0,$R738&gt;=0,$S738&gt;=0),0,""),IF(AND(ISNUMBER($Q738),$Q738&gt;=0,$Q738&lt;=0.5),$Q738,"")))</x:f>
        <x:v>0.1</x:v>
      </x:c>
      <x:c r="AQ738" s="152" t="n">
        <x:f>IF(OR($W738="",NOT(ISNUMBER($R738))),"",ROUND($R738-$W738,2))</x:f>
        <x:v>0</x:v>
      </x:c>
      <x:c r="AR738" s="152" t="n">
        <x:f>IF(OR($X738="",NOT(ISNUMBER($T738))),"",ROUND($T738-$X738,2))</x:f>
        <x:v>0</x:v>
      </x:c>
      <x:c r="AS738" s="14" t="str">
        <x:v>OK</x:v>
      </x:c>
    </x:row>
    <x:row r="739">
      <x:c r="A739" s="80" t="n">
        <x:v>739</x:v>
      </x:c>
      <x:c r="B739" s="80" t="str">
        <x:v>ORD-2024-10738</x:v>
      </x:c>
      <x:c r="C739" s="81" t="n">
        <x:v>45332</x:v>
      </x:c>
      <x:c r="D739" s="81" t="n">
        <x:v>45332</x:v>
      </x:c>
      <x:c r="E739" s="80" t="str">
        <x:v>CUST-7967</x:v>
      </x:c>
      <x:c r="F739" s="80" t="str">
        <x:v>Isha Nair</x:v>
      </x:c>
      <x:c r="G739" s="80" t="str">
        <x:v>Home Office</x:v>
      </x:c>
      <x:c r="H739" s="80" t="str">
        <x:v>West</x:v>
      </x:c>
      <x:c r="I739" s="80" t="str">
        <x:v>Maharashtra</x:v>
      </x:c>
      <x:c r="J739" s="80" t="str">
        <x:v>Mumbai</x:v>
      </x:c>
      <x:c r="K739" s="80" t="str">
        <x:v>Furniture</x:v>
      </x:c>
      <x:c r="L739" s="80" t="str">
        <x:v>Chairs</x:v>
      </x:c>
      <x:c r="M739" s="80" t="str">
        <x:v>Max Chairs 845</x:v>
      </x:c>
      <x:c r="N739" s="80" t="str">
        <x:v>Same Day</x:v>
      </x:c>
      <x:c r="O739" s="82" t="n">
        <x:v>6</x:v>
      </x:c>
      <x:c r="P739" s="83" t="n">
        <x:v>601.52</x:v>
      </x:c>
      <x:c r="Q739" s="84" t="n">
        <x:v>0</x:v>
      </x:c>
      <x:c r="R739" s="83" t="n">
        <x:v>3609.12</x:v>
      </x:c>
      <x:c r="S739" s="83" t="n">
        <x:v>2645.5</x:v>
      </x:c>
      <x:c r="T739" s="83" t="n">
        <x:v>963.62</x:v>
      </x:c>
      <x:c r="U739" s="83" t="str">
        <x:v>Paid</x:v>
      </x:c>
      <x:c r="V739" s="83" t="str">
        <x:v>Completed</x:v>
      </x:c>
      <x:c r="W739" s="151" t="n">
        <x:f>IF(OR(NOT(ISNUMBER($AP739)),COUNT($O739,$P739)&lt;2,$O739&lt;=0,$P739&lt;0),"",ROUND($O739*$P739*(1-$AP739),2))</x:f>
        <x:v>3609.12</x:v>
      </x:c>
      <x:c r="X739" s="151" t="n">
        <x:f>IF(OR(NOT(ISNUMBER($W739)),NOT(ISNUMBER($S739))),"",ROUND($W739-$S739,2))</x:f>
        <x:v>963.62</x:v>
      </x:c>
      <x:c r="Y739" s="85" t="n">
        <x:f>IF(OR(NOT(ISNUMBER($W739)),NOT(ISNUMBER($X739)),$W739=0),"",ROUND($X739/$W739,4))</x:f>
        <x:v>0.267</x:v>
      </x:c>
      <x:c r="Z739" s="82" t="n">
        <x:f>IF(OR($AH739&lt;&gt;"Valid",$AI739&lt;&gt;"Valid"),"",INT($D739-$C739))</x:f>
        <x:v>0</x:v>
      </x:c>
      <x:c r="AA739" s="86" t="str">
        <x:f>IF($AH739&lt;&gt;"Valid","",TEXT($C739,"mmmm"))</x:f>
        <x:v>February</x:v>
      </x:c>
      <x:c r="AB739" s="82" t="n">
        <x:f>IF($AH739&lt;&gt;"Valid","",YEAR($C739))</x:f>
        <x:v>2024</x:v>
      </x:c>
      <x:c r="AC739" s="80" t="str">
        <x:v>Consistent</x:v>
      </x:c>
      <x:c r="AD739" s="80" t="str">
        <x:v>Eligible</x:v>
      </x:c>
      <x:c r="AE739" s="80" t="str">
        <x:f>IF(OR($AH739&lt;&gt;"Valid",$AI739&lt;&gt;"Valid",$AJ739&lt;&gt;"Valid",LEFT($AM739,7)="Invalid",IFERROR(ABS($AQ739)&gt;0.01,FALSE),IFERROR(ABS($AR739)&gt;0.01,FALSE),COUNTIF($AS739,"*Conflicting duplicate*")&gt;0,COUNTIF($AS739,"*Completed order not paid*")&gt;0),"Invalid",IF(OR($H739="Unknown",$N739="Unknown",$AM739="Missing discount imputed as 0"),"Warning","Clean"))</x:f>
        <x:v>Clean</x:v>
      </x:c>
      <x:c r="AF739" s="80" t="str">
        <x:v>Cleaned</x:v>
      </x:c>
      <x:c r="AG739" s="80" t="str">
        <x:v>segment: TRIM/SUBSTITUTE whitespace cleanup</x:v>
      </x:c>
      <x:c r="AH739" s="12" t="str">
        <x:f>IF(C739="","Missing date",IF(ISNUMBER(C739),"Valid","Unrecognized/invalid date"))</x:f>
        <x:v>Valid</x:v>
      </x:c>
      <x:c r="AI739" s="12" t="str">
        <x:f>IF(D739="","Missing date",IF(ISNUMBER(D739),"Valid","Unrecognized/invalid date"))</x:f>
        <x:v>Valid</x:v>
      </x:c>
      <x:c r="AJ739" s="12" t="str">
        <x:v>Valid</x:v>
      </x:c>
      <x:c r="AK739" s="12" t="str">
        <x:v>Pass</x:v>
      </x:c>
      <x:c r="AL739" s="12" t="str">
        <x:v>None</x:v>
      </x:c>
      <x:c r="AM739" s="12" t="str">
        <x:v>Valid</x:v>
      </x:c>
      <x:c r="AN739" s="12" t="str">
        <x:v>Include in completed sales</x:v>
      </x:c>
      <x:c r="AO739" s="12" t="str">
        <x:v>Not a refunded record</x:v>
      </x:c>
      <x:c r="AP739" s="37" t="n">
        <x:f>IF(LEFT($AM739,7)="Invalid","",IF($AM739="Missing discount imputed as 0",IF(AND(COUNT($O739,$P739,$R739,$S739)=4,$O739&gt;0,$P739&gt;=0,$R739&gt;=0,$S739&gt;=0),0,""),IF(AND(ISNUMBER($Q739),$Q739&gt;=0,$Q739&lt;=0.5),$Q739,"")))</x:f>
        <x:v>0</x:v>
      </x:c>
      <x:c r="AQ739" s="152" t="n">
        <x:f>IF(OR($W739="",NOT(ISNUMBER($R739))),"",ROUND($R739-$W739,2))</x:f>
        <x:v>0</x:v>
      </x:c>
      <x:c r="AR739" s="152" t="n">
        <x:f>IF(OR($X739="",NOT(ISNUMBER($T739))),"",ROUND($T739-$X739,2))</x:f>
        <x:v>0</x:v>
      </x:c>
      <x:c r="AS739" s="14" t="str">
        <x:v>OK</x:v>
      </x:c>
    </x:row>
    <x:row r="740">
      <x:c r="A740" s="80" t="n">
        <x:v>740</x:v>
      </x:c>
      <x:c r="B740" s="80" t="str">
        <x:v>ORD-2025-10739</x:v>
      </x:c>
      <x:c r="C740" s="81" t="n">
        <x:v>45708</x:v>
      </x:c>
      <x:c r="D740" s="81" t="n">
        <x:v>45710</x:v>
      </x:c>
      <x:c r="E740" s="80" t="str">
        <x:v>CUST-5334</x:v>
      </x:c>
      <x:c r="F740" s="80" t="str">
        <x:v>Priya Menon</x:v>
      </x:c>
      <x:c r="G740" s="80" t="str">
        <x:v>Corporate</x:v>
      </x:c>
      <x:c r="H740" s="80" t="str">
        <x:v>South</x:v>
      </x:c>
      <x:c r="I740" s="80" t="str">
        <x:v>Kerala</x:v>
      </x:c>
      <x:c r="J740" s="80" t="str">
        <x:v>Kochi</x:v>
      </x:c>
      <x:c r="K740" s="80" t="str">
        <x:v>Office Supplies</x:v>
      </x:c>
      <x:c r="L740" s="80" t="str">
        <x:v>Paper</x:v>
      </x:c>
      <x:c r="M740" s="80" t="str">
        <x:v>Prime Paper 307</x:v>
      </x:c>
      <x:c r="N740" s="80" t="str">
        <x:v>First Class</x:v>
      </x:c>
      <x:c r="O740" s="82" t="n">
        <x:v>1</x:v>
      </x:c>
      <x:c r="P740" s="83" t="n">
        <x:v>2188.19</x:v>
      </x:c>
      <x:c r="Q740" s="84" t="n">
        <x:v>0</x:v>
      </x:c>
      <x:c r="R740" s="83" t="n">
        <x:v>2188.19</x:v>
      </x:c>
      <x:c r="S740" s="83" t="n">
        <x:v>1298.84</x:v>
      </x:c>
      <x:c r="T740" s="83" t="n">
        <x:v>889.35</x:v>
      </x:c>
      <x:c r="U740" s="83" t="str">
        <x:v>Paid</x:v>
      </x:c>
      <x:c r="V740" s="83" t="str">
        <x:v>Completed</x:v>
      </x:c>
      <x:c r="W740" s="151" t="n">
        <x:f>IF(OR(NOT(ISNUMBER($AP740)),COUNT($O740,$P740)&lt;2,$O740&lt;=0,$P740&lt;0),"",ROUND($O740*$P740*(1-$AP740),2))</x:f>
        <x:v>2188.19</x:v>
      </x:c>
      <x:c r="X740" s="151" t="n">
        <x:f>IF(OR(NOT(ISNUMBER($W740)),NOT(ISNUMBER($S740))),"",ROUND($W740-$S740,2))</x:f>
        <x:v>889.35</x:v>
      </x:c>
      <x:c r="Y740" s="85" t="n">
        <x:f>IF(OR(NOT(ISNUMBER($W740)),NOT(ISNUMBER($X740)),$W740=0),"",ROUND($X740/$W740,4))</x:f>
        <x:v>0.4064</x:v>
      </x:c>
      <x:c r="Z740" s="82" t="n">
        <x:f>IF(OR($AH740&lt;&gt;"Valid",$AI740&lt;&gt;"Valid"),"",INT($D740-$C740))</x:f>
        <x:v>2</x:v>
      </x:c>
      <x:c r="AA740" s="86" t="str">
        <x:f>IF($AH740&lt;&gt;"Valid","",TEXT($C740,"mmmm"))</x:f>
        <x:v>February</x:v>
      </x:c>
      <x:c r="AB740" s="82" t="n">
        <x:f>IF($AH740&lt;&gt;"Valid","",YEAR($C740))</x:f>
        <x:v>2025</x:v>
      </x:c>
      <x:c r="AC740" s="80" t="str">
        <x:v>Consistent</x:v>
      </x:c>
      <x:c r="AD740" s="80" t="str">
        <x:v>Eligible</x:v>
      </x:c>
      <x:c r="AE740" s="80" t="str">
        <x:f>IF(OR($AH740&lt;&gt;"Valid",$AI740&lt;&gt;"Valid",$AJ740&lt;&gt;"Valid",LEFT($AM740,7)="Invalid",IFERROR(ABS($AQ740)&gt;0.01,FALSE),IFERROR(ABS($AR740)&gt;0.01,FALSE),COUNTIF($AS740,"*Conflicting duplicate*")&gt;0,COUNTIF($AS740,"*Completed order not paid*")&gt;0),"Invalid",IF(OR($H740="Unknown",$N740="Unknown",$AM740="Missing discount imputed as 0"),"Warning","Clean"))</x:f>
        <x:v>Clean</x:v>
      </x:c>
      <x:c r="AF740" s="80" t="str">
        <x:v>Pass</x:v>
      </x:c>
      <x:c r="AG740" s="80" t="str">
        <x:v>No text cleanup required</x:v>
      </x:c>
      <x:c r="AH740" s="12" t="str">
        <x:f>IF(C740="","Missing date",IF(ISNUMBER(C740),"Valid","Unrecognized/invalid date"))</x:f>
        <x:v>Valid</x:v>
      </x:c>
      <x:c r="AI740" s="12" t="str">
        <x:f>IF(D740="","Missing date",IF(ISNUMBER(D740),"Valid","Unrecognized/invalid date"))</x:f>
        <x:v>Valid</x:v>
      </x:c>
      <x:c r="AJ740" s="12" t="str">
        <x:v>Valid</x:v>
      </x:c>
      <x:c r="AK740" s="12" t="str">
        <x:v>Pass</x:v>
      </x:c>
      <x:c r="AL740" s="12" t="str">
        <x:v>None</x:v>
      </x:c>
      <x:c r="AM740" s="12" t="str">
        <x:v>Valid</x:v>
      </x:c>
      <x:c r="AN740" s="12" t="str">
        <x:v>Include in completed sales</x:v>
      </x:c>
      <x:c r="AO740" s="12" t="str">
        <x:v>Not a refunded record</x:v>
      </x:c>
      <x:c r="AP740" s="37" t="n">
        <x:f>IF(LEFT($AM740,7)="Invalid","",IF($AM740="Missing discount imputed as 0",IF(AND(COUNT($O740,$P740,$R740,$S740)=4,$O740&gt;0,$P740&gt;=0,$R740&gt;=0,$S740&gt;=0),0,""),IF(AND(ISNUMBER($Q740),$Q740&gt;=0,$Q740&lt;=0.5),$Q740,"")))</x:f>
        <x:v>0</x:v>
      </x:c>
      <x:c r="AQ740" s="152" t="n">
        <x:f>IF(OR($W740="",NOT(ISNUMBER($R740))),"",ROUND($R740-$W740,2))</x:f>
        <x:v>0</x:v>
      </x:c>
      <x:c r="AR740" s="152" t="n">
        <x:f>IF(OR($X740="",NOT(ISNUMBER($T740))),"",ROUND($T740-$X740,2))</x:f>
        <x:v>0</x:v>
      </x:c>
      <x:c r="AS740" s="14" t="str">
        <x:v>OK</x:v>
      </x:c>
    </x:row>
    <x:row r="741">
      <x:c r="A741" s="80" t="n">
        <x:v>741</x:v>
      </x:c>
      <x:c r="B741" s="80" t="str">
        <x:v>ORD-2024-10740</x:v>
      </x:c>
      <x:c r="C741" s="81" t="n">
        <x:v>45629</x:v>
      </x:c>
      <x:c r="D741" s="81" t="n">
        <x:v>45636</x:v>
      </x:c>
      <x:c r="E741" s="80" t="str">
        <x:v>CUST-5846</x:v>
      </x:c>
      <x:c r="F741" s="80" t="str">
        <x:v>Neha Gupta</x:v>
      </x:c>
      <x:c r="G741" s="80" t="str">
        <x:v>Corporate</x:v>
      </x:c>
      <x:c r="H741" s="80" t="str">
        <x:v>North</x:v>
      </x:c>
      <x:c r="I741" s="80" t="str">
        <x:v>Rajasthan</x:v>
      </x:c>
      <x:c r="J741" s="80" t="str">
        <x:v>Jaipur</x:v>
      </x:c>
      <x:c r="K741" s="80" t="str">
        <x:v>Technology</x:v>
      </x:c>
      <x:c r="L741" s="80" t="str">
        <x:v>Phones</x:v>
      </x:c>
      <x:c r="M741" s="80" t="str">
        <x:v>Basic Phones 859</x:v>
      </x:c>
      <x:c r="N741" s="80" t="str">
        <x:v>Standard Class</x:v>
      </x:c>
      <x:c r="O741" s="82" t="n">
        <x:v>5</x:v>
      </x:c>
      <x:c r="P741" s="83" t="n">
        <x:v>2393.86</x:v>
      </x:c>
      <x:c r="Q741" s="84" t="n">
        <x:v>0.05</x:v>
      </x:c>
      <x:c r="R741" s="83" t="n">
        <x:v>11370.84</x:v>
      </x:c>
      <x:c r="S741" s="83" t="n">
        <x:v>7469.58</x:v>
      </x:c>
      <x:c r="T741" s="83" t="n">
        <x:v>3901.26</x:v>
      </x:c>
      <x:c r="U741" s="83" t="str">
        <x:v>Paid</x:v>
      </x:c>
      <x:c r="V741" s="83" t="str">
        <x:v>Completed</x:v>
      </x:c>
      <x:c r="W741" s="151" t="n">
        <x:f>IF(OR(NOT(ISNUMBER($AP741)),COUNT($O741,$P741)&lt;2,$O741&lt;=0,$P741&lt;0),"",ROUND($O741*$P741*(1-$AP741),2))</x:f>
        <x:v>11370.84</x:v>
      </x:c>
      <x:c r="X741" s="151" t="n">
        <x:f>IF(OR(NOT(ISNUMBER($W741)),NOT(ISNUMBER($S741))),"",ROUND($W741-$S741,2))</x:f>
        <x:v>3901.26</x:v>
      </x:c>
      <x:c r="Y741" s="85" t="n">
        <x:f>IF(OR(NOT(ISNUMBER($W741)),NOT(ISNUMBER($X741)),$W741=0),"",ROUND($X741/$W741,4))</x:f>
        <x:v>0.3431</x:v>
      </x:c>
      <x:c r="Z741" s="82" t="n">
        <x:f>IF(OR($AH741&lt;&gt;"Valid",$AI741&lt;&gt;"Valid"),"",INT($D741-$C741))</x:f>
        <x:v>7</x:v>
      </x:c>
      <x:c r="AA741" s="86" t="str">
        <x:f>IF($AH741&lt;&gt;"Valid","",TEXT($C741,"mmmm"))</x:f>
        <x:v>December</x:v>
      </x:c>
      <x:c r="AB741" s="82" t="n">
        <x:f>IF($AH741&lt;&gt;"Valid","",YEAR($C741))</x:f>
        <x:v>2024</x:v>
      </x:c>
      <x:c r="AC741" s="80" t="str">
        <x:v>Consistent</x:v>
      </x:c>
      <x:c r="AD741" s="80" t="str">
        <x:v>Eligible</x:v>
      </x:c>
      <x:c r="AE741" s="80" t="str">
        <x:f>IF(OR($AH741&lt;&gt;"Valid",$AI741&lt;&gt;"Valid",$AJ741&lt;&gt;"Valid",LEFT($AM741,7)="Invalid",IFERROR(ABS($AQ741)&gt;0.01,FALSE),IFERROR(ABS($AR741)&gt;0.01,FALSE),COUNTIF($AS741,"*Conflicting duplicate*")&gt;0,COUNTIF($AS741,"*Completed order not paid*")&gt;0),"Invalid",IF(OR($H741="Unknown",$N741="Unknown",$AM741="Missing discount imputed as 0"),"Warning","Clean"))</x:f>
        <x:v>Clean</x:v>
      </x:c>
      <x:c r="AF741" s="80" t="str">
        <x:v>Pass</x:v>
      </x:c>
      <x:c r="AG741" s="80" t="str">
        <x:v>No text cleanup required</x:v>
      </x:c>
      <x:c r="AH741" s="12" t="str">
        <x:f>IF(C741="","Missing date",IF(ISNUMBER(C741),"Valid","Unrecognized/invalid date"))</x:f>
        <x:v>Valid</x:v>
      </x:c>
      <x:c r="AI741" s="12" t="str">
        <x:f>IF(D741="","Missing date",IF(ISNUMBER(D741),"Valid","Unrecognized/invalid date"))</x:f>
        <x:v>Valid</x:v>
      </x:c>
      <x:c r="AJ741" s="12" t="str">
        <x:v>Valid</x:v>
      </x:c>
      <x:c r="AK741" s="12" t="str">
        <x:v>Pass</x:v>
      </x:c>
      <x:c r="AL741" s="12" t="str">
        <x:v>None</x:v>
      </x:c>
      <x:c r="AM741" s="12" t="str">
        <x:v>Valid</x:v>
      </x:c>
      <x:c r="AN741" s="12" t="str">
        <x:v>Include in completed sales</x:v>
      </x:c>
      <x:c r="AO741" s="12" t="str">
        <x:v>Not a refunded record</x:v>
      </x:c>
      <x:c r="AP741" s="37" t="n">
        <x:f>IF(LEFT($AM741,7)="Invalid","",IF($AM741="Missing discount imputed as 0",IF(AND(COUNT($O741,$P741,$R741,$S741)=4,$O741&gt;0,$P741&gt;=0,$R741&gt;=0,$S741&gt;=0),0,""),IF(AND(ISNUMBER($Q741),$Q741&gt;=0,$Q741&lt;=0.5),$Q741,"")))</x:f>
        <x:v>0.05</x:v>
      </x:c>
      <x:c r="AQ741" s="152" t="n">
        <x:f>IF(OR($W741="",NOT(ISNUMBER($R741))),"",ROUND($R741-$W741,2))</x:f>
        <x:v>0</x:v>
      </x:c>
      <x:c r="AR741" s="152" t="n">
        <x:f>IF(OR($X741="",NOT(ISNUMBER($T741))),"",ROUND($T741-$X741,2))</x:f>
        <x:v>0</x:v>
      </x:c>
      <x:c r="AS741" s="14" t="str">
        <x:v>OK</x:v>
      </x:c>
    </x:row>
    <x:row r="742">
      <x:c r="A742" s="80" t="n">
        <x:v>742</x:v>
      </x:c>
      <x:c r="B742" s="80" t="str">
        <x:v>ORD-2024-10741</x:v>
      </x:c>
      <x:c r="C742" s="81" t="n">
        <x:v>45384</x:v>
      </x:c>
      <x:c r="D742" s="81" t="n">
        <x:v>45384</x:v>
      </x:c>
      <x:c r="E742" s="80" t="str">
        <x:v>CUST-7932</x:v>
      </x:c>
      <x:c r="F742" s="80" t="str">
        <x:v>Sneha Kapoor</x:v>
      </x:c>
      <x:c r="G742" s="80" t="str">
        <x:v>Small Business</x:v>
      </x:c>
      <x:c r="H742" s="80" t="str">
        <x:v>West</x:v>
      </x:c>
      <x:c r="I742" s="80" t="str">
        <x:v>Maharashtra</x:v>
      </x:c>
      <x:c r="J742" s="80" t="str">
        <x:v>Mumbai</x:v>
      </x:c>
      <x:c r="K742" s="80" t="str">
        <x:v>Furniture</x:v>
      </x:c>
      <x:c r="L742" s="80" t="str">
        <x:v>Chairs</x:v>
      </x:c>
      <x:c r="M742" s="80" t="str">
        <x:v>Eco Chairs 883</x:v>
      </x:c>
      <x:c r="N742" s="80" t="str">
        <x:v>First Class</x:v>
      </x:c>
      <x:c r="O742" s="82" t="n">
        <x:v>4</x:v>
      </x:c>
      <x:c r="P742" s="83" t="n">
        <x:v>2583</x:v>
      </x:c>
      <x:c r="Q742" s="84" t="n">
        <x:v>0.1</x:v>
      </x:c>
      <x:c r="R742" s="83" t="n">
        <x:v>9298.8</x:v>
      </x:c>
      <x:c r="S742" s="83" t="n">
        <x:v>6548.5</x:v>
      </x:c>
      <x:c r="T742" s="83" t="n">
        <x:v>2750.3</x:v>
      </x:c>
      <x:c r="U742" s="83" t="str">
        <x:v>Paid</x:v>
      </x:c>
      <x:c r="V742" s="83" t="str">
        <x:v>Completed</x:v>
      </x:c>
      <x:c r="W742" s="151" t="n">
        <x:f>IF(OR(NOT(ISNUMBER($AP742)),COUNT($O742,$P742)&lt;2,$O742&lt;=0,$P742&lt;0),"",ROUND($O742*$P742*(1-$AP742),2))</x:f>
        <x:v>9298.8</x:v>
      </x:c>
      <x:c r="X742" s="151" t="n">
        <x:f>IF(OR(NOT(ISNUMBER($W742)),NOT(ISNUMBER($S742))),"",ROUND($W742-$S742,2))</x:f>
        <x:v>2750.3</x:v>
      </x:c>
      <x:c r="Y742" s="85" t="n">
        <x:f>IF(OR(NOT(ISNUMBER($W742)),NOT(ISNUMBER($X742)),$W742=0),"",ROUND($X742/$W742,4))</x:f>
        <x:v>0.2958</x:v>
      </x:c>
      <x:c r="Z742" s="82" t="n">
        <x:f>IF(OR($AH742&lt;&gt;"Valid",$AI742&lt;&gt;"Valid"),"",INT($D742-$C742))</x:f>
        <x:v>0</x:v>
      </x:c>
      <x:c r="AA742" s="86" t="str">
        <x:f>IF($AH742&lt;&gt;"Valid","",TEXT($C742,"mmmm"))</x:f>
        <x:v>April</x:v>
      </x:c>
      <x:c r="AB742" s="82" t="n">
        <x:f>IF($AH742&lt;&gt;"Valid","",YEAR($C742))</x:f>
        <x:v>2024</x:v>
      </x:c>
      <x:c r="AC742" s="80" t="str">
        <x:v>Consistent</x:v>
      </x:c>
      <x:c r="AD742" s="80" t="str">
        <x:v>Eligible</x:v>
      </x:c>
      <x:c r="AE742" s="80" t="str">
        <x:f>IF(OR($AH742&lt;&gt;"Valid",$AI742&lt;&gt;"Valid",$AJ742&lt;&gt;"Valid",LEFT($AM742,7)="Invalid",IFERROR(ABS($AQ742)&gt;0.01,FALSE),IFERROR(ABS($AR742)&gt;0.01,FALSE),COUNTIF($AS742,"*Conflicting duplicate*")&gt;0,COUNTIF($AS742,"*Completed order not paid*")&gt;0),"Invalid",IF(OR($H742="Unknown",$N742="Unknown",$AM742="Missing discount imputed as 0"),"Warning","Clean"))</x:f>
        <x:v>Clean</x:v>
      </x:c>
      <x:c r="AF742" s="80" t="str">
        <x:v>Pass</x:v>
      </x:c>
      <x:c r="AG742" s="80" t="str">
        <x:v>No text cleanup required</x:v>
      </x:c>
      <x:c r="AH742" s="12" t="str">
        <x:f>IF(C742="","Missing date",IF(ISNUMBER(C742),"Valid","Unrecognized/invalid date"))</x:f>
        <x:v>Valid</x:v>
      </x:c>
      <x:c r="AI742" s="12" t="str">
        <x:f>IF(D742="","Missing date",IF(ISNUMBER(D742),"Valid","Unrecognized/invalid date"))</x:f>
        <x:v>Valid</x:v>
      </x:c>
      <x:c r="AJ742" s="12" t="str">
        <x:v>Valid</x:v>
      </x:c>
      <x:c r="AK742" s="12" t="str">
        <x:v>Pass</x:v>
      </x:c>
      <x:c r="AL742" s="12" t="str">
        <x:v>None</x:v>
      </x:c>
      <x:c r="AM742" s="12" t="str">
        <x:v>Valid</x:v>
      </x:c>
      <x:c r="AN742" s="12" t="str">
        <x:v>Include in completed sales</x:v>
      </x:c>
      <x:c r="AO742" s="12" t="str">
        <x:v>Not a refunded record</x:v>
      </x:c>
      <x:c r="AP742" s="37" t="n">
        <x:f>IF(LEFT($AM742,7)="Invalid","",IF($AM742="Missing discount imputed as 0",IF(AND(COUNT($O742,$P742,$R742,$S742)=4,$O742&gt;0,$P742&gt;=0,$R742&gt;=0,$S742&gt;=0),0,""),IF(AND(ISNUMBER($Q742),$Q742&gt;=0,$Q742&lt;=0.5),$Q742,"")))</x:f>
        <x:v>0.1</x:v>
      </x:c>
      <x:c r="AQ742" s="152" t="n">
        <x:f>IF(OR($W742="",NOT(ISNUMBER($R742))),"",ROUND($R742-$W742,2))</x:f>
        <x:v>0</x:v>
      </x:c>
      <x:c r="AR742" s="152" t="n">
        <x:f>IF(OR($X742="",NOT(ISNUMBER($T742))),"",ROUND($T742-$X742,2))</x:f>
        <x:v>0</x:v>
      </x:c>
      <x:c r="AS742" s="14" t="str">
        <x:v>OK</x:v>
      </x:c>
    </x:row>
    <x:row r="743">
      <x:c r="A743" s="80" t="n">
        <x:v>743</x:v>
      </x:c>
      <x:c r="B743" s="80" t="str">
        <x:v>ORD-2025-10742</x:v>
      </x:c>
      <x:c r="C743" s="81" t="n">
        <x:v>45770</x:v>
      </x:c>
      <x:c r="D743" s="81" t="n">
        <x:v>45772</x:v>
      </x:c>
      <x:c r="E743" s="80" t="str">
        <x:v>CUST-3285</x:v>
      </x:c>
      <x:c r="F743" s="80" t="str">
        <x:v>Isha Nair</x:v>
      </x:c>
      <x:c r="G743" s="80" t="str">
        <x:v>Home Office</x:v>
      </x:c>
      <x:c r="H743" s="80" t="str">
        <x:v>South</x:v>
      </x:c>
      <x:c r="I743" s="80" t="str">
        <x:v>Tamil Nadu</x:v>
      </x:c>
      <x:c r="J743" s="80" t="str">
        <x:v>Chennai</x:v>
      </x:c>
      <x:c r="K743" s="80" t="str">
        <x:v>Furniture</x:v>
      </x:c>
      <x:c r="L743" s="80" t="str">
        <x:v>Chairs</x:v>
      </x:c>
      <x:c r="M743" s="80" t="str">
        <x:v>Max Chairs 706</x:v>
      </x:c>
      <x:c r="N743" s="80" t="str">
        <x:v>Second Class</x:v>
      </x:c>
      <x:c r="O743" s="82" t="n">
        <x:v>3</x:v>
      </x:c>
      <x:c r="P743" s="83" t="n">
        <x:v>2951.12</x:v>
      </x:c>
      <x:c r="Q743" s="84" t="n">
        <x:v>0</x:v>
      </x:c>
      <x:c r="R743" s="83" t="n">
        <x:v>7082.69</x:v>
      </x:c>
      <x:c r="S743" s="83" t="n">
        <x:v>5596.34</x:v>
      </x:c>
      <x:c r="T743" s="83" t="n">
        <x:v>1486.35</x:v>
      </x:c>
      <x:c r="U743" s="83" t="str">
        <x:v>Paid</x:v>
      </x:c>
      <x:c r="V743" s="83" t="str">
        <x:v>Cancelled</x:v>
      </x:c>
      <x:c r="W743" s="151" t="n">
        <x:f>IF(OR(NOT(ISNUMBER($AP743)),COUNT($O743,$P743)&lt;2,$O743&lt;=0,$P743&lt;0),"",ROUND($O743*$P743*(1-$AP743),2))</x:f>
        <x:v>8853.36</x:v>
      </x:c>
      <x:c r="X743" s="151" t="n">
        <x:f>IF(OR(NOT(ISNUMBER($W743)),NOT(ISNUMBER($S743))),"",ROUND($W743-$S743,2))</x:f>
        <x:v>3257.02</x:v>
      </x:c>
      <x:c r="Y743" s="85" t="n">
        <x:f>IF(OR(NOT(ISNUMBER($W743)),NOT(ISNUMBER($X743)),$W743=0),"",ROUND($X743/$W743,4))</x:f>
        <x:v>0.3679</x:v>
      </x:c>
      <x:c r="Z743" s="82" t="n">
        <x:f>IF(OR($AH743&lt;&gt;"Valid",$AI743&lt;&gt;"Valid"),"",INT($D743-$C743))</x:f>
        <x:v>2</x:v>
      </x:c>
      <x:c r="AA743" s="86" t="str">
        <x:f>IF($AH743&lt;&gt;"Valid","",TEXT($C743,"mmmm"))</x:f>
        <x:v>April</x:v>
      </x:c>
      <x:c r="AB743" s="82" t="n">
        <x:f>IF($AH743&lt;&gt;"Valid","",YEAR($C743))</x:f>
        <x:v>2025</x:v>
      </x:c>
      <x:c r="AC743" s="80" t="str">
        <x:v>Cancelled (excluded from completed-sales summary)</x:v>
      </x:c>
      <x:c r="AD743" s="80" t="str">
        <x:v>Excluded</x:v>
      </x:c>
      <x:c r="AE743" s="80" t="str">
        <x:f>IF(OR($AH743&lt;&gt;"Valid",$AI743&lt;&gt;"Valid",$AJ743&lt;&gt;"Valid",LEFT($AM743,7)="Invalid",IFERROR(ABS($AQ743)&gt;0.01,FALSE),IFERROR(ABS($AR743)&gt;0.01,FALSE),COUNTIF($AS743,"*Conflicting duplicate*")&gt;0,COUNTIF($AS743,"*Completed order not paid*")&gt;0),"Invalid",IF(OR($H743="Unknown",$N743="Unknown",$AM743="Missing discount imputed as 0"),"Warning","Clean"))</x:f>
        <x:v>Invalid</x:v>
      </x:c>
      <x:c r="AF743" s="80" t="str">
        <x:v>Review</x:v>
      </x:c>
      <x:c r="AG743" s="80" t="str">
        <x:v>discount: Imputed 0; discount: Missing value set to 0 after sales-field validation</x:v>
      </x:c>
      <x:c r="AH743" s="12" t="str">
        <x:f>IF(C743="","Missing date",IF(ISNUMBER(C743),"Valid","Unrecognized/invalid date"))</x:f>
        <x:v>Valid</x:v>
      </x:c>
      <x:c r="AI743" s="12" t="str">
        <x:f>IF(D743="","Missing date",IF(ISNUMBER(D743),"Valid","Unrecognized/invalid date"))</x:f>
        <x:v>Valid</x:v>
      </x:c>
      <x:c r="AJ743" s="12" t="str">
        <x:v>Valid</x:v>
      </x:c>
      <x:c r="AK743" s="12" t="str">
        <x:v>Pass</x:v>
      </x:c>
      <x:c r="AL743" s="12" t="str">
        <x:v>Missing discount imputed as 0; Cancelled order – excluded from completed sales</x:v>
      </x:c>
      <x:c r="AM743" s="12" t="str">
        <x:v>Missing discount imputed as 0</x:v>
      </x:c>
      <x:c r="AN743" s="12" t="str">
        <x:v>Exclude from completed sales</x:v>
      </x:c>
      <x:c r="AO743" s="12" t="str">
        <x:v>Not a refunded record</x:v>
      </x:c>
      <x:c r="AP743" s="37" t="n">
        <x:f>IF(LEFT($AM743,7)="Invalid","",IF($AM743="Missing discount imputed as 0",IF(AND(COUNT($O743,$P743,$R743,$S743)=4,$O743&gt;0,$P743&gt;=0,$R743&gt;=0,$S743&gt;=0),0,""),IF(AND(ISNUMBER($Q743),$Q743&gt;=0,$Q743&lt;=0.5),$Q743,"")))</x:f>
        <x:v>0</x:v>
      </x:c>
      <x:c r="AQ743" s="152" t="n">
        <x:f>IF(OR($W743="",NOT(ISNUMBER($R743))),"",ROUND($R743-$W743,2))</x:f>
        <x:v>-1770.67</x:v>
      </x:c>
      <x:c r="AR743" s="152" t="n">
        <x:f>IF(OR($X743="",NOT(ISNUMBER($T743))),"",ROUND($T743-$X743,2))</x:f>
        <x:v>-1770.67</x:v>
      </x:c>
      <x:c r="AS743" s="14" t="str">
        <x:v>Sales calculation mismatch</x:v>
      </x:c>
    </x:row>
    <x:row r="744">
      <x:c r="A744" s="80" t="n">
        <x:v>744</x:v>
      </x:c>
      <x:c r="B744" s="80" t="str">
        <x:v>ORD-2024-10743</x:v>
      </x:c>
      <x:c r="C744" s="81" t="n">
        <x:v>45580</x:v>
      </x:c>
      <x:c r="D744" s="81" t="n">
        <x:v>45587</x:v>
      </x:c>
      <x:c r="E744" s="80" t="str">
        <x:v>CUST-6368</x:v>
      </x:c>
      <x:c r="F744" s="80" t="str">
        <x:v>Karan Malhotra</x:v>
      </x:c>
      <x:c r="G744" s="80" t="str">
        <x:v>Corporate</x:v>
      </x:c>
      <x:c r="H744" s="80" t="str">
        <x:v>East</x:v>
      </x:c>
      <x:c r="I744" s="80" t="str">
        <x:v>Odisha</x:v>
      </x:c>
      <x:c r="J744" s="80" t="str">
        <x:v>Bhubaneswar</x:v>
      </x:c>
      <x:c r="K744" s="80" t="str">
        <x:v>Office Supplies</x:v>
      </x:c>
      <x:c r="L744" s="80" t="str">
        <x:v>Paper</x:v>
      </x:c>
      <x:c r="M744" s="80" t="str">
        <x:v>Prime Paper 768</x:v>
      </x:c>
      <x:c r="N744" s="80" t="str">
        <x:v>Standard Class</x:v>
      </x:c>
      <x:c r="O744" s="82" t="n">
        <x:v>4</x:v>
      </x:c>
      <x:c r="P744" s="83" t="n">
        <x:v>2260.95</x:v>
      </x:c>
      <x:c r="Q744" s="84" t="n">
        <x:v>0</x:v>
      </x:c>
      <x:c r="R744" s="83" t="n">
        <x:v>9043.8</x:v>
      </x:c>
      <x:c r="S744" s="83" t="n">
        <x:v>5913.38</x:v>
      </x:c>
      <x:c r="T744" s="83" t="n">
        <x:v>3130.42</x:v>
      </x:c>
      <x:c r="U744" s="83" t="str">
        <x:v>Paid</x:v>
      </x:c>
      <x:c r="V744" s="83" t="str">
        <x:v>Completed</x:v>
      </x:c>
      <x:c r="W744" s="151" t="n">
        <x:f>IF(OR(NOT(ISNUMBER($AP744)),COUNT($O744,$P744)&lt;2,$O744&lt;=0,$P744&lt;0),"",ROUND($O744*$P744*(1-$AP744),2))</x:f>
        <x:v>9043.8</x:v>
      </x:c>
      <x:c r="X744" s="151" t="n">
        <x:f>IF(OR(NOT(ISNUMBER($W744)),NOT(ISNUMBER($S744))),"",ROUND($W744-$S744,2))</x:f>
        <x:v>3130.42</x:v>
      </x:c>
      <x:c r="Y744" s="85" t="n">
        <x:f>IF(OR(NOT(ISNUMBER($W744)),NOT(ISNUMBER($X744)),$W744=0),"",ROUND($X744/$W744,4))</x:f>
        <x:v>0.3461</x:v>
      </x:c>
      <x:c r="Z744" s="82" t="n">
        <x:f>IF(OR($AH744&lt;&gt;"Valid",$AI744&lt;&gt;"Valid"),"",INT($D744-$C744))</x:f>
        <x:v>7</x:v>
      </x:c>
      <x:c r="AA744" s="86" t="str">
        <x:f>IF($AH744&lt;&gt;"Valid","",TEXT($C744,"mmmm"))</x:f>
        <x:v>October</x:v>
      </x:c>
      <x:c r="AB744" s="82" t="n">
        <x:f>IF($AH744&lt;&gt;"Valid","",YEAR($C744))</x:f>
        <x:v>2024</x:v>
      </x:c>
      <x:c r="AC744" s="80" t="str">
        <x:v>Consistent</x:v>
      </x:c>
      <x:c r="AD744" s="80" t="str">
        <x:v>Eligible</x:v>
      </x:c>
      <x:c r="AE744" s="80" t="str">
        <x:f>IF(OR($AH744&lt;&gt;"Valid",$AI744&lt;&gt;"Valid",$AJ744&lt;&gt;"Valid",LEFT($AM744,7)="Invalid",IFERROR(ABS($AQ744)&gt;0.01,FALSE),IFERROR(ABS($AR744)&gt;0.01,FALSE),COUNTIF($AS744,"*Conflicting duplicate*")&gt;0,COUNTIF($AS744,"*Completed order not paid*")&gt;0),"Invalid",IF(OR($H744="Unknown",$N744="Unknown",$AM744="Missing discount imputed as 0"),"Warning","Clean"))</x:f>
        <x:v>Clean</x:v>
      </x:c>
      <x:c r="AF744" s="80" t="str">
        <x:v>Cleaned</x:v>
      </x:c>
      <x:c r="AG744" s="80" t="str">
        <x:v>region: Case standardization</x:v>
      </x:c>
      <x:c r="AH744" s="12" t="str">
        <x:f>IF(C744="","Missing date",IF(ISNUMBER(C744),"Valid","Unrecognized/invalid date"))</x:f>
        <x:v>Valid</x:v>
      </x:c>
      <x:c r="AI744" s="12" t="str">
        <x:f>IF(D744="","Missing date",IF(ISNUMBER(D744),"Valid","Unrecognized/invalid date"))</x:f>
        <x:v>Valid</x:v>
      </x:c>
      <x:c r="AJ744" s="12" t="str">
        <x:v>Valid</x:v>
      </x:c>
      <x:c r="AK744" s="12" t="str">
        <x:v>Pass</x:v>
      </x:c>
      <x:c r="AL744" s="12" t="str">
        <x:v>None</x:v>
      </x:c>
      <x:c r="AM744" s="12" t="str">
        <x:v>Valid</x:v>
      </x:c>
      <x:c r="AN744" s="12" t="str">
        <x:v>Include in completed sales</x:v>
      </x:c>
      <x:c r="AO744" s="12" t="str">
        <x:v>Not a refunded record</x:v>
      </x:c>
      <x:c r="AP744" s="37" t="n">
        <x:f>IF(LEFT($AM744,7)="Invalid","",IF($AM744="Missing discount imputed as 0",IF(AND(COUNT($O744,$P744,$R744,$S744)=4,$O744&gt;0,$P744&gt;=0,$R744&gt;=0,$S744&gt;=0),0,""),IF(AND(ISNUMBER($Q744),$Q744&gt;=0,$Q744&lt;=0.5),$Q744,"")))</x:f>
        <x:v>0</x:v>
      </x:c>
      <x:c r="AQ744" s="152" t="n">
        <x:f>IF(OR($W744="",NOT(ISNUMBER($R744))),"",ROUND($R744-$W744,2))</x:f>
        <x:v>0</x:v>
      </x:c>
      <x:c r="AR744" s="152" t="n">
        <x:f>IF(OR($X744="",NOT(ISNUMBER($T744))),"",ROUND($T744-$X744,2))</x:f>
        <x:v>0</x:v>
      </x:c>
      <x:c r="AS744" s="14" t="str">
        <x:v>OK</x:v>
      </x:c>
    </x:row>
    <x:row r="745">
      <x:c r="A745" s="80" t="n">
        <x:v>745</x:v>
      </x:c>
      <x:c r="B745" s="80" t="str">
        <x:v>ORD-2025-10744</x:v>
      </x:c>
      <x:c r="C745" s="81" t="n">
        <x:v>45700</x:v>
      </x:c>
      <x:c r="D745" s="81" t="n">
        <x:v>45702</x:v>
      </x:c>
      <x:c r="E745" s="80" t="str">
        <x:v>CUST-6231</x:v>
      </x:c>
      <x:c r="F745" s="80" t="str">
        <x:v>Sneha Kapoor</x:v>
      </x:c>
      <x:c r="G745" s="80" t="str">
        <x:v>Consumer</x:v>
      </x:c>
      <x:c r="H745" s="80" t="str">
        <x:v>North</x:v>
      </x:c>
      <x:c r="I745" s="80" t="str">
        <x:v>Uttar Pradesh</x:v>
      </x:c>
      <x:c r="J745" s="80" t="str">
        <x:v>Noida</x:v>
      </x:c>
      <x:c r="K745" s="80" t="str">
        <x:v>Office Supplies</x:v>
      </x:c>
      <x:c r="L745" s="80" t="str">
        <x:v>Art</x:v>
      </x:c>
      <x:c r="M745" s="80" t="str">
        <x:v>Basic Art 764</x:v>
      </x:c>
      <x:c r="N745" s="80" t="str">
        <x:v>Standard Class</x:v>
      </x:c>
      <x:c r="O745" s="82" t="n">
        <x:v>6</x:v>
      </x:c>
      <x:c r="P745" s="83" t="n">
        <x:v>491.4</x:v>
      </x:c>
      <x:c r="Q745" s="84" t="n">
        <x:v>0.25</x:v>
      </x:c>
      <x:c r="R745" s="83" t="n">
        <x:v>2211.3</x:v>
      </x:c>
      <x:c r="S745" s="83" t="n">
        <x:v>1735.64</x:v>
      </x:c>
      <x:c r="T745" s="83" t="n">
        <x:v>475.66</x:v>
      </x:c>
      <x:c r="U745" s="83" t="str">
        <x:v>Paid</x:v>
      </x:c>
      <x:c r="V745" s="83" t="str">
        <x:v>Completed</x:v>
      </x:c>
      <x:c r="W745" s="151" t="n">
        <x:f>IF(OR(NOT(ISNUMBER($AP745)),COUNT($O745,$P745)&lt;2,$O745&lt;=0,$P745&lt;0),"",ROUND($O745*$P745*(1-$AP745),2))</x:f>
        <x:v>2211.3</x:v>
      </x:c>
      <x:c r="X745" s="151" t="n">
        <x:f>IF(OR(NOT(ISNUMBER($W745)),NOT(ISNUMBER($S745))),"",ROUND($W745-$S745,2))</x:f>
        <x:v>475.66</x:v>
      </x:c>
      <x:c r="Y745" s="85" t="n">
        <x:f>IF(OR(NOT(ISNUMBER($W745)),NOT(ISNUMBER($X745)),$W745=0),"",ROUND($X745/$W745,4))</x:f>
        <x:v>0.2151</x:v>
      </x:c>
      <x:c r="Z745" s="82" t="n">
        <x:f>IF(OR($AH745&lt;&gt;"Valid",$AI745&lt;&gt;"Valid"),"",INT($D745-$C745))</x:f>
        <x:v>2</x:v>
      </x:c>
      <x:c r="AA745" s="86" t="str">
        <x:f>IF($AH745&lt;&gt;"Valid","",TEXT($C745,"mmmm"))</x:f>
        <x:v>February</x:v>
      </x:c>
      <x:c r="AB745" s="82" t="n">
        <x:f>IF($AH745&lt;&gt;"Valid","",YEAR($C745))</x:f>
        <x:v>2025</x:v>
      </x:c>
      <x:c r="AC745" s="80" t="str">
        <x:v>Consistent</x:v>
      </x:c>
      <x:c r="AD745" s="80" t="str">
        <x:v>Eligible</x:v>
      </x:c>
      <x:c r="AE745" s="80" t="str">
        <x:f>IF(OR($AH745&lt;&gt;"Valid",$AI745&lt;&gt;"Valid",$AJ745&lt;&gt;"Valid",LEFT($AM745,7)="Invalid",IFERROR(ABS($AQ745)&gt;0.01,FALSE),IFERROR(ABS($AR745)&gt;0.01,FALSE),COUNTIF($AS745,"*Conflicting duplicate*")&gt;0,COUNTIF($AS745,"*Completed order not paid*")&gt;0),"Invalid",IF(OR($H745="Unknown",$N745="Unknown",$AM745="Missing discount imputed as 0"),"Warning","Clean"))</x:f>
        <x:v>Clean</x:v>
      </x:c>
      <x:c r="AF745" s="80" t="str">
        <x:v>Pass</x:v>
      </x:c>
      <x:c r="AG745" s="80" t="str">
        <x:v>No text cleanup required</x:v>
      </x:c>
      <x:c r="AH745" s="12" t="str">
        <x:f>IF(C745="","Missing date",IF(ISNUMBER(C745),"Valid","Unrecognized/invalid date"))</x:f>
        <x:v>Valid</x:v>
      </x:c>
      <x:c r="AI745" s="12" t="str">
        <x:f>IF(D745="","Missing date",IF(ISNUMBER(D745),"Valid","Unrecognized/invalid date"))</x:f>
        <x:v>Valid</x:v>
      </x:c>
      <x:c r="AJ745" s="12" t="str">
        <x:v>Valid</x:v>
      </x:c>
      <x:c r="AK745" s="12" t="str">
        <x:v>Pass</x:v>
      </x:c>
      <x:c r="AL745" s="12" t="str">
        <x:v>None</x:v>
      </x:c>
      <x:c r="AM745" s="12" t="str">
        <x:v>Valid</x:v>
      </x:c>
      <x:c r="AN745" s="12" t="str">
        <x:v>Include in completed sales</x:v>
      </x:c>
      <x:c r="AO745" s="12" t="str">
        <x:v>Not a refunded record</x:v>
      </x:c>
      <x:c r="AP745" s="37" t="n">
        <x:f>IF(LEFT($AM745,7)="Invalid","",IF($AM745="Missing discount imputed as 0",IF(AND(COUNT($O745,$P745,$R745,$S745)=4,$O745&gt;0,$P745&gt;=0,$R745&gt;=0,$S745&gt;=0),0,""),IF(AND(ISNUMBER($Q745),$Q745&gt;=0,$Q745&lt;=0.5),$Q745,"")))</x:f>
        <x:v>0.25</x:v>
      </x:c>
      <x:c r="AQ745" s="152" t="n">
        <x:f>IF(OR($W745="",NOT(ISNUMBER($R745))),"",ROUND($R745-$W745,2))</x:f>
        <x:v>0</x:v>
      </x:c>
      <x:c r="AR745" s="152" t="n">
        <x:f>IF(OR($X745="",NOT(ISNUMBER($T745))),"",ROUND($T745-$X745,2))</x:f>
        <x:v>0</x:v>
      </x:c>
      <x:c r="AS745" s="14" t="str">
        <x:v>OK</x:v>
      </x:c>
    </x:row>
    <x:row r="746">
      <x:c r="A746" s="80" t="n">
        <x:v>746</x:v>
      </x:c>
      <x:c r="B746" s="80" t="str">
        <x:v>ORD-2025-10745</x:v>
      </x:c>
      <x:c r="C746" s="81" t="n">
        <x:v>45886</x:v>
      </x:c>
      <x:c r="D746" s="81" t="n">
        <x:v>45889</x:v>
      </x:c>
      <x:c r="E746" s="80" t="str">
        <x:v>CUST-2021</x:v>
      </x:c>
      <x:c r="F746" s="80" t="str">
        <x:v>Mira Das</x:v>
      </x:c>
      <x:c r="G746" s="80" t="str">
        <x:v>Home Office</x:v>
      </x:c>
      <x:c r="H746" s="80" t="str">
        <x:v>North</x:v>
      </x:c>
      <x:c r="I746" s="80" t="str">
        <x:v>Punjab</x:v>
      </x:c>
      <x:c r="J746" s="80" t="str">
        <x:v>Ludhiana</x:v>
      </x:c>
      <x:c r="K746" s="80" t="str">
        <x:v>Office Supplies</x:v>
      </x:c>
      <x:c r="L746" s="80" t="str">
        <x:v>Binders</x:v>
      </x:c>
      <x:c r="M746" s="80" t="str">
        <x:v>Prime Binders 181</x:v>
      </x:c>
      <x:c r="N746" s="80" t="str">
        <x:v>First Class</x:v>
      </x:c>
      <x:c r="O746" s="82" t="n">
        <x:v>5</x:v>
      </x:c>
      <x:c r="P746" s="83" t="n">
        <x:v>2701.89</x:v>
      </x:c>
      <x:c r="Q746" s="84" t="n">
        <x:v>0.1</x:v>
      </x:c>
      <x:c r="R746" s="83" t="n">
        <x:v>12158.5</x:v>
      </x:c>
      <x:c r="S746" s="83" t="n">
        <x:v>10260.07</x:v>
      </x:c>
      <x:c r="T746" s="83" t="n">
        <x:v>1898.43</x:v>
      </x:c>
      <x:c r="U746" s="83" t="str">
        <x:v>Paid</x:v>
      </x:c>
      <x:c r="V746" s="83" t="str">
        <x:v>Cancelled</x:v>
      </x:c>
      <x:c r="W746" s="151" t="n">
        <x:f>IF(OR(NOT(ISNUMBER($AP746)),COUNT($O746,$P746)&lt;2,$O746&lt;=0,$P746&lt;0),"",ROUND($O746*$P746*(1-$AP746),2))</x:f>
        <x:v>12158.51</x:v>
      </x:c>
      <x:c r="X746" s="151" t="n">
        <x:f>IF(OR(NOT(ISNUMBER($W746)),NOT(ISNUMBER($S746))),"",ROUND($W746-$S746,2))</x:f>
        <x:v>1898.44</x:v>
      </x:c>
      <x:c r="Y746" s="85" t="n">
        <x:f>IF(OR(NOT(ISNUMBER($W746)),NOT(ISNUMBER($X746)),$W746=0),"",ROUND($X746/$W746,4))</x:f>
        <x:v>0.1561</x:v>
      </x:c>
      <x:c r="Z746" s="82" t="n">
        <x:f>IF(OR($AH746&lt;&gt;"Valid",$AI746&lt;&gt;"Valid"),"",INT($D746-$C746))</x:f>
        <x:v>3</x:v>
      </x:c>
      <x:c r="AA746" s="86" t="str">
        <x:f>IF($AH746&lt;&gt;"Valid","",TEXT($C746,"mmmm"))</x:f>
        <x:v>August</x:v>
      </x:c>
      <x:c r="AB746" s="82" t="n">
        <x:f>IF($AH746&lt;&gt;"Valid","",YEAR($C746))</x:f>
        <x:v>2025</x:v>
      </x:c>
      <x:c r="AC746" s="80" t="str">
        <x:v>Cancelled (excluded from completed-sales summary)</x:v>
      </x:c>
      <x:c r="AD746" s="80" t="str">
        <x:v>Excluded</x:v>
      </x:c>
      <x:c r="AE746" s="80" t="str">
        <x:f>IF(OR($AH746&lt;&gt;"Valid",$AI746&lt;&gt;"Valid",$AJ746&lt;&gt;"Valid",LEFT($AM746,7)="Invalid",IFERROR(ABS($AQ746)&gt;0.01,FALSE),IFERROR(ABS($AR746)&gt;0.01,FALSE),COUNTIF($AS746,"*Conflicting duplicate*")&gt;0,COUNTIF($AS746,"*Completed order not paid*")&gt;0),"Invalid",IF(OR($H746="Unknown",$N746="Unknown",$AM746="Missing discount imputed as 0"),"Warning","Clean"))</x:f>
        <x:v>Clean</x:v>
      </x:c>
      <x:c r="AF746" s="80" t="str">
        <x:v>Pass</x:v>
      </x:c>
      <x:c r="AG746" s="80" t="str">
        <x:v>No text cleanup required</x:v>
      </x:c>
      <x:c r="AH746" s="12" t="str">
        <x:f>IF(C746="","Missing date",IF(ISNUMBER(C746),"Valid","Unrecognized/invalid date"))</x:f>
        <x:v>Valid</x:v>
      </x:c>
      <x:c r="AI746" s="12" t="str">
        <x:f>IF(D746="","Missing date",IF(ISNUMBER(D746),"Valid","Unrecognized/invalid date"))</x:f>
        <x:v>Valid</x:v>
      </x:c>
      <x:c r="AJ746" s="12" t="str">
        <x:v>Valid</x:v>
      </x:c>
      <x:c r="AK746" s="12" t="str">
        <x:v>Pass</x:v>
      </x:c>
      <x:c r="AL746" s="12" t="str">
        <x:v>Cancelled order – excluded from completed sales</x:v>
      </x:c>
      <x:c r="AM746" s="12" t="str">
        <x:v>Valid</x:v>
      </x:c>
      <x:c r="AN746" s="12" t="str">
        <x:v>Exclude from completed sales</x:v>
      </x:c>
      <x:c r="AO746" s="12" t="str">
        <x:v>Not a refunded record</x:v>
      </x:c>
      <x:c r="AP746" s="37" t="n">
        <x:f>IF(LEFT($AM746,7)="Invalid","",IF($AM746="Missing discount imputed as 0",IF(AND(COUNT($O746,$P746,$R746,$S746)=4,$O746&gt;0,$P746&gt;=0,$R746&gt;=0,$S746&gt;=0),0,""),IF(AND(ISNUMBER($Q746),$Q746&gt;=0,$Q746&lt;=0.5),$Q746,"")))</x:f>
        <x:v>0.1</x:v>
      </x:c>
      <x:c r="AQ746" s="152" t="n">
        <x:f>IF(OR($W746="",NOT(ISNUMBER($R746))),"",ROUND($R746-$W746,2))</x:f>
        <x:v>-0.01</x:v>
      </x:c>
      <x:c r="AR746" s="152" t="n">
        <x:f>IF(OR($X746="",NOT(ISNUMBER($T746))),"",ROUND($T746-$X746,2))</x:f>
        <x:v>-0.01</x:v>
      </x:c>
      <x:c r="AS746" s="14" t="str">
        <x:v>OK</x:v>
      </x:c>
    </x:row>
    <x:row r="747">
      <x:c r="A747" s="80" t="n">
        <x:v>747</x:v>
      </x:c>
      <x:c r="B747" s="80" t="str">
        <x:v>ORD-2024-10746</x:v>
      </x:c>
      <x:c r="C747" s="81" t="n">
        <x:v>45589</x:v>
      </x:c>
      <x:c r="D747" s="81" t="n">
        <x:v>45593</x:v>
      </x:c>
      <x:c r="E747" s="80" t="str">
        <x:v>CUST-1493</x:v>
      </x:c>
      <x:c r="F747" s="80" t="str">
        <x:v>Mira Das</x:v>
      </x:c>
      <x:c r="G747" s="80" t="str">
        <x:v>Small Business</x:v>
      </x:c>
      <x:c r="H747" s="80" t="str">
        <x:v>East</x:v>
      </x:c>
      <x:c r="I747" s="80" t="str">
        <x:v>Assam</x:v>
      </x:c>
      <x:c r="J747" s="80" t="str">
        <x:v>Guwahati</x:v>
      </x:c>
      <x:c r="K747" s="80" t="str">
        <x:v>Technology</x:v>
      </x:c>
      <x:c r="L747" s="80" t="str">
        <x:v>Copiers</x:v>
      </x:c>
      <x:c r="M747" s="80" t="str">
        <x:v>Max Copiers 866</x:v>
      </x:c>
      <x:c r="N747" s="80" t="str">
        <x:v>Standard Class</x:v>
      </x:c>
      <x:c r="O747" s="82" t="n">
        <x:v>3</x:v>
      </x:c>
      <x:c r="P747" s="83" t="n">
        <x:v>723.59</x:v>
      </x:c>
      <x:c r="Q747" s="84" t="n">
        <x:v>0.2</x:v>
      </x:c>
      <x:c r="R747" s="83" t="n">
        <x:v>1736.62</x:v>
      </x:c>
      <x:c r="S747" s="83" t="n">
        <x:v>1059.52</x:v>
      </x:c>
      <x:c r="T747" s="83" t="n">
        <x:v>677.1</x:v>
      </x:c>
      <x:c r="U747" s="83" t="str">
        <x:v>Paid</x:v>
      </x:c>
      <x:c r="V747" s="83" t="str">
        <x:v>Completed</x:v>
      </x:c>
      <x:c r="W747" s="151" t="n">
        <x:f>IF(OR(NOT(ISNUMBER($AP747)),COUNT($O747,$P747)&lt;2,$O747&lt;=0,$P747&lt;0),"",ROUND($O747*$P747*(1-$AP747),2))</x:f>
        <x:v>1736.62</x:v>
      </x:c>
      <x:c r="X747" s="151" t="n">
        <x:f>IF(OR(NOT(ISNUMBER($W747)),NOT(ISNUMBER($S747))),"",ROUND($W747-$S747,2))</x:f>
        <x:v>677.1</x:v>
      </x:c>
      <x:c r="Y747" s="85" t="n">
        <x:f>IF(OR(NOT(ISNUMBER($W747)),NOT(ISNUMBER($X747)),$W747=0),"",ROUND($X747/$W747,4))</x:f>
        <x:v>0.3899</x:v>
      </x:c>
      <x:c r="Z747" s="82" t="n">
        <x:f>IF(OR($AH747&lt;&gt;"Valid",$AI747&lt;&gt;"Valid"),"",INT($D747-$C747))</x:f>
        <x:v>4</x:v>
      </x:c>
      <x:c r="AA747" s="86" t="str">
        <x:f>IF($AH747&lt;&gt;"Valid","",TEXT($C747,"mmmm"))</x:f>
        <x:v>October</x:v>
      </x:c>
      <x:c r="AB747" s="82" t="n">
        <x:f>IF($AH747&lt;&gt;"Valid","",YEAR($C747))</x:f>
        <x:v>2024</x:v>
      </x:c>
      <x:c r="AC747" s="80" t="str">
        <x:v>Consistent</x:v>
      </x:c>
      <x:c r="AD747" s="80" t="str">
        <x:v>Eligible</x:v>
      </x:c>
      <x:c r="AE747" s="80" t="str">
        <x:f>IF(OR($AH747&lt;&gt;"Valid",$AI747&lt;&gt;"Valid",$AJ747&lt;&gt;"Valid",LEFT($AM747,7)="Invalid",IFERROR(ABS($AQ747)&gt;0.01,FALSE),IFERROR(ABS($AR747)&gt;0.01,FALSE),COUNTIF($AS747,"*Conflicting duplicate*")&gt;0,COUNTIF($AS747,"*Completed order not paid*")&gt;0),"Invalid",IF(OR($H747="Unknown",$N747="Unknown",$AM747="Missing discount imputed as 0"),"Warning","Clean"))</x:f>
        <x:v>Clean</x:v>
      </x:c>
      <x:c r="AF747" s="80" t="str">
        <x:v>Pass</x:v>
      </x:c>
      <x:c r="AG747" s="80" t="str">
        <x:v>No text cleanup required</x:v>
      </x:c>
      <x:c r="AH747" s="12" t="str">
        <x:f>IF(C747="","Missing date",IF(ISNUMBER(C747),"Valid","Unrecognized/invalid date"))</x:f>
        <x:v>Valid</x:v>
      </x:c>
      <x:c r="AI747" s="12" t="str">
        <x:f>IF(D747="","Missing date",IF(ISNUMBER(D747),"Valid","Unrecognized/invalid date"))</x:f>
        <x:v>Valid</x:v>
      </x:c>
      <x:c r="AJ747" s="12" t="str">
        <x:v>Valid</x:v>
      </x:c>
      <x:c r="AK747" s="12" t="str">
        <x:v>Pass</x:v>
      </x:c>
      <x:c r="AL747" s="12" t="str">
        <x:v>None</x:v>
      </x:c>
      <x:c r="AM747" s="12" t="str">
        <x:v>Valid</x:v>
      </x:c>
      <x:c r="AN747" s="12" t="str">
        <x:v>Include in completed sales</x:v>
      </x:c>
      <x:c r="AO747" s="12" t="str">
        <x:v>Not a refunded record</x:v>
      </x:c>
      <x:c r="AP747" s="37" t="n">
        <x:f>IF(LEFT($AM747,7)="Invalid","",IF($AM747="Missing discount imputed as 0",IF(AND(COUNT($O747,$P747,$R747,$S747)=4,$O747&gt;0,$P747&gt;=0,$R747&gt;=0,$S747&gt;=0),0,""),IF(AND(ISNUMBER($Q747),$Q747&gt;=0,$Q747&lt;=0.5),$Q747,"")))</x:f>
        <x:v>0.2</x:v>
      </x:c>
      <x:c r="AQ747" s="152" t="n">
        <x:f>IF(OR($W747="",NOT(ISNUMBER($R747))),"",ROUND($R747-$W747,2))</x:f>
        <x:v>0</x:v>
      </x:c>
      <x:c r="AR747" s="152" t="n">
        <x:f>IF(OR($X747="",NOT(ISNUMBER($T747))),"",ROUND($T747-$X747,2))</x:f>
        <x:v>0</x:v>
      </x:c>
      <x:c r="AS747" s="14" t="str">
        <x:v>OK</x:v>
      </x:c>
    </x:row>
    <x:row r="748">
      <x:c r="A748" s="80" t="n">
        <x:v>748</x:v>
      </x:c>
      <x:c r="B748" s="80" t="str">
        <x:v>ORD-2025-10747</x:v>
      </x:c>
      <x:c r="C748" s="81" t="n">
        <x:v>45661</x:v>
      </x:c>
      <x:c r="D748" s="81" t="n">
        <x:v>45667</x:v>
      </x:c>
      <x:c r="E748" s="80" t="str">
        <x:v>CUST-2314</x:v>
      </x:c>
      <x:c r="F748" s="80" t="str">
        <x:v>Aarav Sharma</x:v>
      </x:c>
      <x:c r="G748" s="80" t="str">
        <x:v>Home Office</x:v>
      </x:c>
      <x:c r="H748" s="80" t="str">
        <x:v>East</x:v>
      </x:c>
      <x:c r="I748" s="80" t="str">
        <x:v>West Bengal</x:v>
      </x:c>
      <x:c r="J748" s="80" t="str">
        <x:v>Kolkata</x:v>
      </x:c>
      <x:c r="K748" s="80" t="str">
        <x:v>Office Supplies</x:v>
      </x:c>
      <x:c r="L748" s="80" t="str">
        <x:v>Paper</x:v>
      </x:c>
      <x:c r="M748" s="80" t="str">
        <x:v>Pro Paper 662</x:v>
      </x:c>
      <x:c r="N748" s="80" t="str">
        <x:v>Standard Class</x:v>
      </x:c>
      <x:c r="O748" s="82" t="n">
        <x:v>4</x:v>
      </x:c>
      <x:c r="P748" s="83" t="n">
        <x:v>2583.19</x:v>
      </x:c>
      <x:c r="Q748" s="84" t="n">
        <x:v>0.2</x:v>
      </x:c>
      <x:c r="R748" s="83" t="n">
        <x:v>8266.21</x:v>
      </x:c>
      <x:c r="S748" s="83" t="n">
        <x:v>6236.32</x:v>
      </x:c>
      <x:c r="T748" s="83" t="n">
        <x:v>2029.89</x:v>
      </x:c>
      <x:c r="U748" s="83" t="str">
        <x:v>Paid</x:v>
      </x:c>
      <x:c r="V748" s="83" t="str">
        <x:v>Completed</x:v>
      </x:c>
      <x:c r="W748" s="151" t="n">
        <x:f>IF(OR(NOT(ISNUMBER($AP748)),COUNT($O748,$P748)&lt;2,$O748&lt;=0,$P748&lt;0),"",ROUND($O748*$P748*(1-$AP748),2))</x:f>
        <x:v>8266.21</x:v>
      </x:c>
      <x:c r="X748" s="151" t="n">
        <x:f>IF(OR(NOT(ISNUMBER($W748)),NOT(ISNUMBER($S748))),"",ROUND($W748-$S748,2))</x:f>
        <x:v>2029.89</x:v>
      </x:c>
      <x:c r="Y748" s="85" t="n">
        <x:f>IF(OR(NOT(ISNUMBER($W748)),NOT(ISNUMBER($X748)),$W748=0),"",ROUND($X748/$W748,4))</x:f>
        <x:v>0.2456</x:v>
      </x:c>
      <x:c r="Z748" s="82" t="n">
        <x:f>IF(OR($AH748&lt;&gt;"Valid",$AI748&lt;&gt;"Valid"),"",INT($D748-$C748))</x:f>
        <x:v>6</x:v>
      </x:c>
      <x:c r="AA748" s="86" t="str">
        <x:f>IF($AH748&lt;&gt;"Valid","",TEXT($C748,"mmmm"))</x:f>
        <x:v>January</x:v>
      </x:c>
      <x:c r="AB748" s="82" t="n">
        <x:f>IF($AH748&lt;&gt;"Valid","",YEAR($C748))</x:f>
        <x:v>2025</x:v>
      </x:c>
      <x:c r="AC748" s="80" t="str">
        <x:v>Consistent</x:v>
      </x:c>
      <x:c r="AD748" s="80" t="str">
        <x:v>Eligible</x:v>
      </x:c>
      <x:c r="AE748" s="80" t="str">
        <x:f>IF(OR($AH748&lt;&gt;"Valid",$AI748&lt;&gt;"Valid",$AJ748&lt;&gt;"Valid",LEFT($AM748,7)="Invalid",IFERROR(ABS($AQ748)&gt;0.01,FALSE),IFERROR(ABS($AR748)&gt;0.01,FALSE),COUNTIF($AS748,"*Conflicting duplicate*")&gt;0,COUNTIF($AS748,"*Completed order not paid*")&gt;0),"Invalid",IF(OR($H748="Unknown",$N748="Unknown",$AM748="Missing discount imputed as 0"),"Warning","Clean"))</x:f>
        <x:v>Clean</x:v>
      </x:c>
      <x:c r="AF748" s="80" t="str">
        <x:v>Pass</x:v>
      </x:c>
      <x:c r="AG748" s="80" t="str">
        <x:v>No text cleanup required</x:v>
      </x:c>
      <x:c r="AH748" s="12" t="str">
        <x:f>IF(C748="","Missing date",IF(ISNUMBER(C748),"Valid","Unrecognized/invalid date"))</x:f>
        <x:v>Valid</x:v>
      </x:c>
      <x:c r="AI748" s="12" t="str">
        <x:f>IF(D748="","Missing date",IF(ISNUMBER(D748),"Valid","Unrecognized/invalid date"))</x:f>
        <x:v>Valid</x:v>
      </x:c>
      <x:c r="AJ748" s="12" t="str">
        <x:v>Valid</x:v>
      </x:c>
      <x:c r="AK748" s="12" t="str">
        <x:v>Pass</x:v>
      </x:c>
      <x:c r="AL748" s="12" t="str">
        <x:v>None</x:v>
      </x:c>
      <x:c r="AM748" s="12" t="str">
        <x:v>Valid</x:v>
      </x:c>
      <x:c r="AN748" s="12" t="str">
        <x:v>Include in completed sales</x:v>
      </x:c>
      <x:c r="AO748" s="12" t="str">
        <x:v>Not a refunded record</x:v>
      </x:c>
      <x:c r="AP748" s="37" t="n">
        <x:f>IF(LEFT($AM748,7)="Invalid","",IF($AM748="Missing discount imputed as 0",IF(AND(COUNT($O748,$P748,$R748,$S748)=4,$O748&gt;0,$P748&gt;=0,$R748&gt;=0,$S748&gt;=0),0,""),IF(AND(ISNUMBER($Q748),$Q748&gt;=0,$Q748&lt;=0.5),$Q748,"")))</x:f>
        <x:v>0.2</x:v>
      </x:c>
      <x:c r="AQ748" s="152" t="n">
        <x:f>IF(OR($W748="",NOT(ISNUMBER($R748))),"",ROUND($R748-$W748,2))</x:f>
        <x:v>0</x:v>
      </x:c>
      <x:c r="AR748" s="152" t="n">
        <x:f>IF(OR($X748="",NOT(ISNUMBER($T748))),"",ROUND($T748-$X748,2))</x:f>
        <x:v>0</x:v>
      </x:c>
      <x:c r="AS748" s="14" t="str">
        <x:v>OK</x:v>
      </x:c>
    </x:row>
    <x:row r="749">
      <x:c r="A749" s="80" t="n">
        <x:v>749</x:v>
      </x:c>
      <x:c r="B749" s="80" t="str">
        <x:v>ORD-2024-10748</x:v>
      </x:c>
      <x:c r="C749" s="81" t="n">
        <x:v>45413</x:v>
      </x:c>
      <x:c r="D749" s="81" t="n">
        <x:v>45419</x:v>
      </x:c>
      <x:c r="E749" s="80" t="str">
        <x:v>CUST-8416</x:v>
      </x:c>
      <x:c r="F749" s="80" t="str">
        <x:v>Isha Nair</x:v>
      </x:c>
      <x:c r="G749" s="80" t="str">
        <x:v>Home Office</x:v>
      </x:c>
      <x:c r="H749" s="80" t="str">
        <x:v>East</x:v>
      </x:c>
      <x:c r="I749" s="80" t="str">
        <x:v>Odisha</x:v>
      </x:c>
      <x:c r="J749" s="80" t="str">
        <x:v>Bhubaneswar</x:v>
      </x:c>
      <x:c r="K749" s="80" t="str">
        <x:v>Office Supplies</x:v>
      </x:c>
      <x:c r="L749" s="80" t="str">
        <x:v>Paper</x:v>
      </x:c>
      <x:c r="M749" s="80" t="str">
        <x:v>Classic Paper 388</x:v>
      </x:c>
      <x:c r="N749" s="80" t="str">
        <x:v>Same Day</x:v>
      </x:c>
      <x:c r="O749" s="82" t="n">
        <x:v>8</x:v>
      </x:c>
      <x:c r="P749" s="83" t="n">
        <x:v>1473.83</x:v>
      </x:c>
      <x:c r="Q749" s="84" t="n">
        <x:v>0.15</x:v>
      </x:c>
      <x:c r="R749" s="83" t="n">
        <x:v>10022.04</x:v>
      </x:c>
      <x:c r="S749" s="83" t="n">
        <x:v>5576.98</x:v>
      </x:c>
      <x:c r="T749" s="83" t="n">
        <x:v>4445.06</x:v>
      </x:c>
      <x:c r="U749" s="83" t="str">
        <x:v>Paid</x:v>
      </x:c>
      <x:c r="V749" s="83" t="str">
        <x:v>Completed</x:v>
      </x:c>
      <x:c r="W749" s="151" t="n">
        <x:f>IF(OR(NOT(ISNUMBER($AP749)),COUNT($O749,$P749)&lt;2,$O749&lt;=0,$P749&lt;0),"",ROUND($O749*$P749*(1-$AP749),2))</x:f>
        <x:v>10022.04</x:v>
      </x:c>
      <x:c r="X749" s="151" t="n">
        <x:f>IF(OR(NOT(ISNUMBER($W749)),NOT(ISNUMBER($S749))),"",ROUND($W749-$S749,2))</x:f>
        <x:v>4445.06</x:v>
      </x:c>
      <x:c r="Y749" s="85" t="n">
        <x:f>IF(OR(NOT(ISNUMBER($W749)),NOT(ISNUMBER($X749)),$W749=0),"",ROUND($X749/$W749,4))</x:f>
        <x:v>0.4435</x:v>
      </x:c>
      <x:c r="Z749" s="82" t="n">
        <x:f>IF(OR($AH749&lt;&gt;"Valid",$AI749&lt;&gt;"Valid"),"",INT($D749-$C749))</x:f>
        <x:v>6</x:v>
      </x:c>
      <x:c r="AA749" s="86" t="str">
        <x:f>IF($AH749&lt;&gt;"Valid","",TEXT($C749,"mmmm"))</x:f>
        <x:v>May</x:v>
      </x:c>
      <x:c r="AB749" s="82" t="n">
        <x:f>IF($AH749&lt;&gt;"Valid","",YEAR($C749))</x:f>
        <x:v>2024</x:v>
      </x:c>
      <x:c r="AC749" s="80" t="str">
        <x:v>Consistent</x:v>
      </x:c>
      <x:c r="AD749" s="80" t="str">
        <x:v>Eligible</x:v>
      </x:c>
      <x:c r="AE749" s="80" t="str">
        <x:f>IF(OR($AH749&lt;&gt;"Valid",$AI749&lt;&gt;"Valid",$AJ749&lt;&gt;"Valid",LEFT($AM749,7)="Invalid",IFERROR(ABS($AQ749)&gt;0.01,FALSE),IFERROR(ABS($AR749)&gt;0.01,FALSE),COUNTIF($AS749,"*Conflicting duplicate*")&gt;0,COUNTIF($AS749,"*Completed order not paid*")&gt;0),"Invalid",IF(OR($H749="Unknown",$N749="Unknown",$AM749="Missing discount imputed as 0"),"Warning","Clean"))</x:f>
        <x:v>Clean</x:v>
      </x:c>
      <x:c r="AF749" s="80" t="str">
        <x:v>Pass</x:v>
      </x:c>
      <x:c r="AG749" s="80" t="str">
        <x:v>No text cleanup required</x:v>
      </x:c>
      <x:c r="AH749" s="12" t="str">
        <x:f>IF(C749="","Missing date",IF(ISNUMBER(C749),"Valid","Unrecognized/invalid date"))</x:f>
        <x:v>Valid</x:v>
      </x:c>
      <x:c r="AI749" s="12" t="str">
        <x:f>IF(D749="","Missing date",IF(ISNUMBER(D749),"Valid","Unrecognized/invalid date"))</x:f>
        <x:v>Valid</x:v>
      </x:c>
      <x:c r="AJ749" s="12" t="str">
        <x:v>Valid</x:v>
      </x:c>
      <x:c r="AK749" s="12" t="str">
        <x:v>Pass</x:v>
      </x:c>
      <x:c r="AL749" s="12" t="str">
        <x:v>None</x:v>
      </x:c>
      <x:c r="AM749" s="12" t="str">
        <x:v>Valid</x:v>
      </x:c>
      <x:c r="AN749" s="12" t="str">
        <x:v>Include in completed sales</x:v>
      </x:c>
      <x:c r="AO749" s="12" t="str">
        <x:v>Not a refunded record</x:v>
      </x:c>
      <x:c r="AP749" s="37" t="n">
        <x:f>IF(LEFT($AM749,7)="Invalid","",IF($AM749="Missing discount imputed as 0",IF(AND(COUNT($O749,$P749,$R749,$S749)=4,$O749&gt;0,$P749&gt;=0,$R749&gt;=0,$S749&gt;=0),0,""),IF(AND(ISNUMBER($Q749),$Q749&gt;=0,$Q749&lt;=0.5),$Q749,"")))</x:f>
        <x:v>0.15</x:v>
      </x:c>
      <x:c r="AQ749" s="152" t="n">
        <x:f>IF(OR($W749="",NOT(ISNUMBER($R749))),"",ROUND($R749-$W749,2))</x:f>
        <x:v>0</x:v>
      </x:c>
      <x:c r="AR749" s="152" t="n">
        <x:f>IF(OR($X749="",NOT(ISNUMBER($T749))),"",ROUND($T749-$X749,2))</x:f>
        <x:v>0</x:v>
      </x:c>
      <x:c r="AS749" s="14" t="str">
        <x:v>OK</x:v>
      </x:c>
    </x:row>
    <x:row r="750">
      <x:c r="A750" s="80" t="n">
        <x:v>750</x:v>
      </x:c>
      <x:c r="B750" s="80" t="str">
        <x:v>ORD-2024-10749</x:v>
      </x:c>
      <x:c r="C750" s="81" t="n">
        <x:v>45442</x:v>
      </x:c>
      <x:c r="D750" s="81" t="n">
        <x:v>45442</x:v>
      </x:c>
      <x:c r="E750" s="80" t="str">
        <x:v>CUST-3103</x:v>
      </x:c>
      <x:c r="F750" s="80" t="str">
        <x:v>Diya Patel</x:v>
      </x:c>
      <x:c r="G750" s="80" t="str">
        <x:v>Home Office</x:v>
      </x:c>
      <x:c r="H750" s="80" t="str">
        <x:v>North</x:v>
      </x:c>
      <x:c r="I750" s="80" t="str">
        <x:v>Haryana</x:v>
      </x:c>
      <x:c r="J750" s="80" t="str">
        <x:v>Gurugram</x:v>
      </x:c>
      <x:c r="K750" s="80" t="str">
        <x:v>Technology</x:v>
      </x:c>
      <x:c r="L750" s="80" t="str">
        <x:v>Phones</x:v>
      </x:c>
      <x:c r="M750" s="80" t="str">
        <x:v>Pro Phones 765</x:v>
      </x:c>
      <x:c r="N750" s="80" t="str">
        <x:v>Second Class</x:v>
      </x:c>
      <x:c r="O750" s="82" t="n">
        <x:v>1</x:v>
      </x:c>
      <x:c r="P750" s="83" t="n">
        <x:v>3848.04</x:v>
      </x:c>
      <x:c r="Q750" s="84" t="n">
        <x:v>0.25</x:v>
      </x:c>
      <x:c r="R750" s="83" t="n">
        <x:v>2886.03</x:v>
      </x:c>
      <x:c r="S750" s="83" t="n">
        <x:v>2064.83</x:v>
      </x:c>
      <x:c r="T750" s="83" t="n">
        <x:v>821.2</x:v>
      </x:c>
      <x:c r="U750" s="83" t="str">
        <x:v>Paid</x:v>
      </x:c>
      <x:c r="V750" s="83" t="str">
        <x:v>Completed</x:v>
      </x:c>
      <x:c r="W750" s="151" t="n">
        <x:f>IF(OR(NOT(ISNUMBER($AP750)),COUNT($O750,$P750)&lt;2,$O750&lt;=0,$P750&lt;0),"",ROUND($O750*$P750*(1-$AP750),2))</x:f>
        <x:v>2886.03</x:v>
      </x:c>
      <x:c r="X750" s="151" t="n">
        <x:f>IF(OR(NOT(ISNUMBER($W750)),NOT(ISNUMBER($S750))),"",ROUND($W750-$S750,2))</x:f>
        <x:v>821.2</x:v>
      </x:c>
      <x:c r="Y750" s="85" t="n">
        <x:f>IF(OR(NOT(ISNUMBER($W750)),NOT(ISNUMBER($X750)),$W750=0),"",ROUND($X750/$W750,4))</x:f>
        <x:v>0.2845</x:v>
      </x:c>
      <x:c r="Z750" s="82" t="n">
        <x:f>IF(OR($AH750&lt;&gt;"Valid",$AI750&lt;&gt;"Valid"),"",INT($D750-$C750))</x:f>
        <x:v>0</x:v>
      </x:c>
      <x:c r="AA750" s="86" t="str">
        <x:f>IF($AH750&lt;&gt;"Valid","",TEXT($C750,"mmmm"))</x:f>
        <x:v>May</x:v>
      </x:c>
      <x:c r="AB750" s="82" t="n">
        <x:f>IF($AH750&lt;&gt;"Valid","",YEAR($C750))</x:f>
        <x:v>2024</x:v>
      </x:c>
      <x:c r="AC750" s="80" t="str">
        <x:v>Consistent</x:v>
      </x:c>
      <x:c r="AD750" s="80" t="str">
        <x:v>Eligible</x:v>
      </x:c>
      <x:c r="AE750" s="80" t="str">
        <x:f>IF(OR($AH750&lt;&gt;"Valid",$AI750&lt;&gt;"Valid",$AJ750&lt;&gt;"Valid",LEFT($AM750,7)="Invalid",IFERROR(ABS($AQ750)&gt;0.01,FALSE),IFERROR(ABS($AR750)&gt;0.01,FALSE),COUNTIF($AS750,"*Conflicting duplicate*")&gt;0,COUNTIF($AS750,"*Completed order not paid*")&gt;0),"Invalid",IF(OR($H750="Unknown",$N750="Unknown",$AM750="Missing discount imputed as 0"),"Warning","Clean"))</x:f>
        <x:v>Clean</x:v>
      </x:c>
      <x:c r="AF750" s="80" t="str">
        <x:v>Pass</x:v>
      </x:c>
      <x:c r="AG750" s="80" t="str">
        <x:v>No text cleanup required</x:v>
      </x:c>
      <x:c r="AH750" s="12" t="str">
        <x:f>IF(C750="","Missing date",IF(ISNUMBER(C750),"Valid","Unrecognized/invalid date"))</x:f>
        <x:v>Valid</x:v>
      </x:c>
      <x:c r="AI750" s="12" t="str">
        <x:f>IF(D750="","Missing date",IF(ISNUMBER(D750),"Valid","Unrecognized/invalid date"))</x:f>
        <x:v>Valid</x:v>
      </x:c>
      <x:c r="AJ750" s="12" t="str">
        <x:v>Valid</x:v>
      </x:c>
      <x:c r="AK750" s="12" t="str">
        <x:v>Pass</x:v>
      </x:c>
      <x:c r="AL750" s="12" t="str">
        <x:v>None</x:v>
      </x:c>
      <x:c r="AM750" s="12" t="str">
        <x:v>Valid</x:v>
      </x:c>
      <x:c r="AN750" s="12" t="str">
        <x:v>Include in completed sales</x:v>
      </x:c>
      <x:c r="AO750" s="12" t="str">
        <x:v>Not a refunded record</x:v>
      </x:c>
      <x:c r="AP750" s="37" t="n">
        <x:f>IF(LEFT($AM750,7)="Invalid","",IF($AM750="Missing discount imputed as 0",IF(AND(COUNT($O750,$P750,$R750,$S750)=4,$O750&gt;0,$P750&gt;=0,$R750&gt;=0,$S750&gt;=0),0,""),IF(AND(ISNUMBER($Q750),$Q750&gt;=0,$Q750&lt;=0.5),$Q750,"")))</x:f>
        <x:v>0.25</x:v>
      </x:c>
      <x:c r="AQ750" s="152" t="n">
        <x:f>IF(OR($W750="",NOT(ISNUMBER($R750))),"",ROUND($R750-$W750,2))</x:f>
        <x:v>0</x:v>
      </x:c>
      <x:c r="AR750" s="152" t="n">
        <x:f>IF(OR($X750="",NOT(ISNUMBER($T750))),"",ROUND($T750-$X750,2))</x:f>
        <x:v>0</x:v>
      </x:c>
      <x:c r="AS750" s="14" t="str">
        <x:v>OK</x:v>
      </x:c>
    </x:row>
    <x:row r="751">
      <x:c r="A751" s="80" t="n">
        <x:v>751</x:v>
      </x:c>
      <x:c r="B751" s="80" t="str">
        <x:v>ORD-2024-10750</x:v>
      </x:c>
      <x:c r="C751" s="81" t="n">
        <x:v>45372</x:v>
      </x:c>
      <x:c r="D751" s="81" t="n">
        <x:v>45376</x:v>
      </x:c>
      <x:c r="E751" s="80" t="str">
        <x:v>CUST-4457</x:v>
      </x:c>
      <x:c r="F751" s="80" t="str">
        <x:v>Aditi Sen</x:v>
      </x:c>
      <x:c r="G751" s="80" t="str">
        <x:v>Home Office</x:v>
      </x:c>
      <x:c r="H751" s="80" t="str">
        <x:v>East</x:v>
      </x:c>
      <x:c r="I751" s="80" t="str">
        <x:v>Assam</x:v>
      </x:c>
      <x:c r="J751" s="80" t="str">
        <x:v>Guwahati</x:v>
      </x:c>
      <x:c r="K751" s="80" t="str">
        <x:v>Technology</x:v>
      </x:c>
      <x:c r="L751" s="80" t="str">
        <x:v>Machines</x:v>
      </x:c>
      <x:c r="M751" s="80" t="str">
        <x:v>Classic Machines 543</x:v>
      </x:c>
      <x:c r="N751" s="80" t="str">
        <x:v>Standard Class</x:v>
      </x:c>
      <x:c r="O751" s="82" t="n">
        <x:v>1</x:v>
      </x:c>
      <x:c r="P751" s="83" t="n">
        <x:v>1716.7</x:v>
      </x:c>
      <x:c r="Q751" s="84" t="n">
        <x:v>0.15</x:v>
      </x:c>
      <x:c r="R751" s="83" t="n">
        <x:v>1459.19</x:v>
      </x:c>
      <x:c r="S751" s="83" t="n">
        <x:v>1055.79</x:v>
      </x:c>
      <x:c r="T751" s="83" t="n">
        <x:v>403.4</x:v>
      </x:c>
      <x:c r="U751" s="83" t="str">
        <x:v>Paid</x:v>
      </x:c>
      <x:c r="V751" s="83" t="str">
        <x:v>Completed</x:v>
      </x:c>
      <x:c r="W751" s="151" t="n">
        <x:f>IF(OR(NOT(ISNUMBER($AP751)),COUNT($O751,$P751)&lt;2,$O751&lt;=0,$P751&lt;0),"",ROUND($O751*$P751*(1-$AP751),2))</x:f>
        <x:v>1459.2</x:v>
      </x:c>
      <x:c r="X751" s="151" t="n">
        <x:f>IF(OR(NOT(ISNUMBER($W751)),NOT(ISNUMBER($S751))),"",ROUND($W751-$S751,2))</x:f>
        <x:v>403.41</x:v>
      </x:c>
      <x:c r="Y751" s="85" t="n">
        <x:f>IF(OR(NOT(ISNUMBER($W751)),NOT(ISNUMBER($X751)),$W751=0),"",ROUND($X751/$W751,4))</x:f>
        <x:v>0.2765</x:v>
      </x:c>
      <x:c r="Z751" s="82" t="n">
        <x:f>IF(OR($AH751&lt;&gt;"Valid",$AI751&lt;&gt;"Valid"),"",INT($D751-$C751))</x:f>
        <x:v>4</x:v>
      </x:c>
      <x:c r="AA751" s="86" t="str">
        <x:f>IF($AH751&lt;&gt;"Valid","",TEXT($C751,"mmmm"))</x:f>
        <x:v>March</x:v>
      </x:c>
      <x:c r="AB751" s="82" t="n">
        <x:f>IF($AH751&lt;&gt;"Valid","",YEAR($C751))</x:f>
        <x:v>2024</x:v>
      </x:c>
      <x:c r="AC751" s="80" t="str">
        <x:v>Consistent</x:v>
      </x:c>
      <x:c r="AD751" s="80" t="str">
        <x:v>Eligible</x:v>
      </x:c>
      <x:c r="AE751" s="80" t="str">
        <x:f>IF(OR($AH751&lt;&gt;"Valid",$AI751&lt;&gt;"Valid",$AJ751&lt;&gt;"Valid",LEFT($AM751,7)="Invalid",IFERROR(ABS($AQ751)&gt;0.01,FALSE),IFERROR(ABS($AR751)&gt;0.01,FALSE),COUNTIF($AS751,"*Conflicting duplicate*")&gt;0,COUNTIF($AS751,"*Completed order not paid*")&gt;0),"Invalid",IF(OR($H751="Unknown",$N751="Unknown",$AM751="Missing discount imputed as 0"),"Warning","Clean"))</x:f>
        <x:v>Clean</x:v>
      </x:c>
      <x:c r="AF751" s="80" t="str">
        <x:v>Pass</x:v>
      </x:c>
      <x:c r="AG751" s="80" t="str">
        <x:v>No text cleanup required</x:v>
      </x:c>
      <x:c r="AH751" s="12" t="str">
        <x:f>IF(C751="","Missing date",IF(ISNUMBER(C751),"Valid","Unrecognized/invalid date"))</x:f>
        <x:v>Valid</x:v>
      </x:c>
      <x:c r="AI751" s="12" t="str">
        <x:f>IF(D751="","Missing date",IF(ISNUMBER(D751),"Valid","Unrecognized/invalid date"))</x:f>
        <x:v>Valid</x:v>
      </x:c>
      <x:c r="AJ751" s="12" t="str">
        <x:v>Valid</x:v>
      </x:c>
      <x:c r="AK751" s="12" t="str">
        <x:v>Pass</x:v>
      </x:c>
      <x:c r="AL751" s="12" t="str">
        <x:v>None</x:v>
      </x:c>
      <x:c r="AM751" s="12" t="str">
        <x:v>Valid</x:v>
      </x:c>
      <x:c r="AN751" s="12" t="str">
        <x:v>Include in completed sales</x:v>
      </x:c>
      <x:c r="AO751" s="12" t="str">
        <x:v>Not a refunded record</x:v>
      </x:c>
      <x:c r="AP751" s="37" t="n">
        <x:f>IF(LEFT($AM751,7)="Invalid","",IF($AM751="Missing discount imputed as 0",IF(AND(COUNT($O751,$P751,$R751,$S751)=4,$O751&gt;0,$P751&gt;=0,$R751&gt;=0,$S751&gt;=0),0,""),IF(AND(ISNUMBER($Q751),$Q751&gt;=0,$Q751&lt;=0.5),$Q751,"")))</x:f>
        <x:v>0.15</x:v>
      </x:c>
      <x:c r="AQ751" s="152" t="n">
        <x:f>IF(OR($W751="",NOT(ISNUMBER($R751))),"",ROUND($R751-$W751,2))</x:f>
        <x:v>-0.01</x:v>
      </x:c>
      <x:c r="AR751" s="152" t="n">
        <x:f>IF(OR($X751="",NOT(ISNUMBER($T751))),"",ROUND($T751-$X751,2))</x:f>
        <x:v>-0.01</x:v>
      </x:c>
      <x:c r="AS751" s="14" t="str">
        <x:v>OK</x:v>
      </x:c>
    </x:row>
    <x:row r="752">
      <x:c r="A752" s="80" t="n">
        <x:v>752</x:v>
      </x:c>
      <x:c r="B752" s="80" t="str">
        <x:v>ORD-2025-10751</x:v>
      </x:c>
      <x:c r="C752" s="81" t="n">
        <x:v>45810</x:v>
      </x:c>
      <x:c r="D752" s="81" t="n">
        <x:v>45810</x:v>
      </x:c>
      <x:c r="E752" s="80" t="str">
        <x:v>CUST-7036</x:v>
      </x:c>
      <x:c r="F752" s="80" t="str">
        <x:v>Aarav Sharma</x:v>
      </x:c>
      <x:c r="G752" s="80" t="str">
        <x:v>Home Office</x:v>
      </x:c>
      <x:c r="H752" s="80" t="str">
        <x:v>South</x:v>
      </x:c>
      <x:c r="I752" s="80" t="str">
        <x:v>Telangana</x:v>
      </x:c>
      <x:c r="J752" s="80" t="str">
        <x:v>Hyderabad</x:v>
      </x:c>
      <x:c r="K752" s="80" t="str">
        <x:v>Technology</x:v>
      </x:c>
      <x:c r="L752" s="80" t="str">
        <x:v>Accessories</x:v>
      </x:c>
      <x:c r="M752" s="80" t="str">
        <x:v>Max Accessories 291</x:v>
      </x:c>
      <x:c r="N752" s="80" t="str">
        <x:v>First Class</x:v>
      </x:c>
      <x:c r="O752" s="82" t="n">
        <x:v>8</x:v>
      </x:c>
      <x:c r="P752" s="83" t="n">
        <x:v>3925.93</x:v>
      </x:c>
      <x:c r="Q752" s="84" t="n">
        <x:v>0.15</x:v>
      </x:c>
      <x:c r="R752" s="83" t="n">
        <x:v>26696.32</x:v>
      </x:c>
      <x:c r="S752" s="83" t="n">
        <x:v>22724.52</x:v>
      </x:c>
      <x:c r="T752" s="83" t="n">
        <x:v>3971.8</x:v>
      </x:c>
      <x:c r="U752" s="83" t="str">
        <x:v>Paid</x:v>
      </x:c>
      <x:c r="V752" s="83" t="str">
        <x:v>Completed</x:v>
      </x:c>
      <x:c r="W752" s="151" t="n">
        <x:f>IF(OR(NOT(ISNUMBER($AP752)),COUNT($O752,$P752)&lt;2,$O752&lt;=0,$P752&lt;0),"",ROUND($O752*$P752*(1-$AP752),2))</x:f>
        <x:v>26696.32</x:v>
      </x:c>
      <x:c r="X752" s="151" t="n">
        <x:f>IF(OR(NOT(ISNUMBER($W752)),NOT(ISNUMBER($S752))),"",ROUND($W752-$S752,2))</x:f>
        <x:v>3971.8</x:v>
      </x:c>
      <x:c r="Y752" s="85" t="n">
        <x:f>IF(OR(NOT(ISNUMBER($W752)),NOT(ISNUMBER($X752)),$W752=0),"",ROUND($X752/$W752,4))</x:f>
        <x:v>0.1488</x:v>
      </x:c>
      <x:c r="Z752" s="82" t="n">
        <x:f>IF(OR($AH752&lt;&gt;"Valid",$AI752&lt;&gt;"Valid"),"",INT($D752-$C752))</x:f>
        <x:v>0</x:v>
      </x:c>
      <x:c r="AA752" s="86" t="str">
        <x:f>IF($AH752&lt;&gt;"Valid","",TEXT($C752,"mmmm"))</x:f>
        <x:v>June</x:v>
      </x:c>
      <x:c r="AB752" s="82" t="n">
        <x:f>IF($AH752&lt;&gt;"Valid","",YEAR($C752))</x:f>
        <x:v>2025</x:v>
      </x:c>
      <x:c r="AC752" s="80" t="str">
        <x:v>Consistent</x:v>
      </x:c>
      <x:c r="AD752" s="80" t="str">
        <x:v>Eligible</x:v>
      </x:c>
      <x:c r="AE752" s="80" t="str">
        <x:f>IF(OR($AH752&lt;&gt;"Valid",$AI752&lt;&gt;"Valid",$AJ752&lt;&gt;"Valid",LEFT($AM752,7)="Invalid",IFERROR(ABS($AQ752)&gt;0.01,FALSE),IFERROR(ABS($AR752)&gt;0.01,FALSE),COUNTIF($AS752,"*Conflicting duplicate*")&gt;0,COUNTIF($AS752,"*Completed order not paid*")&gt;0),"Invalid",IF(OR($H752="Unknown",$N752="Unknown",$AM752="Missing discount imputed as 0"),"Warning","Clean"))</x:f>
        <x:v>Clean</x:v>
      </x:c>
      <x:c r="AF752" s="80" t="str">
        <x:v>Pass</x:v>
      </x:c>
      <x:c r="AG752" s="80" t="str">
        <x:v>No text cleanup required</x:v>
      </x:c>
      <x:c r="AH752" s="12" t="str">
        <x:f>IF(C752="","Missing date",IF(ISNUMBER(C752),"Valid","Unrecognized/invalid date"))</x:f>
        <x:v>Valid</x:v>
      </x:c>
      <x:c r="AI752" s="12" t="str">
        <x:f>IF(D752="","Missing date",IF(ISNUMBER(D752),"Valid","Unrecognized/invalid date"))</x:f>
        <x:v>Valid</x:v>
      </x:c>
      <x:c r="AJ752" s="12" t="str">
        <x:v>Valid</x:v>
      </x:c>
      <x:c r="AK752" s="12" t="str">
        <x:v>Pass</x:v>
      </x:c>
      <x:c r="AL752" s="12" t="str">
        <x:v>None</x:v>
      </x:c>
      <x:c r="AM752" s="12" t="str">
        <x:v>Valid</x:v>
      </x:c>
      <x:c r="AN752" s="12" t="str">
        <x:v>Include in completed sales</x:v>
      </x:c>
      <x:c r="AO752" s="12" t="str">
        <x:v>Not a refunded record</x:v>
      </x:c>
      <x:c r="AP752" s="37" t="n">
        <x:f>IF(LEFT($AM752,7)="Invalid","",IF($AM752="Missing discount imputed as 0",IF(AND(COUNT($O752,$P752,$R752,$S752)=4,$O752&gt;0,$P752&gt;=0,$R752&gt;=0,$S752&gt;=0),0,""),IF(AND(ISNUMBER($Q752),$Q752&gt;=0,$Q752&lt;=0.5),$Q752,"")))</x:f>
        <x:v>0.15</x:v>
      </x:c>
      <x:c r="AQ752" s="152" t="n">
        <x:f>IF(OR($W752="",NOT(ISNUMBER($R752))),"",ROUND($R752-$W752,2))</x:f>
        <x:v>0</x:v>
      </x:c>
      <x:c r="AR752" s="152" t="n">
        <x:f>IF(OR($X752="",NOT(ISNUMBER($T752))),"",ROUND($T752-$X752,2))</x:f>
        <x:v>0</x:v>
      </x:c>
      <x:c r="AS752" s="14" t="str">
        <x:v>OK</x:v>
      </x:c>
    </x:row>
    <x:row r="753">
      <x:c r="A753" s="80" t="n">
        <x:v>753</x:v>
      </x:c>
      <x:c r="B753" s="80" t="str">
        <x:v>ORD-2025-10752</x:v>
      </x:c>
      <x:c r="C753" s="81" t="n">
        <x:v>45856</x:v>
      </x:c>
      <x:c r="D753" s="81" t="n">
        <x:v>45857</x:v>
      </x:c>
      <x:c r="E753" s="80" t="str">
        <x:v>CUST-8512</x:v>
      </x:c>
      <x:c r="F753" s="80" t="str">
        <x:v>Priya Menon</x:v>
      </x:c>
      <x:c r="G753" s="80" t="str">
        <x:v>Home Office</x:v>
      </x:c>
      <x:c r="H753" s="80" t="str">
        <x:v>Unknown</x:v>
      </x:c>
      <x:c r="I753" s="80" t="str">
        <x:v>Uttar Pradesh</x:v>
      </x:c>
      <x:c r="J753" s="80" t="str">
        <x:v>Noida</x:v>
      </x:c>
      <x:c r="K753" s="80" t="str">
        <x:v>Technology</x:v>
      </x:c>
      <x:c r="L753" s="80" t="str">
        <x:v>Machines</x:v>
      </x:c>
      <x:c r="M753" s="80" t="str">
        <x:v>Eco Machines 414</x:v>
      </x:c>
      <x:c r="N753" s="80" t="str">
        <x:v>Unknown</x:v>
      </x:c>
      <x:c r="O753" s="82" t="n">
        <x:v>3</x:v>
      </x:c>
      <x:c r="P753" s="83" t="n">
        <x:v>2963.25</x:v>
      </x:c>
      <x:c r="Q753" s="84" t="n">
        <x:v>0.05</x:v>
      </x:c>
      <x:c r="R753" s="83" t="n">
        <x:v>8445.26</x:v>
      </x:c>
      <x:c r="S753" s="83" t="n">
        <x:v>6937.6</x:v>
      </x:c>
      <x:c r="T753" s="83" t="n">
        <x:v>1507.66</x:v>
      </x:c>
      <x:c r="U753" s="83" t="str">
        <x:v>Paid</x:v>
      </x:c>
      <x:c r="V753" s="83" t="str">
        <x:v>Completed</x:v>
      </x:c>
      <x:c r="W753" s="151" t="n">
        <x:f>IF(OR(NOT(ISNUMBER($AP753)),COUNT($O753,$P753)&lt;2,$O753&lt;=0,$P753&lt;0),"",ROUND($O753*$P753*(1-$AP753),2))</x:f>
        <x:v>8445.26</x:v>
      </x:c>
      <x:c r="X753" s="151" t="n">
        <x:f>IF(OR(NOT(ISNUMBER($W753)),NOT(ISNUMBER($S753))),"",ROUND($W753-$S753,2))</x:f>
        <x:v>1507.66</x:v>
      </x:c>
      <x:c r="Y753" s="85" t="n">
        <x:f>IF(OR(NOT(ISNUMBER($W753)),NOT(ISNUMBER($X753)),$W753=0),"",ROUND($X753/$W753,4))</x:f>
        <x:v>0.1785</x:v>
      </x:c>
      <x:c r="Z753" s="82" t="n">
        <x:f>IF(OR($AH753&lt;&gt;"Valid",$AI753&lt;&gt;"Valid"),"",INT($D753-$C753))</x:f>
        <x:v>1</x:v>
      </x:c>
      <x:c r="AA753" s="86" t="str">
        <x:f>IF($AH753&lt;&gt;"Valid","",TEXT($C753,"mmmm"))</x:f>
        <x:v>July</x:v>
      </x:c>
      <x:c r="AB753" s="82" t="n">
        <x:f>IF($AH753&lt;&gt;"Valid","",YEAR($C753))</x:f>
        <x:v>2025</x:v>
      </x:c>
      <x:c r="AC753" s="80" t="str">
        <x:v>Consistent</x:v>
      </x:c>
      <x:c r="AD753" s="80" t="str">
        <x:v>Eligible</x:v>
      </x:c>
      <x:c r="AE753" s="80" t="str">
        <x:f>IF(OR($AH753&lt;&gt;"Valid",$AI753&lt;&gt;"Valid",$AJ753&lt;&gt;"Valid",LEFT($AM753,7)="Invalid",IFERROR(ABS($AQ753)&gt;0.01,FALSE),IFERROR(ABS($AR753)&gt;0.01,FALSE),COUNTIF($AS753,"*Conflicting duplicate*")&gt;0,COUNTIF($AS753,"*Completed order not paid*")&gt;0),"Invalid",IF(OR($H753="Unknown",$N753="Unknown",$AM753="Missing discount imputed as 0"),"Warning","Clean"))</x:f>
        <x:v>Warning</x:v>
      </x:c>
      <x:c r="AF753" s="80" t="str">
        <x:v>Cleaned</x:v>
      </x:c>
      <x:c r="AG753" s="80" t="str">
        <x:v>region: Missing value filled as Unknown; ship_mode: Missing value filled as Unknown</x:v>
      </x:c>
      <x:c r="AH753" s="12" t="str">
        <x:f>IF(C753="","Missing date",IF(ISNUMBER(C753),"Valid","Unrecognized/invalid date"))</x:f>
        <x:v>Valid</x:v>
      </x:c>
      <x:c r="AI753" s="12" t="str">
        <x:f>IF(D753="","Missing date",IF(ISNUMBER(D753),"Valid","Unrecognized/invalid date"))</x:f>
        <x:v>Valid</x:v>
      </x:c>
      <x:c r="AJ753" s="12" t="str">
        <x:v>Valid</x:v>
      </x:c>
      <x:c r="AK753" s="12" t="str">
        <x:v>Pass</x:v>
      </x:c>
      <x:c r="AL753" s="12" t="str">
        <x:v>Missing region filled as Unknown; Missing ship_mode filled as Unknown</x:v>
      </x:c>
      <x:c r="AM753" s="12" t="str">
        <x:v>Valid</x:v>
      </x:c>
      <x:c r="AN753" s="12" t="str">
        <x:v>Include in completed sales</x:v>
      </x:c>
      <x:c r="AO753" s="12" t="str">
        <x:v>Not a refunded record</x:v>
      </x:c>
      <x:c r="AP753" s="37" t="n">
        <x:f>IF(LEFT($AM753,7)="Invalid","",IF($AM753="Missing discount imputed as 0",IF(AND(COUNT($O753,$P753,$R753,$S753)=4,$O753&gt;0,$P753&gt;=0,$R753&gt;=0,$S753&gt;=0),0,""),IF(AND(ISNUMBER($Q753),$Q753&gt;=0,$Q753&lt;=0.5),$Q753,"")))</x:f>
        <x:v>0.05</x:v>
      </x:c>
      <x:c r="AQ753" s="152" t="n">
        <x:f>IF(OR($W753="",NOT(ISNUMBER($R753))),"",ROUND($R753-$W753,2))</x:f>
        <x:v>0</x:v>
      </x:c>
      <x:c r="AR753" s="152" t="n">
        <x:f>IF(OR($X753="",NOT(ISNUMBER($T753))),"",ROUND($T753-$X753,2))</x:f>
        <x:v>0</x:v>
      </x:c>
      <x:c r="AS753" s="14" t="str">
        <x:v>OK</x:v>
      </x:c>
    </x:row>
    <x:row r="754">
      <x:c r="A754" s="80" t="n">
        <x:v>754</x:v>
      </x:c>
      <x:c r="B754" s="80" t="str">
        <x:v>ORD-2024-10753</x:v>
      </x:c>
      <x:c r="C754" s="81" t="n">
        <x:v>45375</x:v>
      </x:c>
      <x:c r="D754" s="81" t="n">
        <x:v>45378</x:v>
      </x:c>
      <x:c r="E754" s="80" t="str">
        <x:v>CUST-6345</x:v>
      </x:c>
      <x:c r="F754" s="80" t="str">
        <x:v>Aditi Sen</x:v>
      </x:c>
      <x:c r="G754" s="80" t="str">
        <x:v>Corporate</x:v>
      </x:c>
      <x:c r="H754" s="80" t="str">
        <x:v>West</x:v>
      </x:c>
      <x:c r="I754" s="80" t="str">
        <x:v>Gujarat</x:v>
      </x:c>
      <x:c r="J754" s="80" t="str">
        <x:v>Ahmedabad</x:v>
      </x:c>
      <x:c r="K754" s="80" t="str">
        <x:v>Office Supplies</x:v>
      </x:c>
      <x:c r="L754" s="80" t="str">
        <x:v>Storage</x:v>
      </x:c>
      <x:c r="M754" s="80" t="str">
        <x:v>Basic Storage 273</x:v>
      </x:c>
      <x:c r="N754" s="80" t="str">
        <x:v>First Class</x:v>
      </x:c>
      <x:c r="O754" s="82" t="n">
        <x:v>5</x:v>
      </x:c>
      <x:c r="P754" s="83" t="n">
        <x:v>2465.22</x:v>
      </x:c>
      <x:c r="Q754" s="84" t="n">
        <x:v>0.05</x:v>
      </x:c>
      <x:c r="R754" s="83" t="n">
        <x:v>11709.79</x:v>
      </x:c>
      <x:c r="S754" s="83" t="n">
        <x:v>8372.29</x:v>
      </x:c>
      <x:c r="T754" s="83" t="n">
        <x:v>3337.5</x:v>
      </x:c>
      <x:c r="U754" s="83" t="str">
        <x:v>Paid</x:v>
      </x:c>
      <x:c r="V754" s="83" t="str">
        <x:v>Completed</x:v>
      </x:c>
      <x:c r="W754" s="151" t="n">
        <x:f>IF(OR(NOT(ISNUMBER($AP754)),COUNT($O754,$P754)&lt;2,$O754&lt;=0,$P754&lt;0),"",ROUND($O754*$P754*(1-$AP754),2))</x:f>
        <x:v>11709.79</x:v>
      </x:c>
      <x:c r="X754" s="151" t="n">
        <x:f>IF(OR(NOT(ISNUMBER($W754)),NOT(ISNUMBER($S754))),"",ROUND($W754-$S754,2))</x:f>
        <x:v>3337.5</x:v>
      </x:c>
      <x:c r="Y754" s="85" t="n">
        <x:f>IF(OR(NOT(ISNUMBER($W754)),NOT(ISNUMBER($X754)),$W754=0),"",ROUND($X754/$W754,4))</x:f>
        <x:v>0.285</x:v>
      </x:c>
      <x:c r="Z754" s="82" t="n">
        <x:f>IF(OR($AH754&lt;&gt;"Valid",$AI754&lt;&gt;"Valid"),"",INT($D754-$C754))</x:f>
        <x:v>3</x:v>
      </x:c>
      <x:c r="AA754" s="86" t="str">
        <x:f>IF($AH754&lt;&gt;"Valid","",TEXT($C754,"mmmm"))</x:f>
        <x:v>March</x:v>
      </x:c>
      <x:c r="AB754" s="82" t="n">
        <x:f>IF($AH754&lt;&gt;"Valid","",YEAR($C754))</x:f>
        <x:v>2024</x:v>
      </x:c>
      <x:c r="AC754" s="80" t="str">
        <x:v>Consistent</x:v>
      </x:c>
      <x:c r="AD754" s="80" t="str">
        <x:v>Eligible</x:v>
      </x:c>
      <x:c r="AE754" s="80" t="str">
        <x:f>IF(OR($AH754&lt;&gt;"Valid",$AI754&lt;&gt;"Valid",$AJ754&lt;&gt;"Valid",LEFT($AM754,7)="Invalid",IFERROR(ABS($AQ754)&gt;0.01,FALSE),IFERROR(ABS($AR754)&gt;0.01,FALSE),COUNTIF($AS754,"*Conflicting duplicate*")&gt;0,COUNTIF($AS754,"*Completed order not paid*")&gt;0),"Invalid",IF(OR($H754="Unknown",$N754="Unknown",$AM754="Missing discount imputed as 0"),"Warning","Clean"))</x:f>
        <x:v>Clean</x:v>
      </x:c>
      <x:c r="AF754" s="80" t="str">
        <x:v>Cleaned</x:v>
      </x:c>
      <x:c r="AG754" s="80" t="str">
        <x:v>region: TRIM/SUBSTITUTE whitespace cleanup</x:v>
      </x:c>
      <x:c r="AH754" s="12" t="str">
        <x:f>IF(C754="","Missing date",IF(ISNUMBER(C754),"Valid","Unrecognized/invalid date"))</x:f>
        <x:v>Valid</x:v>
      </x:c>
      <x:c r="AI754" s="12" t="str">
        <x:f>IF(D754="","Missing date",IF(ISNUMBER(D754),"Valid","Unrecognized/invalid date"))</x:f>
        <x:v>Valid</x:v>
      </x:c>
      <x:c r="AJ754" s="12" t="str">
        <x:v>Valid</x:v>
      </x:c>
      <x:c r="AK754" s="12" t="str">
        <x:v>Pass</x:v>
      </x:c>
      <x:c r="AL754" s="12" t="str">
        <x:v>None</x:v>
      </x:c>
      <x:c r="AM754" s="12" t="str">
        <x:v>Valid</x:v>
      </x:c>
      <x:c r="AN754" s="12" t="str">
        <x:v>Include in completed sales</x:v>
      </x:c>
      <x:c r="AO754" s="12" t="str">
        <x:v>Not a refunded record</x:v>
      </x:c>
      <x:c r="AP754" s="37" t="n">
        <x:f>IF(LEFT($AM754,7)="Invalid","",IF($AM754="Missing discount imputed as 0",IF(AND(COUNT($O754,$P754,$R754,$S754)=4,$O754&gt;0,$P754&gt;=0,$R754&gt;=0,$S754&gt;=0),0,""),IF(AND(ISNUMBER($Q754),$Q754&gt;=0,$Q754&lt;=0.5),$Q754,"")))</x:f>
        <x:v>0.05</x:v>
      </x:c>
      <x:c r="AQ754" s="152" t="n">
        <x:f>IF(OR($W754="",NOT(ISNUMBER($R754))),"",ROUND($R754-$W754,2))</x:f>
        <x:v>0</x:v>
      </x:c>
      <x:c r="AR754" s="152" t="n">
        <x:f>IF(OR($X754="",NOT(ISNUMBER($T754))),"",ROUND($T754-$X754,2))</x:f>
        <x:v>0</x:v>
      </x:c>
      <x:c r="AS754" s="14" t="str">
        <x:v>OK</x:v>
      </x:c>
    </x:row>
    <x:row r="755">
      <x:c r="A755" s="80" t="n">
        <x:v>755</x:v>
      </x:c>
      <x:c r="B755" s="80" t="str">
        <x:v>ORD-2024-10754</x:v>
      </x:c>
      <x:c r="C755" s="81" t="n">
        <x:v>45515</x:v>
      </x:c>
      <x:c r="D755" s="81" t="n">
        <x:v>45514</x:v>
      </x:c>
      <x:c r="E755" s="80" t="str">
        <x:v>CUST-4505</x:v>
      </x:c>
      <x:c r="F755" s="80" t="str">
        <x:v>Aditi Sen</x:v>
      </x:c>
      <x:c r="G755" s="80" t="str">
        <x:v>Corporate</x:v>
      </x:c>
      <x:c r="H755" s="80" t="str">
        <x:v>North</x:v>
      </x:c>
      <x:c r="I755" s="80" t="str">
        <x:v>Delhi</x:v>
      </x:c>
      <x:c r="J755" s="80" t="str">
        <x:v>New Delhi</x:v>
      </x:c>
      <x:c r="K755" s="80" t="str">
        <x:v>Furniture</x:v>
      </x:c>
      <x:c r="L755" s="80" t="str">
        <x:v>Furnishings</x:v>
      </x:c>
      <x:c r="M755" s="80" t="str">
        <x:v>Elite Furnishings 588</x:v>
      </x:c>
      <x:c r="N755" s="80" t="str">
        <x:v>Second Class</x:v>
      </x:c>
      <x:c r="O755" s="82" t="n">
        <x:v>3</x:v>
      </x:c>
      <x:c r="P755" s="83" t="n">
        <x:v>1017.22</x:v>
      </x:c>
      <x:c r="Q755" s="84" t="n">
        <x:v>0.15</x:v>
      </x:c>
      <x:c r="R755" s="83" t="n">
        <x:v>2593.91</x:v>
      </x:c>
      <x:c r="S755" s="83" t="n">
        <x:v>1848.48</x:v>
      </x:c>
      <x:c r="T755" s="83" t="n">
        <x:v>745.43</x:v>
      </x:c>
      <x:c r="U755" s="83" t="str">
        <x:v>Failed</x:v>
      </x:c>
      <x:c r="V755" s="83" t="str">
        <x:v>Returned</x:v>
      </x:c>
      <x:c r="W755" s="151" t="n">
        <x:f>IF(OR(NOT(ISNUMBER($AP755)),COUNT($O755,$P755)&lt;2,$O755&lt;=0,$P755&lt;0),"",ROUND($O755*$P755*(1-$AP755),2))</x:f>
        <x:v>2593.91</x:v>
      </x:c>
      <x:c r="X755" s="151" t="n">
        <x:f>IF(OR(NOT(ISNUMBER($W755)),NOT(ISNUMBER($S755))),"",ROUND($W755-$S755,2))</x:f>
        <x:v>745.43</x:v>
      </x:c>
      <x:c r="Y755" s="85" t="n">
        <x:f>IF(OR(NOT(ISNUMBER($W755)),NOT(ISNUMBER($X755)),$W755=0),"",ROUND($X755/$W755,4))</x:f>
        <x:v>0.2874</x:v>
      </x:c>
      <x:c r="Z755" s="82" t="n">
        <x:f>IF(OR($AH755&lt;&gt;"Valid",$AI755&lt;&gt;"Valid"),"",INT($D755-$C755))</x:f>
        <x:v>-1</x:v>
      </x:c>
      <x:c r="AA755" s="86" t="str">
        <x:f>IF($AH755&lt;&gt;"Valid","",TEXT($C755,"mmmm"))</x:f>
        <x:v>August</x:v>
      </x:c>
      <x:c r="AB755" s="82" t="n">
        <x:f>IF($AH755&lt;&gt;"Valid","",YEAR($C755))</x:f>
        <x:v>2024</x:v>
      </x:c>
      <x:c r="AC755" s="80" t="str">
        <x:v>Failed payment (excluded from completed-sales summary)</x:v>
      </x:c>
      <x:c r="AD755" s="80" t="str">
        <x:v>Excluded</x:v>
      </x:c>
      <x:c r="AE755" s="80" t="str">
        <x:f>IF(OR($AH755&lt;&gt;"Valid",$AI755&lt;&gt;"Valid",$AJ755&lt;&gt;"Valid",LEFT($AM755,7)="Invalid",IFERROR(ABS($AQ755)&gt;0.01,FALSE),IFERROR(ABS($AR755)&gt;0.01,FALSE),COUNTIF($AS755,"*Conflicting duplicate*")&gt;0,COUNTIF($AS755,"*Completed order not paid*")&gt;0),"Invalid",IF(OR($H755="Unknown",$N755="Unknown",$AM755="Missing discount imputed as 0"),"Warning","Clean"))</x:f>
        <x:v>Invalid</x:v>
      </x:c>
      <x:c r="AF755" s="80" t="str">
        <x:v>Review</x:v>
      </x:c>
      <x:c r="AG755" s="80" t="str">
        <x:v>category: TRIM/SUBSTITUTE whitespace cleanup</x:v>
      </x:c>
      <x:c r="AH755" s="12" t="str">
        <x:f>IF(C755="","Missing date",IF(ISNUMBER(C755),"Valid","Unrecognized/invalid date"))</x:f>
        <x:v>Valid</x:v>
      </x:c>
      <x:c r="AI755" s="12" t="str">
        <x:f>IF(D755="","Missing date",IF(ISNUMBER(D755),"Valid","Unrecognized/invalid date"))</x:f>
        <x:v>Valid</x:v>
      </x:c>
      <x:c r="AJ755" s="12" t="str">
        <x:v>Invalid</x:v>
      </x:c>
      <x:c r="AK755" s="12" t="str">
        <x:v>Ship date is earlier than order date</x:v>
      </x:c>
      <x:c r="AL755" s="12" t="str">
        <x:v>Failed payment – excluded from completed sales</x:v>
      </x:c>
      <x:c r="AM755" s="12" t="str">
        <x:v>Valid</x:v>
      </x:c>
      <x:c r="AN755" s="12" t="str">
        <x:v>Exclude from completed sales</x:v>
      </x:c>
      <x:c r="AO755" s="12" t="str">
        <x:v>Not a refunded record</x:v>
      </x:c>
      <x:c r="AP755" s="37" t="n">
        <x:f>IF(LEFT($AM755,7)="Invalid","",IF($AM755="Missing discount imputed as 0",IF(AND(COUNT($O755,$P755,$R755,$S755)=4,$O755&gt;0,$P755&gt;=0,$R755&gt;=0,$S755&gt;=0),0,""),IF(AND(ISNUMBER($Q755),$Q755&gt;=0,$Q755&lt;=0.5),$Q755,"")))</x:f>
        <x:v>0.15</x:v>
      </x:c>
      <x:c r="AQ755" s="152" t="n">
        <x:f>IF(OR($W755="",NOT(ISNUMBER($R755))),"",ROUND($R755-$W755,2))</x:f>
        <x:v>0</x:v>
      </x:c>
      <x:c r="AR755" s="152" t="n">
        <x:f>IF(OR($X755="",NOT(ISNUMBER($T755))),"",ROUND($T755-$X755,2))</x:f>
        <x:v>0</x:v>
      </x:c>
      <x:c r="AS755" s="14" t="str">
        <x:v>Ship date earlier than order date</x:v>
      </x:c>
    </x:row>
    <x:row r="756">
      <x:c r="A756" s="80" t="n">
        <x:v>756</x:v>
      </x:c>
      <x:c r="B756" s="80" t="str">
        <x:v>ORD-2025-10755</x:v>
      </x:c>
      <x:c r="C756" s="81" t="n">
        <x:v>45812</x:v>
      </x:c>
      <x:c r="D756" s="81" t="n">
        <x:v>45812</x:v>
      </x:c>
      <x:c r="E756" s="80" t="str">
        <x:v>CUST-7960</x:v>
      </x:c>
      <x:c r="F756" s="80" t="str">
        <x:v>Neha Gupta</x:v>
      </x:c>
      <x:c r="G756" s="80" t="str">
        <x:v>Corporate</x:v>
      </x:c>
      <x:c r="H756" s="80" t="str">
        <x:v>South</x:v>
      </x:c>
      <x:c r="I756" s="80" t="str">
        <x:v>Kerala</x:v>
      </x:c>
      <x:c r="J756" s="80" t="str">
        <x:v>Kochi</x:v>
      </x:c>
      <x:c r="K756" s="80" t="str">
        <x:v>Office Supplies</x:v>
      </x:c>
      <x:c r="L756" s="80" t="str">
        <x:v>Storage</x:v>
      </x:c>
      <x:c r="M756" s="80" t="str">
        <x:v>Elite Storage 857</x:v>
      </x:c>
      <x:c r="N756" s="80" t="str">
        <x:v>Standard Class</x:v>
      </x:c>
      <x:c r="O756" s="82" t="n">
        <x:v>4</x:v>
      </x:c>
      <x:c r="P756" s="83" t="n">
        <x:v>891.34</x:v>
      </x:c>
      <x:c r="Q756" s="84" t="n">
        <x:v>0.25</x:v>
      </x:c>
      <x:c r="R756" s="83" t="n">
        <x:v>2674.02</x:v>
      </x:c>
      <x:c r="S756" s="83" t="n">
        <x:v>2207.57</x:v>
      </x:c>
      <x:c r="T756" s="83" t="n">
        <x:v>466.45</x:v>
      </x:c>
      <x:c r="U756" s="83" t="str">
        <x:v>Paid</x:v>
      </x:c>
      <x:c r="V756" s="83" t="str">
        <x:v>Completed</x:v>
      </x:c>
      <x:c r="W756" s="151" t="n">
        <x:f>IF(OR(NOT(ISNUMBER($AP756)),COUNT($O756,$P756)&lt;2,$O756&lt;=0,$P756&lt;0),"",ROUND($O756*$P756*(1-$AP756),2))</x:f>
        <x:v>2674.02</x:v>
      </x:c>
      <x:c r="X756" s="151" t="n">
        <x:f>IF(OR(NOT(ISNUMBER($W756)),NOT(ISNUMBER($S756))),"",ROUND($W756-$S756,2))</x:f>
        <x:v>466.45</x:v>
      </x:c>
      <x:c r="Y756" s="85" t="n">
        <x:f>IF(OR(NOT(ISNUMBER($W756)),NOT(ISNUMBER($X756)),$W756=0),"",ROUND($X756/$W756,4))</x:f>
        <x:v>0.1744</x:v>
      </x:c>
      <x:c r="Z756" s="82" t="n">
        <x:f>IF(OR($AH756&lt;&gt;"Valid",$AI756&lt;&gt;"Valid"),"",INT($D756-$C756))</x:f>
        <x:v>0</x:v>
      </x:c>
      <x:c r="AA756" s="86" t="str">
        <x:f>IF($AH756&lt;&gt;"Valid","",TEXT($C756,"mmmm"))</x:f>
        <x:v>June</x:v>
      </x:c>
      <x:c r="AB756" s="82" t="n">
        <x:f>IF($AH756&lt;&gt;"Valid","",YEAR($C756))</x:f>
        <x:v>2025</x:v>
      </x:c>
      <x:c r="AC756" s="80" t="str">
        <x:v>Consistent</x:v>
      </x:c>
      <x:c r="AD756" s="80" t="str">
        <x:v>Eligible</x:v>
      </x:c>
      <x:c r="AE756" s="80" t="str">
        <x:f>IF(OR($AH756&lt;&gt;"Valid",$AI756&lt;&gt;"Valid",$AJ756&lt;&gt;"Valid",LEFT($AM756,7)="Invalid",IFERROR(ABS($AQ756)&gt;0.01,FALSE),IFERROR(ABS($AR756)&gt;0.01,FALSE),COUNTIF($AS756,"*Conflicting duplicate*")&gt;0,COUNTIF($AS756,"*Completed order not paid*")&gt;0),"Invalid",IF(OR($H756="Unknown",$N756="Unknown",$AM756="Missing discount imputed as 0"),"Warning","Clean"))</x:f>
        <x:v>Clean</x:v>
      </x:c>
      <x:c r="AF756" s="80" t="str">
        <x:v>Pass</x:v>
      </x:c>
      <x:c r="AG756" s="80" t="str">
        <x:v>No text cleanup required</x:v>
      </x:c>
      <x:c r="AH756" s="12" t="str">
        <x:f>IF(C756="","Missing date",IF(ISNUMBER(C756),"Valid","Unrecognized/invalid date"))</x:f>
        <x:v>Valid</x:v>
      </x:c>
      <x:c r="AI756" s="12" t="str">
        <x:f>IF(D756="","Missing date",IF(ISNUMBER(D756),"Valid","Unrecognized/invalid date"))</x:f>
        <x:v>Valid</x:v>
      </x:c>
      <x:c r="AJ756" s="12" t="str">
        <x:v>Valid</x:v>
      </x:c>
      <x:c r="AK756" s="12" t="str">
        <x:v>Pass</x:v>
      </x:c>
      <x:c r="AL756" s="12" t="str">
        <x:v>None</x:v>
      </x:c>
      <x:c r="AM756" s="12" t="str">
        <x:v>Valid</x:v>
      </x:c>
      <x:c r="AN756" s="12" t="str">
        <x:v>Include in completed sales</x:v>
      </x:c>
      <x:c r="AO756" s="12" t="str">
        <x:v>Not a refunded record</x:v>
      </x:c>
      <x:c r="AP756" s="37" t="n">
        <x:f>IF(LEFT($AM756,7)="Invalid","",IF($AM756="Missing discount imputed as 0",IF(AND(COUNT($O756,$P756,$R756,$S756)=4,$O756&gt;0,$P756&gt;=0,$R756&gt;=0,$S756&gt;=0),0,""),IF(AND(ISNUMBER($Q756),$Q756&gt;=0,$Q756&lt;=0.5),$Q756,"")))</x:f>
        <x:v>0.25</x:v>
      </x:c>
      <x:c r="AQ756" s="152" t="n">
        <x:f>IF(OR($W756="",NOT(ISNUMBER($R756))),"",ROUND($R756-$W756,2))</x:f>
        <x:v>0</x:v>
      </x:c>
      <x:c r="AR756" s="152" t="n">
        <x:f>IF(OR($X756="",NOT(ISNUMBER($T756))),"",ROUND($T756-$X756,2))</x:f>
        <x:v>0</x:v>
      </x:c>
      <x:c r="AS756" s="14" t="str">
        <x:v>OK</x:v>
      </x:c>
    </x:row>
    <x:row r="757">
      <x:c r="A757" s="80" t="n">
        <x:v>757</x:v>
      </x:c>
      <x:c r="B757" s="80" t="str">
        <x:v>ORD-2025-10756</x:v>
      </x:c>
      <x:c r="C757" s="81" t="n">
        <x:v>45858</x:v>
      </x:c>
      <x:c r="D757" s="81" t="n">
        <x:v>45862</x:v>
      </x:c>
      <x:c r="E757" s="80" t="str">
        <x:v>CUST-3365</x:v>
      </x:c>
      <x:c r="F757" s="80" t="str">
        <x:v>Priya Menon</x:v>
      </x:c>
      <x:c r="G757" s="80" t="str">
        <x:v>Home Office</x:v>
      </x:c>
      <x:c r="H757" s="80" t="str">
        <x:v>West</x:v>
      </x:c>
      <x:c r="I757" s="80" t="str">
        <x:v>Madhya Pradesh</x:v>
      </x:c>
      <x:c r="J757" s="80" t="str">
        <x:v>Indore</x:v>
      </x:c>
      <x:c r="K757" s="80" t="str">
        <x:v>Office Supplies</x:v>
      </x:c>
      <x:c r="L757" s="80" t="str">
        <x:v>Storage</x:v>
      </x:c>
      <x:c r="M757" s="80" t="str">
        <x:v>Prime Storage 183</x:v>
      </x:c>
      <x:c r="N757" s="80" t="str">
        <x:v>Second Class</x:v>
      </x:c>
      <x:c r="O757" s="82" t="n">
        <x:v>5</x:v>
      </x:c>
      <x:c r="P757" s="83" t="n">
        <x:v>2481.74</x:v>
      </x:c>
      <x:c r="Q757" s="84" t="n">
        <x:v>0.2</x:v>
      </x:c>
      <x:c r="R757" s="83" t="n">
        <x:v>9926.96</x:v>
      </x:c>
      <x:c r="S757" s="83" t="n">
        <x:v>7994.98</x:v>
      </x:c>
      <x:c r="T757" s="83" t="n">
        <x:v>1931.98</x:v>
      </x:c>
      <x:c r="U757" s="83" t="str">
        <x:v>Paid</x:v>
      </x:c>
      <x:c r="V757" s="83" t="str">
        <x:v>Completed</x:v>
      </x:c>
      <x:c r="W757" s="151" t="n">
        <x:f>IF(OR(NOT(ISNUMBER($AP757)),COUNT($O757,$P757)&lt;2,$O757&lt;=0,$P757&lt;0),"",ROUND($O757*$P757*(1-$AP757),2))</x:f>
        <x:v>9926.96</x:v>
      </x:c>
      <x:c r="X757" s="151" t="n">
        <x:f>IF(OR(NOT(ISNUMBER($W757)),NOT(ISNUMBER($S757))),"",ROUND($W757-$S757,2))</x:f>
        <x:v>1931.98</x:v>
      </x:c>
      <x:c r="Y757" s="85" t="n">
        <x:f>IF(OR(NOT(ISNUMBER($W757)),NOT(ISNUMBER($X757)),$W757=0),"",ROUND($X757/$W757,4))</x:f>
        <x:v>0.1946</x:v>
      </x:c>
      <x:c r="Z757" s="82" t="n">
        <x:f>IF(OR($AH757&lt;&gt;"Valid",$AI757&lt;&gt;"Valid"),"",INT($D757-$C757))</x:f>
        <x:v>4</x:v>
      </x:c>
      <x:c r="AA757" s="86" t="str">
        <x:f>IF($AH757&lt;&gt;"Valid","",TEXT($C757,"mmmm"))</x:f>
        <x:v>July</x:v>
      </x:c>
      <x:c r="AB757" s="82" t="n">
        <x:f>IF($AH757&lt;&gt;"Valid","",YEAR($C757))</x:f>
        <x:v>2025</x:v>
      </x:c>
      <x:c r="AC757" s="80" t="str">
        <x:v>Consistent</x:v>
      </x:c>
      <x:c r="AD757" s="80" t="str">
        <x:v>Eligible</x:v>
      </x:c>
      <x:c r="AE757" s="80" t="str">
        <x:f>IF(OR($AH757&lt;&gt;"Valid",$AI757&lt;&gt;"Valid",$AJ757&lt;&gt;"Valid",LEFT($AM757,7)="Invalid",IFERROR(ABS($AQ757)&gt;0.01,FALSE),IFERROR(ABS($AR757)&gt;0.01,FALSE),COUNTIF($AS757,"*Conflicting duplicate*")&gt;0,COUNTIF($AS757,"*Completed order not paid*")&gt;0),"Invalid",IF(OR($H757="Unknown",$N757="Unknown",$AM757="Missing discount imputed as 0"),"Warning","Clean"))</x:f>
        <x:v>Clean</x:v>
      </x:c>
      <x:c r="AF757" s="80" t="str">
        <x:v>Pass</x:v>
      </x:c>
      <x:c r="AG757" s="80" t="str">
        <x:v>No text cleanup required</x:v>
      </x:c>
      <x:c r="AH757" s="12" t="str">
        <x:f>IF(C757="","Missing date",IF(ISNUMBER(C757),"Valid","Unrecognized/invalid date"))</x:f>
        <x:v>Valid</x:v>
      </x:c>
      <x:c r="AI757" s="12" t="str">
        <x:f>IF(D757="","Missing date",IF(ISNUMBER(D757),"Valid","Unrecognized/invalid date"))</x:f>
        <x:v>Valid</x:v>
      </x:c>
      <x:c r="AJ757" s="12" t="str">
        <x:v>Valid</x:v>
      </x:c>
      <x:c r="AK757" s="12" t="str">
        <x:v>Pass</x:v>
      </x:c>
      <x:c r="AL757" s="12" t="str">
        <x:v>None</x:v>
      </x:c>
      <x:c r="AM757" s="12" t="str">
        <x:v>Valid</x:v>
      </x:c>
      <x:c r="AN757" s="12" t="str">
        <x:v>Include in completed sales</x:v>
      </x:c>
      <x:c r="AO757" s="12" t="str">
        <x:v>Not a refunded record</x:v>
      </x:c>
      <x:c r="AP757" s="37" t="n">
        <x:f>IF(LEFT($AM757,7)="Invalid","",IF($AM757="Missing discount imputed as 0",IF(AND(COUNT($O757,$P757,$R757,$S757)=4,$O757&gt;0,$P757&gt;=0,$R757&gt;=0,$S757&gt;=0),0,""),IF(AND(ISNUMBER($Q757),$Q757&gt;=0,$Q757&lt;=0.5),$Q757,"")))</x:f>
        <x:v>0.2</x:v>
      </x:c>
      <x:c r="AQ757" s="152" t="n">
        <x:f>IF(OR($W757="",NOT(ISNUMBER($R757))),"",ROUND($R757-$W757,2))</x:f>
        <x:v>0</x:v>
      </x:c>
      <x:c r="AR757" s="152" t="n">
        <x:f>IF(OR($X757="",NOT(ISNUMBER($T757))),"",ROUND($T757-$X757,2))</x:f>
        <x:v>0</x:v>
      </x:c>
      <x:c r="AS757" s="14" t="str">
        <x:v>OK</x:v>
      </x:c>
    </x:row>
    <x:row r="758">
      <x:c r="A758" s="80" t="n">
        <x:v>758</x:v>
      </x:c>
      <x:c r="B758" s="80" t="str">
        <x:v>ORD-2024-10757</x:v>
      </x:c>
      <x:c r="C758" s="81" t="n">
        <x:v>45592</x:v>
      </x:c>
      <x:c r="D758" s="81" t="n">
        <x:v>45597</x:v>
      </x:c>
      <x:c r="E758" s="80" t="str">
        <x:v>CUST-1557</x:v>
      </x:c>
      <x:c r="F758" s="80" t="str">
        <x:v>Rohan Mehta</x:v>
      </x:c>
      <x:c r="G758" s="80" t="str">
        <x:v>Consumer</x:v>
      </x:c>
      <x:c r="H758" s="80" t="str">
        <x:v>North</x:v>
      </x:c>
      <x:c r="I758" s="80" t="str">
        <x:v>Rajasthan</x:v>
      </x:c>
      <x:c r="J758" s="80" t="str">
        <x:v>Jaipur</x:v>
      </x:c>
      <x:c r="K758" s="80" t="str">
        <x:v>Technology</x:v>
      </x:c>
      <x:c r="L758" s="80" t="str">
        <x:v>Accessories</x:v>
      </x:c>
      <x:c r="M758" s="80" t="str">
        <x:v>Smart Accessories 362</x:v>
      </x:c>
      <x:c r="N758" s="80" t="str">
        <x:v>Same Day</x:v>
      </x:c>
      <x:c r="O758" s="82" t="n">
        <x:v>7</x:v>
      </x:c>
      <x:c r="P758" s="83" t="n">
        <x:v>2177.1</x:v>
      </x:c>
      <x:c r="Q758" s="84" t="n">
        <x:v>0.2</x:v>
      </x:c>
      <x:c r="R758" s="83" t="n">
        <x:v>12191.76</x:v>
      </x:c>
      <x:c r="S758" s="83" t="n">
        <x:v>10457.49</x:v>
      </x:c>
      <x:c r="T758" s="83" t="n">
        <x:v>1734.27</x:v>
      </x:c>
      <x:c r="U758" s="83" t="str">
        <x:v>Paid</x:v>
      </x:c>
      <x:c r="V758" s="83" t="str">
        <x:v>Returned</x:v>
      </x:c>
      <x:c r="W758" s="151" t="n">
        <x:f>IF(OR(NOT(ISNUMBER($AP758)),COUNT($O758,$P758)&lt;2,$O758&lt;=0,$P758&lt;0),"",ROUND($O758*$P758*(1-$AP758),2))</x:f>
        <x:v>12191.76</x:v>
      </x:c>
      <x:c r="X758" s="151" t="n">
        <x:f>IF(OR(NOT(ISNUMBER($W758)),NOT(ISNUMBER($S758))),"",ROUND($W758-$S758,2))</x:f>
        <x:v>1734.27</x:v>
      </x:c>
      <x:c r="Y758" s="85" t="n">
        <x:f>IF(OR(NOT(ISNUMBER($W758)),NOT(ISNUMBER($X758)),$W758=0),"",ROUND($X758/$W758,4))</x:f>
        <x:v>0.1422</x:v>
      </x:c>
      <x:c r="Z758" s="82" t="n">
        <x:f>IF(OR($AH758&lt;&gt;"Valid",$AI758&lt;&gt;"Valid"),"",INT($D758-$C758))</x:f>
        <x:v>5</x:v>
      </x:c>
      <x:c r="AA758" s="86" t="str">
        <x:f>IF($AH758&lt;&gt;"Valid","",TEXT($C758,"mmmm"))</x:f>
        <x:v>October</x:v>
      </x:c>
      <x:c r="AB758" s="82" t="n">
        <x:f>IF($AH758&lt;&gt;"Valid","",YEAR($C758))</x:f>
        <x:v>2024</x:v>
      </x:c>
      <x:c r="AC758" s="80" t="str">
        <x:v>Consistent</x:v>
      </x:c>
      <x:c r="AD758" s="80" t="str">
        <x:v>Excluded</x:v>
      </x:c>
      <x:c r="AE758" s="80" t="str">
        <x:f>IF(OR($AH758&lt;&gt;"Valid",$AI758&lt;&gt;"Valid",$AJ758&lt;&gt;"Valid",LEFT($AM758,7)="Invalid",IFERROR(ABS($AQ758)&gt;0.01,FALSE),IFERROR(ABS($AR758)&gt;0.01,FALSE),COUNTIF($AS758,"*Conflicting duplicate*")&gt;0,COUNTIF($AS758,"*Completed order not paid*")&gt;0),"Invalid",IF(OR($H758="Unknown",$N758="Unknown",$AM758="Missing discount imputed as 0"),"Warning","Clean"))</x:f>
        <x:v>Clean</x:v>
      </x:c>
      <x:c r="AF758" s="80" t="str">
        <x:v>Pass</x:v>
      </x:c>
      <x:c r="AG758" s="80" t="str">
        <x:v>No text cleanup required</x:v>
      </x:c>
      <x:c r="AH758" s="12" t="str">
        <x:f>IF(C758="","Missing date",IF(ISNUMBER(C758),"Valid","Unrecognized/invalid date"))</x:f>
        <x:v>Valid</x:v>
      </x:c>
      <x:c r="AI758" s="12" t="str">
        <x:f>IF(D758="","Missing date",IF(ISNUMBER(D758),"Valid","Unrecognized/invalid date"))</x:f>
        <x:v>Valid</x:v>
      </x:c>
      <x:c r="AJ758" s="12" t="str">
        <x:v>Valid</x:v>
      </x:c>
      <x:c r="AK758" s="12" t="str">
        <x:v>Pass</x:v>
      </x:c>
      <x:c r="AL758" s="12" t="str">
        <x:v>None</x:v>
      </x:c>
      <x:c r="AM758" s="12" t="str">
        <x:v>Valid</x:v>
      </x:c>
      <x:c r="AN758" s="12" t="str">
        <x:v>Exclude from completed sales</x:v>
      </x:c>
      <x:c r="AO758" s="12" t="str">
        <x:v>Not a refunded record</x:v>
      </x:c>
      <x:c r="AP758" s="37" t="n">
        <x:f>IF(LEFT($AM758,7)="Invalid","",IF($AM758="Missing discount imputed as 0",IF(AND(COUNT($O758,$P758,$R758,$S758)=4,$O758&gt;0,$P758&gt;=0,$R758&gt;=0,$S758&gt;=0),0,""),IF(AND(ISNUMBER($Q758),$Q758&gt;=0,$Q758&lt;=0.5),$Q758,"")))</x:f>
        <x:v>0.2</x:v>
      </x:c>
      <x:c r="AQ758" s="152" t="n">
        <x:f>IF(OR($W758="",NOT(ISNUMBER($R758))),"",ROUND($R758-$W758,2))</x:f>
        <x:v>0</x:v>
      </x:c>
      <x:c r="AR758" s="152" t="n">
        <x:f>IF(OR($X758="",NOT(ISNUMBER($T758))),"",ROUND($T758-$X758,2))</x:f>
        <x:v>0</x:v>
      </x:c>
      <x:c r="AS758" s="14" t="str">
        <x:v>OK</x:v>
      </x:c>
    </x:row>
    <x:row r="759">
      <x:c r="A759" s="80" t="n">
        <x:v>759</x:v>
      </x:c>
      <x:c r="B759" s="80" t="str">
        <x:v>ORD-2025-10758</x:v>
      </x:c>
      <x:c r="C759" s="81" t="n">
        <x:v>45870</x:v>
      </x:c>
      <x:c r="D759" s="81" t="n">
        <x:v>45872</x:v>
      </x:c>
      <x:c r="E759" s="80" t="str">
        <x:v>CUST-3058</x:v>
      </x:c>
      <x:c r="F759" s="80" t="str">
        <x:v>Aditi Sen</x:v>
      </x:c>
      <x:c r="G759" s="80" t="str">
        <x:v>Small Business</x:v>
      </x:c>
      <x:c r="H759" s="80" t="str">
        <x:v>South</x:v>
      </x:c>
      <x:c r="I759" s="80" t="str">
        <x:v>Kerala</x:v>
      </x:c>
      <x:c r="J759" s="80" t="str">
        <x:v>Kochi</x:v>
      </x:c>
      <x:c r="K759" s="80" t="str">
        <x:v>Furniture</x:v>
      </x:c>
      <x:c r="L759" s="80" t="str">
        <x:v>Bookcases</x:v>
      </x:c>
      <x:c r="M759" s="80" t="str">
        <x:v>Classic Bookcases 310</x:v>
      </x:c>
      <x:c r="N759" s="80" t="str">
        <x:v>Standard Class</x:v>
      </x:c>
      <x:c r="O759" s="82" t="n">
        <x:v>3</x:v>
      </x:c>
      <x:c r="P759" s="83" t="n">
        <x:v>1904.78</x:v>
      </x:c>
      <x:c r="Q759" s="84" t="n">
        <x:v>0.25</x:v>
      </x:c>
      <x:c r="R759" s="83" t="n">
        <x:v>4285.76</x:v>
      </x:c>
      <x:c r="S759" s="83" t="n">
        <x:v>2386.33</x:v>
      </x:c>
      <x:c r="T759" s="83" t="n">
        <x:v>1899.43</x:v>
      </x:c>
      <x:c r="U759" s="83" t="str">
        <x:v>Failed</x:v>
      </x:c>
      <x:c r="V759" s="83" t="str">
        <x:v>Cancelled</x:v>
      </x:c>
      <x:c r="W759" s="151" t="n">
        <x:f>IF(OR(NOT(ISNUMBER($AP759)),COUNT($O759,$P759)&lt;2,$O759&lt;=0,$P759&lt;0),"",ROUND($O759*$P759*(1-$AP759),2))</x:f>
        <x:v>4285.76</x:v>
      </x:c>
      <x:c r="X759" s="151" t="n">
        <x:f>IF(OR(NOT(ISNUMBER($W759)),NOT(ISNUMBER($S759))),"",ROUND($W759-$S759,2))</x:f>
        <x:v>1899.43</x:v>
      </x:c>
      <x:c r="Y759" s="85" t="n">
        <x:f>IF(OR(NOT(ISNUMBER($W759)),NOT(ISNUMBER($X759)),$W759=0),"",ROUND($X759/$W759,4))</x:f>
        <x:v>0.4432</x:v>
      </x:c>
      <x:c r="Z759" s="82" t="n">
        <x:f>IF(OR($AH759&lt;&gt;"Valid",$AI759&lt;&gt;"Valid"),"",INT($D759-$C759))</x:f>
        <x:v>2</x:v>
      </x:c>
      <x:c r="AA759" s="86" t="str">
        <x:f>IF($AH759&lt;&gt;"Valid","",TEXT($C759,"mmmm"))</x:f>
        <x:v>August</x:v>
      </x:c>
      <x:c r="AB759" s="82" t="n">
        <x:f>IF($AH759&lt;&gt;"Valid","",YEAR($C759))</x:f>
        <x:v>2025</x:v>
      </x:c>
      <x:c r="AC759" s="80" t="str">
        <x:v>Cancelled (excluded from completed-sales summary)</x:v>
      </x:c>
      <x:c r="AD759" s="80" t="str">
        <x:v>Excluded</x:v>
      </x:c>
      <x:c r="AE759" s="80" t="str">
        <x:f>IF(OR($AH759&lt;&gt;"Valid",$AI759&lt;&gt;"Valid",$AJ759&lt;&gt;"Valid",LEFT($AM759,7)="Invalid",IFERROR(ABS($AQ759)&gt;0.01,FALSE),IFERROR(ABS($AR759)&gt;0.01,FALSE),COUNTIF($AS759,"*Conflicting duplicate*")&gt;0,COUNTIF($AS759,"*Completed order not paid*")&gt;0),"Invalid",IF(OR($H759="Unknown",$N759="Unknown",$AM759="Missing discount imputed as 0"),"Warning","Clean"))</x:f>
        <x:v>Clean</x:v>
      </x:c>
      <x:c r="AF759" s="80" t="str">
        <x:v>Pass</x:v>
      </x:c>
      <x:c r="AG759" s="80" t="str">
        <x:v>No text cleanup required</x:v>
      </x:c>
      <x:c r="AH759" s="12" t="str">
        <x:f>IF(C759="","Missing date",IF(ISNUMBER(C759),"Valid","Unrecognized/invalid date"))</x:f>
        <x:v>Valid</x:v>
      </x:c>
      <x:c r="AI759" s="12" t="str">
        <x:f>IF(D759="","Missing date",IF(ISNUMBER(D759),"Valid","Unrecognized/invalid date"))</x:f>
        <x:v>Valid</x:v>
      </x:c>
      <x:c r="AJ759" s="12" t="str">
        <x:v>Valid</x:v>
      </x:c>
      <x:c r="AK759" s="12" t="str">
        <x:v>Pass</x:v>
      </x:c>
      <x:c r="AL759" s="12" t="str">
        <x:v>Cancelled order – excluded from completed sales; Failed payment – excluded from completed sales</x:v>
      </x:c>
      <x:c r="AM759" s="12" t="str">
        <x:v>Valid</x:v>
      </x:c>
      <x:c r="AN759" s="12" t="str">
        <x:v>Exclude from completed sales</x:v>
      </x:c>
      <x:c r="AO759" s="12" t="str">
        <x:v>Not a refunded record</x:v>
      </x:c>
      <x:c r="AP759" s="37" t="n">
        <x:f>IF(LEFT($AM759,7)="Invalid","",IF($AM759="Missing discount imputed as 0",IF(AND(COUNT($O759,$P759,$R759,$S759)=4,$O759&gt;0,$P759&gt;=0,$R759&gt;=0,$S759&gt;=0),0,""),IF(AND(ISNUMBER($Q759),$Q759&gt;=0,$Q759&lt;=0.5),$Q759,"")))</x:f>
        <x:v>0.25</x:v>
      </x:c>
      <x:c r="AQ759" s="152" t="n">
        <x:f>IF(OR($W759="",NOT(ISNUMBER($R759))),"",ROUND($R759-$W759,2))</x:f>
        <x:v>0</x:v>
      </x:c>
      <x:c r="AR759" s="152" t="n">
        <x:f>IF(OR($X759="",NOT(ISNUMBER($T759))),"",ROUND($T759-$X759,2))</x:f>
        <x:v>0</x:v>
      </x:c>
      <x:c r="AS759" s="14" t="str">
        <x:v>OK</x:v>
      </x:c>
    </x:row>
    <x:row r="760">
      <x:c r="A760" s="80" t="n">
        <x:v>760</x:v>
      </x:c>
      <x:c r="B760" s="80" t="str">
        <x:v>ORD-2024-10759</x:v>
      </x:c>
      <x:c r="C760" s="81" t="n">
        <x:v>45414</x:v>
      </x:c>
      <x:c r="D760" s="81" t="n">
        <x:v>45422</x:v>
      </x:c>
      <x:c r="E760" s="80" t="str">
        <x:v>CUST-6076</x:v>
      </x:c>
      <x:c r="F760" s="80" t="str">
        <x:v>Aarav Sharma</x:v>
      </x:c>
      <x:c r="G760" s="80" t="str">
        <x:v>Small Business</x:v>
      </x:c>
      <x:c r="H760" s="80" t="str">
        <x:v>South</x:v>
      </x:c>
      <x:c r="I760" s="80" t="str">
        <x:v>Karnataka</x:v>
      </x:c>
      <x:c r="J760" s="80" t="str">
        <x:v>Bengaluru</x:v>
      </x:c>
      <x:c r="K760" s="80" t="str">
        <x:v>Furniture</x:v>
      </x:c>
      <x:c r="L760" s="80" t="str">
        <x:v>Chairs</x:v>
      </x:c>
      <x:c r="M760" s="80" t="str">
        <x:v>Prime Chairs 721</x:v>
      </x:c>
      <x:c r="N760" s="80" t="str">
        <x:v>Standard Class</x:v>
      </x:c>
      <x:c r="O760" s="82" t="n">
        <x:v>1</x:v>
      </x:c>
      <x:c r="P760" s="83" t="n">
        <x:v>4166.91</x:v>
      </x:c>
      <x:c r="Q760" s="84" t="n">
        <x:v>0</x:v>
      </x:c>
      <x:c r="R760" s="83" t="n">
        <x:v>4166.91</x:v>
      </x:c>
      <x:c r="S760" s="83" t="n">
        <x:v>3412.63</x:v>
      </x:c>
      <x:c r="T760" s="83" t="n">
        <x:v>754.28</x:v>
      </x:c>
      <x:c r="U760" s="83" t="str">
        <x:v>Paid</x:v>
      </x:c>
      <x:c r="V760" s="83" t="str">
        <x:v>Completed</x:v>
      </x:c>
      <x:c r="W760" s="151" t="n">
        <x:f>IF(OR(NOT(ISNUMBER($AP760)),COUNT($O760,$P760)&lt;2,$O760&lt;=0,$P760&lt;0),"",ROUND($O760*$P760*(1-$AP760),2))</x:f>
        <x:v>4166.91</x:v>
      </x:c>
      <x:c r="X760" s="151" t="n">
        <x:f>IF(OR(NOT(ISNUMBER($W760)),NOT(ISNUMBER($S760))),"",ROUND($W760-$S760,2))</x:f>
        <x:v>754.28</x:v>
      </x:c>
      <x:c r="Y760" s="85" t="n">
        <x:f>IF(OR(NOT(ISNUMBER($W760)),NOT(ISNUMBER($X760)),$W760=0),"",ROUND($X760/$W760,4))</x:f>
        <x:v>0.181</x:v>
      </x:c>
      <x:c r="Z760" s="82" t="n">
        <x:f>IF(OR($AH760&lt;&gt;"Valid",$AI760&lt;&gt;"Valid"),"",INT($D760-$C760))</x:f>
        <x:v>8</x:v>
      </x:c>
      <x:c r="AA760" s="86" t="str">
        <x:f>IF($AH760&lt;&gt;"Valid","",TEXT($C760,"mmmm"))</x:f>
        <x:v>May</x:v>
      </x:c>
      <x:c r="AB760" s="82" t="n">
        <x:f>IF($AH760&lt;&gt;"Valid","",YEAR($C760))</x:f>
        <x:v>2024</x:v>
      </x:c>
      <x:c r="AC760" s="80" t="str">
        <x:v>Consistent</x:v>
      </x:c>
      <x:c r="AD760" s="80" t="str">
        <x:v>Eligible</x:v>
      </x:c>
      <x:c r="AE760" s="80" t="str">
        <x:f>IF(OR($AH760&lt;&gt;"Valid",$AI760&lt;&gt;"Valid",$AJ760&lt;&gt;"Valid",LEFT($AM760,7)="Invalid",IFERROR(ABS($AQ760)&gt;0.01,FALSE),IFERROR(ABS($AR760)&gt;0.01,FALSE),COUNTIF($AS760,"*Conflicting duplicate*")&gt;0,COUNTIF($AS760,"*Completed order not paid*")&gt;0),"Invalid",IF(OR($H760="Unknown",$N760="Unknown",$AM760="Missing discount imputed as 0"),"Warning","Clean"))</x:f>
        <x:v>Clean</x:v>
      </x:c>
      <x:c r="AF760" s="80" t="str">
        <x:v>Pass</x:v>
      </x:c>
      <x:c r="AG760" s="80" t="str">
        <x:v>No text cleanup required</x:v>
      </x:c>
      <x:c r="AH760" s="12" t="str">
        <x:f>IF(C760="","Missing date",IF(ISNUMBER(C760),"Valid","Unrecognized/invalid date"))</x:f>
        <x:v>Valid</x:v>
      </x:c>
      <x:c r="AI760" s="12" t="str">
        <x:f>IF(D760="","Missing date",IF(ISNUMBER(D760),"Valid","Unrecognized/invalid date"))</x:f>
        <x:v>Valid</x:v>
      </x:c>
      <x:c r="AJ760" s="12" t="str">
        <x:v>Valid</x:v>
      </x:c>
      <x:c r="AK760" s="12" t="str">
        <x:v>Pass</x:v>
      </x:c>
      <x:c r="AL760" s="12" t="str">
        <x:v>None</x:v>
      </x:c>
      <x:c r="AM760" s="12" t="str">
        <x:v>Valid</x:v>
      </x:c>
      <x:c r="AN760" s="12" t="str">
        <x:v>Include in completed sales</x:v>
      </x:c>
      <x:c r="AO760" s="12" t="str">
        <x:v>Not a refunded record</x:v>
      </x:c>
      <x:c r="AP760" s="37" t="n">
        <x:f>IF(LEFT($AM760,7)="Invalid","",IF($AM760="Missing discount imputed as 0",IF(AND(COUNT($O760,$P760,$R760,$S760)=4,$O760&gt;0,$P760&gt;=0,$R760&gt;=0,$S760&gt;=0),0,""),IF(AND(ISNUMBER($Q760),$Q760&gt;=0,$Q760&lt;=0.5),$Q760,"")))</x:f>
        <x:v>0</x:v>
      </x:c>
      <x:c r="AQ760" s="152" t="n">
        <x:f>IF(OR($W760="",NOT(ISNUMBER($R760))),"",ROUND($R760-$W760,2))</x:f>
        <x:v>0</x:v>
      </x:c>
      <x:c r="AR760" s="152" t="n">
        <x:f>IF(OR($X760="",NOT(ISNUMBER($T760))),"",ROUND($T760-$X760,2))</x:f>
        <x:v>0</x:v>
      </x:c>
      <x:c r="AS760" s="14" t="str">
        <x:v>OK</x:v>
      </x:c>
    </x:row>
    <x:row r="761">
      <x:c r="A761" s="80" t="n">
        <x:v>761</x:v>
      </x:c>
      <x:c r="B761" s="80" t="str">
        <x:v>ORD-2024-10760</x:v>
      </x:c>
      <x:c r="C761" s="81" t="n">
        <x:v>45492</x:v>
      </x:c>
      <x:c r="D761" s="81" t="n">
        <x:v>45499</x:v>
      </x:c>
      <x:c r="E761" s="80" t="str">
        <x:v>CUST-2098</x:v>
      </x:c>
      <x:c r="F761" s="80" t="str">
        <x:v>Arjun Bose</x:v>
      </x:c>
      <x:c r="G761" s="80" t="str">
        <x:v>Home Office</x:v>
      </x:c>
      <x:c r="H761" s="80" t="str">
        <x:v>South</x:v>
      </x:c>
      <x:c r="I761" s="80" t="str">
        <x:v>Karnataka</x:v>
      </x:c>
      <x:c r="J761" s="80" t="str">
        <x:v>Bengaluru</x:v>
      </x:c>
      <x:c r="K761" s="80" t="str">
        <x:v>Furniture</x:v>
      </x:c>
      <x:c r="L761" s="80" t="str">
        <x:v>Tables</x:v>
      </x:c>
      <x:c r="M761" s="80" t="str">
        <x:v>Prime Tables 797</x:v>
      </x:c>
      <x:c r="N761" s="80" t="str">
        <x:v>Second Class</x:v>
      </x:c>
      <x:c r="O761" s="82" t="n">
        <x:v>5</x:v>
      </x:c>
      <x:c r="P761" s="83" t="n">
        <x:v>3986.01</x:v>
      </x:c>
      <x:c r="Q761" s="84" t="n">
        <x:v>0.25</x:v>
      </x:c>
      <x:c r="R761" s="83" t="n">
        <x:v>14947.54</x:v>
      </x:c>
      <x:c r="S761" s="83" t="n">
        <x:v>9438.46</x:v>
      </x:c>
      <x:c r="T761" s="83" t="n">
        <x:v>5509.08</x:v>
      </x:c>
      <x:c r="U761" s="83" t="str">
        <x:v>Paid</x:v>
      </x:c>
      <x:c r="V761" s="83" t="str">
        <x:v>Completed</x:v>
      </x:c>
      <x:c r="W761" s="151" t="n">
        <x:f>IF(OR(NOT(ISNUMBER($AP761)),COUNT($O761,$P761)&lt;2,$O761&lt;=0,$P761&lt;0),"",ROUND($O761*$P761*(1-$AP761),2))</x:f>
        <x:v>14947.54</x:v>
      </x:c>
      <x:c r="X761" s="151" t="n">
        <x:f>IF(OR(NOT(ISNUMBER($W761)),NOT(ISNUMBER($S761))),"",ROUND($W761-$S761,2))</x:f>
        <x:v>5509.08</x:v>
      </x:c>
      <x:c r="Y761" s="85" t="n">
        <x:f>IF(OR(NOT(ISNUMBER($W761)),NOT(ISNUMBER($X761)),$W761=0),"",ROUND($X761/$W761,4))</x:f>
        <x:v>0.3686</x:v>
      </x:c>
      <x:c r="Z761" s="82" t="n">
        <x:f>IF(OR($AH761&lt;&gt;"Valid",$AI761&lt;&gt;"Valid"),"",INT($D761-$C761))</x:f>
        <x:v>7</x:v>
      </x:c>
      <x:c r="AA761" s="86" t="str">
        <x:f>IF($AH761&lt;&gt;"Valid","",TEXT($C761,"mmmm"))</x:f>
        <x:v>July</x:v>
      </x:c>
      <x:c r="AB761" s="82" t="n">
        <x:f>IF($AH761&lt;&gt;"Valid","",YEAR($C761))</x:f>
        <x:v>2024</x:v>
      </x:c>
      <x:c r="AC761" s="80" t="str">
        <x:v>Consistent</x:v>
      </x:c>
      <x:c r="AD761" s="80" t="str">
        <x:v>Eligible</x:v>
      </x:c>
      <x:c r="AE761" s="80" t="str">
        <x:f>IF(OR($AH761&lt;&gt;"Valid",$AI761&lt;&gt;"Valid",$AJ761&lt;&gt;"Valid",LEFT($AM761,7)="Invalid",IFERROR(ABS($AQ761)&gt;0.01,FALSE),IFERROR(ABS($AR761)&gt;0.01,FALSE),COUNTIF($AS761,"*Conflicting duplicate*")&gt;0,COUNTIF($AS761,"*Completed order not paid*")&gt;0),"Invalid",IF(OR($H761="Unknown",$N761="Unknown",$AM761="Missing discount imputed as 0"),"Warning","Clean"))</x:f>
        <x:v>Clean</x:v>
      </x:c>
      <x:c r="AF761" s="80" t="str">
        <x:v>Cleaned</x:v>
      </x:c>
      <x:c r="AG761" s="80" t="str">
        <x:v>region: TRIM/SUBSTITUTE whitespace cleanup</x:v>
      </x:c>
      <x:c r="AH761" s="12" t="str">
        <x:f>IF(C761="","Missing date",IF(ISNUMBER(C761),"Valid","Unrecognized/invalid date"))</x:f>
        <x:v>Valid</x:v>
      </x:c>
      <x:c r="AI761" s="12" t="str">
        <x:f>IF(D761="","Missing date",IF(ISNUMBER(D761),"Valid","Unrecognized/invalid date"))</x:f>
        <x:v>Valid</x:v>
      </x:c>
      <x:c r="AJ761" s="12" t="str">
        <x:v>Valid</x:v>
      </x:c>
      <x:c r="AK761" s="12" t="str">
        <x:v>Pass</x:v>
      </x:c>
      <x:c r="AL761" s="12" t="str">
        <x:v>None</x:v>
      </x:c>
      <x:c r="AM761" s="12" t="str">
        <x:v>Valid</x:v>
      </x:c>
      <x:c r="AN761" s="12" t="str">
        <x:v>Include in completed sales</x:v>
      </x:c>
      <x:c r="AO761" s="12" t="str">
        <x:v>Not a refunded record</x:v>
      </x:c>
      <x:c r="AP761" s="37" t="n">
        <x:f>IF(LEFT($AM761,7)="Invalid","",IF($AM761="Missing discount imputed as 0",IF(AND(COUNT($O761,$P761,$R761,$S761)=4,$O761&gt;0,$P761&gt;=0,$R761&gt;=0,$S761&gt;=0),0,""),IF(AND(ISNUMBER($Q761),$Q761&gt;=0,$Q761&lt;=0.5),$Q761,"")))</x:f>
        <x:v>0.25</x:v>
      </x:c>
      <x:c r="AQ761" s="152" t="n">
        <x:f>IF(OR($W761="",NOT(ISNUMBER($R761))),"",ROUND($R761-$W761,2))</x:f>
        <x:v>0</x:v>
      </x:c>
      <x:c r="AR761" s="152" t="n">
        <x:f>IF(OR($X761="",NOT(ISNUMBER($T761))),"",ROUND($T761-$X761,2))</x:f>
        <x:v>0</x:v>
      </x:c>
      <x:c r="AS761" s="14" t="str">
        <x:v>OK</x:v>
      </x:c>
    </x:row>
    <x:row r="762">
      <x:c r="A762" s="80" t="n">
        <x:v>762</x:v>
      </x:c>
      <x:c r="B762" s="80" t="str">
        <x:v>ORD-2024-10761</x:v>
      </x:c>
      <x:c r="C762" s="81" t="n">
        <x:v>45532</x:v>
      </x:c>
      <x:c r="D762" s="81" t="n">
        <x:v>45537</x:v>
      </x:c>
      <x:c r="E762" s="80" t="str">
        <x:v>CUST-7193</x:v>
      </x:c>
      <x:c r="F762" s="80" t="str">
        <x:v>Aditi Sen</x:v>
      </x:c>
      <x:c r="G762" s="80" t="str">
        <x:v>Home Office</x:v>
      </x:c>
      <x:c r="H762" s="80" t="str">
        <x:v>East</x:v>
      </x:c>
      <x:c r="I762" s="80" t="str">
        <x:v>Assam</x:v>
      </x:c>
      <x:c r="J762" s="80" t="str">
        <x:v>Guwahati</x:v>
      </x:c>
      <x:c r="K762" s="80" t="str">
        <x:v>Office Supplies</x:v>
      </x:c>
      <x:c r="L762" s="80" t="str">
        <x:v>Art</x:v>
      </x:c>
      <x:c r="M762" s="80" t="str">
        <x:v>Max Art 926</x:v>
      </x:c>
      <x:c r="N762" s="80" t="str">
        <x:v>Second Class</x:v>
      </x:c>
      <x:c r="O762" s="82" t="n">
        <x:v>4</x:v>
      </x:c>
      <x:c r="P762" s="83" t="n">
        <x:v>3365.53</x:v>
      </x:c>
      <x:c r="Q762" s="84" t="n">
        <x:v>0</x:v>
      </x:c>
      <x:c r="R762" s="83" t="n">
        <x:v>13462.12</x:v>
      </x:c>
      <x:c r="S762" s="83" t="n">
        <x:v>7600.63</x:v>
      </x:c>
      <x:c r="T762" s="83" t="n">
        <x:v>5861.49</x:v>
      </x:c>
      <x:c r="U762" s="83" t="str">
        <x:v>Pending</x:v>
      </x:c>
      <x:c r="V762" s="83" t="str">
        <x:v>Returned</x:v>
      </x:c>
      <x:c r="W762" s="151" t="n">
        <x:f>IF(OR(NOT(ISNUMBER($AP762)),COUNT($O762,$P762)&lt;2,$O762&lt;=0,$P762&lt;0),"",ROUND($O762*$P762*(1-$AP762),2))</x:f>
        <x:v>13462.12</x:v>
      </x:c>
      <x:c r="X762" s="151" t="n">
        <x:f>IF(OR(NOT(ISNUMBER($W762)),NOT(ISNUMBER($S762))),"",ROUND($W762-$S762,2))</x:f>
        <x:v>5861.49</x:v>
      </x:c>
      <x:c r="Y762" s="85" t="n">
        <x:f>IF(OR(NOT(ISNUMBER($W762)),NOT(ISNUMBER($X762)),$W762=0),"",ROUND($X762/$W762,4))</x:f>
        <x:v>0.4354</x:v>
      </x:c>
      <x:c r="Z762" s="82" t="n">
        <x:f>IF(OR($AH762&lt;&gt;"Valid",$AI762&lt;&gt;"Valid"),"",INT($D762-$C762))</x:f>
        <x:v>5</x:v>
      </x:c>
      <x:c r="AA762" s="86" t="str">
        <x:f>IF($AH762&lt;&gt;"Valid","",TEXT($C762,"mmmm"))</x:f>
        <x:v>August</x:v>
      </x:c>
      <x:c r="AB762" s="82" t="n">
        <x:f>IF($AH762&lt;&gt;"Valid","",YEAR($C762))</x:f>
        <x:v>2024</x:v>
      </x:c>
      <x:c r="AC762" s="80" t="str">
        <x:v>Consistent</x:v>
      </x:c>
      <x:c r="AD762" s="80" t="str">
        <x:v>Excluded</x:v>
      </x:c>
      <x:c r="AE762" s="80" t="str">
        <x:f>IF(OR($AH762&lt;&gt;"Valid",$AI762&lt;&gt;"Valid",$AJ762&lt;&gt;"Valid",LEFT($AM762,7)="Invalid",IFERROR(ABS($AQ762)&gt;0.01,FALSE),IFERROR(ABS($AR762)&gt;0.01,FALSE),COUNTIF($AS762,"*Conflicting duplicate*")&gt;0,COUNTIF($AS762,"*Completed order not paid*")&gt;0),"Invalid",IF(OR($H762="Unknown",$N762="Unknown",$AM762="Missing discount imputed as 0"),"Warning","Clean"))</x:f>
        <x:v>Clean</x:v>
      </x:c>
      <x:c r="AF762" s="80" t="str">
        <x:v>Pass</x:v>
      </x:c>
      <x:c r="AG762" s="80" t="str">
        <x:v>No text cleanup required</x:v>
      </x:c>
      <x:c r="AH762" s="12" t="str">
        <x:f>IF(C762="","Missing date",IF(ISNUMBER(C762),"Valid","Unrecognized/invalid date"))</x:f>
        <x:v>Valid</x:v>
      </x:c>
      <x:c r="AI762" s="12" t="str">
        <x:f>IF(D762="","Missing date",IF(ISNUMBER(D762),"Valid","Unrecognized/invalid date"))</x:f>
        <x:v>Valid</x:v>
      </x:c>
      <x:c r="AJ762" s="12" t="str">
        <x:v>Valid</x:v>
      </x:c>
      <x:c r="AK762" s="12" t="str">
        <x:v>Pass</x:v>
      </x:c>
      <x:c r="AL762" s="12" t="str">
        <x:v>None</x:v>
      </x:c>
      <x:c r="AM762" s="12" t="str">
        <x:v>Valid</x:v>
      </x:c>
      <x:c r="AN762" s="12" t="str">
        <x:v>Exclude from completed sales</x:v>
      </x:c>
      <x:c r="AO762" s="12" t="str">
        <x:v>Not a refunded record</x:v>
      </x:c>
      <x:c r="AP762" s="37" t="n">
        <x:f>IF(LEFT($AM762,7)="Invalid","",IF($AM762="Missing discount imputed as 0",IF(AND(COUNT($O762,$P762,$R762,$S762)=4,$O762&gt;0,$P762&gt;=0,$R762&gt;=0,$S762&gt;=0),0,""),IF(AND(ISNUMBER($Q762),$Q762&gt;=0,$Q762&lt;=0.5),$Q762,"")))</x:f>
        <x:v>0</x:v>
      </x:c>
      <x:c r="AQ762" s="152" t="n">
        <x:f>IF(OR($W762="",NOT(ISNUMBER($R762))),"",ROUND($R762-$W762,2))</x:f>
        <x:v>0</x:v>
      </x:c>
      <x:c r="AR762" s="152" t="n">
        <x:f>IF(OR($X762="",NOT(ISNUMBER($T762))),"",ROUND($T762-$X762,2))</x:f>
        <x:v>0</x:v>
      </x:c>
      <x:c r="AS762" s="14" t="str">
        <x:v>OK</x:v>
      </x:c>
    </x:row>
    <x:row r="763">
      <x:c r="A763" s="80" t="n">
        <x:v>763</x:v>
      </x:c>
      <x:c r="B763" s="80" t="str">
        <x:v>ORD-2025-10762</x:v>
      </x:c>
      <x:c r="C763" s="81" t="n">
        <x:v>45896</x:v>
      </x:c>
      <x:c r="D763" s="81" t="n">
        <x:v>45900</x:v>
      </x:c>
      <x:c r="E763" s="80" t="str">
        <x:v>CUST-8948</x:v>
      </x:c>
      <x:c r="F763" s="80" t="str">
        <x:v>Isha Nair</x:v>
      </x:c>
      <x:c r="G763" s="80" t="str">
        <x:v>Consumer</x:v>
      </x:c>
      <x:c r="H763" s="80" t="str">
        <x:v>South</x:v>
      </x:c>
      <x:c r="I763" s="80" t="str">
        <x:v>Karnataka</x:v>
      </x:c>
      <x:c r="J763" s="80" t="str">
        <x:v>Bengaluru</x:v>
      </x:c>
      <x:c r="K763" s="80" t="str">
        <x:v>Technology</x:v>
      </x:c>
      <x:c r="L763" s="80" t="str">
        <x:v>Machines</x:v>
      </x:c>
      <x:c r="M763" s="80" t="str">
        <x:v>Max Machines 364</x:v>
      </x:c>
      <x:c r="N763" s="80" t="str">
        <x:v>First Class</x:v>
      </x:c>
      <x:c r="O763" s="82" t="n">
        <x:v>3</x:v>
      </x:c>
      <x:c r="P763" s="83" t="n">
        <x:v>2489.12</x:v>
      </x:c>
      <x:c r="Q763" s="84" t="n">
        <x:v>0</x:v>
      </x:c>
      <x:c r="R763" s="83" t="n">
        <x:v>7467.36</x:v>
      </x:c>
      <x:c r="S763" s="83" t="n">
        <x:v>5010.61</x:v>
      </x:c>
      <x:c r="T763" s="83" t="n">
        <x:v>2456.75</x:v>
      </x:c>
      <x:c r="U763" s="83" t="str">
        <x:v>Paid</x:v>
      </x:c>
      <x:c r="V763" s="83" t="str">
        <x:v>Completed</x:v>
      </x:c>
      <x:c r="W763" s="151" t="n">
        <x:f>IF(OR(NOT(ISNUMBER($AP763)),COUNT($O763,$P763)&lt;2,$O763&lt;=0,$P763&lt;0),"",ROUND($O763*$P763*(1-$AP763),2))</x:f>
        <x:v>7467.36</x:v>
      </x:c>
      <x:c r="X763" s="151" t="n">
        <x:f>IF(OR(NOT(ISNUMBER($W763)),NOT(ISNUMBER($S763))),"",ROUND($W763-$S763,2))</x:f>
        <x:v>2456.75</x:v>
      </x:c>
      <x:c r="Y763" s="85" t="n">
        <x:f>IF(OR(NOT(ISNUMBER($W763)),NOT(ISNUMBER($X763)),$W763=0),"",ROUND($X763/$W763,4))</x:f>
        <x:v>0.329</x:v>
      </x:c>
      <x:c r="Z763" s="82" t="n">
        <x:f>IF(OR($AH763&lt;&gt;"Valid",$AI763&lt;&gt;"Valid"),"",INT($D763-$C763))</x:f>
        <x:v>4</x:v>
      </x:c>
      <x:c r="AA763" s="86" t="str">
        <x:f>IF($AH763&lt;&gt;"Valid","",TEXT($C763,"mmmm"))</x:f>
        <x:v>August</x:v>
      </x:c>
      <x:c r="AB763" s="82" t="n">
        <x:f>IF($AH763&lt;&gt;"Valid","",YEAR($C763))</x:f>
        <x:v>2025</x:v>
      </x:c>
      <x:c r="AC763" s="80" t="str">
        <x:v>Consistent</x:v>
      </x:c>
      <x:c r="AD763" s="80" t="str">
        <x:v>Eligible</x:v>
      </x:c>
      <x:c r="AE763" s="80" t="str">
        <x:f>IF(OR($AH763&lt;&gt;"Valid",$AI763&lt;&gt;"Valid",$AJ763&lt;&gt;"Valid",LEFT($AM763,7)="Invalid",IFERROR(ABS($AQ763)&gt;0.01,FALSE),IFERROR(ABS($AR763)&gt;0.01,FALSE),COUNTIF($AS763,"*Conflicting duplicate*")&gt;0,COUNTIF($AS763,"*Completed order not paid*")&gt;0),"Invalid",IF(OR($H763="Unknown",$N763="Unknown",$AM763="Missing discount imputed as 0"),"Warning","Clean"))</x:f>
        <x:v>Clean</x:v>
      </x:c>
      <x:c r="AF763" s="80" t="str">
        <x:v>Pass</x:v>
      </x:c>
      <x:c r="AG763" s="80" t="str">
        <x:v>No text cleanup required</x:v>
      </x:c>
      <x:c r="AH763" s="12" t="str">
        <x:f>IF(C763="","Missing date",IF(ISNUMBER(C763),"Valid","Unrecognized/invalid date"))</x:f>
        <x:v>Valid</x:v>
      </x:c>
      <x:c r="AI763" s="12" t="str">
        <x:f>IF(D763="","Missing date",IF(ISNUMBER(D763),"Valid","Unrecognized/invalid date"))</x:f>
        <x:v>Valid</x:v>
      </x:c>
      <x:c r="AJ763" s="12" t="str">
        <x:v>Valid</x:v>
      </x:c>
      <x:c r="AK763" s="12" t="str">
        <x:v>Pass</x:v>
      </x:c>
      <x:c r="AL763" s="12" t="str">
        <x:v>None</x:v>
      </x:c>
      <x:c r="AM763" s="12" t="str">
        <x:v>Valid</x:v>
      </x:c>
      <x:c r="AN763" s="12" t="str">
        <x:v>Include in completed sales</x:v>
      </x:c>
      <x:c r="AO763" s="12" t="str">
        <x:v>Not a refunded record</x:v>
      </x:c>
      <x:c r="AP763" s="37" t="n">
        <x:f>IF(LEFT($AM763,7)="Invalid","",IF($AM763="Missing discount imputed as 0",IF(AND(COUNT($O763,$P763,$R763,$S763)=4,$O763&gt;0,$P763&gt;=0,$R763&gt;=0,$S763&gt;=0),0,""),IF(AND(ISNUMBER($Q763),$Q763&gt;=0,$Q763&lt;=0.5),$Q763,"")))</x:f>
        <x:v>0</x:v>
      </x:c>
      <x:c r="AQ763" s="152" t="n">
        <x:f>IF(OR($W763="",NOT(ISNUMBER($R763))),"",ROUND($R763-$W763,2))</x:f>
        <x:v>0</x:v>
      </x:c>
      <x:c r="AR763" s="152" t="n">
        <x:f>IF(OR($X763="",NOT(ISNUMBER($T763))),"",ROUND($T763-$X763,2))</x:f>
        <x:v>0</x:v>
      </x:c>
      <x:c r="AS763" s="14" t="str">
        <x:v>OK</x:v>
      </x:c>
    </x:row>
    <x:row r="764">
      <x:c r="A764" s="80" t="n">
        <x:v>764</x:v>
      </x:c>
      <x:c r="B764" s="80" t="str">
        <x:v>ORD-2024-10763</x:v>
      </x:c>
      <x:c r="C764" s="81" t="n">
        <x:v>45292</x:v>
      </x:c>
      <x:c r="D764" s="81" t="n">
        <x:v>45296</x:v>
      </x:c>
      <x:c r="E764" s="80" t="str">
        <x:v>CUST-6921</x:v>
      </x:c>
      <x:c r="F764" s="80" t="str">
        <x:v>Diya Patel</x:v>
      </x:c>
      <x:c r="G764" s="80" t="str">
        <x:v>Corporate</x:v>
      </x:c>
      <x:c r="H764" s="80" t="str">
        <x:v>West</x:v>
      </x:c>
      <x:c r="I764" s="80" t="str">
        <x:v>Madhya Pradesh</x:v>
      </x:c>
      <x:c r="J764" s="80" t="str">
        <x:v>Indore</x:v>
      </x:c>
      <x:c r="K764" s="80" t="str">
        <x:v>Technology</x:v>
      </x:c>
      <x:c r="L764" s="80" t="str">
        <x:v>Machines</x:v>
      </x:c>
      <x:c r="M764" s="80" t="str">
        <x:v>Classic Machines 122</x:v>
      </x:c>
      <x:c r="N764" s="80" t="str">
        <x:v>Second Class</x:v>
      </x:c>
      <x:c r="O764" s="82" t="n">
        <x:v>2</x:v>
      </x:c>
      <x:c r="P764" s="83" t="n">
        <x:v>3694.12</x:v>
      </x:c>
      <x:c r="Q764" s="84" t="n">
        <x:v>0.2</x:v>
      </x:c>
      <x:c r="R764" s="83" t="n">
        <x:v>5910.59</x:v>
      </x:c>
      <x:c r="S764" s="83" t="n">
        <x:v>4775.44</x:v>
      </x:c>
      <x:c r="T764" s="83" t="n">
        <x:v>1135.15</x:v>
      </x:c>
      <x:c r="U764" s="83" t="str">
        <x:v>Refunded</x:v>
      </x:c>
      <x:c r="V764" s="83" t="str">
        <x:v>Returned</x:v>
      </x:c>
      <x:c r="W764" s="151" t="n">
        <x:f>IF(OR(NOT(ISNUMBER($AP764)),COUNT($O764,$P764)&lt;2,$O764&lt;=0,$P764&lt;0),"",ROUND($O764*$P764*(1-$AP764),2))</x:f>
        <x:v>5910.59</x:v>
      </x:c>
      <x:c r="X764" s="151" t="n">
        <x:f>IF(OR(NOT(ISNUMBER($W764)),NOT(ISNUMBER($S764))),"",ROUND($W764-$S764,2))</x:f>
        <x:v>1135.15</x:v>
      </x:c>
      <x:c r="Y764" s="85" t="n">
        <x:f>IF(OR(NOT(ISNUMBER($W764)),NOT(ISNUMBER($X764)),$W764=0),"",ROUND($X764/$W764,4))</x:f>
        <x:v>0.1921</x:v>
      </x:c>
      <x:c r="Z764" s="82" t="n">
        <x:f>IF(OR($AH764&lt;&gt;"Valid",$AI764&lt;&gt;"Valid"),"",INT($D764-$C764))</x:f>
        <x:v>4</x:v>
      </x:c>
      <x:c r="AA764" s="86" t="str">
        <x:f>IF($AH764&lt;&gt;"Valid","",TEXT($C764,"mmmm"))</x:f>
        <x:v>January</x:v>
      </x:c>
      <x:c r="AB764" s="82" t="n">
        <x:f>IF($AH764&lt;&gt;"Valid","",YEAR($C764))</x:f>
        <x:v>2024</x:v>
      </x:c>
      <x:c r="AC764" s="80" t="str">
        <x:v>Refunded (separately summarized)</x:v>
      </x:c>
      <x:c r="AD764" s="80" t="str">
        <x:v>Excluded</x:v>
      </x:c>
      <x:c r="AE764" s="80" t="str">
        <x:f>IF(OR($AH764&lt;&gt;"Valid",$AI764&lt;&gt;"Valid",$AJ764&lt;&gt;"Valid",LEFT($AM764,7)="Invalid",IFERROR(ABS($AQ764)&gt;0.01,FALSE),IFERROR(ABS($AR764)&gt;0.01,FALSE),COUNTIF($AS764,"*Conflicting duplicate*")&gt;0,COUNTIF($AS764,"*Completed order not paid*")&gt;0),"Invalid",IF(OR($H764="Unknown",$N764="Unknown",$AM764="Missing discount imputed as 0"),"Warning","Clean"))</x:f>
        <x:v>Clean</x:v>
      </x:c>
      <x:c r="AF764" s="80" t="str">
        <x:v>Pass</x:v>
      </x:c>
      <x:c r="AG764" s="80" t="str">
        <x:v>No text cleanup required</x:v>
      </x:c>
      <x:c r="AH764" s="12" t="str">
        <x:f>IF(C764="","Missing date",IF(ISNUMBER(C764),"Valid","Unrecognized/invalid date"))</x:f>
        <x:v>Valid</x:v>
      </x:c>
      <x:c r="AI764" s="12" t="str">
        <x:f>IF(D764="","Missing date",IF(ISNUMBER(D764),"Valid","Unrecognized/invalid date"))</x:f>
        <x:v>Valid</x:v>
      </x:c>
      <x:c r="AJ764" s="12" t="str">
        <x:v>Valid</x:v>
      </x:c>
      <x:c r="AK764" s="12" t="str">
        <x:v>Pass</x:v>
      </x:c>
      <x:c r="AL764" s="12" t="str">
        <x:v>Refunded payment – separately summarized</x:v>
      </x:c>
      <x:c r="AM764" s="12" t="str">
        <x:v>Valid</x:v>
      </x:c>
      <x:c r="AN764" s="12" t="str">
        <x:v>Exclude from completed sales</x:v>
      </x:c>
      <x:c r="AO764" s="12" t="str">
        <x:v>Include in refunded summary</x:v>
      </x:c>
      <x:c r="AP764" s="37" t="n">
        <x:f>IF(LEFT($AM764,7)="Invalid","",IF($AM764="Missing discount imputed as 0",IF(AND(COUNT($O764,$P764,$R764,$S764)=4,$O764&gt;0,$P764&gt;=0,$R764&gt;=0,$S764&gt;=0),0,""),IF(AND(ISNUMBER($Q764),$Q764&gt;=0,$Q764&lt;=0.5),$Q764,"")))</x:f>
        <x:v>0.2</x:v>
      </x:c>
      <x:c r="AQ764" s="152" t="n">
        <x:f>IF(OR($W764="",NOT(ISNUMBER($R764))),"",ROUND($R764-$W764,2))</x:f>
        <x:v>0</x:v>
      </x:c>
      <x:c r="AR764" s="152" t="n">
        <x:f>IF(OR($X764="",NOT(ISNUMBER($T764))),"",ROUND($T764-$X764,2))</x:f>
        <x:v>0</x:v>
      </x:c>
      <x:c r="AS764" s="14" t="str">
        <x:v>OK</x:v>
      </x:c>
    </x:row>
    <x:row r="765">
      <x:c r="A765" s="80" t="n">
        <x:v>765</x:v>
      </x:c>
      <x:c r="B765" s="80" t="str">
        <x:v>ORD-2025-10764</x:v>
      </x:c>
      <x:c r="C765" s="81" t="n">
        <x:v>45892</x:v>
      </x:c>
      <x:c r="D765" s="81" t="n">
        <x:v>45894</x:v>
      </x:c>
      <x:c r="E765" s="80" t="str">
        <x:v>CUST-4086</x:v>
      </x:c>
      <x:c r="F765" s="80" t="str">
        <x:v>Diya Patel</x:v>
      </x:c>
      <x:c r="G765" s="80" t="str">
        <x:v>Consumer</x:v>
      </x:c>
      <x:c r="H765" s="80" t="str">
        <x:v>North</x:v>
      </x:c>
      <x:c r="I765" s="80" t="str">
        <x:v>Rajasthan</x:v>
      </x:c>
      <x:c r="J765" s="80" t="str">
        <x:v>Jaipur</x:v>
      </x:c>
      <x:c r="K765" s="80" t="str">
        <x:v>Furniture</x:v>
      </x:c>
      <x:c r="L765" s="80" t="str">
        <x:v>Furnishings</x:v>
      </x:c>
      <x:c r="M765" s="80" t="str">
        <x:v>Elite Furnishings 169</x:v>
      </x:c>
      <x:c r="N765" s="80" t="str">
        <x:v>Same Day</x:v>
      </x:c>
      <x:c r="O765" s="82" t="n">
        <x:v>6</x:v>
      </x:c>
      <x:c r="P765" s="83" t="n">
        <x:v>2742.48</x:v>
      </x:c>
      <x:c r="Q765" s="84" t="n">
        <x:v>0</x:v>
      </x:c>
      <x:c r="R765" s="83" t="n">
        <x:v>16454.88</x:v>
      </x:c>
      <x:c r="S765" s="83" t="n">
        <x:v>12081.54</x:v>
      </x:c>
      <x:c r="T765" s="83" t="n">
        <x:v>4373.34</x:v>
      </x:c>
      <x:c r="U765" s="83" t="str">
        <x:v>Paid</x:v>
      </x:c>
      <x:c r="V765" s="83" t="str">
        <x:v>Completed</x:v>
      </x:c>
      <x:c r="W765" s="151" t="n">
        <x:f>IF(OR(NOT(ISNUMBER($AP765)),COUNT($O765,$P765)&lt;2,$O765&lt;=0,$P765&lt;0),"",ROUND($O765*$P765*(1-$AP765),2))</x:f>
        <x:v>16454.88</x:v>
      </x:c>
      <x:c r="X765" s="151" t="n">
        <x:f>IF(OR(NOT(ISNUMBER($W765)),NOT(ISNUMBER($S765))),"",ROUND($W765-$S765,2))</x:f>
        <x:v>4373.34</x:v>
      </x:c>
      <x:c r="Y765" s="85" t="n">
        <x:f>IF(OR(NOT(ISNUMBER($W765)),NOT(ISNUMBER($X765)),$W765=0),"",ROUND($X765/$W765,4))</x:f>
        <x:v>0.2658</x:v>
      </x:c>
      <x:c r="Z765" s="82" t="n">
        <x:f>IF(OR($AH765&lt;&gt;"Valid",$AI765&lt;&gt;"Valid"),"",INT($D765-$C765))</x:f>
        <x:v>2</x:v>
      </x:c>
      <x:c r="AA765" s="86" t="str">
        <x:f>IF($AH765&lt;&gt;"Valid","",TEXT($C765,"mmmm"))</x:f>
        <x:v>August</x:v>
      </x:c>
      <x:c r="AB765" s="82" t="n">
        <x:f>IF($AH765&lt;&gt;"Valid","",YEAR($C765))</x:f>
        <x:v>2025</x:v>
      </x:c>
      <x:c r="AC765" s="80" t="str">
        <x:v>Consistent</x:v>
      </x:c>
      <x:c r="AD765" s="80" t="str">
        <x:v>Eligible</x:v>
      </x:c>
      <x:c r="AE765" s="80" t="str">
        <x:f>IF(OR($AH765&lt;&gt;"Valid",$AI765&lt;&gt;"Valid",$AJ765&lt;&gt;"Valid",LEFT($AM765,7)="Invalid",IFERROR(ABS($AQ765)&gt;0.01,FALSE),IFERROR(ABS($AR765)&gt;0.01,FALSE),COUNTIF($AS765,"*Conflicting duplicate*")&gt;0,COUNTIF($AS765,"*Completed order not paid*")&gt;0),"Invalid",IF(OR($H765="Unknown",$N765="Unknown",$AM765="Missing discount imputed as 0"),"Warning","Clean"))</x:f>
        <x:v>Clean</x:v>
      </x:c>
      <x:c r="AF765" s="80" t="str">
        <x:v>Pass</x:v>
      </x:c>
      <x:c r="AG765" s="80" t="str">
        <x:v>No text cleanup required</x:v>
      </x:c>
      <x:c r="AH765" s="12" t="str">
        <x:f>IF(C765="","Missing date",IF(ISNUMBER(C765),"Valid","Unrecognized/invalid date"))</x:f>
        <x:v>Valid</x:v>
      </x:c>
      <x:c r="AI765" s="12" t="str">
        <x:f>IF(D765="","Missing date",IF(ISNUMBER(D765),"Valid","Unrecognized/invalid date"))</x:f>
        <x:v>Valid</x:v>
      </x:c>
      <x:c r="AJ765" s="12" t="str">
        <x:v>Valid</x:v>
      </x:c>
      <x:c r="AK765" s="12" t="str">
        <x:v>Pass</x:v>
      </x:c>
      <x:c r="AL765" s="12" t="str">
        <x:v>None</x:v>
      </x:c>
      <x:c r="AM765" s="12" t="str">
        <x:v>Valid</x:v>
      </x:c>
      <x:c r="AN765" s="12" t="str">
        <x:v>Include in completed sales</x:v>
      </x:c>
      <x:c r="AO765" s="12" t="str">
        <x:v>Not a refunded record</x:v>
      </x:c>
      <x:c r="AP765" s="37" t="n">
        <x:f>IF(LEFT($AM765,7)="Invalid","",IF($AM765="Missing discount imputed as 0",IF(AND(COUNT($O765,$P765,$R765,$S765)=4,$O765&gt;0,$P765&gt;=0,$R765&gt;=0,$S765&gt;=0),0,""),IF(AND(ISNUMBER($Q765),$Q765&gt;=0,$Q765&lt;=0.5),$Q765,"")))</x:f>
        <x:v>0</x:v>
      </x:c>
      <x:c r="AQ765" s="152" t="n">
        <x:f>IF(OR($W765="",NOT(ISNUMBER($R765))),"",ROUND($R765-$W765,2))</x:f>
        <x:v>0</x:v>
      </x:c>
      <x:c r="AR765" s="152" t="n">
        <x:f>IF(OR($X765="",NOT(ISNUMBER($T765))),"",ROUND($T765-$X765,2))</x:f>
        <x:v>0</x:v>
      </x:c>
      <x:c r="AS765" s="14" t="str">
        <x:v>OK</x:v>
      </x:c>
    </x:row>
    <x:row r="766">
      <x:c r="A766" s="80" t="n">
        <x:v>766</x:v>
      </x:c>
      <x:c r="B766" s="80" t="str">
        <x:v>ORD-2025-10765</x:v>
      </x:c>
      <x:c r="C766" s="81" t="n">
        <x:v>45760</x:v>
      </x:c>
      <x:c r="D766" s="81" t="n">
        <x:v>45760</x:v>
      </x:c>
      <x:c r="E766" s="80" t="str">
        <x:v>CUST-5174</x:v>
      </x:c>
      <x:c r="F766" s="80" t="str">
        <x:v>Priya Menon</x:v>
      </x:c>
      <x:c r="G766" s="80" t="str">
        <x:v>Corporate</x:v>
      </x:c>
      <x:c r="H766" s="80" t="str">
        <x:v>South</x:v>
      </x:c>
      <x:c r="I766" s="80" t="str">
        <x:v>Kerala</x:v>
      </x:c>
      <x:c r="J766" s="80" t="str">
        <x:v>Kochi</x:v>
      </x:c>
      <x:c r="K766" s="80" t="str">
        <x:v>Furniture</x:v>
      </x:c>
      <x:c r="L766" s="80" t="str">
        <x:v>Bookcases</x:v>
      </x:c>
      <x:c r="M766" s="80" t="str">
        <x:v>Pro Bookcases 615</x:v>
      </x:c>
      <x:c r="N766" s="80" t="str">
        <x:v>First Class</x:v>
      </x:c>
      <x:c r="O766" s="82" t="n">
        <x:v>6</x:v>
      </x:c>
      <x:c r="P766" s="83" t="n">
        <x:v>4414</x:v>
      </x:c>
      <x:c r="Q766" s="84" t="n">
        <x:v>0.05</x:v>
      </x:c>
      <x:c r="R766" s="83" t="n">
        <x:v>25159.8</x:v>
      </x:c>
      <x:c r="S766" s="83" t="n">
        <x:v>21606.83</x:v>
      </x:c>
      <x:c r="T766" s="83" t="n">
        <x:v>3552.97</x:v>
      </x:c>
      <x:c r="U766" s="83" t="str">
        <x:v>Paid</x:v>
      </x:c>
      <x:c r="V766" s="83" t="str">
        <x:v>Completed</x:v>
      </x:c>
      <x:c r="W766" s="151" t="n">
        <x:f>IF(OR(NOT(ISNUMBER($AP766)),COUNT($O766,$P766)&lt;2,$O766&lt;=0,$P766&lt;0),"",ROUND($O766*$P766*(1-$AP766),2))</x:f>
        <x:v>25159.8</x:v>
      </x:c>
      <x:c r="X766" s="151" t="n">
        <x:f>IF(OR(NOT(ISNUMBER($W766)),NOT(ISNUMBER($S766))),"",ROUND($W766-$S766,2))</x:f>
        <x:v>3552.97</x:v>
      </x:c>
      <x:c r="Y766" s="85" t="n">
        <x:f>IF(OR(NOT(ISNUMBER($W766)),NOT(ISNUMBER($X766)),$W766=0),"",ROUND($X766/$W766,4))</x:f>
        <x:v>0.1412</x:v>
      </x:c>
      <x:c r="Z766" s="82" t="n">
        <x:f>IF(OR($AH766&lt;&gt;"Valid",$AI766&lt;&gt;"Valid"),"",INT($D766-$C766))</x:f>
        <x:v>0</x:v>
      </x:c>
      <x:c r="AA766" s="86" t="str">
        <x:f>IF($AH766&lt;&gt;"Valid","",TEXT($C766,"mmmm"))</x:f>
        <x:v>April</x:v>
      </x:c>
      <x:c r="AB766" s="82" t="n">
        <x:f>IF($AH766&lt;&gt;"Valid","",YEAR($C766))</x:f>
        <x:v>2025</x:v>
      </x:c>
      <x:c r="AC766" s="80" t="str">
        <x:v>Consistent</x:v>
      </x:c>
      <x:c r="AD766" s="80" t="str">
        <x:v>Eligible</x:v>
      </x:c>
      <x:c r="AE766" s="80" t="str">
        <x:f>IF(OR($AH766&lt;&gt;"Valid",$AI766&lt;&gt;"Valid",$AJ766&lt;&gt;"Valid",LEFT($AM766,7)="Invalid",IFERROR(ABS($AQ766)&gt;0.01,FALSE),IFERROR(ABS($AR766)&gt;0.01,FALSE),COUNTIF($AS766,"*Conflicting duplicate*")&gt;0,COUNTIF($AS766,"*Completed order not paid*")&gt;0),"Invalid",IF(OR($H766="Unknown",$N766="Unknown",$AM766="Missing discount imputed as 0"),"Warning","Clean"))</x:f>
        <x:v>Clean</x:v>
      </x:c>
      <x:c r="AF766" s="80" t="str">
        <x:v>Pass</x:v>
      </x:c>
      <x:c r="AG766" s="80" t="str">
        <x:v>No text cleanup required</x:v>
      </x:c>
      <x:c r="AH766" s="12" t="str">
        <x:f>IF(C766="","Missing date",IF(ISNUMBER(C766),"Valid","Unrecognized/invalid date"))</x:f>
        <x:v>Valid</x:v>
      </x:c>
      <x:c r="AI766" s="12" t="str">
        <x:f>IF(D766="","Missing date",IF(ISNUMBER(D766),"Valid","Unrecognized/invalid date"))</x:f>
        <x:v>Valid</x:v>
      </x:c>
      <x:c r="AJ766" s="12" t="str">
        <x:v>Valid</x:v>
      </x:c>
      <x:c r="AK766" s="12" t="str">
        <x:v>Pass</x:v>
      </x:c>
      <x:c r="AL766" s="12" t="str">
        <x:v>None</x:v>
      </x:c>
      <x:c r="AM766" s="12" t="str">
        <x:v>Valid</x:v>
      </x:c>
      <x:c r="AN766" s="12" t="str">
        <x:v>Include in completed sales</x:v>
      </x:c>
      <x:c r="AO766" s="12" t="str">
        <x:v>Not a refunded record</x:v>
      </x:c>
      <x:c r="AP766" s="37" t="n">
        <x:f>IF(LEFT($AM766,7)="Invalid","",IF($AM766="Missing discount imputed as 0",IF(AND(COUNT($O766,$P766,$R766,$S766)=4,$O766&gt;0,$P766&gt;=0,$R766&gt;=0,$S766&gt;=0),0,""),IF(AND(ISNUMBER($Q766),$Q766&gt;=0,$Q766&lt;=0.5),$Q766,"")))</x:f>
        <x:v>0.05</x:v>
      </x:c>
      <x:c r="AQ766" s="152" t="n">
        <x:f>IF(OR($W766="",NOT(ISNUMBER($R766))),"",ROUND($R766-$W766,2))</x:f>
        <x:v>0</x:v>
      </x:c>
      <x:c r="AR766" s="152" t="n">
        <x:f>IF(OR($X766="",NOT(ISNUMBER($T766))),"",ROUND($T766-$X766,2))</x:f>
        <x:v>0</x:v>
      </x:c>
      <x:c r="AS766" s="14" t="str">
        <x:v>OK</x:v>
      </x:c>
    </x:row>
    <x:row r="767">
      <x:c r="A767" s="80" t="n">
        <x:v>767</x:v>
      </x:c>
      <x:c r="B767" s="80" t="str">
        <x:v>ORD-2025-10766</x:v>
      </x:c>
      <x:c r="C767" s="81" t="n">
        <x:v>45837</x:v>
      </x:c>
      <x:c r="D767" s="81" t="n">
        <x:v>45841</x:v>
      </x:c>
      <x:c r="E767" s="80" t="str">
        <x:v>CUST-8747</x:v>
      </x:c>
      <x:c r="F767" s="80" t="str">
        <x:v>Vikram Iyer</x:v>
      </x:c>
      <x:c r="G767" s="80" t="str">
        <x:v>Corporate</x:v>
      </x:c>
      <x:c r="H767" s="80" t="str">
        <x:v>East</x:v>
      </x:c>
      <x:c r="I767" s="80" t="str">
        <x:v>Jharkhand</x:v>
      </x:c>
      <x:c r="J767" s="80" t="str">
        <x:v>Ranchi</x:v>
      </x:c>
      <x:c r="K767" s="80" t="str">
        <x:v>Office Supplies</x:v>
      </x:c>
      <x:c r="L767" s="80" t="str">
        <x:v>Labels</x:v>
      </x:c>
      <x:c r="M767" s="80" t="str">
        <x:v>Max Labels 136</x:v>
      </x:c>
      <x:c r="N767" s="80" t="str">
        <x:v>First Class</x:v>
      </x:c>
      <x:c r="O767" s="82" t="n">
        <x:v>3</x:v>
      </x:c>
      <x:c r="P767" s="83" t="n">
        <x:v>608.14</x:v>
      </x:c>
      <x:c r="Q767" s="84" t="n">
        <x:v>0</x:v>
      </x:c>
      <x:c r="R767" s="83" t="n">
        <x:v>1824.42</x:v>
      </x:c>
      <x:c r="S767" s="83" t="n">
        <x:v>1214.87</x:v>
      </x:c>
      <x:c r="T767" s="83" t="n">
        <x:v>609.55</x:v>
      </x:c>
      <x:c r="U767" s="83" t="str">
        <x:v>Paid</x:v>
      </x:c>
      <x:c r="V767" s="83" t="str">
        <x:v>Completed</x:v>
      </x:c>
      <x:c r="W767" s="151" t="n">
        <x:f>IF(OR(NOT(ISNUMBER($AP767)),COUNT($O767,$P767)&lt;2,$O767&lt;=0,$P767&lt;0),"",ROUND($O767*$P767*(1-$AP767),2))</x:f>
        <x:v>1824.42</x:v>
      </x:c>
      <x:c r="X767" s="151" t="n">
        <x:f>IF(OR(NOT(ISNUMBER($W767)),NOT(ISNUMBER($S767))),"",ROUND($W767-$S767,2))</x:f>
        <x:v>609.55</x:v>
      </x:c>
      <x:c r="Y767" s="85" t="n">
        <x:f>IF(OR(NOT(ISNUMBER($W767)),NOT(ISNUMBER($X767)),$W767=0),"",ROUND($X767/$W767,4))</x:f>
        <x:v>0.3341</x:v>
      </x:c>
      <x:c r="Z767" s="82" t="n">
        <x:f>IF(OR($AH767&lt;&gt;"Valid",$AI767&lt;&gt;"Valid"),"",INT($D767-$C767))</x:f>
        <x:v>4</x:v>
      </x:c>
      <x:c r="AA767" s="86" t="str">
        <x:f>IF($AH767&lt;&gt;"Valid","",TEXT($C767,"mmmm"))</x:f>
        <x:v>June</x:v>
      </x:c>
      <x:c r="AB767" s="82" t="n">
        <x:f>IF($AH767&lt;&gt;"Valid","",YEAR($C767))</x:f>
        <x:v>2025</x:v>
      </x:c>
      <x:c r="AC767" s="80" t="str">
        <x:v>Consistent</x:v>
      </x:c>
      <x:c r="AD767" s="80" t="str">
        <x:v>Eligible</x:v>
      </x:c>
      <x:c r="AE767" s="80" t="str">
        <x:f>IF(OR($AH767&lt;&gt;"Valid",$AI767&lt;&gt;"Valid",$AJ767&lt;&gt;"Valid",LEFT($AM767,7)="Invalid",IFERROR(ABS($AQ767)&gt;0.01,FALSE),IFERROR(ABS($AR767)&gt;0.01,FALSE),COUNTIF($AS767,"*Conflicting duplicate*")&gt;0,COUNTIF($AS767,"*Completed order not paid*")&gt;0),"Invalid",IF(OR($H767="Unknown",$N767="Unknown",$AM767="Missing discount imputed as 0"),"Warning","Clean"))</x:f>
        <x:v>Clean</x:v>
      </x:c>
      <x:c r="AF767" s="80" t="str">
        <x:v>Pass</x:v>
      </x:c>
      <x:c r="AG767" s="80" t="str">
        <x:v>No text cleanup required</x:v>
      </x:c>
      <x:c r="AH767" s="12" t="str">
        <x:f>IF(C767="","Missing date",IF(ISNUMBER(C767),"Valid","Unrecognized/invalid date"))</x:f>
        <x:v>Valid</x:v>
      </x:c>
      <x:c r="AI767" s="12" t="str">
        <x:f>IF(D767="","Missing date",IF(ISNUMBER(D767),"Valid","Unrecognized/invalid date"))</x:f>
        <x:v>Valid</x:v>
      </x:c>
      <x:c r="AJ767" s="12" t="str">
        <x:v>Valid</x:v>
      </x:c>
      <x:c r="AK767" s="12" t="str">
        <x:v>Pass</x:v>
      </x:c>
      <x:c r="AL767" s="12" t="str">
        <x:v>None</x:v>
      </x:c>
      <x:c r="AM767" s="12" t="str">
        <x:v>Valid</x:v>
      </x:c>
      <x:c r="AN767" s="12" t="str">
        <x:v>Include in completed sales</x:v>
      </x:c>
      <x:c r="AO767" s="12" t="str">
        <x:v>Not a refunded record</x:v>
      </x:c>
      <x:c r="AP767" s="37" t="n">
        <x:f>IF(LEFT($AM767,7)="Invalid","",IF($AM767="Missing discount imputed as 0",IF(AND(COUNT($O767,$P767,$R767,$S767)=4,$O767&gt;0,$P767&gt;=0,$R767&gt;=0,$S767&gt;=0),0,""),IF(AND(ISNUMBER($Q767),$Q767&gt;=0,$Q767&lt;=0.5),$Q767,"")))</x:f>
        <x:v>0</x:v>
      </x:c>
      <x:c r="AQ767" s="152" t="n">
        <x:f>IF(OR($W767="",NOT(ISNUMBER($R767))),"",ROUND($R767-$W767,2))</x:f>
        <x:v>0</x:v>
      </x:c>
      <x:c r="AR767" s="152" t="n">
        <x:f>IF(OR($X767="",NOT(ISNUMBER($T767))),"",ROUND($T767-$X767,2))</x:f>
        <x:v>0</x:v>
      </x:c>
      <x:c r="AS767" s="14" t="str">
        <x:v>OK</x:v>
      </x:c>
    </x:row>
    <x:row r="768">
      <x:c r="A768" s="80" t="n">
        <x:v>768</x:v>
      </x:c>
      <x:c r="B768" s="80" t="str">
        <x:v>ORD-2024-10767</x:v>
      </x:c>
      <x:c r="C768" s="81" t="n">
        <x:v>45552</x:v>
      </x:c>
      <x:c r="D768" s="81" t="n">
        <x:v>45559</x:v>
      </x:c>
      <x:c r="E768" s="80" t="str">
        <x:v>CUST-3156</x:v>
      </x:c>
      <x:c r="F768" s="80" t="str">
        <x:v>Mira Das</x:v>
      </x:c>
      <x:c r="G768" s="80" t="str">
        <x:v>Corporate</x:v>
      </x:c>
      <x:c r="H768" s="80" t="str">
        <x:v>West</x:v>
      </x:c>
      <x:c r="I768" s="80" t="str">
        <x:v>Gujarat</x:v>
      </x:c>
      <x:c r="J768" s="80" t="str">
        <x:v>Ahmedabad</x:v>
      </x:c>
      <x:c r="K768" s="80" t="str">
        <x:v>Office Supplies</x:v>
      </x:c>
      <x:c r="L768" s="80" t="str">
        <x:v>Art</x:v>
      </x:c>
      <x:c r="M768" s="80" t="str">
        <x:v>Prime Art 380</x:v>
      </x:c>
      <x:c r="N768" s="80" t="str">
        <x:v>Second Class</x:v>
      </x:c>
      <x:c r="O768" s="82" t="n">
        <x:v>9</x:v>
      </x:c>
      <x:c r="P768" s="83" t="n">
        <x:v>2307.96</x:v>
      </x:c>
      <x:c r="Q768" s="84" t="n">
        <x:v>0.2</x:v>
      </x:c>
      <x:c r="R768" s="83" t="n">
        <x:v>16617.31</x:v>
      </x:c>
      <x:c r="S768" s="83" t="n">
        <x:v>9195.73</x:v>
      </x:c>
      <x:c r="T768" s="83" t="n">
        <x:v>7421.58</x:v>
      </x:c>
      <x:c r="U768" s="83" t="str">
        <x:v>Paid</x:v>
      </x:c>
      <x:c r="V768" s="83" t="str">
        <x:v>Cancelled</x:v>
      </x:c>
      <x:c r="W768" s="151" t="n">
        <x:f>IF(OR(NOT(ISNUMBER($AP768)),COUNT($O768,$P768)&lt;2,$O768&lt;=0,$P768&lt;0),"",ROUND($O768*$P768*(1-$AP768),2))</x:f>
        <x:v>16617.31</x:v>
      </x:c>
      <x:c r="X768" s="151" t="n">
        <x:f>IF(OR(NOT(ISNUMBER($W768)),NOT(ISNUMBER($S768))),"",ROUND($W768-$S768,2))</x:f>
        <x:v>7421.58</x:v>
      </x:c>
      <x:c r="Y768" s="85" t="n">
        <x:f>IF(OR(NOT(ISNUMBER($W768)),NOT(ISNUMBER($X768)),$W768=0),"",ROUND($X768/$W768,4))</x:f>
        <x:v>0.4466</x:v>
      </x:c>
      <x:c r="Z768" s="82" t="n">
        <x:f>IF(OR($AH768&lt;&gt;"Valid",$AI768&lt;&gt;"Valid"),"",INT($D768-$C768))</x:f>
        <x:v>7</x:v>
      </x:c>
      <x:c r="AA768" s="86" t="str">
        <x:f>IF($AH768&lt;&gt;"Valid","",TEXT($C768,"mmmm"))</x:f>
        <x:v>September</x:v>
      </x:c>
      <x:c r="AB768" s="82" t="n">
        <x:f>IF($AH768&lt;&gt;"Valid","",YEAR($C768))</x:f>
        <x:v>2024</x:v>
      </x:c>
      <x:c r="AC768" s="80" t="str">
        <x:v>Cancelled (excluded from completed-sales summary)</x:v>
      </x:c>
      <x:c r="AD768" s="80" t="str">
        <x:v>Excluded</x:v>
      </x:c>
      <x:c r="AE768" s="80" t="str">
        <x:f>IF(OR($AH768&lt;&gt;"Valid",$AI768&lt;&gt;"Valid",$AJ768&lt;&gt;"Valid",LEFT($AM768,7)="Invalid",IFERROR(ABS($AQ768)&gt;0.01,FALSE),IFERROR(ABS($AR768)&gt;0.01,FALSE),COUNTIF($AS768,"*Conflicting duplicate*")&gt;0,COUNTIF($AS768,"*Completed order not paid*")&gt;0),"Invalid",IF(OR($H768="Unknown",$N768="Unknown",$AM768="Missing discount imputed as 0"),"Warning","Clean"))</x:f>
        <x:v>Clean</x:v>
      </x:c>
      <x:c r="AF768" s="80" t="str">
        <x:v>Pass</x:v>
      </x:c>
      <x:c r="AG768" s="80" t="str">
        <x:v>No text cleanup required</x:v>
      </x:c>
      <x:c r="AH768" s="12" t="str">
        <x:f>IF(C768="","Missing date",IF(ISNUMBER(C768),"Valid","Unrecognized/invalid date"))</x:f>
        <x:v>Valid</x:v>
      </x:c>
      <x:c r="AI768" s="12" t="str">
        <x:f>IF(D768="","Missing date",IF(ISNUMBER(D768),"Valid","Unrecognized/invalid date"))</x:f>
        <x:v>Valid</x:v>
      </x:c>
      <x:c r="AJ768" s="12" t="str">
        <x:v>Valid</x:v>
      </x:c>
      <x:c r="AK768" s="12" t="str">
        <x:v>Pass</x:v>
      </x:c>
      <x:c r="AL768" s="12" t="str">
        <x:v>Cancelled order – excluded from completed sales</x:v>
      </x:c>
      <x:c r="AM768" s="12" t="str">
        <x:v>Valid</x:v>
      </x:c>
      <x:c r="AN768" s="12" t="str">
        <x:v>Exclude from completed sales</x:v>
      </x:c>
      <x:c r="AO768" s="12" t="str">
        <x:v>Not a refunded record</x:v>
      </x:c>
      <x:c r="AP768" s="37" t="n">
        <x:f>IF(LEFT($AM768,7)="Invalid","",IF($AM768="Missing discount imputed as 0",IF(AND(COUNT($O768,$P768,$R768,$S768)=4,$O768&gt;0,$P768&gt;=0,$R768&gt;=0,$S768&gt;=0),0,""),IF(AND(ISNUMBER($Q768),$Q768&gt;=0,$Q768&lt;=0.5),$Q768,"")))</x:f>
        <x:v>0.2</x:v>
      </x:c>
      <x:c r="AQ768" s="152" t="n">
        <x:f>IF(OR($W768="",NOT(ISNUMBER($R768))),"",ROUND($R768-$W768,2))</x:f>
        <x:v>0</x:v>
      </x:c>
      <x:c r="AR768" s="152" t="n">
        <x:f>IF(OR($X768="",NOT(ISNUMBER($T768))),"",ROUND($T768-$X768,2))</x:f>
        <x:v>0</x:v>
      </x:c>
      <x:c r="AS768" s="14" t="str">
        <x:v>OK</x:v>
      </x:c>
    </x:row>
    <x:row r="769">
      <x:c r="A769" s="80" t="n">
        <x:v>769</x:v>
      </x:c>
      <x:c r="B769" s="80" t="str">
        <x:v>ORD-2024-10768</x:v>
      </x:c>
      <x:c r="C769" s="81" t="n">
        <x:v>45415</x:v>
      </x:c>
      <x:c r="D769" s="81" t="n">
        <x:v>45418</x:v>
      </x:c>
      <x:c r="E769" s="80" t="str">
        <x:v>CUST-2043</x:v>
      </x:c>
      <x:c r="F769" s="80" t="str">
        <x:v>Ananya Rao</x:v>
      </x:c>
      <x:c r="G769" s="80" t="str">
        <x:v>Home Office</x:v>
      </x:c>
      <x:c r="H769" s="80" t="str">
        <x:v>North</x:v>
      </x:c>
      <x:c r="I769" s="80" t="str">
        <x:v>Uttar Pradesh</x:v>
      </x:c>
      <x:c r="J769" s="80" t="str">
        <x:v>Noida</x:v>
      </x:c>
      <x:c r="K769" s="80" t="str">
        <x:v>Office Supplies</x:v>
      </x:c>
      <x:c r="L769" s="80" t="str">
        <x:v>Binders</x:v>
      </x:c>
      <x:c r="M769" s="80" t="str">
        <x:v>Classic Binders 234</x:v>
      </x:c>
      <x:c r="N769" s="80" t="str">
        <x:v>Standard Class</x:v>
      </x:c>
      <x:c r="O769" s="82" t="n">
        <x:v>1</x:v>
      </x:c>
      <x:c r="P769" s="83" t="n">
        <x:v>1244.58</x:v>
      </x:c>
      <x:c r="Q769" s="84" t="n">
        <x:v>0.25</x:v>
      </x:c>
      <x:c r="R769" s="83" t="n">
        <x:v>933.43</x:v>
      </x:c>
      <x:c r="S769" s="83" t="n">
        <x:v>583.09</x:v>
      </x:c>
      <x:c r="T769" s="83" t="n">
        <x:v>350.34</x:v>
      </x:c>
      <x:c r="U769" s="83" t="str">
        <x:v>Paid</x:v>
      </x:c>
      <x:c r="V769" s="83" t="str">
        <x:v>Completed</x:v>
      </x:c>
      <x:c r="W769" s="151" t="n">
        <x:f>IF(OR(NOT(ISNUMBER($AP769)),COUNT($O769,$P769)&lt;2,$O769&lt;=0,$P769&lt;0),"",ROUND($O769*$P769*(1-$AP769),2))</x:f>
        <x:v>933.44</x:v>
      </x:c>
      <x:c r="X769" s="151" t="n">
        <x:f>IF(OR(NOT(ISNUMBER($W769)),NOT(ISNUMBER($S769))),"",ROUND($W769-$S769,2))</x:f>
        <x:v>350.35</x:v>
      </x:c>
      <x:c r="Y769" s="85" t="n">
        <x:f>IF(OR(NOT(ISNUMBER($W769)),NOT(ISNUMBER($X769)),$W769=0),"",ROUND($X769/$W769,4))</x:f>
        <x:v>0.3753</x:v>
      </x:c>
      <x:c r="Z769" s="82" t="n">
        <x:f>IF(OR($AH769&lt;&gt;"Valid",$AI769&lt;&gt;"Valid"),"",INT($D769-$C769))</x:f>
        <x:v>3</x:v>
      </x:c>
      <x:c r="AA769" s="86" t="str">
        <x:f>IF($AH769&lt;&gt;"Valid","",TEXT($C769,"mmmm"))</x:f>
        <x:v>May</x:v>
      </x:c>
      <x:c r="AB769" s="82" t="n">
        <x:f>IF($AH769&lt;&gt;"Valid","",YEAR($C769))</x:f>
        <x:v>2024</x:v>
      </x:c>
      <x:c r="AC769" s="80" t="str">
        <x:v>Consistent</x:v>
      </x:c>
      <x:c r="AD769" s="80" t="str">
        <x:v>Eligible</x:v>
      </x:c>
      <x:c r="AE769" s="80" t="str">
        <x:f>IF(OR($AH769&lt;&gt;"Valid",$AI769&lt;&gt;"Valid",$AJ769&lt;&gt;"Valid",LEFT($AM769,7)="Invalid",IFERROR(ABS($AQ769)&gt;0.01,FALSE),IFERROR(ABS($AR769)&gt;0.01,FALSE),COUNTIF($AS769,"*Conflicting duplicate*")&gt;0,COUNTIF($AS769,"*Completed order not paid*")&gt;0),"Invalid",IF(OR($H769="Unknown",$N769="Unknown",$AM769="Missing discount imputed as 0"),"Warning","Clean"))</x:f>
        <x:v>Clean</x:v>
      </x:c>
      <x:c r="AF769" s="80" t="str">
        <x:v>Cleaned</x:v>
      </x:c>
      <x:c r="AG769" s="80" t="str">
        <x:v>category: Case standardization</x:v>
      </x:c>
      <x:c r="AH769" s="12" t="str">
        <x:f>IF(C769="","Missing date",IF(ISNUMBER(C769),"Valid","Unrecognized/invalid date"))</x:f>
        <x:v>Valid</x:v>
      </x:c>
      <x:c r="AI769" s="12" t="str">
        <x:f>IF(D769="","Missing date",IF(ISNUMBER(D769),"Valid","Unrecognized/invalid date"))</x:f>
        <x:v>Valid</x:v>
      </x:c>
      <x:c r="AJ769" s="12" t="str">
        <x:v>Valid</x:v>
      </x:c>
      <x:c r="AK769" s="12" t="str">
        <x:v>Pass</x:v>
      </x:c>
      <x:c r="AL769" s="12" t="str">
        <x:v>None</x:v>
      </x:c>
      <x:c r="AM769" s="12" t="str">
        <x:v>Valid</x:v>
      </x:c>
      <x:c r="AN769" s="12" t="str">
        <x:v>Include in completed sales</x:v>
      </x:c>
      <x:c r="AO769" s="12" t="str">
        <x:v>Not a refunded record</x:v>
      </x:c>
      <x:c r="AP769" s="37" t="n">
        <x:f>IF(LEFT($AM769,7)="Invalid","",IF($AM769="Missing discount imputed as 0",IF(AND(COUNT($O769,$P769,$R769,$S769)=4,$O769&gt;0,$P769&gt;=0,$R769&gt;=0,$S769&gt;=0),0,""),IF(AND(ISNUMBER($Q769),$Q769&gt;=0,$Q769&lt;=0.5),$Q769,"")))</x:f>
        <x:v>0.25</x:v>
      </x:c>
      <x:c r="AQ769" s="152" t="n">
        <x:f>IF(OR($W769="",NOT(ISNUMBER($R769))),"",ROUND($R769-$W769,2))</x:f>
        <x:v>-0.01</x:v>
      </x:c>
      <x:c r="AR769" s="152" t="n">
        <x:f>IF(OR($X769="",NOT(ISNUMBER($T769))),"",ROUND($T769-$X769,2))</x:f>
        <x:v>-0.01</x:v>
      </x:c>
      <x:c r="AS769" s="14" t="str">
        <x:v>OK</x:v>
      </x:c>
    </x:row>
    <x:row r="770">
      <x:c r="A770" s="80" t="n">
        <x:v>770</x:v>
      </x:c>
      <x:c r="B770" s="80" t="str">
        <x:v>ORD-2025-10769</x:v>
      </x:c>
      <x:c r="C770" s="81" t="n">
        <x:v>45749</x:v>
      </x:c>
      <x:c r="D770" s="81" t="n">
        <x:v>45751</x:v>
      </x:c>
      <x:c r="E770" s="80" t="str">
        <x:v>CUST-8808</x:v>
      </x:c>
      <x:c r="F770" s="80" t="str">
        <x:v>Sneha Kapoor</x:v>
      </x:c>
      <x:c r="G770" s="80" t="str">
        <x:v>Home Office</x:v>
      </x:c>
      <x:c r="H770" s="80" t="str">
        <x:v>East</x:v>
      </x:c>
      <x:c r="I770" s="80" t="str">
        <x:v>Jharkhand</x:v>
      </x:c>
      <x:c r="J770" s="80" t="str">
        <x:v>Ranchi</x:v>
      </x:c>
      <x:c r="K770" s="80" t="str">
        <x:v>Office Supplies</x:v>
      </x:c>
      <x:c r="L770" s="80" t="str">
        <x:v>Paper</x:v>
      </x:c>
      <x:c r="M770" s="80" t="str">
        <x:v>Classic Paper 280</x:v>
      </x:c>
      <x:c r="N770" s="80" t="str">
        <x:v>Same Day</x:v>
      </x:c>
      <x:c r="O770" s="82" t="n">
        <x:v>5</x:v>
      </x:c>
      <x:c r="P770" s="83" t="n">
        <x:v>3234.24</x:v>
      </x:c>
      <x:c r="Q770" s="84" t="n">
        <x:v>0.1</x:v>
      </x:c>
      <x:c r="R770" s="83" t="n">
        <x:v>14554.08</x:v>
      </x:c>
      <x:c r="S770" s="83" t="n">
        <x:v>11166.84</x:v>
      </x:c>
      <x:c r="T770" s="83" t="n">
        <x:v>3387.24</x:v>
      </x:c>
      <x:c r="U770" s="83" t="str">
        <x:v>Paid</x:v>
      </x:c>
      <x:c r="V770" s="83" t="str">
        <x:v>Completed</x:v>
      </x:c>
      <x:c r="W770" s="151" t="n">
        <x:f>IF(OR(NOT(ISNUMBER($AP770)),COUNT($O770,$P770)&lt;2,$O770&lt;=0,$P770&lt;0),"",ROUND($O770*$P770*(1-$AP770),2))</x:f>
        <x:v>14554.08</x:v>
      </x:c>
      <x:c r="X770" s="151" t="n">
        <x:f>IF(OR(NOT(ISNUMBER($W770)),NOT(ISNUMBER($S770))),"",ROUND($W770-$S770,2))</x:f>
        <x:v>3387.24</x:v>
      </x:c>
      <x:c r="Y770" s="85" t="n">
        <x:f>IF(OR(NOT(ISNUMBER($W770)),NOT(ISNUMBER($X770)),$W770=0),"",ROUND($X770/$W770,4))</x:f>
        <x:v>0.2327</x:v>
      </x:c>
      <x:c r="Z770" s="82" t="n">
        <x:f>IF(OR($AH770&lt;&gt;"Valid",$AI770&lt;&gt;"Valid"),"",INT($D770-$C770))</x:f>
        <x:v>2</x:v>
      </x:c>
      <x:c r="AA770" s="86" t="str">
        <x:f>IF($AH770&lt;&gt;"Valid","",TEXT($C770,"mmmm"))</x:f>
        <x:v>April</x:v>
      </x:c>
      <x:c r="AB770" s="82" t="n">
        <x:f>IF($AH770&lt;&gt;"Valid","",YEAR($C770))</x:f>
        <x:v>2025</x:v>
      </x:c>
      <x:c r="AC770" s="80" t="str">
        <x:v>Consistent</x:v>
      </x:c>
      <x:c r="AD770" s="80" t="str">
        <x:v>Eligible</x:v>
      </x:c>
      <x:c r="AE770" s="80" t="str">
        <x:f>IF(OR($AH770&lt;&gt;"Valid",$AI770&lt;&gt;"Valid",$AJ770&lt;&gt;"Valid",LEFT($AM770,7)="Invalid",IFERROR(ABS($AQ770)&gt;0.01,FALSE),IFERROR(ABS($AR770)&gt;0.01,FALSE),COUNTIF($AS770,"*Conflicting duplicate*")&gt;0,COUNTIF($AS770,"*Completed order not paid*")&gt;0),"Invalid",IF(OR($H770="Unknown",$N770="Unknown",$AM770="Missing discount imputed as 0"),"Warning","Clean"))</x:f>
        <x:v>Clean</x:v>
      </x:c>
      <x:c r="AF770" s="80" t="str">
        <x:v>Pass</x:v>
      </x:c>
      <x:c r="AG770" s="80" t="str">
        <x:v>No text cleanup required</x:v>
      </x:c>
      <x:c r="AH770" s="12" t="str">
        <x:f>IF(C770="","Missing date",IF(ISNUMBER(C770),"Valid","Unrecognized/invalid date"))</x:f>
        <x:v>Valid</x:v>
      </x:c>
      <x:c r="AI770" s="12" t="str">
        <x:f>IF(D770="","Missing date",IF(ISNUMBER(D770),"Valid","Unrecognized/invalid date"))</x:f>
        <x:v>Valid</x:v>
      </x:c>
      <x:c r="AJ770" s="12" t="str">
        <x:v>Valid</x:v>
      </x:c>
      <x:c r="AK770" s="12" t="str">
        <x:v>Pass</x:v>
      </x:c>
      <x:c r="AL770" s="12" t="str">
        <x:v>None</x:v>
      </x:c>
      <x:c r="AM770" s="12" t="str">
        <x:v>Valid</x:v>
      </x:c>
      <x:c r="AN770" s="12" t="str">
        <x:v>Include in completed sales</x:v>
      </x:c>
      <x:c r="AO770" s="12" t="str">
        <x:v>Not a refunded record</x:v>
      </x:c>
      <x:c r="AP770" s="37" t="n">
        <x:f>IF(LEFT($AM770,7)="Invalid","",IF($AM770="Missing discount imputed as 0",IF(AND(COUNT($O770,$P770,$R770,$S770)=4,$O770&gt;0,$P770&gt;=0,$R770&gt;=0,$S770&gt;=0),0,""),IF(AND(ISNUMBER($Q770),$Q770&gt;=0,$Q770&lt;=0.5),$Q770,"")))</x:f>
        <x:v>0.1</x:v>
      </x:c>
      <x:c r="AQ770" s="152" t="n">
        <x:f>IF(OR($W770="",NOT(ISNUMBER($R770))),"",ROUND($R770-$W770,2))</x:f>
        <x:v>0</x:v>
      </x:c>
      <x:c r="AR770" s="152" t="n">
        <x:f>IF(OR($X770="",NOT(ISNUMBER($T770))),"",ROUND($T770-$X770,2))</x:f>
        <x:v>0</x:v>
      </x:c>
      <x:c r="AS770" s="14" t="str">
        <x:v>OK</x:v>
      </x:c>
    </x:row>
    <x:row r="771">
      <x:c r="A771" s="80" t="n">
        <x:v>771</x:v>
      </x:c>
      <x:c r="B771" s="80" t="str">
        <x:v>ORD-2024-10770</x:v>
      </x:c>
      <x:c r="C771" s="81" t="n">
        <x:v>45423</x:v>
      </x:c>
      <x:c r="D771" s="81" t="n">
        <x:v>45425</x:v>
      </x:c>
      <x:c r="E771" s="80" t="str">
        <x:v>CUST-1293</x:v>
      </x:c>
      <x:c r="F771" s="80" t="str">
        <x:v>Priya Menon</x:v>
      </x:c>
      <x:c r="G771" s="80" t="str">
        <x:v>Home Office</x:v>
      </x:c>
      <x:c r="H771" s="80" t="str">
        <x:v>West</x:v>
      </x:c>
      <x:c r="I771" s="80" t="str">
        <x:v>Goa</x:v>
      </x:c>
      <x:c r="J771" s="80" t="str">
        <x:v>Panaji</x:v>
      </x:c>
      <x:c r="K771" s="80" t="str">
        <x:v>Furniture</x:v>
      </x:c>
      <x:c r="L771" s="80" t="str">
        <x:v>Bookcases</x:v>
      </x:c>
      <x:c r="M771" s="80" t="str">
        <x:v>Classic Bookcases 922</x:v>
      </x:c>
      <x:c r="N771" s="80" t="str">
        <x:v>Same Day</x:v>
      </x:c>
      <x:c r="O771" s="82" t="n">
        <x:v>3</x:v>
      </x:c>
      <x:c r="P771" s="83" t="n">
        <x:v>3612.75</x:v>
      </x:c>
      <x:c r="Q771" s="84" t="n">
        <x:v>0.25</x:v>
      </x:c>
      <x:c r="R771" s="83" t="n">
        <x:v>8128.69</x:v>
      </x:c>
      <x:c r="S771" s="83" t="n">
        <x:v>5071.66</x:v>
      </x:c>
      <x:c r="T771" s="83" t="n">
        <x:v>3057.03</x:v>
      </x:c>
      <x:c r="U771" s="83" t="str">
        <x:v>Paid</x:v>
      </x:c>
      <x:c r="V771" s="83" t="str">
        <x:v>Completed</x:v>
      </x:c>
      <x:c r="W771" s="151" t="n">
        <x:f>IF(OR(NOT(ISNUMBER($AP771)),COUNT($O771,$P771)&lt;2,$O771&lt;=0,$P771&lt;0),"",ROUND($O771*$P771*(1-$AP771),2))</x:f>
        <x:v>8128.69</x:v>
      </x:c>
      <x:c r="X771" s="151" t="n">
        <x:f>IF(OR(NOT(ISNUMBER($W771)),NOT(ISNUMBER($S771))),"",ROUND($W771-$S771,2))</x:f>
        <x:v>3057.03</x:v>
      </x:c>
      <x:c r="Y771" s="85" t="n">
        <x:f>IF(OR(NOT(ISNUMBER($W771)),NOT(ISNUMBER($X771)),$W771=0),"",ROUND($X771/$W771,4))</x:f>
        <x:v>0.3761</x:v>
      </x:c>
      <x:c r="Z771" s="82" t="n">
        <x:f>IF(OR($AH771&lt;&gt;"Valid",$AI771&lt;&gt;"Valid"),"",INT($D771-$C771))</x:f>
        <x:v>2</x:v>
      </x:c>
      <x:c r="AA771" s="86" t="str">
        <x:f>IF($AH771&lt;&gt;"Valid","",TEXT($C771,"mmmm"))</x:f>
        <x:v>May</x:v>
      </x:c>
      <x:c r="AB771" s="82" t="n">
        <x:f>IF($AH771&lt;&gt;"Valid","",YEAR($C771))</x:f>
        <x:v>2024</x:v>
      </x:c>
      <x:c r="AC771" s="80" t="str">
        <x:v>Consistent</x:v>
      </x:c>
      <x:c r="AD771" s="80" t="str">
        <x:v>Eligible</x:v>
      </x:c>
      <x:c r="AE771" s="80" t="str">
        <x:f>IF(OR($AH771&lt;&gt;"Valid",$AI771&lt;&gt;"Valid",$AJ771&lt;&gt;"Valid",LEFT($AM771,7)="Invalid",IFERROR(ABS($AQ771)&gt;0.01,FALSE),IFERROR(ABS($AR771)&gt;0.01,FALSE),COUNTIF($AS771,"*Conflicting duplicate*")&gt;0,COUNTIF($AS771,"*Completed order not paid*")&gt;0),"Invalid",IF(OR($H771="Unknown",$N771="Unknown",$AM771="Missing discount imputed as 0"),"Warning","Clean"))</x:f>
        <x:v>Clean</x:v>
      </x:c>
      <x:c r="AF771" s="80" t="str">
        <x:v>Pass</x:v>
      </x:c>
      <x:c r="AG771" s="80" t="str">
        <x:v>No text cleanup required</x:v>
      </x:c>
      <x:c r="AH771" s="12" t="str">
        <x:f>IF(C771="","Missing date",IF(ISNUMBER(C771),"Valid","Unrecognized/invalid date"))</x:f>
        <x:v>Valid</x:v>
      </x:c>
      <x:c r="AI771" s="12" t="str">
        <x:f>IF(D771="","Missing date",IF(ISNUMBER(D771),"Valid","Unrecognized/invalid date"))</x:f>
        <x:v>Valid</x:v>
      </x:c>
      <x:c r="AJ771" s="12" t="str">
        <x:v>Valid</x:v>
      </x:c>
      <x:c r="AK771" s="12" t="str">
        <x:v>Pass</x:v>
      </x:c>
      <x:c r="AL771" s="12" t="str">
        <x:v>None</x:v>
      </x:c>
      <x:c r="AM771" s="12" t="str">
        <x:v>Valid</x:v>
      </x:c>
      <x:c r="AN771" s="12" t="str">
        <x:v>Include in completed sales</x:v>
      </x:c>
      <x:c r="AO771" s="12" t="str">
        <x:v>Not a refunded record</x:v>
      </x:c>
      <x:c r="AP771" s="37" t="n">
        <x:f>IF(LEFT($AM771,7)="Invalid","",IF($AM771="Missing discount imputed as 0",IF(AND(COUNT($O771,$P771,$R771,$S771)=4,$O771&gt;0,$P771&gt;=0,$R771&gt;=0,$S771&gt;=0),0,""),IF(AND(ISNUMBER($Q771),$Q771&gt;=0,$Q771&lt;=0.5),$Q771,"")))</x:f>
        <x:v>0.25</x:v>
      </x:c>
      <x:c r="AQ771" s="152" t="n">
        <x:f>IF(OR($W771="",NOT(ISNUMBER($R771))),"",ROUND($R771-$W771,2))</x:f>
        <x:v>0</x:v>
      </x:c>
      <x:c r="AR771" s="152" t="n">
        <x:f>IF(OR($X771="",NOT(ISNUMBER($T771))),"",ROUND($T771-$X771,2))</x:f>
        <x:v>0</x:v>
      </x:c>
      <x:c r="AS771" s="14" t="str">
        <x:v>OK</x:v>
      </x:c>
    </x:row>
    <x:row r="772">
      <x:c r="A772" s="80" t="n">
        <x:v>772</x:v>
      </x:c>
      <x:c r="B772" s="80" t="str">
        <x:v>ORD-2024-10771</x:v>
      </x:c>
      <x:c r="C772" s="81" t="n">
        <x:v>45337</x:v>
      </x:c>
      <x:c r="D772" s="81" t="n">
        <x:v>45339</x:v>
      </x:c>
      <x:c r="E772" s="80" t="str">
        <x:v>CUST-8384</x:v>
      </x:c>
      <x:c r="F772" s="80" t="str">
        <x:v>Neha Gupta</x:v>
      </x:c>
      <x:c r="G772" s="80" t="str">
        <x:v>Consumer</x:v>
      </x:c>
      <x:c r="H772" s="80" t="str">
        <x:v>North</x:v>
      </x:c>
      <x:c r="I772" s="80" t="str">
        <x:v>Uttar Pradesh</x:v>
      </x:c>
      <x:c r="J772" s="80" t="str">
        <x:v>Noida</x:v>
      </x:c>
      <x:c r="K772" s="80" t="str">
        <x:v>Technology</x:v>
      </x:c>
      <x:c r="L772" s="80" t="str">
        <x:v>Copiers</x:v>
      </x:c>
      <x:c r="M772" s="80" t="str">
        <x:v>Eco Copiers 396</x:v>
      </x:c>
      <x:c r="N772" s="80" t="str">
        <x:v>First Class</x:v>
      </x:c>
      <x:c r="O772" s="82" t="n">
        <x:v>4</x:v>
      </x:c>
      <x:c r="P772" s="83" t="n">
        <x:v>863</x:v>
      </x:c>
      <x:c r="Q772" s="84" t="n">
        <x:v>0</x:v>
      </x:c>
      <x:c r="R772" s="83" t="n">
        <x:v>3106.8</x:v>
      </x:c>
      <x:c r="S772" s="83" t="n">
        <x:v>2376.62</x:v>
      </x:c>
      <x:c r="T772" s="83" t="n">
        <x:v>730.18</x:v>
      </x:c>
      <x:c r="U772" s="83" t="str">
        <x:v>Paid</x:v>
      </x:c>
      <x:c r="V772" s="83" t="str">
        <x:v>Completed</x:v>
      </x:c>
      <x:c r="W772" s="151" t="n">
        <x:f>IF(OR(NOT(ISNUMBER($AP772)),COUNT($O772,$P772)&lt;2,$O772&lt;=0,$P772&lt;0),"",ROUND($O772*$P772*(1-$AP772),2))</x:f>
        <x:v>3452</x:v>
      </x:c>
      <x:c r="X772" s="151" t="n">
        <x:f>IF(OR(NOT(ISNUMBER($W772)),NOT(ISNUMBER($S772))),"",ROUND($W772-$S772,2))</x:f>
        <x:v>1075.38</x:v>
      </x:c>
      <x:c r="Y772" s="85" t="n">
        <x:f>IF(OR(NOT(ISNUMBER($W772)),NOT(ISNUMBER($X772)),$W772=0),"",ROUND($X772/$W772,4))</x:f>
        <x:v>0.3115</x:v>
      </x:c>
      <x:c r="Z772" s="82" t="n">
        <x:f>IF(OR($AH772&lt;&gt;"Valid",$AI772&lt;&gt;"Valid"),"",INT($D772-$C772))</x:f>
        <x:v>2</x:v>
      </x:c>
      <x:c r="AA772" s="86" t="str">
        <x:f>IF($AH772&lt;&gt;"Valid","",TEXT($C772,"mmmm"))</x:f>
        <x:v>February</x:v>
      </x:c>
      <x:c r="AB772" s="82" t="n">
        <x:f>IF($AH772&lt;&gt;"Valid","",YEAR($C772))</x:f>
        <x:v>2024</x:v>
      </x:c>
      <x:c r="AC772" s="80" t="str">
        <x:v>Consistent</x:v>
      </x:c>
      <x:c r="AD772" s="80" t="str">
        <x:v>Excluded</x:v>
      </x:c>
      <x:c r="AE772" s="80" t="str">
        <x:f>IF(OR($AH772&lt;&gt;"Valid",$AI772&lt;&gt;"Valid",$AJ772&lt;&gt;"Valid",LEFT($AM772,7)="Invalid",IFERROR(ABS($AQ772)&gt;0.01,FALSE),IFERROR(ABS($AR772)&gt;0.01,FALSE),COUNTIF($AS772,"*Conflicting duplicate*")&gt;0,COUNTIF($AS772,"*Completed order not paid*")&gt;0),"Invalid",IF(OR($H772="Unknown",$N772="Unknown",$AM772="Missing discount imputed as 0"),"Warning","Clean"))</x:f>
        <x:v>Invalid</x:v>
      </x:c>
      <x:c r="AF772" s="80" t="str">
        <x:v>Review</x:v>
      </x:c>
      <x:c r="AG772" s="80" t="str">
        <x:v>discount: Imputed 0; discount: Missing value set to 0 after sales-field validation</x:v>
      </x:c>
      <x:c r="AH772" s="12" t="str">
        <x:f>IF(C772="","Missing date",IF(ISNUMBER(C772),"Valid","Unrecognized/invalid date"))</x:f>
        <x:v>Valid</x:v>
      </x:c>
      <x:c r="AI772" s="12" t="str">
        <x:f>IF(D772="","Missing date",IF(ISNUMBER(D772),"Valid","Unrecognized/invalid date"))</x:f>
        <x:v>Valid</x:v>
      </x:c>
      <x:c r="AJ772" s="12" t="str">
        <x:v>Valid</x:v>
      </x:c>
      <x:c r="AK772" s="12" t="str">
        <x:v>Pass</x:v>
      </x:c>
      <x:c r="AL772" s="12" t="str">
        <x:v>Missing discount imputed as 0</x:v>
      </x:c>
      <x:c r="AM772" s="12" t="str">
        <x:v>Missing discount imputed as 0</x:v>
      </x:c>
      <x:c r="AN772" s="12" t="str">
        <x:v>Exclude from completed sales</x:v>
      </x:c>
      <x:c r="AO772" s="12" t="str">
        <x:v>Not a refunded record</x:v>
      </x:c>
      <x:c r="AP772" s="37" t="n">
        <x:f>IF(LEFT($AM772,7)="Invalid","",IF($AM772="Missing discount imputed as 0",IF(AND(COUNT($O772,$P772,$R772,$S772)=4,$O772&gt;0,$P772&gt;=0,$R772&gt;=0,$S772&gt;=0),0,""),IF(AND(ISNUMBER($Q772),$Q772&gt;=0,$Q772&lt;=0.5),$Q772,"")))</x:f>
        <x:v>0</x:v>
      </x:c>
      <x:c r="AQ772" s="152" t="n">
        <x:f>IF(OR($W772="",NOT(ISNUMBER($R772))),"",ROUND($R772-$W772,2))</x:f>
        <x:v>-345.2</x:v>
      </x:c>
      <x:c r="AR772" s="152" t="n">
        <x:f>IF(OR($X772="",NOT(ISNUMBER($T772))),"",ROUND($T772-$X772,2))</x:f>
        <x:v>-345.2</x:v>
      </x:c>
      <x:c r="AS772" s="14" t="str">
        <x:v>Sales calculation mismatch</x:v>
      </x:c>
    </x:row>
    <x:row r="773">
      <x:c r="A773" s="80" t="n">
        <x:v>773</x:v>
      </x:c>
      <x:c r="B773" s="80" t="str">
        <x:v>ORD-2024-10772</x:v>
      </x:c>
      <x:c r="C773" s="81" t="n">
        <x:v>45485</x:v>
      </x:c>
      <x:c r="D773" s="81" t="n">
        <x:v>45487</x:v>
      </x:c>
      <x:c r="E773" s="80" t="str">
        <x:v>CUST-7861</x:v>
      </x:c>
      <x:c r="F773" s="80" t="str">
        <x:v>Ananya Rao</x:v>
      </x:c>
      <x:c r="G773" s="80" t="str">
        <x:v>Consumer</x:v>
      </x:c>
      <x:c r="H773" s="80" t="str">
        <x:v>North</x:v>
      </x:c>
      <x:c r="I773" s="80" t="str">
        <x:v>Haryana</x:v>
      </x:c>
      <x:c r="J773" s="80" t="str">
        <x:v>Gurugram</x:v>
      </x:c>
      <x:c r="K773" s="80" t="str">
        <x:v>Technology</x:v>
      </x:c>
      <x:c r="L773" s="80" t="str">
        <x:v>Machines</x:v>
      </x:c>
      <x:c r="M773" s="80" t="str">
        <x:v>Basic Machines 401</x:v>
      </x:c>
      <x:c r="N773" s="80" t="str">
        <x:v>Second Class</x:v>
      </x:c>
      <x:c r="O773" s="82" t="n">
        <x:v>4</x:v>
      </x:c>
      <x:c r="P773" s="83" t="n">
        <x:v>2131.41</x:v>
      </x:c>
      <x:c r="Q773" s="84" t="n">
        <x:v>0</x:v>
      </x:c>
      <x:c r="R773" s="83" t="n">
        <x:v>6394.23</x:v>
      </x:c>
      <x:c r="S773" s="83" t="n">
        <x:v>3520.69</x:v>
      </x:c>
      <x:c r="T773" s="83" t="n">
        <x:v>2873.54</x:v>
      </x:c>
      <x:c r="U773" s="83" t="str">
        <x:v>Paid</x:v>
      </x:c>
      <x:c r="V773" s="83" t="str">
        <x:v>Completed</x:v>
      </x:c>
      <x:c r="W773" s="151" t="n">
        <x:f>IF(OR(NOT(ISNUMBER($AP773)),COUNT($O773,$P773)&lt;2,$O773&lt;=0,$P773&lt;0),"",ROUND($O773*$P773*(1-$AP773),2))</x:f>
        <x:v>8525.64</x:v>
      </x:c>
      <x:c r="X773" s="151" t="n">
        <x:f>IF(OR(NOT(ISNUMBER($W773)),NOT(ISNUMBER($S773))),"",ROUND($W773-$S773,2))</x:f>
        <x:v>5004.95</x:v>
      </x:c>
      <x:c r="Y773" s="85" t="n">
        <x:f>IF(OR(NOT(ISNUMBER($W773)),NOT(ISNUMBER($X773)),$W773=0),"",ROUND($X773/$W773,4))</x:f>
        <x:v>0.587</x:v>
      </x:c>
      <x:c r="Z773" s="82" t="n">
        <x:f>IF(OR($AH773&lt;&gt;"Valid",$AI773&lt;&gt;"Valid"),"",INT($D773-$C773))</x:f>
        <x:v>2</x:v>
      </x:c>
      <x:c r="AA773" s="86" t="str">
        <x:f>IF($AH773&lt;&gt;"Valid","",TEXT($C773,"mmmm"))</x:f>
        <x:v>July</x:v>
      </x:c>
      <x:c r="AB773" s="82" t="n">
        <x:f>IF($AH773&lt;&gt;"Valid","",YEAR($C773))</x:f>
        <x:v>2024</x:v>
      </x:c>
      <x:c r="AC773" s="80" t="str">
        <x:v>Consistent</x:v>
      </x:c>
      <x:c r="AD773" s="80" t="str">
        <x:v>Excluded</x:v>
      </x:c>
      <x:c r="AE773" s="80" t="str">
        <x:f>IF(OR($AH773&lt;&gt;"Valid",$AI773&lt;&gt;"Valid",$AJ773&lt;&gt;"Valid",LEFT($AM773,7)="Invalid",IFERROR(ABS($AQ773)&gt;0.01,FALSE),IFERROR(ABS($AR773)&gt;0.01,FALSE),COUNTIF($AS773,"*Conflicting duplicate*")&gt;0,COUNTIF($AS773,"*Completed order not paid*")&gt;0),"Invalid",IF(OR($H773="Unknown",$N773="Unknown",$AM773="Missing discount imputed as 0"),"Warning","Clean"))</x:f>
        <x:v>Invalid</x:v>
      </x:c>
      <x:c r="AF773" s="80" t="str">
        <x:v>Review</x:v>
      </x:c>
      <x:c r="AG773" s="80" t="str">
        <x:v>discount: Imputed 0; discount: Missing value set to 0 after sales-field validation</x:v>
      </x:c>
      <x:c r="AH773" s="12" t="str">
        <x:f>IF(C773="","Missing date",IF(ISNUMBER(C773),"Valid","Unrecognized/invalid date"))</x:f>
        <x:v>Valid</x:v>
      </x:c>
      <x:c r="AI773" s="12" t="str">
        <x:f>IF(D773="","Missing date",IF(ISNUMBER(D773),"Valid","Unrecognized/invalid date"))</x:f>
        <x:v>Valid</x:v>
      </x:c>
      <x:c r="AJ773" s="12" t="str">
        <x:v>Valid</x:v>
      </x:c>
      <x:c r="AK773" s="12" t="str">
        <x:v>Pass</x:v>
      </x:c>
      <x:c r="AL773" s="12" t="str">
        <x:v>Missing discount imputed as 0</x:v>
      </x:c>
      <x:c r="AM773" s="12" t="str">
        <x:v>Missing discount imputed as 0</x:v>
      </x:c>
      <x:c r="AN773" s="12" t="str">
        <x:v>Exclude from completed sales</x:v>
      </x:c>
      <x:c r="AO773" s="12" t="str">
        <x:v>Not a refunded record</x:v>
      </x:c>
      <x:c r="AP773" s="37" t="n">
        <x:f>IF(LEFT($AM773,7)="Invalid","",IF($AM773="Missing discount imputed as 0",IF(AND(COUNT($O773,$P773,$R773,$S773)=4,$O773&gt;0,$P773&gt;=0,$R773&gt;=0,$S773&gt;=0),0,""),IF(AND(ISNUMBER($Q773),$Q773&gt;=0,$Q773&lt;=0.5),$Q773,"")))</x:f>
        <x:v>0</x:v>
      </x:c>
      <x:c r="AQ773" s="152" t="n">
        <x:f>IF(OR($W773="",NOT(ISNUMBER($R773))),"",ROUND($R773-$W773,2))</x:f>
        <x:v>-2131.41</x:v>
      </x:c>
      <x:c r="AR773" s="152" t="n">
        <x:f>IF(OR($X773="",NOT(ISNUMBER($T773))),"",ROUND($T773-$X773,2))</x:f>
        <x:v>-2131.41</x:v>
      </x:c>
      <x:c r="AS773" s="14" t="str">
        <x:v>Sales calculation mismatch</x:v>
      </x:c>
    </x:row>
    <x:row r="774">
      <x:c r="A774" s="80" t="n">
        <x:v>774</x:v>
      </x:c>
      <x:c r="B774" s="80" t="str">
        <x:v>ORD-2025-10773</x:v>
      </x:c>
      <x:c r="C774" s="81" t="n">
        <x:v>45853</x:v>
      </x:c>
      <x:c r="D774" s="81" t="n">
        <x:v>45857</x:v>
      </x:c>
      <x:c r="E774" s="80" t="str">
        <x:v>CUST-8422</x:v>
      </x:c>
      <x:c r="F774" s="80" t="str">
        <x:v>Diya Patel</x:v>
      </x:c>
      <x:c r="G774" s="80" t="str">
        <x:v>Consumer</x:v>
      </x:c>
      <x:c r="H774" s="80" t="str">
        <x:v>South</x:v>
      </x:c>
      <x:c r="I774" s="80" t="str">
        <x:v>Tamil Nadu</x:v>
      </x:c>
      <x:c r="J774" s="80" t="str">
        <x:v>Chennai</x:v>
      </x:c>
      <x:c r="K774" s="80" t="str">
        <x:v>Furniture</x:v>
      </x:c>
      <x:c r="L774" s="80" t="str">
        <x:v>Chairs</x:v>
      </x:c>
      <x:c r="M774" s="80" t="str">
        <x:v>Basic Chairs 279</x:v>
      </x:c>
      <x:c r="N774" s="80" t="str">
        <x:v>Same Day</x:v>
      </x:c>
      <x:c r="O774" s="82" t="n">
        <x:v>1</x:v>
      </x:c>
      <x:c r="P774" s="83" t="n">
        <x:v>3903.22</x:v>
      </x:c>
      <x:c r="Q774" s="84" t="n">
        <x:v>0.05</x:v>
      </x:c>
      <x:c r="R774" s="83" t="n">
        <x:v>3708.06</x:v>
      </x:c>
      <x:c r="S774" s="83" t="n">
        <x:v>2760.29</x:v>
      </x:c>
      <x:c r="T774" s="83" t="n">
        <x:v>947.77</x:v>
      </x:c>
      <x:c r="U774" s="83" t="str">
        <x:v>Pending</x:v>
      </x:c>
      <x:c r="V774" s="83" t="str">
        <x:v>Cancelled</x:v>
      </x:c>
      <x:c r="W774" s="151" t="n">
        <x:f>IF(OR(NOT(ISNUMBER($AP774)),COUNT($O774,$P774)&lt;2,$O774&lt;=0,$P774&lt;0),"",ROUND($O774*$P774*(1-$AP774),2))</x:f>
        <x:v>3708.06</x:v>
      </x:c>
      <x:c r="X774" s="151" t="n">
        <x:f>IF(OR(NOT(ISNUMBER($W774)),NOT(ISNUMBER($S774))),"",ROUND($W774-$S774,2))</x:f>
        <x:v>947.77</x:v>
      </x:c>
      <x:c r="Y774" s="85" t="n">
        <x:f>IF(OR(NOT(ISNUMBER($W774)),NOT(ISNUMBER($X774)),$W774=0),"",ROUND($X774/$W774,4))</x:f>
        <x:v>0.2556</x:v>
      </x:c>
      <x:c r="Z774" s="82" t="n">
        <x:f>IF(OR($AH774&lt;&gt;"Valid",$AI774&lt;&gt;"Valid"),"",INT($D774-$C774))</x:f>
        <x:v>4</x:v>
      </x:c>
      <x:c r="AA774" s="86" t="str">
        <x:f>IF($AH774&lt;&gt;"Valid","",TEXT($C774,"mmmm"))</x:f>
        <x:v>July</x:v>
      </x:c>
      <x:c r="AB774" s="82" t="n">
        <x:f>IF($AH774&lt;&gt;"Valid","",YEAR($C774))</x:f>
        <x:v>2025</x:v>
      </x:c>
      <x:c r="AC774" s="80" t="str">
        <x:v>Cancelled (excluded from completed-sales summary)</x:v>
      </x:c>
      <x:c r="AD774" s="80" t="str">
        <x:v>Excluded</x:v>
      </x:c>
      <x:c r="AE774" s="80" t="str">
        <x:f>IF(OR($AH774&lt;&gt;"Valid",$AI774&lt;&gt;"Valid",$AJ774&lt;&gt;"Valid",LEFT($AM774,7)="Invalid",IFERROR(ABS($AQ774)&gt;0.01,FALSE),IFERROR(ABS($AR774)&gt;0.01,FALSE),COUNTIF($AS774,"*Conflicting duplicate*")&gt;0,COUNTIF($AS774,"*Completed order not paid*")&gt;0),"Invalid",IF(OR($H774="Unknown",$N774="Unknown",$AM774="Missing discount imputed as 0"),"Warning","Clean"))</x:f>
        <x:v>Clean</x:v>
      </x:c>
      <x:c r="AF774" s="80" t="str">
        <x:v>Pass</x:v>
      </x:c>
      <x:c r="AG774" s="80" t="str">
        <x:v>No text cleanup required</x:v>
      </x:c>
      <x:c r="AH774" s="12" t="str">
        <x:f>IF(C774="","Missing date",IF(ISNUMBER(C774),"Valid","Unrecognized/invalid date"))</x:f>
        <x:v>Valid</x:v>
      </x:c>
      <x:c r="AI774" s="12" t="str">
        <x:f>IF(D774="","Missing date",IF(ISNUMBER(D774),"Valid","Unrecognized/invalid date"))</x:f>
        <x:v>Valid</x:v>
      </x:c>
      <x:c r="AJ774" s="12" t="str">
        <x:v>Valid</x:v>
      </x:c>
      <x:c r="AK774" s="12" t="str">
        <x:v>Pass</x:v>
      </x:c>
      <x:c r="AL774" s="12" t="str">
        <x:v>Cancelled order – excluded from completed sales</x:v>
      </x:c>
      <x:c r="AM774" s="12" t="str">
        <x:v>Valid</x:v>
      </x:c>
      <x:c r="AN774" s="12" t="str">
        <x:v>Exclude from completed sales</x:v>
      </x:c>
      <x:c r="AO774" s="12" t="str">
        <x:v>Not a refunded record</x:v>
      </x:c>
      <x:c r="AP774" s="37" t="n">
        <x:f>IF(LEFT($AM774,7)="Invalid","",IF($AM774="Missing discount imputed as 0",IF(AND(COUNT($O774,$P774,$R774,$S774)=4,$O774&gt;0,$P774&gt;=0,$R774&gt;=0,$S774&gt;=0),0,""),IF(AND(ISNUMBER($Q774),$Q774&gt;=0,$Q774&lt;=0.5),$Q774,"")))</x:f>
        <x:v>0.05</x:v>
      </x:c>
      <x:c r="AQ774" s="152" t="n">
        <x:f>IF(OR($W774="",NOT(ISNUMBER($R774))),"",ROUND($R774-$W774,2))</x:f>
        <x:v>0</x:v>
      </x:c>
      <x:c r="AR774" s="152" t="n">
        <x:f>IF(OR($X774="",NOT(ISNUMBER($T774))),"",ROUND($T774-$X774,2))</x:f>
        <x:v>0</x:v>
      </x:c>
      <x:c r="AS774" s="14" t="str">
        <x:v>OK</x:v>
      </x:c>
    </x:row>
    <x:row r="775">
      <x:c r="A775" s="80" t="n">
        <x:v>775</x:v>
      </x:c>
      <x:c r="B775" s="80" t="str">
        <x:v>ORD-2025-10774</x:v>
      </x:c>
      <x:c r="C775" s="81" t="n">
        <x:v>45709</x:v>
      </x:c>
      <x:c r="D775" s="81" t="n">
        <x:v>45709</x:v>
      </x:c>
      <x:c r="E775" s="80" t="str">
        <x:v>CUST-4766</x:v>
      </x:c>
      <x:c r="F775" s="80" t="str">
        <x:v>Karan Malhotra</x:v>
      </x:c>
      <x:c r="G775" s="80" t="str">
        <x:v>Home Office</x:v>
      </x:c>
      <x:c r="H775" s="80" t="str">
        <x:v>West</x:v>
      </x:c>
      <x:c r="I775" s="80" t="str">
        <x:v>Gujarat</x:v>
      </x:c>
      <x:c r="J775" s="80" t="str">
        <x:v>Ahmedabad</x:v>
      </x:c>
      <x:c r="K775" s="80" t="str">
        <x:v>Technology</x:v>
      </x:c>
      <x:c r="L775" s="80" t="str">
        <x:v>Phones</x:v>
      </x:c>
      <x:c r="M775" s="80" t="str">
        <x:v>Basic Phones 753</x:v>
      </x:c>
      <x:c r="N775" s="80" t="str">
        <x:v>Unknown</x:v>
      </x:c>
      <x:c r="O775" s="82" t="n">
        <x:v>4</x:v>
      </x:c>
      <x:c r="P775" s="83" t="n">
        <x:v>2945.07</x:v>
      </x:c>
      <x:c r="Q775" s="84" t="n">
        <x:v>0.2</x:v>
      </x:c>
      <x:c r="R775" s="83" t="n">
        <x:v>9424.22</x:v>
      </x:c>
      <x:c r="S775" s="83" t="n">
        <x:v>6178.92</x:v>
      </x:c>
      <x:c r="T775" s="83" t="n">
        <x:v>3245.3</x:v>
      </x:c>
      <x:c r="U775" s="83" t="str">
        <x:v>Paid</x:v>
      </x:c>
      <x:c r="V775" s="83" t="str">
        <x:v>Completed</x:v>
      </x:c>
      <x:c r="W775" s="151" t="n">
        <x:f>IF(OR(NOT(ISNUMBER($AP775)),COUNT($O775,$P775)&lt;2,$O775&lt;=0,$P775&lt;0),"",ROUND($O775*$P775*(1-$AP775),2))</x:f>
        <x:v>9424.22</x:v>
      </x:c>
      <x:c r="X775" s="151" t="n">
        <x:f>IF(OR(NOT(ISNUMBER($W775)),NOT(ISNUMBER($S775))),"",ROUND($W775-$S775,2))</x:f>
        <x:v>3245.3</x:v>
      </x:c>
      <x:c r="Y775" s="85" t="n">
        <x:f>IF(OR(NOT(ISNUMBER($W775)),NOT(ISNUMBER($X775)),$W775=0),"",ROUND($X775/$W775,4))</x:f>
        <x:v>0.3444</x:v>
      </x:c>
      <x:c r="Z775" s="82" t="n">
        <x:f>IF(OR($AH775&lt;&gt;"Valid",$AI775&lt;&gt;"Valid"),"",INT($D775-$C775))</x:f>
        <x:v>0</x:v>
      </x:c>
      <x:c r="AA775" s="86" t="str">
        <x:f>IF($AH775&lt;&gt;"Valid","",TEXT($C775,"mmmm"))</x:f>
        <x:v>February</x:v>
      </x:c>
      <x:c r="AB775" s="82" t="n">
        <x:f>IF($AH775&lt;&gt;"Valid","",YEAR($C775))</x:f>
        <x:v>2025</x:v>
      </x:c>
      <x:c r="AC775" s="80" t="str">
        <x:v>Consistent</x:v>
      </x:c>
      <x:c r="AD775" s="80" t="str">
        <x:v>Eligible</x:v>
      </x:c>
      <x:c r="AE775" s="80" t="str">
        <x:f>IF(OR($AH775&lt;&gt;"Valid",$AI775&lt;&gt;"Valid",$AJ775&lt;&gt;"Valid",LEFT($AM775,7)="Invalid",IFERROR(ABS($AQ775)&gt;0.01,FALSE),IFERROR(ABS($AR775)&gt;0.01,FALSE),COUNTIF($AS775,"*Conflicting duplicate*")&gt;0,COUNTIF($AS775,"*Completed order not paid*")&gt;0),"Invalid",IF(OR($H775="Unknown",$N775="Unknown",$AM775="Missing discount imputed as 0"),"Warning","Clean"))</x:f>
        <x:v>Warning</x:v>
      </x:c>
      <x:c r="AF775" s="80" t="str">
        <x:v>Cleaned</x:v>
      </x:c>
      <x:c r="AG775" s="80" t="str">
        <x:v>ship_mode: Missing value filled as Unknown</x:v>
      </x:c>
      <x:c r="AH775" s="12" t="str">
        <x:f>IF(C775="","Missing date",IF(ISNUMBER(C775),"Valid","Unrecognized/invalid date"))</x:f>
        <x:v>Valid</x:v>
      </x:c>
      <x:c r="AI775" s="12" t="str">
        <x:f>IF(D775="","Missing date",IF(ISNUMBER(D775),"Valid","Unrecognized/invalid date"))</x:f>
        <x:v>Valid</x:v>
      </x:c>
      <x:c r="AJ775" s="12" t="str">
        <x:v>Valid</x:v>
      </x:c>
      <x:c r="AK775" s="12" t="str">
        <x:v>Pass</x:v>
      </x:c>
      <x:c r="AL775" s="12" t="str">
        <x:v>Missing ship_mode filled as Unknown</x:v>
      </x:c>
      <x:c r="AM775" s="12" t="str">
        <x:v>Valid</x:v>
      </x:c>
      <x:c r="AN775" s="12" t="str">
        <x:v>Include in completed sales</x:v>
      </x:c>
      <x:c r="AO775" s="12" t="str">
        <x:v>Not a refunded record</x:v>
      </x:c>
      <x:c r="AP775" s="37" t="n">
        <x:f>IF(LEFT($AM775,7)="Invalid","",IF($AM775="Missing discount imputed as 0",IF(AND(COUNT($O775,$P775,$R775,$S775)=4,$O775&gt;0,$P775&gt;=0,$R775&gt;=0,$S775&gt;=0),0,""),IF(AND(ISNUMBER($Q775),$Q775&gt;=0,$Q775&lt;=0.5),$Q775,"")))</x:f>
        <x:v>0.2</x:v>
      </x:c>
      <x:c r="AQ775" s="152" t="n">
        <x:f>IF(OR($W775="",NOT(ISNUMBER($R775))),"",ROUND($R775-$W775,2))</x:f>
        <x:v>0</x:v>
      </x:c>
      <x:c r="AR775" s="152" t="n">
        <x:f>IF(OR($X775="",NOT(ISNUMBER($T775))),"",ROUND($T775-$X775,2))</x:f>
        <x:v>0</x:v>
      </x:c>
      <x:c r="AS775" s="14" t="str">
        <x:v>OK</x:v>
      </x:c>
    </x:row>
    <x:row r="776">
      <x:c r="A776" s="80" t="n">
        <x:v>776</x:v>
      </x:c>
      <x:c r="B776" s="80" t="str">
        <x:v>ORD-2025-10775</x:v>
      </x:c>
      <x:c r="C776" s="81" t="n">
        <x:v>45876</x:v>
      </x:c>
      <x:c r="D776" s="81" t="n">
        <x:v>45876</x:v>
      </x:c>
      <x:c r="E776" s="80" t="str">
        <x:v>CUST-1182</x:v>
      </x:c>
      <x:c r="F776" s="80" t="str">
        <x:v>Kabir Singh</x:v>
      </x:c>
      <x:c r="G776" s="80" t="str">
        <x:v>Consumer</x:v>
      </x:c>
      <x:c r="H776" s="80" t="str">
        <x:v>West</x:v>
      </x:c>
      <x:c r="I776" s="80" t="str">
        <x:v>Rajasthan</x:v>
      </x:c>
      <x:c r="J776" s="80" t="str">
        <x:v>Udaipur</x:v>
      </x:c>
      <x:c r="K776" s="80" t="str">
        <x:v>Technology</x:v>
      </x:c>
      <x:c r="L776" s="80" t="str">
        <x:v>Machines</x:v>
      </x:c>
      <x:c r="M776" s="80" t="str">
        <x:v>Smart Machines 789</x:v>
      </x:c>
      <x:c r="N776" s="80" t="str">
        <x:v>Unknown</x:v>
      </x:c>
      <x:c r="O776" s="82" t="n">
        <x:v>9</x:v>
      </x:c>
      <x:c r="P776" s="83" t="n">
        <x:v>1076.75</x:v>
      </x:c>
      <x:c r="Q776" s="84" t="n">
        <x:v>0.2</x:v>
      </x:c>
      <x:c r="R776" s="83" t="n">
        <x:v>7752.6</x:v>
      </x:c>
      <x:c r="S776" s="83" t="n">
        <x:v>4689.3</x:v>
      </x:c>
      <x:c r="T776" s="83" t="n">
        <x:v>3063.3</x:v>
      </x:c>
      <x:c r="U776" s="83" t="str">
        <x:v>Paid</x:v>
      </x:c>
      <x:c r="V776" s="83" t="str">
        <x:v>Completed</x:v>
      </x:c>
      <x:c r="W776" s="151" t="n">
        <x:f>IF(OR(NOT(ISNUMBER($AP776)),COUNT($O776,$P776)&lt;2,$O776&lt;=0,$P776&lt;0),"",ROUND($O776*$P776*(1-$AP776),2))</x:f>
        <x:v>7752.6</x:v>
      </x:c>
      <x:c r="X776" s="151" t="n">
        <x:f>IF(OR(NOT(ISNUMBER($W776)),NOT(ISNUMBER($S776))),"",ROUND($W776-$S776,2))</x:f>
        <x:v>3063.3</x:v>
      </x:c>
      <x:c r="Y776" s="85" t="n">
        <x:f>IF(OR(NOT(ISNUMBER($W776)),NOT(ISNUMBER($X776)),$W776=0),"",ROUND($X776/$W776,4))</x:f>
        <x:v>0.3951</x:v>
      </x:c>
      <x:c r="Z776" s="82" t="n">
        <x:f>IF(OR($AH776&lt;&gt;"Valid",$AI776&lt;&gt;"Valid"),"",INT($D776-$C776))</x:f>
        <x:v>0</x:v>
      </x:c>
      <x:c r="AA776" s="86" t="str">
        <x:f>IF($AH776&lt;&gt;"Valid","",TEXT($C776,"mmmm"))</x:f>
        <x:v>August</x:v>
      </x:c>
      <x:c r="AB776" s="82" t="n">
        <x:f>IF($AH776&lt;&gt;"Valid","",YEAR($C776))</x:f>
        <x:v>2025</x:v>
      </x:c>
      <x:c r="AC776" s="80" t="str">
        <x:v>Consistent</x:v>
      </x:c>
      <x:c r="AD776" s="80" t="str">
        <x:v>Eligible</x:v>
      </x:c>
      <x:c r="AE776" s="80" t="str">
        <x:f>IF(OR($AH776&lt;&gt;"Valid",$AI776&lt;&gt;"Valid",$AJ776&lt;&gt;"Valid",LEFT($AM776,7)="Invalid",IFERROR(ABS($AQ776)&gt;0.01,FALSE),IFERROR(ABS($AR776)&gt;0.01,FALSE),COUNTIF($AS776,"*Conflicting duplicate*")&gt;0,COUNTIF($AS776,"*Completed order not paid*")&gt;0),"Invalid",IF(OR($H776="Unknown",$N776="Unknown",$AM776="Missing discount imputed as 0"),"Warning","Clean"))</x:f>
        <x:v>Warning</x:v>
      </x:c>
      <x:c r="AF776" s="80" t="str">
        <x:v>Cleaned</x:v>
      </x:c>
      <x:c r="AG776" s="80" t="str">
        <x:v>ship_mode: Missing value filled as Unknown</x:v>
      </x:c>
      <x:c r="AH776" s="12" t="str">
        <x:f>IF(C776="","Missing date",IF(ISNUMBER(C776),"Valid","Unrecognized/invalid date"))</x:f>
        <x:v>Valid</x:v>
      </x:c>
      <x:c r="AI776" s="12" t="str">
        <x:f>IF(D776="","Missing date",IF(ISNUMBER(D776),"Valid","Unrecognized/invalid date"))</x:f>
        <x:v>Valid</x:v>
      </x:c>
      <x:c r="AJ776" s="12" t="str">
        <x:v>Valid</x:v>
      </x:c>
      <x:c r="AK776" s="12" t="str">
        <x:v>Pass</x:v>
      </x:c>
      <x:c r="AL776" s="12" t="str">
        <x:v>Missing ship_mode filled as Unknown</x:v>
      </x:c>
      <x:c r="AM776" s="12" t="str">
        <x:v>Valid</x:v>
      </x:c>
      <x:c r="AN776" s="12" t="str">
        <x:v>Include in completed sales</x:v>
      </x:c>
      <x:c r="AO776" s="12" t="str">
        <x:v>Not a refunded record</x:v>
      </x:c>
      <x:c r="AP776" s="37" t="n">
        <x:f>IF(LEFT($AM776,7)="Invalid","",IF($AM776="Missing discount imputed as 0",IF(AND(COUNT($O776,$P776,$R776,$S776)=4,$O776&gt;0,$P776&gt;=0,$R776&gt;=0,$S776&gt;=0),0,""),IF(AND(ISNUMBER($Q776),$Q776&gt;=0,$Q776&lt;=0.5),$Q776,"")))</x:f>
        <x:v>0.2</x:v>
      </x:c>
      <x:c r="AQ776" s="152" t="n">
        <x:f>IF(OR($W776="",NOT(ISNUMBER($R776))),"",ROUND($R776-$W776,2))</x:f>
        <x:v>0</x:v>
      </x:c>
      <x:c r="AR776" s="152" t="n">
        <x:f>IF(OR($X776="",NOT(ISNUMBER($T776))),"",ROUND($T776-$X776,2))</x:f>
        <x:v>0</x:v>
      </x:c>
      <x:c r="AS776" s="14" t="str">
        <x:v>OK</x:v>
      </x:c>
    </x:row>
    <x:row r="777">
      <x:c r="A777" s="80" t="n">
        <x:v>777</x:v>
      </x:c>
      <x:c r="B777" s="80" t="str">
        <x:v>ORD-2024-10776</x:v>
      </x:c>
      <x:c r="C777" s="81" t="n">
        <x:v>45396</x:v>
      </x:c>
      <x:c r="D777" s="81" t="n">
        <x:v>45404</x:v>
      </x:c>
      <x:c r="E777" s="80" t="str">
        <x:v>CUST-4461</x:v>
      </x:c>
      <x:c r="F777" s="80" t="str">
        <x:v>Arjun Bose</x:v>
      </x:c>
      <x:c r="G777" s="80" t="str">
        <x:v>Consumer</x:v>
      </x:c>
      <x:c r="H777" s="80" t="str">
        <x:v>North</x:v>
      </x:c>
      <x:c r="I777" s="80" t="str">
        <x:v>Haryana</x:v>
      </x:c>
      <x:c r="J777" s="80" t="str">
        <x:v>Gurugram</x:v>
      </x:c>
      <x:c r="K777" s="80" t="str">
        <x:v>Technology</x:v>
      </x:c>
      <x:c r="L777" s="80" t="str">
        <x:v>Accessories</x:v>
      </x:c>
      <x:c r="M777" s="80" t="str">
        <x:v>Elite Accessories 312</x:v>
      </x:c>
      <x:c r="N777" s="80" t="str">
        <x:v>Standard Class</x:v>
      </x:c>
      <x:c r="O777" s="82" t="n">
        <x:v>8</x:v>
      </x:c>
      <x:c r="P777" s="83" t="n">
        <x:v>3956.12</x:v>
      </x:c>
      <x:c r="Q777" s="84" t="n">
        <x:v>0.25</x:v>
      </x:c>
      <x:c r="R777" s="83" t="n">
        <x:v>23736.72</x:v>
      </x:c>
      <x:c r="S777" s="83" t="n">
        <x:v>13890.9</x:v>
      </x:c>
      <x:c r="T777" s="83" t="n">
        <x:v>9845.82</x:v>
      </x:c>
      <x:c r="U777" s="83" t="str">
        <x:v>Paid</x:v>
      </x:c>
      <x:c r="V777" s="83" t="str">
        <x:v>Completed</x:v>
      </x:c>
      <x:c r="W777" s="151" t="n">
        <x:f>IF(OR(NOT(ISNUMBER($AP777)),COUNT($O777,$P777)&lt;2,$O777&lt;=0,$P777&lt;0),"",ROUND($O777*$P777*(1-$AP777),2))</x:f>
        <x:v>23736.72</x:v>
      </x:c>
      <x:c r="X777" s="151" t="n">
        <x:f>IF(OR(NOT(ISNUMBER($W777)),NOT(ISNUMBER($S777))),"",ROUND($W777-$S777,2))</x:f>
        <x:v>9845.82</x:v>
      </x:c>
      <x:c r="Y777" s="85" t="n">
        <x:f>IF(OR(NOT(ISNUMBER($W777)),NOT(ISNUMBER($X777)),$W777=0),"",ROUND($X777/$W777,4))</x:f>
        <x:v>0.4148</x:v>
      </x:c>
      <x:c r="Z777" s="82" t="n">
        <x:f>IF(OR($AH777&lt;&gt;"Valid",$AI777&lt;&gt;"Valid"),"",INT($D777-$C777))</x:f>
        <x:v>8</x:v>
      </x:c>
      <x:c r="AA777" s="86" t="str">
        <x:f>IF($AH777&lt;&gt;"Valid","",TEXT($C777,"mmmm"))</x:f>
        <x:v>April</x:v>
      </x:c>
      <x:c r="AB777" s="82" t="n">
        <x:f>IF($AH777&lt;&gt;"Valid","",YEAR($C777))</x:f>
        <x:v>2024</x:v>
      </x:c>
      <x:c r="AC777" s="80" t="str">
        <x:v>Consistent</x:v>
      </x:c>
      <x:c r="AD777" s="80" t="str">
        <x:v>Eligible</x:v>
      </x:c>
      <x:c r="AE777" s="80" t="str">
        <x:f>IF(OR($AH777&lt;&gt;"Valid",$AI777&lt;&gt;"Valid",$AJ777&lt;&gt;"Valid",LEFT($AM777,7)="Invalid",IFERROR(ABS($AQ777)&gt;0.01,FALSE),IFERROR(ABS($AR777)&gt;0.01,FALSE),COUNTIF($AS777,"*Conflicting duplicate*")&gt;0,COUNTIF($AS777,"*Completed order not paid*")&gt;0),"Invalid",IF(OR($H777="Unknown",$N777="Unknown",$AM777="Missing discount imputed as 0"),"Warning","Clean"))</x:f>
        <x:v>Clean</x:v>
      </x:c>
      <x:c r="AF777" s="80" t="str">
        <x:v>Pass</x:v>
      </x:c>
      <x:c r="AG777" s="80" t="str">
        <x:v>No text cleanup required</x:v>
      </x:c>
      <x:c r="AH777" s="12" t="str">
        <x:f>IF(C777="","Missing date",IF(ISNUMBER(C777),"Valid","Unrecognized/invalid date"))</x:f>
        <x:v>Valid</x:v>
      </x:c>
      <x:c r="AI777" s="12" t="str">
        <x:f>IF(D777="","Missing date",IF(ISNUMBER(D777),"Valid","Unrecognized/invalid date"))</x:f>
        <x:v>Valid</x:v>
      </x:c>
      <x:c r="AJ777" s="12" t="str">
        <x:v>Valid</x:v>
      </x:c>
      <x:c r="AK777" s="12" t="str">
        <x:v>Pass</x:v>
      </x:c>
      <x:c r="AL777" s="12" t="str">
        <x:v>None</x:v>
      </x:c>
      <x:c r="AM777" s="12" t="str">
        <x:v>Valid</x:v>
      </x:c>
      <x:c r="AN777" s="12" t="str">
        <x:v>Include in completed sales</x:v>
      </x:c>
      <x:c r="AO777" s="12" t="str">
        <x:v>Not a refunded record</x:v>
      </x:c>
      <x:c r="AP777" s="37" t="n">
        <x:f>IF(LEFT($AM777,7)="Invalid","",IF($AM777="Missing discount imputed as 0",IF(AND(COUNT($O777,$P777,$R777,$S777)=4,$O777&gt;0,$P777&gt;=0,$R777&gt;=0,$S777&gt;=0),0,""),IF(AND(ISNUMBER($Q777),$Q777&gt;=0,$Q777&lt;=0.5),$Q777,"")))</x:f>
        <x:v>0.25</x:v>
      </x:c>
      <x:c r="AQ777" s="152" t="n">
        <x:f>IF(OR($W777="",NOT(ISNUMBER($R777))),"",ROUND($R777-$W777,2))</x:f>
        <x:v>0</x:v>
      </x:c>
      <x:c r="AR777" s="152" t="n">
        <x:f>IF(OR($X777="",NOT(ISNUMBER($T777))),"",ROUND($T777-$X777,2))</x:f>
        <x:v>0</x:v>
      </x:c>
      <x:c r="AS777" s="14" t="str">
        <x:v>OK</x:v>
      </x:c>
    </x:row>
    <x:row r="778">
      <x:c r="A778" s="80" t="n">
        <x:v>778</x:v>
      </x:c>
      <x:c r="B778" s="80" t="str">
        <x:v>ORD-2025-10777</x:v>
      </x:c>
      <x:c r="C778" s="81" t="n">
        <x:v>45816</x:v>
      </x:c>
      <x:c r="D778" s="81" t="n">
        <x:v>45821</x:v>
      </x:c>
      <x:c r="E778" s="80" t="str">
        <x:v>CUST-9690</x:v>
      </x:c>
      <x:c r="F778" s="80" t="str">
        <x:v>Aditi Sen</x:v>
      </x:c>
      <x:c r="G778" s="80" t="str">
        <x:v>Small Business</x:v>
      </x:c>
      <x:c r="H778" s="80" t="str">
        <x:v>North</x:v>
      </x:c>
      <x:c r="I778" s="80" t="str">
        <x:v>Rajasthan</x:v>
      </x:c>
      <x:c r="J778" s="80" t="str">
        <x:v>Jaipur</x:v>
      </x:c>
      <x:c r="K778" s="80" t="str">
        <x:v>Technology</x:v>
      </x:c>
      <x:c r="L778" s="80" t="str">
        <x:v>Copiers</x:v>
      </x:c>
      <x:c r="M778" s="80" t="str">
        <x:v>Eco Copiers 528</x:v>
      </x:c>
      <x:c r="N778" s="80" t="str">
        <x:v>Second Class</x:v>
      </x:c>
      <x:c r="O778" s="82" t="n">
        <x:v>7</x:v>
      </x:c>
      <x:c r="P778" s="83" t="n">
        <x:v>3857.13</x:v>
      </x:c>
      <x:c r="Q778" s="84" t="n">
        <x:v>0</x:v>
      </x:c>
      <x:c r="R778" s="83" t="n">
        <x:v>26999.91</x:v>
      </x:c>
      <x:c r="S778" s="83" t="n">
        <x:v>17815.98</x:v>
      </x:c>
      <x:c r="T778" s="83" t="n">
        <x:v>9183.93</x:v>
      </x:c>
      <x:c r="U778" s="83" t="str">
        <x:v>Paid</x:v>
      </x:c>
      <x:c r="V778" s="83" t="str">
        <x:v>Completed</x:v>
      </x:c>
      <x:c r="W778" s="151" t="n">
        <x:f>IF(OR(NOT(ISNUMBER($AP778)),COUNT($O778,$P778)&lt;2,$O778&lt;=0,$P778&lt;0),"",ROUND($O778*$P778*(1-$AP778),2))</x:f>
        <x:v>26999.91</x:v>
      </x:c>
      <x:c r="X778" s="151" t="n">
        <x:f>IF(OR(NOT(ISNUMBER($W778)),NOT(ISNUMBER($S778))),"",ROUND($W778-$S778,2))</x:f>
        <x:v>9183.93</x:v>
      </x:c>
      <x:c r="Y778" s="85" t="n">
        <x:f>IF(OR(NOT(ISNUMBER($W778)),NOT(ISNUMBER($X778)),$W778=0),"",ROUND($X778/$W778,4))</x:f>
        <x:v>0.3401</x:v>
      </x:c>
      <x:c r="Z778" s="82" t="n">
        <x:f>IF(OR($AH778&lt;&gt;"Valid",$AI778&lt;&gt;"Valid"),"",INT($D778-$C778))</x:f>
        <x:v>5</x:v>
      </x:c>
      <x:c r="AA778" s="86" t="str">
        <x:f>IF($AH778&lt;&gt;"Valid","",TEXT($C778,"mmmm"))</x:f>
        <x:v>June</x:v>
      </x:c>
      <x:c r="AB778" s="82" t="n">
        <x:f>IF($AH778&lt;&gt;"Valid","",YEAR($C778))</x:f>
        <x:v>2025</x:v>
      </x:c>
      <x:c r="AC778" s="80" t="str">
        <x:v>Consistent</x:v>
      </x:c>
      <x:c r="AD778" s="80" t="str">
        <x:v>Eligible</x:v>
      </x:c>
      <x:c r="AE778" s="80" t="str">
        <x:f>IF(OR($AH778&lt;&gt;"Valid",$AI778&lt;&gt;"Valid",$AJ778&lt;&gt;"Valid",LEFT($AM778,7)="Invalid",IFERROR(ABS($AQ778)&gt;0.01,FALSE),IFERROR(ABS($AR778)&gt;0.01,FALSE),COUNTIF($AS778,"*Conflicting duplicate*")&gt;0,COUNTIF($AS778,"*Completed order not paid*")&gt;0),"Invalid",IF(OR($H778="Unknown",$N778="Unknown",$AM778="Missing discount imputed as 0"),"Warning","Clean"))</x:f>
        <x:v>Clean</x:v>
      </x:c>
      <x:c r="AF778" s="80" t="str">
        <x:v>Pass</x:v>
      </x:c>
      <x:c r="AG778" s="80" t="str">
        <x:v>No text cleanup required</x:v>
      </x:c>
      <x:c r="AH778" s="12" t="str">
        <x:f>IF(C778="","Missing date",IF(ISNUMBER(C778),"Valid","Unrecognized/invalid date"))</x:f>
        <x:v>Valid</x:v>
      </x:c>
      <x:c r="AI778" s="12" t="str">
        <x:f>IF(D778="","Missing date",IF(ISNUMBER(D778),"Valid","Unrecognized/invalid date"))</x:f>
        <x:v>Valid</x:v>
      </x:c>
      <x:c r="AJ778" s="12" t="str">
        <x:v>Valid</x:v>
      </x:c>
      <x:c r="AK778" s="12" t="str">
        <x:v>Pass</x:v>
      </x:c>
      <x:c r="AL778" s="12" t="str">
        <x:v>None</x:v>
      </x:c>
      <x:c r="AM778" s="12" t="str">
        <x:v>Valid</x:v>
      </x:c>
      <x:c r="AN778" s="12" t="str">
        <x:v>Include in completed sales</x:v>
      </x:c>
      <x:c r="AO778" s="12" t="str">
        <x:v>Not a refunded record</x:v>
      </x:c>
      <x:c r="AP778" s="37" t="n">
        <x:f>IF(LEFT($AM778,7)="Invalid","",IF($AM778="Missing discount imputed as 0",IF(AND(COUNT($O778,$P778,$R778,$S778)=4,$O778&gt;0,$P778&gt;=0,$R778&gt;=0,$S778&gt;=0),0,""),IF(AND(ISNUMBER($Q778),$Q778&gt;=0,$Q778&lt;=0.5),$Q778,"")))</x:f>
        <x:v>0</x:v>
      </x:c>
      <x:c r="AQ778" s="152" t="n">
        <x:f>IF(OR($W778="",NOT(ISNUMBER($R778))),"",ROUND($R778-$W778,2))</x:f>
        <x:v>0</x:v>
      </x:c>
      <x:c r="AR778" s="152" t="n">
        <x:f>IF(OR($X778="",NOT(ISNUMBER($T778))),"",ROUND($T778-$X778,2))</x:f>
        <x:v>0</x:v>
      </x:c>
      <x:c r="AS778" s="14" t="str">
        <x:v>OK</x:v>
      </x:c>
    </x:row>
    <x:row r="779">
      <x:c r="A779" s="80" t="n">
        <x:v>779</x:v>
      </x:c>
      <x:c r="B779" s="80" t="str">
        <x:v>ORD-2024-10778</x:v>
      </x:c>
      <x:c r="C779" s="81" t="n">
        <x:v>45326</x:v>
      </x:c>
      <x:c r="D779" s="81" t="n">
        <x:v>45328</x:v>
      </x:c>
      <x:c r="E779" s="80" t="str">
        <x:v>CUST-6879</x:v>
      </x:c>
      <x:c r="F779" s="80" t="str">
        <x:v>Kabir Singh</x:v>
      </x:c>
      <x:c r="G779" s="80" t="str">
        <x:v>Small Business</x:v>
      </x:c>
      <x:c r="H779" s="80" t="str">
        <x:v>West</x:v>
      </x:c>
      <x:c r="I779" s="80" t="str">
        <x:v>Madhya Pradesh</x:v>
      </x:c>
      <x:c r="J779" s="80" t="str">
        <x:v>Indore</x:v>
      </x:c>
      <x:c r="K779" s="80" t="str">
        <x:v>Technology</x:v>
      </x:c>
      <x:c r="L779" s="80" t="str">
        <x:v>Accessories</x:v>
      </x:c>
      <x:c r="M779" s="80" t="str">
        <x:v>Elite Accessories 226</x:v>
      </x:c>
      <x:c r="N779" s="80" t="str">
        <x:v>Second Class</x:v>
      </x:c>
      <x:c r="O779" s="82" t="n">
        <x:v>4</x:v>
      </x:c>
      <x:c r="P779" s="83" t="n">
        <x:v>1489.74</x:v>
      </x:c>
      <x:c r="Q779" s="84" t="n">
        <x:v>0.15</x:v>
      </x:c>
      <x:c r="R779" s="83" t="n">
        <x:v>5065.12</x:v>
      </x:c>
      <x:c r="S779" s="83" t="n">
        <x:v>3530.12</x:v>
      </x:c>
      <x:c r="T779" s="83" t="n">
        <x:v>1535</x:v>
      </x:c>
      <x:c r="U779" s="83" t="str">
        <x:v>Failed</x:v>
      </x:c>
      <x:c r="V779" s="83" t="str">
        <x:v>Cancelled</x:v>
      </x:c>
      <x:c r="W779" s="151" t="n">
        <x:f>IF(OR(NOT(ISNUMBER($AP779)),COUNT($O779,$P779)&lt;2,$O779&lt;=0,$P779&lt;0),"",ROUND($O779*$P779*(1-$AP779),2))</x:f>
        <x:v>5065.12</x:v>
      </x:c>
      <x:c r="X779" s="151" t="n">
        <x:f>IF(OR(NOT(ISNUMBER($W779)),NOT(ISNUMBER($S779))),"",ROUND($W779-$S779,2))</x:f>
        <x:v>1535</x:v>
      </x:c>
      <x:c r="Y779" s="85" t="n">
        <x:f>IF(OR(NOT(ISNUMBER($W779)),NOT(ISNUMBER($X779)),$W779=0),"",ROUND($X779/$W779,4))</x:f>
        <x:v>0.3031</x:v>
      </x:c>
      <x:c r="Z779" s="82" t="n">
        <x:f>IF(OR($AH779&lt;&gt;"Valid",$AI779&lt;&gt;"Valid"),"",INT($D779-$C779))</x:f>
        <x:v>2</x:v>
      </x:c>
      <x:c r="AA779" s="86" t="str">
        <x:f>IF($AH779&lt;&gt;"Valid","",TEXT($C779,"mmmm"))</x:f>
        <x:v>February</x:v>
      </x:c>
      <x:c r="AB779" s="82" t="n">
        <x:f>IF($AH779&lt;&gt;"Valid","",YEAR($C779))</x:f>
        <x:v>2024</x:v>
      </x:c>
      <x:c r="AC779" s="80" t="str">
        <x:v>Cancelled (excluded from completed-sales summary)</x:v>
      </x:c>
      <x:c r="AD779" s="80" t="str">
        <x:v>Excluded</x:v>
      </x:c>
      <x:c r="AE779" s="80" t="str">
        <x:f>IF(OR($AH779&lt;&gt;"Valid",$AI779&lt;&gt;"Valid",$AJ779&lt;&gt;"Valid",LEFT($AM779,7)="Invalid",IFERROR(ABS($AQ779)&gt;0.01,FALSE),IFERROR(ABS($AR779)&gt;0.01,FALSE),COUNTIF($AS779,"*Conflicting duplicate*")&gt;0,COUNTIF($AS779,"*Completed order not paid*")&gt;0),"Invalid",IF(OR($H779="Unknown",$N779="Unknown",$AM779="Missing discount imputed as 0"),"Warning","Clean"))</x:f>
        <x:v>Clean</x:v>
      </x:c>
      <x:c r="AF779" s="80" t="str">
        <x:v>Pass</x:v>
      </x:c>
      <x:c r="AG779" s="80" t="str">
        <x:v>No text cleanup required</x:v>
      </x:c>
      <x:c r="AH779" s="12" t="str">
        <x:f>IF(C779="","Missing date",IF(ISNUMBER(C779),"Valid","Unrecognized/invalid date"))</x:f>
        <x:v>Valid</x:v>
      </x:c>
      <x:c r="AI779" s="12" t="str">
        <x:f>IF(D779="","Missing date",IF(ISNUMBER(D779),"Valid","Unrecognized/invalid date"))</x:f>
        <x:v>Valid</x:v>
      </x:c>
      <x:c r="AJ779" s="12" t="str">
        <x:v>Valid</x:v>
      </x:c>
      <x:c r="AK779" s="12" t="str">
        <x:v>Pass</x:v>
      </x:c>
      <x:c r="AL779" s="12" t="str">
        <x:v>Cancelled order – excluded from completed sales; Failed payment – excluded from completed sales</x:v>
      </x:c>
      <x:c r="AM779" s="12" t="str">
        <x:v>Valid</x:v>
      </x:c>
      <x:c r="AN779" s="12" t="str">
        <x:v>Exclude from completed sales</x:v>
      </x:c>
      <x:c r="AO779" s="12" t="str">
        <x:v>Not a refunded record</x:v>
      </x:c>
      <x:c r="AP779" s="37" t="n">
        <x:f>IF(LEFT($AM779,7)="Invalid","",IF($AM779="Missing discount imputed as 0",IF(AND(COUNT($O779,$P779,$R779,$S779)=4,$O779&gt;0,$P779&gt;=0,$R779&gt;=0,$S779&gt;=0),0,""),IF(AND(ISNUMBER($Q779),$Q779&gt;=0,$Q779&lt;=0.5),$Q779,"")))</x:f>
        <x:v>0.15</x:v>
      </x:c>
      <x:c r="AQ779" s="152" t="n">
        <x:f>IF(OR($W779="",NOT(ISNUMBER($R779))),"",ROUND($R779-$W779,2))</x:f>
        <x:v>0</x:v>
      </x:c>
      <x:c r="AR779" s="152" t="n">
        <x:f>IF(OR($X779="",NOT(ISNUMBER($T779))),"",ROUND($T779-$X779,2))</x:f>
        <x:v>0</x:v>
      </x:c>
      <x:c r="AS779" s="14" t="str">
        <x:v>OK</x:v>
      </x:c>
    </x:row>
    <x:row r="780">
      <x:c r="A780" s="80" t="n">
        <x:v>780</x:v>
      </x:c>
      <x:c r="B780" s="80" t="str">
        <x:v>ORD-2024-10779</x:v>
      </x:c>
      <x:c r="C780" s="81" t="n">
        <x:v>45497</x:v>
      </x:c>
      <x:c r="D780" s="81" t="n">
        <x:v>45497</x:v>
      </x:c>
      <x:c r="E780" s="80" t="str">
        <x:v>CUST-4714</x:v>
      </x:c>
      <x:c r="F780" s="80" t="str">
        <x:v>Karan Malhotra</x:v>
      </x:c>
      <x:c r="G780" s="80" t="str">
        <x:v>Small Business</x:v>
      </x:c>
      <x:c r="H780" s="80" t="str">
        <x:v>North</x:v>
      </x:c>
      <x:c r="I780" s="80" t="str">
        <x:v>Haryana</x:v>
      </x:c>
      <x:c r="J780" s="80" t="str">
        <x:v>Gurugram</x:v>
      </x:c>
      <x:c r="K780" s="80" t="str">
        <x:v>Technology</x:v>
      </x:c>
      <x:c r="L780" s="80" t="str">
        <x:v>Copiers</x:v>
      </x:c>
      <x:c r="M780" s="80" t="str">
        <x:v>Pro Copiers 298</x:v>
      </x:c>
      <x:c r="N780" s="80" t="str">
        <x:v>Second Class</x:v>
      </x:c>
      <x:c r="O780" s="82" t="n">
        <x:v>4</x:v>
      </x:c>
      <x:c r="P780" s="83" t="n">
        <x:v>1676.88</x:v>
      </x:c>
      <x:c r="Q780" s="84" t="n">
        <x:v>0</x:v>
      </x:c>
      <x:c r="R780" s="83" t="n">
        <x:v>6707.52</x:v>
      </x:c>
      <x:c r="S780" s="83" t="n">
        <x:v>5672.57</x:v>
      </x:c>
      <x:c r="T780" s="83" t="n">
        <x:v>1034.95</x:v>
      </x:c>
      <x:c r="U780" s="83" t="str">
        <x:v>Paid</x:v>
      </x:c>
      <x:c r="V780" s="83" t="str">
        <x:v>Completed</x:v>
      </x:c>
      <x:c r="W780" s="151" t="n">
        <x:f>IF(OR(NOT(ISNUMBER($AP780)),COUNT($O780,$P780)&lt;2,$O780&lt;=0,$P780&lt;0),"",ROUND($O780*$P780*(1-$AP780),2))</x:f>
        <x:v>6707.52</x:v>
      </x:c>
      <x:c r="X780" s="151" t="n">
        <x:f>IF(OR(NOT(ISNUMBER($W780)),NOT(ISNUMBER($S780))),"",ROUND($W780-$S780,2))</x:f>
        <x:v>1034.95</x:v>
      </x:c>
      <x:c r="Y780" s="85" t="n">
        <x:f>IF(OR(NOT(ISNUMBER($W780)),NOT(ISNUMBER($X780)),$W780=0),"",ROUND($X780/$W780,4))</x:f>
        <x:v>0.1543</x:v>
      </x:c>
      <x:c r="Z780" s="82" t="n">
        <x:f>IF(OR($AH780&lt;&gt;"Valid",$AI780&lt;&gt;"Valid"),"",INT($D780-$C780))</x:f>
        <x:v>0</x:v>
      </x:c>
      <x:c r="AA780" s="86" t="str">
        <x:f>IF($AH780&lt;&gt;"Valid","",TEXT($C780,"mmmm"))</x:f>
        <x:v>July</x:v>
      </x:c>
      <x:c r="AB780" s="82" t="n">
        <x:f>IF($AH780&lt;&gt;"Valid","",YEAR($C780))</x:f>
        <x:v>2024</x:v>
      </x:c>
      <x:c r="AC780" s="80" t="str">
        <x:v>Consistent</x:v>
      </x:c>
      <x:c r="AD780" s="80" t="str">
        <x:v>Eligible</x:v>
      </x:c>
      <x:c r="AE780" s="80" t="str">
        <x:f>IF(OR($AH780&lt;&gt;"Valid",$AI780&lt;&gt;"Valid",$AJ780&lt;&gt;"Valid",LEFT($AM780,7)="Invalid",IFERROR(ABS($AQ780)&gt;0.01,FALSE),IFERROR(ABS($AR780)&gt;0.01,FALSE),COUNTIF($AS780,"*Conflicting duplicate*")&gt;0,COUNTIF($AS780,"*Completed order not paid*")&gt;0),"Invalid",IF(OR($H780="Unknown",$N780="Unknown",$AM780="Missing discount imputed as 0"),"Warning","Clean"))</x:f>
        <x:v>Clean</x:v>
      </x:c>
      <x:c r="AF780" s="80" t="str">
        <x:v>Pass</x:v>
      </x:c>
      <x:c r="AG780" s="80" t="str">
        <x:v>No text cleanup required</x:v>
      </x:c>
      <x:c r="AH780" s="12" t="str">
        <x:f>IF(C780="","Missing date",IF(ISNUMBER(C780),"Valid","Unrecognized/invalid date"))</x:f>
        <x:v>Valid</x:v>
      </x:c>
      <x:c r="AI780" s="12" t="str">
        <x:f>IF(D780="","Missing date",IF(ISNUMBER(D780),"Valid","Unrecognized/invalid date"))</x:f>
        <x:v>Valid</x:v>
      </x:c>
      <x:c r="AJ780" s="12" t="str">
        <x:v>Valid</x:v>
      </x:c>
      <x:c r="AK780" s="12" t="str">
        <x:v>Pass</x:v>
      </x:c>
      <x:c r="AL780" s="12" t="str">
        <x:v>None</x:v>
      </x:c>
      <x:c r="AM780" s="12" t="str">
        <x:v>Valid</x:v>
      </x:c>
      <x:c r="AN780" s="12" t="str">
        <x:v>Include in completed sales</x:v>
      </x:c>
      <x:c r="AO780" s="12" t="str">
        <x:v>Not a refunded record</x:v>
      </x:c>
      <x:c r="AP780" s="37" t="n">
        <x:f>IF(LEFT($AM780,7)="Invalid","",IF($AM780="Missing discount imputed as 0",IF(AND(COUNT($O780,$P780,$R780,$S780)=4,$O780&gt;0,$P780&gt;=0,$R780&gt;=0,$S780&gt;=0),0,""),IF(AND(ISNUMBER($Q780),$Q780&gt;=0,$Q780&lt;=0.5),$Q780,"")))</x:f>
        <x:v>0</x:v>
      </x:c>
      <x:c r="AQ780" s="152" t="n">
        <x:f>IF(OR($W780="",NOT(ISNUMBER($R780))),"",ROUND($R780-$W780,2))</x:f>
        <x:v>0</x:v>
      </x:c>
      <x:c r="AR780" s="152" t="n">
        <x:f>IF(OR($X780="",NOT(ISNUMBER($T780))),"",ROUND($T780-$X780,2))</x:f>
        <x:v>0</x:v>
      </x:c>
      <x:c r="AS780" s="14" t="str">
        <x:v>OK</x:v>
      </x:c>
    </x:row>
    <x:row r="781">
      <x:c r="A781" s="80" t="n">
        <x:v>781</x:v>
      </x:c>
      <x:c r="B781" s="80" t="str">
        <x:v>ORD-2024-10780</x:v>
      </x:c>
      <x:c r="C781" s="81" t="n">
        <x:v>45306</x:v>
      </x:c>
      <x:c r="D781" s="81" t="n">
        <x:v>45311</x:v>
      </x:c>
      <x:c r="E781" s="80" t="str">
        <x:v>CUST-7547</x:v>
      </x:c>
      <x:c r="F781" s="80" t="str">
        <x:v>Priya Menon</x:v>
      </x:c>
      <x:c r="G781" s="80" t="str">
        <x:v>Small Business</x:v>
      </x:c>
      <x:c r="H781" s="80" t="str">
        <x:v>South</x:v>
      </x:c>
      <x:c r="I781" s="80" t="str">
        <x:v>Andhra Pradesh</x:v>
      </x:c>
      <x:c r="J781" s="80" t="str">
        <x:v>Vijayawada</x:v>
      </x:c>
      <x:c r="K781" s="80" t="str">
        <x:v>Furniture</x:v>
      </x:c>
      <x:c r="L781" s="80" t="str">
        <x:v>Chairs</x:v>
      </x:c>
      <x:c r="M781" s="80" t="str">
        <x:v>Prime Chairs 331</x:v>
      </x:c>
      <x:c r="N781" s="80" t="str">
        <x:v>Standard Class</x:v>
      </x:c>
      <x:c r="O781" s="82" t="n">
        <x:v>4</x:v>
      </x:c>
      <x:c r="P781" s="83" t="n">
        <x:v>3153.54</x:v>
      </x:c>
      <x:c r="Q781" s="84" t="n">
        <x:v>0.05</x:v>
      </x:c>
      <x:c r="R781" s="83" t="n">
        <x:v>11983.45</x:v>
      </x:c>
      <x:c r="S781" s="83" t="n">
        <x:v>8572.9</x:v>
      </x:c>
      <x:c r="T781" s="83" t="n">
        <x:v>3410.55</x:v>
      </x:c>
      <x:c r="U781" s="83" t="str">
        <x:v>Paid</x:v>
      </x:c>
      <x:c r="V781" s="83" t="str">
        <x:v>Completed</x:v>
      </x:c>
      <x:c r="W781" s="151" t="n">
        <x:f>IF(OR(NOT(ISNUMBER($AP781)),COUNT($O781,$P781)&lt;2,$O781&lt;=0,$P781&lt;0),"",ROUND($O781*$P781*(1-$AP781),2))</x:f>
        <x:v>11983.45</x:v>
      </x:c>
      <x:c r="X781" s="151" t="n">
        <x:f>IF(OR(NOT(ISNUMBER($W781)),NOT(ISNUMBER($S781))),"",ROUND($W781-$S781,2))</x:f>
        <x:v>3410.55</x:v>
      </x:c>
      <x:c r="Y781" s="85" t="n">
        <x:f>IF(OR(NOT(ISNUMBER($W781)),NOT(ISNUMBER($X781)),$W781=0),"",ROUND($X781/$W781,4))</x:f>
        <x:v>0.2846</x:v>
      </x:c>
      <x:c r="Z781" s="82" t="n">
        <x:f>IF(OR($AH781&lt;&gt;"Valid",$AI781&lt;&gt;"Valid"),"",INT($D781-$C781))</x:f>
        <x:v>5</x:v>
      </x:c>
      <x:c r="AA781" s="86" t="str">
        <x:f>IF($AH781&lt;&gt;"Valid","",TEXT($C781,"mmmm"))</x:f>
        <x:v>January</x:v>
      </x:c>
      <x:c r="AB781" s="82" t="n">
        <x:f>IF($AH781&lt;&gt;"Valid","",YEAR($C781))</x:f>
        <x:v>2024</x:v>
      </x:c>
      <x:c r="AC781" s="80" t="str">
        <x:v>Consistent</x:v>
      </x:c>
      <x:c r="AD781" s="80" t="str">
        <x:v>Eligible</x:v>
      </x:c>
      <x:c r="AE781" s="80" t="str">
        <x:f>IF(OR($AH781&lt;&gt;"Valid",$AI781&lt;&gt;"Valid",$AJ781&lt;&gt;"Valid",LEFT($AM781,7)="Invalid",IFERROR(ABS($AQ781)&gt;0.01,FALSE),IFERROR(ABS($AR781)&gt;0.01,FALSE),COUNTIF($AS781,"*Conflicting duplicate*")&gt;0,COUNTIF($AS781,"*Completed order not paid*")&gt;0),"Invalid",IF(OR($H781="Unknown",$N781="Unknown",$AM781="Missing discount imputed as 0"),"Warning","Clean"))</x:f>
        <x:v>Clean</x:v>
      </x:c>
      <x:c r="AF781" s="80" t="str">
        <x:v>Pass</x:v>
      </x:c>
      <x:c r="AG781" s="80" t="str">
        <x:v>No text cleanup required</x:v>
      </x:c>
      <x:c r="AH781" s="12" t="str">
        <x:f>IF(C781="","Missing date",IF(ISNUMBER(C781),"Valid","Unrecognized/invalid date"))</x:f>
        <x:v>Valid</x:v>
      </x:c>
      <x:c r="AI781" s="12" t="str">
        <x:f>IF(D781="","Missing date",IF(ISNUMBER(D781),"Valid","Unrecognized/invalid date"))</x:f>
        <x:v>Valid</x:v>
      </x:c>
      <x:c r="AJ781" s="12" t="str">
        <x:v>Valid</x:v>
      </x:c>
      <x:c r="AK781" s="12" t="str">
        <x:v>Pass</x:v>
      </x:c>
      <x:c r="AL781" s="12" t="str">
        <x:v>None</x:v>
      </x:c>
      <x:c r="AM781" s="12" t="str">
        <x:v>Valid</x:v>
      </x:c>
      <x:c r="AN781" s="12" t="str">
        <x:v>Include in completed sales</x:v>
      </x:c>
      <x:c r="AO781" s="12" t="str">
        <x:v>Not a refunded record</x:v>
      </x:c>
      <x:c r="AP781" s="37" t="n">
        <x:f>IF(LEFT($AM781,7)="Invalid","",IF($AM781="Missing discount imputed as 0",IF(AND(COUNT($O781,$P781,$R781,$S781)=4,$O781&gt;0,$P781&gt;=0,$R781&gt;=0,$S781&gt;=0),0,""),IF(AND(ISNUMBER($Q781),$Q781&gt;=0,$Q781&lt;=0.5),$Q781,"")))</x:f>
        <x:v>0.05</x:v>
      </x:c>
      <x:c r="AQ781" s="152" t="n">
        <x:f>IF(OR($W781="",NOT(ISNUMBER($R781))),"",ROUND($R781-$W781,2))</x:f>
        <x:v>0</x:v>
      </x:c>
      <x:c r="AR781" s="152" t="n">
        <x:f>IF(OR($X781="",NOT(ISNUMBER($T781))),"",ROUND($T781-$X781,2))</x:f>
        <x:v>0</x:v>
      </x:c>
      <x:c r="AS781" s="14" t="str">
        <x:v>OK</x:v>
      </x:c>
    </x:row>
    <x:row r="782">
      <x:c r="A782" s="80" t="n">
        <x:v>782</x:v>
      </x:c>
      <x:c r="B782" s="80" t="str">
        <x:v>ORD-2024-10781</x:v>
      </x:c>
      <x:c r="C782" s="81" t="n">
        <x:v>45508</x:v>
      </x:c>
      <x:c r="D782" s="81" t="n">
        <x:v>45514</x:v>
      </x:c>
      <x:c r="E782" s="80" t="str">
        <x:v>CUST-3288</x:v>
      </x:c>
      <x:c r="F782" s="80" t="str">
        <x:v>Diya Patel</x:v>
      </x:c>
      <x:c r="G782" s="80" t="str">
        <x:v>Small Business</x:v>
      </x:c>
      <x:c r="H782" s="80" t="str">
        <x:v>West</x:v>
      </x:c>
      <x:c r="I782" s="80" t="str">
        <x:v>Rajasthan</x:v>
      </x:c>
      <x:c r="J782" s="80" t="str">
        <x:v>Udaipur</x:v>
      </x:c>
      <x:c r="K782" s="80" t="str">
        <x:v>Furniture</x:v>
      </x:c>
      <x:c r="L782" s="80" t="str">
        <x:v>Chairs</x:v>
      </x:c>
      <x:c r="M782" s="80" t="str">
        <x:v>Classic Chairs 798</x:v>
      </x:c>
      <x:c r="N782" s="80" t="str">
        <x:v>Same Day</x:v>
      </x:c>
      <x:c r="O782" s="82" t="n">
        <x:v>4</x:v>
      </x:c>
      <x:c r="P782" s="83" t="n">
        <x:v>426.43</x:v>
      </x:c>
      <x:c r="Q782" s="84" t="n">
        <x:v>0.2</x:v>
      </x:c>
      <x:c r="R782" s="83" t="n">
        <x:v>1364.58</x:v>
      </x:c>
      <x:c r="S782" s="83" t="n">
        <x:v>978.16</x:v>
      </x:c>
      <x:c r="T782" s="83" t="n">
        <x:v>386.42</x:v>
      </x:c>
      <x:c r="U782" s="83" t="str">
        <x:v>Paid</x:v>
      </x:c>
      <x:c r="V782" s="83" t="str">
        <x:v>Completed</x:v>
      </x:c>
      <x:c r="W782" s="151" t="n">
        <x:f>IF(OR(NOT(ISNUMBER($AP782)),COUNT($O782,$P782)&lt;2,$O782&lt;=0,$P782&lt;0),"",ROUND($O782*$P782*(1-$AP782),2))</x:f>
        <x:v>1364.58</x:v>
      </x:c>
      <x:c r="X782" s="151" t="n">
        <x:f>IF(OR(NOT(ISNUMBER($W782)),NOT(ISNUMBER($S782))),"",ROUND($W782-$S782,2))</x:f>
        <x:v>386.42</x:v>
      </x:c>
      <x:c r="Y782" s="85" t="n">
        <x:f>IF(OR(NOT(ISNUMBER($W782)),NOT(ISNUMBER($X782)),$W782=0),"",ROUND($X782/$W782,4))</x:f>
        <x:v>0.2832</x:v>
      </x:c>
      <x:c r="Z782" s="82" t="n">
        <x:f>IF(OR($AH782&lt;&gt;"Valid",$AI782&lt;&gt;"Valid"),"",INT($D782-$C782))</x:f>
        <x:v>6</x:v>
      </x:c>
      <x:c r="AA782" s="86" t="str">
        <x:f>IF($AH782&lt;&gt;"Valid","",TEXT($C782,"mmmm"))</x:f>
        <x:v>August</x:v>
      </x:c>
      <x:c r="AB782" s="82" t="n">
        <x:f>IF($AH782&lt;&gt;"Valid","",YEAR($C782))</x:f>
        <x:v>2024</x:v>
      </x:c>
      <x:c r="AC782" s="80" t="str">
        <x:v>Consistent</x:v>
      </x:c>
      <x:c r="AD782" s="80" t="str">
        <x:v>Eligible</x:v>
      </x:c>
      <x:c r="AE782" s="80" t="str">
        <x:f>IF(OR($AH782&lt;&gt;"Valid",$AI782&lt;&gt;"Valid",$AJ782&lt;&gt;"Valid",LEFT($AM782,7)="Invalid",IFERROR(ABS($AQ782)&gt;0.01,FALSE),IFERROR(ABS($AR782)&gt;0.01,FALSE),COUNTIF($AS782,"*Conflicting duplicate*")&gt;0,COUNTIF($AS782,"*Completed order not paid*")&gt;0),"Invalid",IF(OR($H782="Unknown",$N782="Unknown",$AM782="Missing discount imputed as 0"),"Warning","Clean"))</x:f>
        <x:v>Clean</x:v>
      </x:c>
      <x:c r="AF782" s="80" t="str">
        <x:v>Pass</x:v>
      </x:c>
      <x:c r="AG782" s="80" t="str">
        <x:v>No text cleanup required</x:v>
      </x:c>
      <x:c r="AH782" s="12" t="str">
        <x:f>IF(C782="","Missing date",IF(ISNUMBER(C782),"Valid","Unrecognized/invalid date"))</x:f>
        <x:v>Valid</x:v>
      </x:c>
      <x:c r="AI782" s="12" t="str">
        <x:f>IF(D782="","Missing date",IF(ISNUMBER(D782),"Valid","Unrecognized/invalid date"))</x:f>
        <x:v>Valid</x:v>
      </x:c>
      <x:c r="AJ782" s="12" t="str">
        <x:v>Valid</x:v>
      </x:c>
      <x:c r="AK782" s="12" t="str">
        <x:v>Pass</x:v>
      </x:c>
      <x:c r="AL782" s="12" t="str">
        <x:v>None</x:v>
      </x:c>
      <x:c r="AM782" s="12" t="str">
        <x:v>Valid</x:v>
      </x:c>
      <x:c r="AN782" s="12" t="str">
        <x:v>Include in completed sales</x:v>
      </x:c>
      <x:c r="AO782" s="12" t="str">
        <x:v>Not a refunded record</x:v>
      </x:c>
      <x:c r="AP782" s="37" t="n">
        <x:f>IF(LEFT($AM782,7)="Invalid","",IF($AM782="Missing discount imputed as 0",IF(AND(COUNT($O782,$P782,$R782,$S782)=4,$O782&gt;0,$P782&gt;=0,$R782&gt;=0,$S782&gt;=0),0,""),IF(AND(ISNUMBER($Q782),$Q782&gt;=0,$Q782&lt;=0.5),$Q782,"")))</x:f>
        <x:v>0.2</x:v>
      </x:c>
      <x:c r="AQ782" s="152" t="n">
        <x:f>IF(OR($W782="",NOT(ISNUMBER($R782))),"",ROUND($R782-$W782,2))</x:f>
        <x:v>0</x:v>
      </x:c>
      <x:c r="AR782" s="152" t="n">
        <x:f>IF(OR($X782="",NOT(ISNUMBER($T782))),"",ROUND($T782-$X782,2))</x:f>
        <x:v>0</x:v>
      </x:c>
      <x:c r="AS782" s="14" t="str">
        <x:v>OK</x:v>
      </x:c>
    </x:row>
    <x:row r="783">
      <x:c r="A783" s="80" t="n">
        <x:v>783</x:v>
      </x:c>
      <x:c r="B783" s="80" t="str">
        <x:v>ORD-2024-10782</x:v>
      </x:c>
      <x:c r="C783" s="81" t="n">
        <x:v>45324</x:v>
      </x:c>
      <x:c r="D783" s="81" t="n">
        <x:v>45332</x:v>
      </x:c>
      <x:c r="E783" s="80" t="str">
        <x:v>CUST-8597</x:v>
      </x:c>
      <x:c r="F783" s="80" t="str">
        <x:v>Karan Malhotra</x:v>
      </x:c>
      <x:c r="G783" s="80" t="str">
        <x:v>Home Office</x:v>
      </x:c>
      <x:c r="H783" s="80" t="str">
        <x:v>West</x:v>
      </x:c>
      <x:c r="I783" s="80" t="str">
        <x:v>Rajasthan</x:v>
      </x:c>
      <x:c r="J783" s="80" t="str">
        <x:v>Udaipur</x:v>
      </x:c>
      <x:c r="K783" s="80" t="str">
        <x:v>Office Supplies</x:v>
      </x:c>
      <x:c r="L783" s="80" t="str">
        <x:v>Labels</x:v>
      </x:c>
      <x:c r="M783" s="80" t="str">
        <x:v>Classic Labels 204</x:v>
      </x:c>
      <x:c r="N783" s="80" t="str">
        <x:v>First Class</x:v>
      </x:c>
      <x:c r="O783" s="82" t="n">
        <x:v>3</x:v>
      </x:c>
      <x:c r="P783" s="83" t="n">
        <x:v>383.4</x:v>
      </x:c>
      <x:c r="Q783" s="84" t="n">
        <x:v>0.25</x:v>
      </x:c>
      <x:c r="R783" s="83" t="n">
        <x:v>862.65</x:v>
      </x:c>
      <x:c r="S783" s="83" t="n">
        <x:v>603.73</x:v>
      </x:c>
      <x:c r="T783" s="83" t="n">
        <x:v>258.92</x:v>
      </x:c>
      <x:c r="U783" s="83" t="str">
        <x:v>Pending</x:v>
      </x:c>
      <x:c r="V783" s="83" t="str">
        <x:v>Returned</x:v>
      </x:c>
      <x:c r="W783" s="151" t="n">
        <x:f>IF(OR(NOT(ISNUMBER($AP783)),COUNT($O783,$P783)&lt;2,$O783&lt;=0,$P783&lt;0),"",ROUND($O783*$P783*(1-$AP783),2))</x:f>
        <x:v>862.65</x:v>
      </x:c>
      <x:c r="X783" s="151" t="n">
        <x:f>IF(OR(NOT(ISNUMBER($W783)),NOT(ISNUMBER($S783))),"",ROUND($W783-$S783,2))</x:f>
        <x:v>258.92</x:v>
      </x:c>
      <x:c r="Y783" s="85" t="n">
        <x:f>IF(OR(NOT(ISNUMBER($W783)),NOT(ISNUMBER($X783)),$W783=0),"",ROUND($X783/$W783,4))</x:f>
        <x:v>0.3001</x:v>
      </x:c>
      <x:c r="Z783" s="82" t="n">
        <x:f>IF(OR($AH783&lt;&gt;"Valid",$AI783&lt;&gt;"Valid"),"",INT($D783-$C783))</x:f>
        <x:v>8</x:v>
      </x:c>
      <x:c r="AA783" s="86" t="str">
        <x:f>IF($AH783&lt;&gt;"Valid","",TEXT($C783,"mmmm"))</x:f>
        <x:v>February</x:v>
      </x:c>
      <x:c r="AB783" s="82" t="n">
        <x:f>IF($AH783&lt;&gt;"Valid","",YEAR($C783))</x:f>
        <x:v>2024</x:v>
      </x:c>
      <x:c r="AC783" s="80" t="str">
        <x:v>Consistent</x:v>
      </x:c>
      <x:c r="AD783" s="80" t="str">
        <x:v>Excluded</x:v>
      </x:c>
      <x:c r="AE783" s="80" t="str">
        <x:f>IF(OR($AH783&lt;&gt;"Valid",$AI783&lt;&gt;"Valid",$AJ783&lt;&gt;"Valid",LEFT($AM783,7)="Invalid",IFERROR(ABS($AQ783)&gt;0.01,FALSE),IFERROR(ABS($AR783)&gt;0.01,FALSE),COUNTIF($AS783,"*Conflicting duplicate*")&gt;0,COUNTIF($AS783,"*Completed order not paid*")&gt;0),"Invalid",IF(OR($H783="Unknown",$N783="Unknown",$AM783="Missing discount imputed as 0"),"Warning","Clean"))</x:f>
        <x:v>Clean</x:v>
      </x:c>
      <x:c r="AF783" s="80" t="str">
        <x:v>Pass</x:v>
      </x:c>
      <x:c r="AG783" s="80" t="str">
        <x:v>No text cleanup required</x:v>
      </x:c>
      <x:c r="AH783" s="12" t="str">
        <x:f>IF(C783="","Missing date",IF(ISNUMBER(C783),"Valid","Unrecognized/invalid date"))</x:f>
        <x:v>Valid</x:v>
      </x:c>
      <x:c r="AI783" s="12" t="str">
        <x:f>IF(D783="","Missing date",IF(ISNUMBER(D783),"Valid","Unrecognized/invalid date"))</x:f>
        <x:v>Valid</x:v>
      </x:c>
      <x:c r="AJ783" s="12" t="str">
        <x:v>Valid</x:v>
      </x:c>
      <x:c r="AK783" s="12" t="str">
        <x:v>Pass</x:v>
      </x:c>
      <x:c r="AL783" s="12" t="str">
        <x:v>None</x:v>
      </x:c>
      <x:c r="AM783" s="12" t="str">
        <x:v>Valid</x:v>
      </x:c>
      <x:c r="AN783" s="12" t="str">
        <x:v>Exclude from completed sales</x:v>
      </x:c>
      <x:c r="AO783" s="12" t="str">
        <x:v>Not a refunded record</x:v>
      </x:c>
      <x:c r="AP783" s="37" t="n">
        <x:f>IF(LEFT($AM783,7)="Invalid","",IF($AM783="Missing discount imputed as 0",IF(AND(COUNT($O783,$P783,$R783,$S783)=4,$O783&gt;0,$P783&gt;=0,$R783&gt;=0,$S783&gt;=0),0,""),IF(AND(ISNUMBER($Q783),$Q783&gt;=0,$Q783&lt;=0.5),$Q783,"")))</x:f>
        <x:v>0.25</x:v>
      </x:c>
      <x:c r="AQ783" s="152" t="n">
        <x:f>IF(OR($W783="",NOT(ISNUMBER($R783))),"",ROUND($R783-$W783,2))</x:f>
        <x:v>0</x:v>
      </x:c>
      <x:c r="AR783" s="152" t="n">
        <x:f>IF(OR($X783="",NOT(ISNUMBER($T783))),"",ROUND($T783-$X783,2))</x:f>
        <x:v>0</x:v>
      </x:c>
      <x:c r="AS783" s="14" t="str">
        <x:v>OK</x:v>
      </x:c>
    </x:row>
    <x:row r="784">
      <x:c r="A784" s="80" t="n">
        <x:v>784</x:v>
      </x:c>
      <x:c r="B784" s="80" t="str">
        <x:v>ORD-2025-10783</x:v>
      </x:c>
      <x:c r="C784" s="81" t="n">
        <x:v>45730</x:v>
      </x:c>
      <x:c r="D784" s="81" t="n">
        <x:v>45738</x:v>
      </x:c>
      <x:c r="E784" s="80" t="str">
        <x:v>CUST-9085</x:v>
      </x:c>
      <x:c r="F784" s="80" t="str">
        <x:v>Mira Das</x:v>
      </x:c>
      <x:c r="G784" s="80" t="str">
        <x:v>Corporate</x:v>
      </x:c>
      <x:c r="H784" s="80" t="str">
        <x:v>East</x:v>
      </x:c>
      <x:c r="I784" s="80" t="str">
        <x:v>West Bengal</x:v>
      </x:c>
      <x:c r="J784" s="80" t="str">
        <x:v>Kolkata</x:v>
      </x:c>
      <x:c r="K784" s="80" t="str">
        <x:v>Technology</x:v>
      </x:c>
      <x:c r="L784" s="80" t="str">
        <x:v>Copiers</x:v>
      </x:c>
      <x:c r="M784" s="80" t="str">
        <x:v>Basic Copiers 254</x:v>
      </x:c>
      <x:c r="N784" s="80" t="str">
        <x:v>Standard Class</x:v>
      </x:c>
      <x:c r="O784" s="82" t="n">
        <x:v>2</x:v>
      </x:c>
      <x:c r="P784" s="83" t="n">
        <x:v>669.63</x:v>
      </x:c>
      <x:c r="Q784" s="84" t="n">
        <x:v>0.15</x:v>
      </x:c>
      <x:c r="R784" s="83" t="n">
        <x:v>1138.37</x:v>
      </x:c>
      <x:c r="S784" s="83" t="n">
        <x:v>797.34</x:v>
      </x:c>
      <x:c r="T784" s="83" t="n">
        <x:v>341.03</x:v>
      </x:c>
      <x:c r="U784" s="83" t="str">
        <x:v>Paid</x:v>
      </x:c>
      <x:c r="V784" s="83" t="str">
        <x:v>Completed</x:v>
      </x:c>
      <x:c r="W784" s="151" t="n">
        <x:f>IF(OR(NOT(ISNUMBER($AP784)),COUNT($O784,$P784)&lt;2,$O784&lt;=0,$P784&lt;0),"",ROUND($O784*$P784*(1-$AP784),2))</x:f>
        <x:v>1138.37</x:v>
      </x:c>
      <x:c r="X784" s="151" t="n">
        <x:f>IF(OR(NOT(ISNUMBER($W784)),NOT(ISNUMBER($S784))),"",ROUND($W784-$S784,2))</x:f>
        <x:v>341.03</x:v>
      </x:c>
      <x:c r="Y784" s="85" t="n">
        <x:f>IF(OR(NOT(ISNUMBER($W784)),NOT(ISNUMBER($X784)),$W784=0),"",ROUND($X784/$W784,4))</x:f>
        <x:v>0.2996</x:v>
      </x:c>
      <x:c r="Z784" s="82" t="n">
        <x:f>IF(OR($AH784&lt;&gt;"Valid",$AI784&lt;&gt;"Valid"),"",INT($D784-$C784))</x:f>
        <x:v>8</x:v>
      </x:c>
      <x:c r="AA784" s="86" t="str">
        <x:f>IF($AH784&lt;&gt;"Valid","",TEXT($C784,"mmmm"))</x:f>
        <x:v>March</x:v>
      </x:c>
      <x:c r="AB784" s="82" t="n">
        <x:f>IF($AH784&lt;&gt;"Valid","",YEAR($C784))</x:f>
        <x:v>2025</x:v>
      </x:c>
      <x:c r="AC784" s="80" t="str">
        <x:v>Consistent</x:v>
      </x:c>
      <x:c r="AD784" s="80" t="str">
        <x:v>Eligible</x:v>
      </x:c>
      <x:c r="AE784" s="80" t="str">
        <x:f>IF(OR($AH784&lt;&gt;"Valid",$AI784&lt;&gt;"Valid",$AJ784&lt;&gt;"Valid",LEFT($AM784,7)="Invalid",IFERROR(ABS($AQ784)&gt;0.01,FALSE),IFERROR(ABS($AR784)&gt;0.01,FALSE),COUNTIF($AS784,"*Conflicting duplicate*")&gt;0,COUNTIF($AS784,"*Completed order not paid*")&gt;0),"Invalid",IF(OR($H784="Unknown",$N784="Unknown",$AM784="Missing discount imputed as 0"),"Warning","Clean"))</x:f>
        <x:v>Clean</x:v>
      </x:c>
      <x:c r="AF784" s="80" t="str">
        <x:v>Pass</x:v>
      </x:c>
      <x:c r="AG784" s="80" t="str">
        <x:v>No text cleanup required</x:v>
      </x:c>
      <x:c r="AH784" s="12" t="str">
        <x:f>IF(C784="","Missing date",IF(ISNUMBER(C784),"Valid","Unrecognized/invalid date"))</x:f>
        <x:v>Valid</x:v>
      </x:c>
      <x:c r="AI784" s="12" t="str">
        <x:f>IF(D784="","Missing date",IF(ISNUMBER(D784),"Valid","Unrecognized/invalid date"))</x:f>
        <x:v>Valid</x:v>
      </x:c>
      <x:c r="AJ784" s="12" t="str">
        <x:v>Valid</x:v>
      </x:c>
      <x:c r="AK784" s="12" t="str">
        <x:v>Pass</x:v>
      </x:c>
      <x:c r="AL784" s="12" t="str">
        <x:v>None</x:v>
      </x:c>
      <x:c r="AM784" s="12" t="str">
        <x:v>Valid</x:v>
      </x:c>
      <x:c r="AN784" s="12" t="str">
        <x:v>Include in completed sales</x:v>
      </x:c>
      <x:c r="AO784" s="12" t="str">
        <x:v>Not a refunded record</x:v>
      </x:c>
      <x:c r="AP784" s="37" t="n">
        <x:f>IF(LEFT($AM784,7)="Invalid","",IF($AM784="Missing discount imputed as 0",IF(AND(COUNT($O784,$P784,$R784,$S784)=4,$O784&gt;0,$P784&gt;=0,$R784&gt;=0,$S784&gt;=0),0,""),IF(AND(ISNUMBER($Q784),$Q784&gt;=0,$Q784&lt;=0.5),$Q784,"")))</x:f>
        <x:v>0.15</x:v>
      </x:c>
      <x:c r="AQ784" s="152" t="n">
        <x:f>IF(OR($W784="",NOT(ISNUMBER($R784))),"",ROUND($R784-$W784,2))</x:f>
        <x:v>0</x:v>
      </x:c>
      <x:c r="AR784" s="152" t="n">
        <x:f>IF(OR($X784="",NOT(ISNUMBER($T784))),"",ROUND($T784-$X784,2))</x:f>
        <x:v>0</x:v>
      </x:c>
      <x:c r="AS784" s="14" t="str">
        <x:v>OK</x:v>
      </x:c>
    </x:row>
    <x:row r="785">
      <x:c r="A785" s="80" t="n">
        <x:v>785</x:v>
      </x:c>
      <x:c r="B785" s="80" t="str">
        <x:v>ORD-2024-10784</x:v>
      </x:c>
      <x:c r="C785" s="81" t="n">
        <x:v>45450</x:v>
      </x:c>
      <x:c r="D785" s="81" t="n">
        <x:v>45450</x:v>
      </x:c>
      <x:c r="E785" s="80" t="str">
        <x:v>CUST-7746</x:v>
      </x:c>
      <x:c r="F785" s="80" t="str">
        <x:v>Aarav Sharma</x:v>
      </x:c>
      <x:c r="G785" s="80" t="str">
        <x:v>Small Business</x:v>
      </x:c>
      <x:c r="H785" s="80" t="str">
        <x:v>East</x:v>
      </x:c>
      <x:c r="I785" s="80" t="str">
        <x:v>Bihar</x:v>
      </x:c>
      <x:c r="J785" s="80" t="str">
        <x:v>Patna</x:v>
      </x:c>
      <x:c r="K785" s="80" t="str">
        <x:v>Office Supplies</x:v>
      </x:c>
      <x:c r="L785" s="80" t="str">
        <x:v>Art</x:v>
      </x:c>
      <x:c r="M785" s="80" t="str">
        <x:v>Basic Art 709</x:v>
      </x:c>
      <x:c r="N785" s="80" t="str">
        <x:v>Second Class</x:v>
      </x:c>
      <x:c r="O785" s="82" t="n">
        <x:v>1</x:v>
      </x:c>
      <x:c r="P785" s="83" t="n">
        <x:v>2581.93</x:v>
      </x:c>
      <x:c r="Q785" s="84" t="n">
        <x:v>0.05</x:v>
      </x:c>
      <x:c r="R785" s="83" t="n">
        <x:v>2452.83</x:v>
      </x:c>
      <x:c r="S785" s="83" t="n">
        <x:v>1906.7</x:v>
      </x:c>
      <x:c r="T785" s="83" t="n">
        <x:v>546.13</x:v>
      </x:c>
      <x:c r="U785" s="83" t="str">
        <x:v>Paid</x:v>
      </x:c>
      <x:c r="V785" s="83" t="str">
        <x:v>Completed</x:v>
      </x:c>
      <x:c r="W785" s="151" t="n">
        <x:f>IF(OR(NOT(ISNUMBER($AP785)),COUNT($O785,$P785)&lt;2,$O785&lt;=0,$P785&lt;0),"",ROUND($O785*$P785*(1-$AP785),2))</x:f>
        <x:v>2452.83</x:v>
      </x:c>
      <x:c r="X785" s="151" t="n">
        <x:f>IF(OR(NOT(ISNUMBER($W785)),NOT(ISNUMBER($S785))),"",ROUND($W785-$S785,2))</x:f>
        <x:v>546.13</x:v>
      </x:c>
      <x:c r="Y785" s="85" t="n">
        <x:f>IF(OR(NOT(ISNUMBER($W785)),NOT(ISNUMBER($X785)),$W785=0),"",ROUND($X785/$W785,4))</x:f>
        <x:v>0.2227</x:v>
      </x:c>
      <x:c r="Z785" s="82" t="n">
        <x:f>IF(OR($AH785&lt;&gt;"Valid",$AI785&lt;&gt;"Valid"),"",INT($D785-$C785))</x:f>
        <x:v>0</x:v>
      </x:c>
      <x:c r="AA785" s="86" t="str">
        <x:f>IF($AH785&lt;&gt;"Valid","",TEXT($C785,"mmmm"))</x:f>
        <x:v>June</x:v>
      </x:c>
      <x:c r="AB785" s="82" t="n">
        <x:f>IF($AH785&lt;&gt;"Valid","",YEAR($C785))</x:f>
        <x:v>2024</x:v>
      </x:c>
      <x:c r="AC785" s="80" t="str">
        <x:v>Consistent</x:v>
      </x:c>
      <x:c r="AD785" s="80" t="str">
        <x:v>Eligible</x:v>
      </x:c>
      <x:c r="AE785" s="80" t="str">
        <x:f>IF(OR($AH785&lt;&gt;"Valid",$AI785&lt;&gt;"Valid",$AJ785&lt;&gt;"Valid",LEFT($AM785,7)="Invalid",IFERROR(ABS($AQ785)&gt;0.01,FALSE),IFERROR(ABS($AR785)&gt;0.01,FALSE),COUNTIF($AS785,"*Conflicting duplicate*")&gt;0,COUNTIF($AS785,"*Completed order not paid*")&gt;0),"Invalid",IF(OR($H785="Unknown",$N785="Unknown",$AM785="Missing discount imputed as 0"),"Warning","Clean"))</x:f>
        <x:v>Clean</x:v>
      </x:c>
      <x:c r="AF785" s="80" t="str">
        <x:v>Pass</x:v>
      </x:c>
      <x:c r="AG785" s="80" t="str">
        <x:v>No text cleanup required</x:v>
      </x:c>
      <x:c r="AH785" s="12" t="str">
        <x:f>IF(C785="","Missing date",IF(ISNUMBER(C785),"Valid","Unrecognized/invalid date"))</x:f>
        <x:v>Valid</x:v>
      </x:c>
      <x:c r="AI785" s="12" t="str">
        <x:f>IF(D785="","Missing date",IF(ISNUMBER(D785),"Valid","Unrecognized/invalid date"))</x:f>
        <x:v>Valid</x:v>
      </x:c>
      <x:c r="AJ785" s="12" t="str">
        <x:v>Valid</x:v>
      </x:c>
      <x:c r="AK785" s="12" t="str">
        <x:v>Pass</x:v>
      </x:c>
      <x:c r="AL785" s="12" t="str">
        <x:v>None</x:v>
      </x:c>
      <x:c r="AM785" s="12" t="str">
        <x:v>Valid</x:v>
      </x:c>
      <x:c r="AN785" s="12" t="str">
        <x:v>Include in completed sales</x:v>
      </x:c>
      <x:c r="AO785" s="12" t="str">
        <x:v>Not a refunded record</x:v>
      </x:c>
      <x:c r="AP785" s="37" t="n">
        <x:f>IF(LEFT($AM785,7)="Invalid","",IF($AM785="Missing discount imputed as 0",IF(AND(COUNT($O785,$P785,$R785,$S785)=4,$O785&gt;0,$P785&gt;=0,$R785&gt;=0,$S785&gt;=0),0,""),IF(AND(ISNUMBER($Q785),$Q785&gt;=0,$Q785&lt;=0.5),$Q785,"")))</x:f>
        <x:v>0.05</x:v>
      </x:c>
      <x:c r="AQ785" s="152" t="n">
        <x:f>IF(OR($W785="",NOT(ISNUMBER($R785))),"",ROUND($R785-$W785,2))</x:f>
        <x:v>0</x:v>
      </x:c>
      <x:c r="AR785" s="152" t="n">
        <x:f>IF(OR($X785="",NOT(ISNUMBER($T785))),"",ROUND($T785-$X785,2))</x:f>
        <x:v>0</x:v>
      </x:c>
      <x:c r="AS785" s="14" t="str">
        <x:v>OK</x:v>
      </x:c>
    </x:row>
    <x:row r="786">
      <x:c r="A786" s="80" t="n">
        <x:v>786</x:v>
      </x:c>
      <x:c r="B786" s="80" t="str">
        <x:v>ORD-2025-10785</x:v>
      </x:c>
      <x:c r="C786" s="81" t="n">
        <x:v>45934</x:v>
      </x:c>
      <x:c r="D786" s="81" t="n">
        <x:v>45935</x:v>
      </x:c>
      <x:c r="E786" s="80" t="str">
        <x:v>CUST-3119</x:v>
      </x:c>
      <x:c r="F786" s="80" t="str">
        <x:v>Priya Menon</x:v>
      </x:c>
      <x:c r="G786" s="80" t="str">
        <x:v>Corporate</x:v>
      </x:c>
      <x:c r="H786" s="80" t="str">
        <x:v>North</x:v>
      </x:c>
      <x:c r="I786" s="80" t="str">
        <x:v>Punjab</x:v>
      </x:c>
      <x:c r="J786" s="80" t="str">
        <x:v>Ludhiana</x:v>
      </x:c>
      <x:c r="K786" s="80" t="str">
        <x:v>Technology</x:v>
      </x:c>
      <x:c r="L786" s="80" t="str">
        <x:v>Copiers</x:v>
      </x:c>
      <x:c r="M786" s="80" t="str">
        <x:v>Max Copiers 551</x:v>
      </x:c>
      <x:c r="N786" s="80" t="str">
        <x:v>First Class</x:v>
      </x:c>
      <x:c r="O786" s="82" t="n">
        <x:v>4</x:v>
      </x:c>
      <x:c r="P786" s="83" t="n">
        <x:v>418.18</x:v>
      </x:c>
      <x:c r="Q786" s="84" t="n">
        <x:v>0.05</x:v>
      </x:c>
      <x:c r="R786" s="83" t="n">
        <x:v>1589.08</x:v>
      </x:c>
      <x:c r="S786" s="83" t="n">
        <x:v>1084.66</x:v>
      </x:c>
      <x:c r="T786" s="83" t="n">
        <x:v>504.42</x:v>
      </x:c>
      <x:c r="U786" s="83" t="str">
        <x:v>Paid</x:v>
      </x:c>
      <x:c r="V786" s="83" t="str">
        <x:v>Completed</x:v>
      </x:c>
      <x:c r="W786" s="151" t="n">
        <x:f>IF(OR(NOT(ISNUMBER($AP786)),COUNT($O786,$P786)&lt;2,$O786&lt;=0,$P786&lt;0),"",ROUND($O786*$P786*(1-$AP786),2))</x:f>
        <x:v>1589.08</x:v>
      </x:c>
      <x:c r="X786" s="151" t="n">
        <x:f>IF(OR(NOT(ISNUMBER($W786)),NOT(ISNUMBER($S786))),"",ROUND($W786-$S786,2))</x:f>
        <x:v>504.42</x:v>
      </x:c>
      <x:c r="Y786" s="85" t="n">
        <x:f>IF(OR(NOT(ISNUMBER($W786)),NOT(ISNUMBER($X786)),$W786=0),"",ROUND($X786/$W786,4))</x:f>
        <x:v>0.3174</x:v>
      </x:c>
      <x:c r="Z786" s="82" t="n">
        <x:f>IF(OR($AH786&lt;&gt;"Valid",$AI786&lt;&gt;"Valid"),"",INT($D786-$C786))</x:f>
        <x:v>1</x:v>
      </x:c>
      <x:c r="AA786" s="86" t="str">
        <x:f>IF($AH786&lt;&gt;"Valid","",TEXT($C786,"mmmm"))</x:f>
        <x:v>October</x:v>
      </x:c>
      <x:c r="AB786" s="82" t="n">
        <x:f>IF($AH786&lt;&gt;"Valid","",YEAR($C786))</x:f>
        <x:v>2025</x:v>
      </x:c>
      <x:c r="AC786" s="80" t="str">
        <x:v>Consistent</x:v>
      </x:c>
      <x:c r="AD786" s="80" t="str">
        <x:v>Eligible</x:v>
      </x:c>
      <x:c r="AE786" s="80" t="str">
        <x:f>IF(OR($AH786&lt;&gt;"Valid",$AI786&lt;&gt;"Valid",$AJ786&lt;&gt;"Valid",LEFT($AM786,7)="Invalid",IFERROR(ABS($AQ786)&gt;0.01,FALSE),IFERROR(ABS($AR786)&gt;0.01,FALSE),COUNTIF($AS786,"*Conflicting duplicate*")&gt;0,COUNTIF($AS786,"*Completed order not paid*")&gt;0),"Invalid",IF(OR($H786="Unknown",$N786="Unknown",$AM786="Missing discount imputed as 0"),"Warning","Clean"))</x:f>
        <x:v>Clean</x:v>
      </x:c>
      <x:c r="AF786" s="80" t="str">
        <x:v>Cleaned</x:v>
      </x:c>
      <x:c r="AG786" s="80" t="str">
        <x:v>region: Case standardization</x:v>
      </x:c>
      <x:c r="AH786" s="12" t="str">
        <x:f>IF(C786="","Missing date",IF(ISNUMBER(C786),"Valid","Unrecognized/invalid date"))</x:f>
        <x:v>Valid</x:v>
      </x:c>
      <x:c r="AI786" s="12" t="str">
        <x:f>IF(D786="","Missing date",IF(ISNUMBER(D786),"Valid","Unrecognized/invalid date"))</x:f>
        <x:v>Valid</x:v>
      </x:c>
      <x:c r="AJ786" s="12" t="str">
        <x:v>Valid</x:v>
      </x:c>
      <x:c r="AK786" s="12" t="str">
        <x:v>Pass</x:v>
      </x:c>
      <x:c r="AL786" s="12" t="str">
        <x:v>None</x:v>
      </x:c>
      <x:c r="AM786" s="12" t="str">
        <x:v>Valid</x:v>
      </x:c>
      <x:c r="AN786" s="12" t="str">
        <x:v>Include in completed sales</x:v>
      </x:c>
      <x:c r="AO786" s="12" t="str">
        <x:v>Not a refunded record</x:v>
      </x:c>
      <x:c r="AP786" s="37" t="n">
        <x:f>IF(LEFT($AM786,7)="Invalid","",IF($AM786="Missing discount imputed as 0",IF(AND(COUNT($O786,$P786,$R786,$S786)=4,$O786&gt;0,$P786&gt;=0,$R786&gt;=0,$S786&gt;=0),0,""),IF(AND(ISNUMBER($Q786),$Q786&gt;=0,$Q786&lt;=0.5),$Q786,"")))</x:f>
        <x:v>0.05</x:v>
      </x:c>
      <x:c r="AQ786" s="152" t="n">
        <x:f>IF(OR($W786="",NOT(ISNUMBER($R786))),"",ROUND($R786-$W786,2))</x:f>
        <x:v>0</x:v>
      </x:c>
      <x:c r="AR786" s="152" t="n">
        <x:f>IF(OR($X786="",NOT(ISNUMBER($T786))),"",ROUND($T786-$X786,2))</x:f>
        <x:v>0</x:v>
      </x:c>
      <x:c r="AS786" s="14" t="str">
        <x:v>OK</x:v>
      </x:c>
    </x:row>
    <x:row r="787">
      <x:c r="A787" s="80" t="n">
        <x:v>787</x:v>
      </x:c>
      <x:c r="B787" s="80" t="str">
        <x:v>ORD-2024-10786</x:v>
      </x:c>
      <x:c r="C787" s="81" t="n">
        <x:v>45435</x:v>
      </x:c>
      <x:c r="D787" s="81" t="n">
        <x:v>45441</x:v>
      </x:c>
      <x:c r="E787" s="80" t="str">
        <x:v>CUST-7518</x:v>
      </x:c>
      <x:c r="F787" s="80" t="str">
        <x:v>Diya Patel</x:v>
      </x:c>
      <x:c r="G787" s="80" t="str">
        <x:v>Small Business</x:v>
      </x:c>
      <x:c r="H787" s="80" t="str">
        <x:v>North</x:v>
      </x:c>
      <x:c r="I787" s="80" t="str">
        <x:v>Haryana</x:v>
      </x:c>
      <x:c r="J787" s="80" t="str">
        <x:v>Gurugram</x:v>
      </x:c>
      <x:c r="K787" s="80" t="str">
        <x:v>Office Supplies</x:v>
      </x:c>
      <x:c r="L787" s="80" t="str">
        <x:v>Storage</x:v>
      </x:c>
      <x:c r="M787" s="80" t="str">
        <x:v>Eco Storage 183</x:v>
      </x:c>
      <x:c r="N787" s="80" t="str">
        <x:v>Same Day</x:v>
      </x:c>
      <x:c r="O787" s="82" t="n">
        <x:v>2</x:v>
      </x:c>
      <x:c r="P787" s="83" t="n">
        <x:v>3012.94</x:v>
      </x:c>
      <x:c r="Q787" s="84" t="n">
        <x:v>0.25</x:v>
      </x:c>
      <x:c r="R787" s="83" t="n">
        <x:v>4519.41</x:v>
      </x:c>
      <x:c r="S787" s="83" t="n">
        <x:v>3504.16</x:v>
      </x:c>
      <x:c r="T787" s="83" t="n">
        <x:v>1275.55</x:v>
      </x:c>
      <x:c r="U787" s="83" t="str">
        <x:v>Failed</x:v>
      </x:c>
      <x:c r="V787" s="83" t="str">
        <x:v>Cancelled</x:v>
      </x:c>
      <x:c r="W787" s="151" t="n">
        <x:f>IF(OR(NOT(ISNUMBER($AP787)),COUNT($O787,$P787)&lt;2,$O787&lt;=0,$P787&lt;0),"",ROUND($O787*$P787*(1-$AP787),2))</x:f>
        <x:v>4519.41</x:v>
      </x:c>
      <x:c r="X787" s="151" t="n">
        <x:f>IF(OR(NOT(ISNUMBER($W787)),NOT(ISNUMBER($S787))),"",ROUND($W787-$S787,2))</x:f>
        <x:v>1015.25</x:v>
      </x:c>
      <x:c r="Y787" s="85" t="n">
        <x:f>IF(OR(NOT(ISNUMBER($W787)),NOT(ISNUMBER($X787)),$W787=0),"",ROUND($X787/$W787,4))</x:f>
        <x:v>0.2246</x:v>
      </x:c>
      <x:c r="Z787" s="82" t="n">
        <x:f>IF(OR($AH787&lt;&gt;"Valid",$AI787&lt;&gt;"Valid"),"",INT($D787-$C787))</x:f>
        <x:v>6</x:v>
      </x:c>
      <x:c r="AA787" s="86" t="str">
        <x:f>IF($AH787&lt;&gt;"Valid","",TEXT($C787,"mmmm"))</x:f>
        <x:v>May</x:v>
      </x:c>
      <x:c r="AB787" s="82" t="n">
        <x:f>IF($AH787&lt;&gt;"Valid","",YEAR($C787))</x:f>
        <x:v>2024</x:v>
      </x:c>
      <x:c r="AC787" s="80" t="str">
        <x:v>Cancelled (excluded from completed-sales summary)</x:v>
      </x:c>
      <x:c r="AD787" s="80" t="str">
        <x:v>Excluded</x:v>
      </x:c>
      <x:c r="AE787" s="80" t="str">
        <x:f>IF(OR($AH787&lt;&gt;"Valid",$AI787&lt;&gt;"Valid",$AJ787&lt;&gt;"Valid",LEFT($AM787,7)="Invalid",IFERROR(ABS($AQ787)&gt;0.01,FALSE),IFERROR(ABS($AR787)&gt;0.01,FALSE),COUNTIF($AS787,"*Conflicting duplicate*")&gt;0,COUNTIF($AS787,"*Completed order not paid*")&gt;0),"Invalid",IF(OR($H787="Unknown",$N787="Unknown",$AM787="Missing discount imputed as 0"),"Warning","Clean"))</x:f>
        <x:v>Invalid</x:v>
      </x:c>
      <x:c r="AF787" s="80" t="str">
        <x:v>Review</x:v>
      </x:c>
      <x:c r="AG787" s="80" t="str">
        <x:v>No text cleanup required</x:v>
      </x:c>
      <x:c r="AH787" s="12" t="str">
        <x:f>IF(C787="","Missing date",IF(ISNUMBER(C787),"Valid","Unrecognized/invalid date"))</x:f>
        <x:v>Valid</x:v>
      </x:c>
      <x:c r="AI787" s="12" t="str">
        <x:f>IF(D787="","Missing date",IF(ISNUMBER(D787),"Valid","Unrecognized/invalid date"))</x:f>
        <x:v>Valid</x:v>
      </x:c>
      <x:c r="AJ787" s="12" t="str">
        <x:v>Valid</x:v>
      </x:c>
      <x:c r="AK787" s="12" t="str">
        <x:v>Pass</x:v>
      </x:c>
      <x:c r="AL787" s="12" t="str">
        <x:v>Cancelled order – excluded from completed sales; Failed payment – excluded from completed sales</x:v>
      </x:c>
      <x:c r="AM787" s="12" t="str">
        <x:v>Valid</x:v>
      </x:c>
      <x:c r="AN787" s="12" t="str">
        <x:v>Exclude from completed sales</x:v>
      </x:c>
      <x:c r="AO787" s="12" t="str">
        <x:v>Not a refunded record</x:v>
      </x:c>
      <x:c r="AP787" s="37" t="n">
        <x:f>IF(LEFT($AM787,7)="Invalid","",IF($AM787="Missing discount imputed as 0",IF(AND(COUNT($O787,$P787,$R787,$S787)=4,$O787&gt;0,$P787&gt;=0,$R787&gt;=0,$S787&gt;=0),0,""),IF(AND(ISNUMBER($Q787),$Q787&gt;=0,$Q787&lt;=0.5),$Q787,"")))</x:f>
        <x:v>0.25</x:v>
      </x:c>
      <x:c r="AQ787" s="152" t="n">
        <x:f>IF(OR($W787="",NOT(ISNUMBER($R787))),"",ROUND($R787-$W787,2))</x:f>
        <x:v>0</x:v>
      </x:c>
      <x:c r="AR787" s="152" t="n">
        <x:f>IF(OR($X787="",NOT(ISNUMBER($T787))),"",ROUND($T787-$X787,2))</x:f>
        <x:v>260.3</x:v>
      </x:c>
      <x:c r="AS787" s="14" t="str">
        <x:v>Profit calculation mismatch</x:v>
      </x:c>
    </x:row>
    <x:row r="788">
      <x:c r="A788" s="80" t="n">
        <x:v>788</x:v>
      </x:c>
      <x:c r="B788" s="80" t="str">
        <x:v>ORD-2025-10787</x:v>
      </x:c>
      <x:c r="C788" s="81" t="n">
        <x:v>45844</x:v>
      </x:c>
      <x:c r="D788" s="81" t="n">
        <x:v>45846</x:v>
      </x:c>
      <x:c r="E788" s="80" t="str">
        <x:v>CUST-1343</x:v>
      </x:c>
      <x:c r="F788" s="80" t="str">
        <x:v>Ananya Rao</x:v>
      </x:c>
      <x:c r="G788" s="80" t="str">
        <x:v>Corporate</x:v>
      </x:c>
      <x:c r="H788" s="80" t="str">
        <x:v>North</x:v>
      </x:c>
      <x:c r="I788" s="80" t="str">
        <x:v>Rajasthan</x:v>
      </x:c>
      <x:c r="J788" s="80" t="str">
        <x:v>Jaipur</x:v>
      </x:c>
      <x:c r="K788" s="80" t="str">
        <x:v>Furniture</x:v>
      </x:c>
      <x:c r="L788" s="80" t="str">
        <x:v>Furnishings</x:v>
      </x:c>
      <x:c r="M788" s="80" t="str">
        <x:v>Pro Furnishings 233</x:v>
      </x:c>
      <x:c r="N788" s="80" t="str">
        <x:v>Unknown</x:v>
      </x:c>
      <x:c r="O788" s="82" t="n">
        <x:v>4</x:v>
      </x:c>
      <x:c r="P788" s="83" t="n">
        <x:v>715.45</x:v>
      </x:c>
      <x:c r="Q788" s="84" t="n">
        <x:v>0.05</x:v>
      </x:c>
      <x:c r="R788" s="83" t="n">
        <x:v>2718.71</x:v>
      </x:c>
      <x:c r="S788" s="83" t="n">
        <x:v>2065.05</x:v>
      </x:c>
      <x:c r="T788" s="83" t="n">
        <x:v>653.66</x:v>
      </x:c>
      <x:c r="U788" s="83" t="str">
        <x:v>Refunded</x:v>
      </x:c>
      <x:c r="V788" s="83" t="str">
        <x:v>Returned</x:v>
      </x:c>
      <x:c r="W788" s="151" t="n">
        <x:f>IF(OR(NOT(ISNUMBER($AP788)),COUNT($O788,$P788)&lt;2,$O788&lt;=0,$P788&lt;0),"",ROUND($O788*$P788*(1-$AP788),2))</x:f>
        <x:v>2718.71</x:v>
      </x:c>
      <x:c r="X788" s="151" t="n">
        <x:f>IF(OR(NOT(ISNUMBER($W788)),NOT(ISNUMBER($S788))),"",ROUND($W788-$S788,2))</x:f>
        <x:v>653.66</x:v>
      </x:c>
      <x:c r="Y788" s="85" t="n">
        <x:f>IF(OR(NOT(ISNUMBER($W788)),NOT(ISNUMBER($X788)),$W788=0),"",ROUND($X788/$W788,4))</x:f>
        <x:v>0.2404</x:v>
      </x:c>
      <x:c r="Z788" s="82" t="n">
        <x:f>IF(OR($AH788&lt;&gt;"Valid",$AI788&lt;&gt;"Valid"),"",INT($D788-$C788))</x:f>
        <x:v>2</x:v>
      </x:c>
      <x:c r="AA788" s="86" t="str">
        <x:f>IF($AH788&lt;&gt;"Valid","",TEXT($C788,"mmmm"))</x:f>
        <x:v>July</x:v>
      </x:c>
      <x:c r="AB788" s="82" t="n">
        <x:f>IF($AH788&lt;&gt;"Valid","",YEAR($C788))</x:f>
        <x:v>2025</x:v>
      </x:c>
      <x:c r="AC788" s="80" t="str">
        <x:v>Refunded (separately summarized)</x:v>
      </x:c>
      <x:c r="AD788" s="80" t="str">
        <x:v>Excluded</x:v>
      </x:c>
      <x:c r="AE788" s="80" t="str">
        <x:f>IF(OR($AH788&lt;&gt;"Valid",$AI788&lt;&gt;"Valid",$AJ788&lt;&gt;"Valid",LEFT($AM788,7)="Invalid",IFERROR(ABS($AQ788)&gt;0.01,FALSE),IFERROR(ABS($AR788)&gt;0.01,FALSE),COUNTIF($AS788,"*Conflicting duplicate*")&gt;0,COUNTIF($AS788,"*Completed order not paid*")&gt;0),"Invalid",IF(OR($H788="Unknown",$N788="Unknown",$AM788="Missing discount imputed as 0"),"Warning","Clean"))</x:f>
        <x:v>Warning</x:v>
      </x:c>
      <x:c r="AF788" s="80" t="str">
        <x:v>Cleaned</x:v>
      </x:c>
      <x:c r="AG788" s="80" t="str">
        <x:v>ship_mode: Missing value filled as Unknown</x:v>
      </x:c>
      <x:c r="AH788" s="12" t="str">
        <x:f>IF(C788="","Missing date",IF(ISNUMBER(C788),"Valid","Unrecognized/invalid date"))</x:f>
        <x:v>Valid</x:v>
      </x:c>
      <x:c r="AI788" s="12" t="str">
        <x:f>IF(D788="","Missing date",IF(ISNUMBER(D788),"Valid","Unrecognized/invalid date"))</x:f>
        <x:v>Valid</x:v>
      </x:c>
      <x:c r="AJ788" s="12" t="str">
        <x:v>Valid</x:v>
      </x:c>
      <x:c r="AK788" s="12" t="str">
        <x:v>Pass</x:v>
      </x:c>
      <x:c r="AL788" s="12" t="str">
        <x:v>Missing ship_mode filled as Unknown; Refunded payment – separately summarized</x:v>
      </x:c>
      <x:c r="AM788" s="12" t="str">
        <x:v>Valid</x:v>
      </x:c>
      <x:c r="AN788" s="12" t="str">
        <x:v>Exclude from completed sales</x:v>
      </x:c>
      <x:c r="AO788" s="12" t="str">
        <x:v>Include in refunded summary</x:v>
      </x:c>
      <x:c r="AP788" s="37" t="n">
        <x:f>IF(LEFT($AM788,7)="Invalid","",IF($AM788="Missing discount imputed as 0",IF(AND(COUNT($O788,$P788,$R788,$S788)=4,$O788&gt;0,$P788&gt;=0,$R788&gt;=0,$S788&gt;=0),0,""),IF(AND(ISNUMBER($Q788),$Q788&gt;=0,$Q788&lt;=0.5),$Q788,"")))</x:f>
        <x:v>0.05</x:v>
      </x:c>
      <x:c r="AQ788" s="152" t="n">
        <x:f>IF(OR($W788="",NOT(ISNUMBER($R788))),"",ROUND($R788-$W788,2))</x:f>
        <x:v>0</x:v>
      </x:c>
      <x:c r="AR788" s="152" t="n">
        <x:f>IF(OR($X788="",NOT(ISNUMBER($T788))),"",ROUND($T788-$X788,2))</x:f>
        <x:v>0</x:v>
      </x:c>
      <x:c r="AS788" s="14" t="str">
        <x:v>OK</x:v>
      </x:c>
    </x:row>
    <x:row r="789">
      <x:c r="A789" s="80" t="n">
        <x:v>789</x:v>
      </x:c>
      <x:c r="B789" s="80" t="str">
        <x:v>ORD-2024-10788</x:v>
      </x:c>
      <x:c r="C789" s="81" t="n">
        <x:v>45547</x:v>
      </x:c>
      <x:c r="D789" s="81" t="n">
        <x:v>45553</x:v>
      </x:c>
      <x:c r="E789" s="80" t="str">
        <x:v>CUST-7548</x:v>
      </x:c>
      <x:c r="F789" s="80" t="str">
        <x:v>Ananya Rao</x:v>
      </x:c>
      <x:c r="G789" s="80" t="str">
        <x:v>Home Office</x:v>
      </x:c>
      <x:c r="H789" s="80" t="str">
        <x:v>East</x:v>
      </x:c>
      <x:c r="I789" s="80" t="str">
        <x:v>Bihar</x:v>
      </x:c>
      <x:c r="J789" s="80" t="str">
        <x:v>Patna</x:v>
      </x:c>
      <x:c r="K789" s="80" t="str">
        <x:v>Office Supplies</x:v>
      </x:c>
      <x:c r="L789" s="80" t="str">
        <x:v>Paper</x:v>
      </x:c>
      <x:c r="M789" s="80" t="str">
        <x:v>Prime Paper 878</x:v>
      </x:c>
      <x:c r="N789" s="80" t="str">
        <x:v>Second Class</x:v>
      </x:c>
      <x:c r="O789" s="82" t="n">
        <x:v>2</x:v>
      </x:c>
      <x:c r="P789" s="83" t="n">
        <x:v>3718.77</x:v>
      </x:c>
      <x:c r="Q789" s="84" t="n">
        <x:v>0.05</x:v>
      </x:c>
      <x:c r="R789" s="83" t="n">
        <x:v>7065.66</x:v>
      </x:c>
      <x:c r="S789" s="83" t="n">
        <x:v>4915.27</x:v>
      </x:c>
      <x:c r="T789" s="83" t="n">
        <x:v>2150.39</x:v>
      </x:c>
      <x:c r="U789" s="83" t="str">
        <x:v>Paid</x:v>
      </x:c>
      <x:c r="V789" s="83" t="str">
        <x:v>Completed</x:v>
      </x:c>
      <x:c r="W789" s="151" t="n">
        <x:f>IF(OR(NOT(ISNUMBER($AP789)),COUNT($O789,$P789)&lt;2,$O789&lt;=0,$P789&lt;0),"",ROUND($O789*$P789*(1-$AP789),2))</x:f>
        <x:v>7065.66</x:v>
      </x:c>
      <x:c r="X789" s="151" t="n">
        <x:f>IF(OR(NOT(ISNUMBER($W789)),NOT(ISNUMBER($S789))),"",ROUND($W789-$S789,2))</x:f>
        <x:v>2150.39</x:v>
      </x:c>
      <x:c r="Y789" s="85" t="n">
        <x:f>IF(OR(NOT(ISNUMBER($W789)),NOT(ISNUMBER($X789)),$W789=0),"",ROUND($X789/$W789,4))</x:f>
        <x:v>0.3043</x:v>
      </x:c>
      <x:c r="Z789" s="82" t="n">
        <x:f>IF(OR($AH789&lt;&gt;"Valid",$AI789&lt;&gt;"Valid"),"",INT($D789-$C789))</x:f>
        <x:v>6</x:v>
      </x:c>
      <x:c r="AA789" s="86" t="str">
        <x:f>IF($AH789&lt;&gt;"Valid","",TEXT($C789,"mmmm"))</x:f>
        <x:v>September</x:v>
      </x:c>
      <x:c r="AB789" s="82" t="n">
        <x:f>IF($AH789&lt;&gt;"Valid","",YEAR($C789))</x:f>
        <x:v>2024</x:v>
      </x:c>
      <x:c r="AC789" s="80" t="str">
        <x:v>Consistent</x:v>
      </x:c>
      <x:c r="AD789" s="80" t="str">
        <x:v>Eligible</x:v>
      </x:c>
      <x:c r="AE789" s="80" t="str">
        <x:f>IF(OR($AH789&lt;&gt;"Valid",$AI789&lt;&gt;"Valid",$AJ789&lt;&gt;"Valid",LEFT($AM789,7)="Invalid",IFERROR(ABS($AQ789)&gt;0.01,FALSE),IFERROR(ABS($AR789)&gt;0.01,FALSE),COUNTIF($AS789,"*Conflicting duplicate*")&gt;0,COUNTIF($AS789,"*Completed order not paid*")&gt;0),"Invalid",IF(OR($H789="Unknown",$N789="Unknown",$AM789="Missing discount imputed as 0"),"Warning","Clean"))</x:f>
        <x:v>Clean</x:v>
      </x:c>
      <x:c r="AF789" s="80" t="str">
        <x:v>Cleaned</x:v>
      </x:c>
      <x:c r="AG789" s="80" t="str">
        <x:v>payment_status: TRIM/SUBSTITUTE whitespace cleanup</x:v>
      </x:c>
      <x:c r="AH789" s="12" t="str">
        <x:f>IF(C789="","Missing date",IF(ISNUMBER(C789),"Valid","Unrecognized/invalid date"))</x:f>
        <x:v>Valid</x:v>
      </x:c>
      <x:c r="AI789" s="12" t="str">
        <x:f>IF(D789="","Missing date",IF(ISNUMBER(D789),"Valid","Unrecognized/invalid date"))</x:f>
        <x:v>Valid</x:v>
      </x:c>
      <x:c r="AJ789" s="12" t="str">
        <x:v>Valid</x:v>
      </x:c>
      <x:c r="AK789" s="12" t="str">
        <x:v>Pass</x:v>
      </x:c>
      <x:c r="AL789" s="12" t="str">
        <x:v>None</x:v>
      </x:c>
      <x:c r="AM789" s="12" t="str">
        <x:v>Valid</x:v>
      </x:c>
      <x:c r="AN789" s="12" t="str">
        <x:v>Include in completed sales</x:v>
      </x:c>
      <x:c r="AO789" s="12" t="str">
        <x:v>Not a refunded record</x:v>
      </x:c>
      <x:c r="AP789" s="37" t="n">
        <x:f>IF(LEFT($AM789,7)="Invalid","",IF($AM789="Missing discount imputed as 0",IF(AND(COUNT($O789,$P789,$R789,$S789)=4,$O789&gt;0,$P789&gt;=0,$R789&gt;=0,$S789&gt;=0),0,""),IF(AND(ISNUMBER($Q789),$Q789&gt;=0,$Q789&lt;=0.5),$Q789,"")))</x:f>
        <x:v>0.05</x:v>
      </x:c>
      <x:c r="AQ789" s="152" t="n">
        <x:f>IF(OR($W789="",NOT(ISNUMBER($R789))),"",ROUND($R789-$W789,2))</x:f>
        <x:v>0</x:v>
      </x:c>
      <x:c r="AR789" s="152" t="n">
        <x:f>IF(OR($X789="",NOT(ISNUMBER($T789))),"",ROUND($T789-$X789,2))</x:f>
        <x:v>0</x:v>
      </x:c>
      <x:c r="AS789" s="14" t="str">
        <x:v>OK</x:v>
      </x:c>
    </x:row>
    <x:row r="790">
      <x:c r="A790" s="80" t="n">
        <x:v>790</x:v>
      </x:c>
      <x:c r="B790" s="80" t="str">
        <x:v>ORD-2024-10789</x:v>
      </x:c>
      <x:c r="C790" s="81" t="n">
        <x:v>45505</x:v>
      </x:c>
      <x:c r="D790" s="81" t="n">
        <x:v>45506</x:v>
      </x:c>
      <x:c r="E790" s="80" t="str">
        <x:v>CUST-3631</x:v>
      </x:c>
      <x:c r="F790" s="80" t="str">
        <x:v>Isha Nair</x:v>
      </x:c>
      <x:c r="G790" s="80" t="str">
        <x:v>Corporate</x:v>
      </x:c>
      <x:c r="H790" s="80" t="str">
        <x:v>North</x:v>
      </x:c>
      <x:c r="I790" s="80" t="str">
        <x:v>Uttar Pradesh</x:v>
      </x:c>
      <x:c r="J790" s="80" t="str">
        <x:v>Noida</x:v>
      </x:c>
      <x:c r="K790" s="80" t="str">
        <x:v>Furniture</x:v>
      </x:c>
      <x:c r="L790" s="80" t="str">
        <x:v>Chairs</x:v>
      </x:c>
      <x:c r="M790" s="80" t="str">
        <x:v>Smart Chairs 353</x:v>
      </x:c>
      <x:c r="N790" s="80" t="str">
        <x:v>Standard Class</x:v>
      </x:c>
      <x:c r="O790" s="82" t="n">
        <x:v>8</x:v>
      </x:c>
      <x:c r="P790" s="83" t="n">
        <x:v>2487.64</x:v>
      </x:c>
      <x:c r="Q790" s="84" t="n">
        <x:v>0.1</x:v>
      </x:c>
      <x:c r="R790" s="83" t="n">
        <x:v>17911.01</x:v>
      </x:c>
      <x:c r="S790" s="83" t="n">
        <x:v>11546.05</x:v>
      </x:c>
      <x:c r="T790" s="83" t="n">
        <x:v>6364.96</x:v>
      </x:c>
      <x:c r="U790" s="83" t="str">
        <x:v>Failed</x:v>
      </x:c>
      <x:c r="V790" s="83" t="str">
        <x:v>Returned</x:v>
      </x:c>
      <x:c r="W790" s="151" t="n">
        <x:f>IF(OR(NOT(ISNUMBER($AP790)),COUNT($O790,$P790)&lt;2,$O790&lt;=0,$P790&lt;0),"",ROUND($O790*$P790*(1-$AP790),2))</x:f>
        <x:v>17911.01</x:v>
      </x:c>
      <x:c r="X790" s="151" t="n">
        <x:f>IF(OR(NOT(ISNUMBER($W790)),NOT(ISNUMBER($S790))),"",ROUND($W790-$S790,2))</x:f>
        <x:v>6364.96</x:v>
      </x:c>
      <x:c r="Y790" s="85" t="n">
        <x:f>IF(OR(NOT(ISNUMBER($W790)),NOT(ISNUMBER($X790)),$W790=0),"",ROUND($X790/$W790,4))</x:f>
        <x:v>0.3554</x:v>
      </x:c>
      <x:c r="Z790" s="82" t="n">
        <x:f>IF(OR($AH790&lt;&gt;"Valid",$AI790&lt;&gt;"Valid"),"",INT($D790-$C790))</x:f>
        <x:v>1</x:v>
      </x:c>
      <x:c r="AA790" s="86" t="str">
        <x:f>IF($AH790&lt;&gt;"Valid","",TEXT($C790,"mmmm"))</x:f>
        <x:v>August</x:v>
      </x:c>
      <x:c r="AB790" s="82" t="n">
        <x:f>IF($AH790&lt;&gt;"Valid","",YEAR($C790))</x:f>
        <x:v>2024</x:v>
      </x:c>
      <x:c r="AC790" s="80" t="str">
        <x:v>Failed payment (excluded from completed-sales summary)</x:v>
      </x:c>
      <x:c r="AD790" s="80" t="str">
        <x:v>Excluded</x:v>
      </x:c>
      <x:c r="AE790" s="80" t="str">
        <x:f>IF(OR($AH790&lt;&gt;"Valid",$AI790&lt;&gt;"Valid",$AJ790&lt;&gt;"Valid",LEFT($AM790,7)="Invalid",IFERROR(ABS($AQ790)&gt;0.01,FALSE),IFERROR(ABS($AR790)&gt;0.01,FALSE),COUNTIF($AS790,"*Conflicting duplicate*")&gt;0,COUNTIF($AS790,"*Completed order not paid*")&gt;0),"Invalid",IF(OR($H790="Unknown",$N790="Unknown",$AM790="Missing discount imputed as 0"),"Warning","Clean"))</x:f>
        <x:v>Clean</x:v>
      </x:c>
      <x:c r="AF790" s="80" t="str">
        <x:v>Pass</x:v>
      </x:c>
      <x:c r="AG790" s="80" t="str">
        <x:v>No text cleanup required</x:v>
      </x:c>
      <x:c r="AH790" s="12" t="str">
        <x:f>IF(C790="","Missing date",IF(ISNUMBER(C790),"Valid","Unrecognized/invalid date"))</x:f>
        <x:v>Valid</x:v>
      </x:c>
      <x:c r="AI790" s="12" t="str">
        <x:f>IF(D790="","Missing date",IF(ISNUMBER(D790),"Valid","Unrecognized/invalid date"))</x:f>
        <x:v>Valid</x:v>
      </x:c>
      <x:c r="AJ790" s="12" t="str">
        <x:v>Valid</x:v>
      </x:c>
      <x:c r="AK790" s="12" t="str">
        <x:v>Pass</x:v>
      </x:c>
      <x:c r="AL790" s="12" t="str">
        <x:v>Failed payment – excluded from completed sales</x:v>
      </x:c>
      <x:c r="AM790" s="12" t="str">
        <x:v>Valid</x:v>
      </x:c>
      <x:c r="AN790" s="12" t="str">
        <x:v>Exclude from completed sales</x:v>
      </x:c>
      <x:c r="AO790" s="12" t="str">
        <x:v>Not a refunded record</x:v>
      </x:c>
      <x:c r="AP790" s="37" t="n">
        <x:f>IF(LEFT($AM790,7)="Invalid","",IF($AM790="Missing discount imputed as 0",IF(AND(COUNT($O790,$P790,$R790,$S790)=4,$O790&gt;0,$P790&gt;=0,$R790&gt;=0,$S790&gt;=0),0,""),IF(AND(ISNUMBER($Q790),$Q790&gt;=0,$Q790&lt;=0.5),$Q790,"")))</x:f>
        <x:v>0.1</x:v>
      </x:c>
      <x:c r="AQ790" s="152" t="n">
        <x:f>IF(OR($W790="",NOT(ISNUMBER($R790))),"",ROUND($R790-$W790,2))</x:f>
        <x:v>0</x:v>
      </x:c>
      <x:c r="AR790" s="152" t="n">
        <x:f>IF(OR($X790="",NOT(ISNUMBER($T790))),"",ROUND($T790-$X790,2))</x:f>
        <x:v>0</x:v>
      </x:c>
      <x:c r="AS790" s="14" t="str">
        <x:v>OK</x:v>
      </x:c>
    </x:row>
    <x:row r="791">
      <x:c r="A791" s="80" t="n">
        <x:v>791</x:v>
      </x:c>
      <x:c r="B791" s="80" t="str">
        <x:v>ORD-2025-10790</x:v>
      </x:c>
      <x:c r="C791" s="81" t="n">
        <x:v>45723</x:v>
      </x:c>
      <x:c r="D791" s="81" t="n">
        <x:v>45724</x:v>
      </x:c>
      <x:c r="E791" s="80" t="str">
        <x:v>CUST-1453</x:v>
      </x:c>
      <x:c r="F791" s="80" t="str">
        <x:v>Priya Menon</x:v>
      </x:c>
      <x:c r="G791" s="80" t="str">
        <x:v>Home Office</x:v>
      </x:c>
      <x:c r="H791" s="80" t="str">
        <x:v>Unknown</x:v>
      </x:c>
      <x:c r="I791" s="80" t="str">
        <x:v>Rajasthan</x:v>
      </x:c>
      <x:c r="J791" s="80" t="str">
        <x:v>Udaipur</x:v>
      </x:c>
      <x:c r="K791" s="80" t="str">
        <x:v>Technology</x:v>
      </x:c>
      <x:c r="L791" s="80" t="str">
        <x:v>Copiers</x:v>
      </x:c>
      <x:c r="M791" s="80" t="str">
        <x:v>Smart Copiers 408</x:v>
      </x:c>
      <x:c r="N791" s="80" t="str">
        <x:v>Same Day</x:v>
      </x:c>
      <x:c r="O791" s="82" t="n">
        <x:v>4</x:v>
      </x:c>
      <x:c r="P791" s="83" t="n">
        <x:v>3537.48</x:v>
      </x:c>
      <x:c r="Q791" s="84" t="n">
        <x:v>0</x:v>
      </x:c>
      <x:c r="R791" s="83" t="n">
        <x:v>14149.92</x:v>
      </x:c>
      <x:c r="S791" s="83" t="n">
        <x:v>9466.51</x:v>
      </x:c>
      <x:c r="T791" s="83" t="n">
        <x:v>4683.41</x:v>
      </x:c>
      <x:c r="U791" s="83" t="str">
        <x:v>Paid</x:v>
      </x:c>
      <x:c r="V791" s="83" t="str">
        <x:v>Completed</x:v>
      </x:c>
      <x:c r="W791" s="151" t="n">
        <x:f>IF(OR(NOT(ISNUMBER($AP791)),COUNT($O791,$P791)&lt;2,$O791&lt;=0,$P791&lt;0),"",ROUND($O791*$P791*(1-$AP791),2))</x:f>
        <x:v>14149.92</x:v>
      </x:c>
      <x:c r="X791" s="151" t="n">
        <x:f>IF(OR(NOT(ISNUMBER($W791)),NOT(ISNUMBER($S791))),"",ROUND($W791-$S791,2))</x:f>
        <x:v>4683.41</x:v>
      </x:c>
      <x:c r="Y791" s="85" t="n">
        <x:f>IF(OR(NOT(ISNUMBER($W791)),NOT(ISNUMBER($X791)),$W791=0),"",ROUND($X791/$W791,4))</x:f>
        <x:v>0.331</x:v>
      </x:c>
      <x:c r="Z791" s="82" t="n">
        <x:f>IF(OR($AH791&lt;&gt;"Valid",$AI791&lt;&gt;"Valid"),"",INT($D791-$C791))</x:f>
        <x:v>1</x:v>
      </x:c>
      <x:c r="AA791" s="86" t="str">
        <x:f>IF($AH791&lt;&gt;"Valid","",TEXT($C791,"mmmm"))</x:f>
        <x:v>March</x:v>
      </x:c>
      <x:c r="AB791" s="82" t="n">
        <x:f>IF($AH791&lt;&gt;"Valid","",YEAR($C791))</x:f>
        <x:v>2025</x:v>
      </x:c>
      <x:c r="AC791" s="80" t="str">
        <x:v>Consistent</x:v>
      </x:c>
      <x:c r="AD791" s="80" t="str">
        <x:v>Eligible</x:v>
      </x:c>
      <x:c r="AE791" s="80" t="str">
        <x:f>IF(OR($AH791&lt;&gt;"Valid",$AI791&lt;&gt;"Valid",$AJ791&lt;&gt;"Valid",LEFT($AM791,7)="Invalid",IFERROR(ABS($AQ791)&gt;0.01,FALSE),IFERROR(ABS($AR791)&gt;0.01,FALSE),COUNTIF($AS791,"*Conflicting duplicate*")&gt;0,COUNTIF($AS791,"*Completed order not paid*")&gt;0),"Invalid",IF(OR($H791="Unknown",$N791="Unknown",$AM791="Missing discount imputed as 0"),"Warning","Clean"))</x:f>
        <x:v>Warning</x:v>
      </x:c>
      <x:c r="AF791" s="80" t="str">
        <x:v>Cleaned</x:v>
      </x:c>
      <x:c r="AG791" s="80" t="str">
        <x:v>region: Missing value filled as Unknown</x:v>
      </x:c>
      <x:c r="AH791" s="12" t="str">
        <x:f>IF(C791="","Missing date",IF(ISNUMBER(C791),"Valid","Unrecognized/invalid date"))</x:f>
        <x:v>Valid</x:v>
      </x:c>
      <x:c r="AI791" s="12" t="str">
        <x:f>IF(D791="","Missing date",IF(ISNUMBER(D791),"Valid","Unrecognized/invalid date"))</x:f>
        <x:v>Valid</x:v>
      </x:c>
      <x:c r="AJ791" s="12" t="str">
        <x:v>Valid</x:v>
      </x:c>
      <x:c r="AK791" s="12" t="str">
        <x:v>Pass</x:v>
      </x:c>
      <x:c r="AL791" s="12" t="str">
        <x:v>Missing region filled as Unknown</x:v>
      </x:c>
      <x:c r="AM791" s="12" t="str">
        <x:v>Valid</x:v>
      </x:c>
      <x:c r="AN791" s="12" t="str">
        <x:v>Include in completed sales</x:v>
      </x:c>
      <x:c r="AO791" s="12" t="str">
        <x:v>Not a refunded record</x:v>
      </x:c>
      <x:c r="AP791" s="37" t="n">
        <x:f>IF(LEFT($AM791,7)="Invalid","",IF($AM791="Missing discount imputed as 0",IF(AND(COUNT($O791,$P791,$R791,$S791)=4,$O791&gt;0,$P791&gt;=0,$R791&gt;=0,$S791&gt;=0),0,""),IF(AND(ISNUMBER($Q791),$Q791&gt;=0,$Q791&lt;=0.5),$Q791,"")))</x:f>
        <x:v>0</x:v>
      </x:c>
      <x:c r="AQ791" s="152" t="n">
        <x:f>IF(OR($W791="",NOT(ISNUMBER($R791))),"",ROUND($R791-$W791,2))</x:f>
        <x:v>0</x:v>
      </x:c>
      <x:c r="AR791" s="152" t="n">
        <x:f>IF(OR($X791="",NOT(ISNUMBER($T791))),"",ROUND($T791-$X791,2))</x:f>
        <x:v>0</x:v>
      </x:c>
      <x:c r="AS791" s="14" t="str">
        <x:v>OK</x:v>
      </x:c>
    </x:row>
    <x:row r="792">
      <x:c r="A792" s="80" t="n">
        <x:v>792</x:v>
      </x:c>
      <x:c r="B792" s="80" t="str">
        <x:v>ORD-2024-10791</x:v>
      </x:c>
      <x:c r="C792" s="81" t="n">
        <x:v>45443</x:v>
      </x:c>
      <x:c r="D792" s="81" t="n">
        <x:v>45445</x:v>
      </x:c>
      <x:c r="E792" s="80" t="str">
        <x:v>CUST-1951</x:v>
      </x:c>
      <x:c r="F792" s="80" t="str">
        <x:v>Rahul Verma</x:v>
      </x:c>
      <x:c r="G792" s="80" t="str">
        <x:v>Corporate</x:v>
      </x:c>
      <x:c r="H792" s="80" t="str">
        <x:v>South</x:v>
      </x:c>
      <x:c r="I792" s="80" t="str">
        <x:v>Andhra Pradesh</x:v>
      </x:c>
      <x:c r="J792" s="80" t="str">
        <x:v>Vijayawada</x:v>
      </x:c>
      <x:c r="K792" s="80" t="str">
        <x:v>Office Supplies</x:v>
      </x:c>
      <x:c r="L792" s="80" t="str">
        <x:v>Art</x:v>
      </x:c>
      <x:c r="M792" s="80" t="str">
        <x:v>Classic Art 781</x:v>
      </x:c>
      <x:c r="N792" s="80" t="str">
        <x:v>Standard Class</x:v>
      </x:c>
      <x:c r="O792" s="82" t="n">
        <x:v>8</x:v>
      </x:c>
      <x:c r="P792" s="83" t="n">
        <x:v>667.59</x:v>
      </x:c>
      <x:c r="Q792" s="84" t="n">
        <x:v>0.2</x:v>
      </x:c>
      <x:c r="R792" s="83" t="n">
        <x:v>4272.58</x:v>
      </x:c>
      <x:c r="S792" s="83" t="n">
        <x:v>3328.92</x:v>
      </x:c>
      <x:c r="T792" s="83" t="n">
        <x:v>943.66</x:v>
      </x:c>
      <x:c r="U792" s="83" t="str">
        <x:v>Paid</x:v>
      </x:c>
      <x:c r="V792" s="83" t="str">
        <x:v>Completed</x:v>
      </x:c>
      <x:c r="W792" s="151" t="n">
        <x:f>IF(OR(NOT(ISNUMBER($AP792)),COUNT($O792,$P792)&lt;2,$O792&lt;=0,$P792&lt;0),"",ROUND($O792*$P792*(1-$AP792),2))</x:f>
        <x:v>4272.58</x:v>
      </x:c>
      <x:c r="X792" s="151" t="n">
        <x:f>IF(OR(NOT(ISNUMBER($W792)),NOT(ISNUMBER($S792))),"",ROUND($W792-$S792,2))</x:f>
        <x:v>943.66</x:v>
      </x:c>
      <x:c r="Y792" s="85" t="n">
        <x:f>IF(OR(NOT(ISNUMBER($W792)),NOT(ISNUMBER($X792)),$W792=0),"",ROUND($X792/$W792,4))</x:f>
        <x:v>0.2209</x:v>
      </x:c>
      <x:c r="Z792" s="82" t="n">
        <x:f>IF(OR($AH792&lt;&gt;"Valid",$AI792&lt;&gt;"Valid"),"",INT($D792-$C792))</x:f>
        <x:v>2</x:v>
      </x:c>
      <x:c r="AA792" s="86" t="str">
        <x:f>IF($AH792&lt;&gt;"Valid","",TEXT($C792,"mmmm"))</x:f>
        <x:v>May</x:v>
      </x:c>
      <x:c r="AB792" s="82" t="n">
        <x:f>IF($AH792&lt;&gt;"Valid","",YEAR($C792))</x:f>
        <x:v>2024</x:v>
      </x:c>
      <x:c r="AC792" s="80" t="str">
        <x:v>Consistent</x:v>
      </x:c>
      <x:c r="AD792" s="80" t="str">
        <x:v>Eligible</x:v>
      </x:c>
      <x:c r="AE792" s="80" t="str">
        <x:f>IF(OR($AH792&lt;&gt;"Valid",$AI792&lt;&gt;"Valid",$AJ792&lt;&gt;"Valid",LEFT($AM792,7)="Invalid",IFERROR(ABS($AQ792)&gt;0.01,FALSE),IFERROR(ABS($AR792)&gt;0.01,FALSE),COUNTIF($AS792,"*Conflicting duplicate*")&gt;0,COUNTIF($AS792,"*Completed order not paid*")&gt;0),"Invalid",IF(OR($H792="Unknown",$N792="Unknown",$AM792="Missing discount imputed as 0"),"Warning","Clean"))</x:f>
        <x:v>Clean</x:v>
      </x:c>
      <x:c r="AF792" s="80" t="str">
        <x:v>Pass</x:v>
      </x:c>
      <x:c r="AG792" s="80" t="str">
        <x:v>No text cleanup required</x:v>
      </x:c>
      <x:c r="AH792" s="12" t="str">
        <x:f>IF(C792="","Missing date",IF(ISNUMBER(C792),"Valid","Unrecognized/invalid date"))</x:f>
        <x:v>Valid</x:v>
      </x:c>
      <x:c r="AI792" s="12" t="str">
        <x:f>IF(D792="","Missing date",IF(ISNUMBER(D792),"Valid","Unrecognized/invalid date"))</x:f>
        <x:v>Valid</x:v>
      </x:c>
      <x:c r="AJ792" s="12" t="str">
        <x:v>Valid</x:v>
      </x:c>
      <x:c r="AK792" s="12" t="str">
        <x:v>Pass</x:v>
      </x:c>
      <x:c r="AL792" s="12" t="str">
        <x:v>None</x:v>
      </x:c>
      <x:c r="AM792" s="12" t="str">
        <x:v>Valid</x:v>
      </x:c>
      <x:c r="AN792" s="12" t="str">
        <x:v>Include in completed sales</x:v>
      </x:c>
      <x:c r="AO792" s="12" t="str">
        <x:v>Not a refunded record</x:v>
      </x:c>
      <x:c r="AP792" s="37" t="n">
        <x:f>IF(LEFT($AM792,7)="Invalid","",IF($AM792="Missing discount imputed as 0",IF(AND(COUNT($O792,$P792,$R792,$S792)=4,$O792&gt;0,$P792&gt;=0,$R792&gt;=0,$S792&gt;=0),0,""),IF(AND(ISNUMBER($Q792),$Q792&gt;=0,$Q792&lt;=0.5),$Q792,"")))</x:f>
        <x:v>0.2</x:v>
      </x:c>
      <x:c r="AQ792" s="152" t="n">
        <x:f>IF(OR($W792="",NOT(ISNUMBER($R792))),"",ROUND($R792-$W792,2))</x:f>
        <x:v>0</x:v>
      </x:c>
      <x:c r="AR792" s="152" t="n">
        <x:f>IF(OR($X792="",NOT(ISNUMBER($T792))),"",ROUND($T792-$X792,2))</x:f>
        <x:v>0</x:v>
      </x:c>
      <x:c r="AS792" s="14" t="str">
        <x:v>OK</x:v>
      </x:c>
    </x:row>
    <x:row r="793">
      <x:c r="A793" s="80" t="n">
        <x:v>793</x:v>
      </x:c>
      <x:c r="B793" s="80" t="str">
        <x:v>ORD-2024-10792</x:v>
      </x:c>
      <x:c r="C793" s="81" t="n">
        <x:v>45567</x:v>
      </x:c>
      <x:c r="D793" s="81" t="n">
        <x:v>45571</x:v>
      </x:c>
      <x:c r="E793" s="80" t="str">
        <x:v>CUST-6300</x:v>
      </x:c>
      <x:c r="F793" s="80" t="str">
        <x:v>Rahul Verma</x:v>
      </x:c>
      <x:c r="G793" s="80" t="str">
        <x:v>Home Office</x:v>
      </x:c>
      <x:c r="H793" s="80" t="str">
        <x:v>South</x:v>
      </x:c>
      <x:c r="I793" s="80" t="str">
        <x:v>Karnataka</x:v>
      </x:c>
      <x:c r="J793" s="80" t="str">
        <x:v>Bengaluru</x:v>
      </x:c>
      <x:c r="K793" s="80" t="str">
        <x:v>Furniture</x:v>
      </x:c>
      <x:c r="L793" s="80" t="str">
        <x:v>Bookcases</x:v>
      </x:c>
      <x:c r="M793" s="80" t="str">
        <x:v>Eco Bookcases 144</x:v>
      </x:c>
      <x:c r="N793" s="80" t="str">
        <x:v>Same Day</x:v>
      </x:c>
      <x:c r="O793" s="82" t="n">
        <x:v>8</x:v>
      </x:c>
      <x:c r="P793" s="83" t="n">
        <x:v>1558.77</x:v>
      </x:c>
      <x:c r="Q793" s="84" t="n">
        <x:v>0.25</x:v>
      </x:c>
      <x:c r="R793" s="83" t="n">
        <x:v>9352.62</x:v>
      </x:c>
      <x:c r="S793" s="83" t="n">
        <x:v>5269.41</x:v>
      </x:c>
      <x:c r="T793" s="83" t="n">
        <x:v>4083.21</x:v>
      </x:c>
      <x:c r="U793" s="83" t="str">
        <x:v>Paid</x:v>
      </x:c>
      <x:c r="V793" s="83" t="str">
        <x:v>Completed</x:v>
      </x:c>
      <x:c r="W793" s="151" t="n">
        <x:f>IF(OR(NOT(ISNUMBER($AP793)),COUNT($O793,$P793)&lt;2,$O793&lt;=0,$P793&lt;0),"",ROUND($O793*$P793*(1-$AP793),2))</x:f>
        <x:v>9352.62</x:v>
      </x:c>
      <x:c r="X793" s="151" t="n">
        <x:f>IF(OR(NOT(ISNUMBER($W793)),NOT(ISNUMBER($S793))),"",ROUND($W793-$S793,2))</x:f>
        <x:v>4083.21</x:v>
      </x:c>
      <x:c r="Y793" s="85" t="n">
        <x:f>IF(OR(NOT(ISNUMBER($W793)),NOT(ISNUMBER($X793)),$W793=0),"",ROUND($X793/$W793,4))</x:f>
        <x:v>0.4366</x:v>
      </x:c>
      <x:c r="Z793" s="82" t="n">
        <x:f>IF(OR($AH793&lt;&gt;"Valid",$AI793&lt;&gt;"Valid"),"",INT($D793-$C793))</x:f>
        <x:v>4</x:v>
      </x:c>
      <x:c r="AA793" s="86" t="str">
        <x:f>IF($AH793&lt;&gt;"Valid","",TEXT($C793,"mmmm"))</x:f>
        <x:v>October</x:v>
      </x:c>
      <x:c r="AB793" s="82" t="n">
        <x:f>IF($AH793&lt;&gt;"Valid","",YEAR($C793))</x:f>
        <x:v>2024</x:v>
      </x:c>
      <x:c r="AC793" s="80" t="str">
        <x:v>Consistent</x:v>
      </x:c>
      <x:c r="AD793" s="80" t="str">
        <x:v>Eligible</x:v>
      </x:c>
      <x:c r="AE793" s="80" t="str">
        <x:f>IF(OR($AH793&lt;&gt;"Valid",$AI793&lt;&gt;"Valid",$AJ793&lt;&gt;"Valid",LEFT($AM793,7)="Invalid",IFERROR(ABS($AQ793)&gt;0.01,FALSE),IFERROR(ABS($AR793)&gt;0.01,FALSE),COUNTIF($AS793,"*Conflicting duplicate*")&gt;0,COUNTIF($AS793,"*Completed order not paid*")&gt;0),"Invalid",IF(OR($H793="Unknown",$N793="Unknown",$AM793="Missing discount imputed as 0"),"Warning","Clean"))</x:f>
        <x:v>Clean</x:v>
      </x:c>
      <x:c r="AF793" s="80" t="str">
        <x:v>Pass</x:v>
      </x:c>
      <x:c r="AG793" s="80" t="str">
        <x:v>No text cleanup required</x:v>
      </x:c>
      <x:c r="AH793" s="12" t="str">
        <x:f>IF(C793="","Missing date",IF(ISNUMBER(C793),"Valid","Unrecognized/invalid date"))</x:f>
        <x:v>Valid</x:v>
      </x:c>
      <x:c r="AI793" s="12" t="str">
        <x:f>IF(D793="","Missing date",IF(ISNUMBER(D793),"Valid","Unrecognized/invalid date"))</x:f>
        <x:v>Valid</x:v>
      </x:c>
      <x:c r="AJ793" s="12" t="str">
        <x:v>Valid</x:v>
      </x:c>
      <x:c r="AK793" s="12" t="str">
        <x:v>Pass</x:v>
      </x:c>
      <x:c r="AL793" s="12" t="str">
        <x:v>None</x:v>
      </x:c>
      <x:c r="AM793" s="12" t="str">
        <x:v>Valid</x:v>
      </x:c>
      <x:c r="AN793" s="12" t="str">
        <x:v>Include in completed sales</x:v>
      </x:c>
      <x:c r="AO793" s="12" t="str">
        <x:v>Not a refunded record</x:v>
      </x:c>
      <x:c r="AP793" s="37" t="n">
        <x:f>IF(LEFT($AM793,7)="Invalid","",IF($AM793="Missing discount imputed as 0",IF(AND(COUNT($O793,$P793,$R793,$S793)=4,$O793&gt;0,$P793&gt;=0,$R793&gt;=0,$S793&gt;=0),0,""),IF(AND(ISNUMBER($Q793),$Q793&gt;=0,$Q793&lt;=0.5),$Q793,"")))</x:f>
        <x:v>0.25</x:v>
      </x:c>
      <x:c r="AQ793" s="152" t="n">
        <x:f>IF(OR($W793="",NOT(ISNUMBER($R793))),"",ROUND($R793-$W793,2))</x:f>
        <x:v>0</x:v>
      </x:c>
      <x:c r="AR793" s="152" t="n">
        <x:f>IF(OR($X793="",NOT(ISNUMBER($T793))),"",ROUND($T793-$X793,2))</x:f>
        <x:v>0</x:v>
      </x:c>
      <x:c r="AS793" s="14" t="str">
        <x:v>OK</x:v>
      </x:c>
    </x:row>
    <x:row r="794">
      <x:c r="A794" s="80" t="n">
        <x:v>794</x:v>
      </x:c>
      <x:c r="B794" s="80" t="str">
        <x:v>ORD-2025-10793</x:v>
      </x:c>
      <x:c r="C794" s="81" t="n">
        <x:v>45812</x:v>
      </x:c>
      <x:c r="D794" s="81" t="n">
        <x:v>45816</x:v>
      </x:c>
      <x:c r="E794" s="80" t="str">
        <x:v>CUST-1417</x:v>
      </x:c>
      <x:c r="F794" s="80" t="str">
        <x:v>Arjun Bose</x:v>
      </x:c>
      <x:c r="G794" s="80" t="str">
        <x:v>Small Business</x:v>
      </x:c>
      <x:c r="H794" s="80" t="str">
        <x:v>East</x:v>
      </x:c>
      <x:c r="I794" s="80" t="str">
        <x:v>Assam</x:v>
      </x:c>
      <x:c r="J794" s="80" t="str">
        <x:v>Guwahati</x:v>
      </x:c>
      <x:c r="K794" s="80" t="str">
        <x:v>Furniture</x:v>
      </x:c>
      <x:c r="L794" s="80" t="str">
        <x:v>Furnishings</x:v>
      </x:c>
      <x:c r="M794" s="80" t="str">
        <x:v>Elite Furnishings 852</x:v>
      </x:c>
      <x:c r="N794" s="80" t="str">
        <x:v>Second Class</x:v>
      </x:c>
      <x:c r="O794" s="82" t="n">
        <x:v>1</x:v>
      </x:c>
      <x:c r="P794" s="83" t="n">
        <x:v>3501.12</x:v>
      </x:c>
      <x:c r="Q794" s="84" t="n">
        <x:v>0.2</x:v>
      </x:c>
      <x:c r="R794" s="83" t="n">
        <x:v>2800.9</x:v>
      </x:c>
      <x:c r="S794" s="83" t="n">
        <x:v>1735.98</x:v>
      </x:c>
      <x:c r="T794" s="83" t="n">
        <x:v>1064.92</x:v>
      </x:c>
      <x:c r="U794" s="83" t="str">
        <x:v>Paid</x:v>
      </x:c>
      <x:c r="V794" s="83" t="str">
        <x:v>Returned</x:v>
      </x:c>
      <x:c r="W794" s="151" t="n">
        <x:f>IF(OR(NOT(ISNUMBER($AP794)),COUNT($O794,$P794)&lt;2,$O794&lt;=0,$P794&lt;0),"",ROUND($O794*$P794*(1-$AP794),2))</x:f>
        <x:v>2800.9</x:v>
      </x:c>
      <x:c r="X794" s="151" t="n">
        <x:f>IF(OR(NOT(ISNUMBER($W794)),NOT(ISNUMBER($S794))),"",ROUND($W794-$S794,2))</x:f>
        <x:v>1064.92</x:v>
      </x:c>
      <x:c r="Y794" s="85" t="n">
        <x:f>IF(OR(NOT(ISNUMBER($W794)),NOT(ISNUMBER($X794)),$W794=0),"",ROUND($X794/$W794,4))</x:f>
        <x:v>0.3802</x:v>
      </x:c>
      <x:c r="Z794" s="82" t="n">
        <x:f>IF(OR($AH794&lt;&gt;"Valid",$AI794&lt;&gt;"Valid"),"",INT($D794-$C794))</x:f>
        <x:v>4</x:v>
      </x:c>
      <x:c r="AA794" s="86" t="str">
        <x:f>IF($AH794&lt;&gt;"Valid","",TEXT($C794,"mmmm"))</x:f>
        <x:v>June</x:v>
      </x:c>
      <x:c r="AB794" s="82" t="n">
        <x:f>IF($AH794&lt;&gt;"Valid","",YEAR($C794))</x:f>
        <x:v>2025</x:v>
      </x:c>
      <x:c r="AC794" s="80" t="str">
        <x:v>Consistent</x:v>
      </x:c>
      <x:c r="AD794" s="80" t="str">
        <x:v>Excluded</x:v>
      </x:c>
      <x:c r="AE794" s="80" t="str">
        <x:f>IF(OR($AH794&lt;&gt;"Valid",$AI794&lt;&gt;"Valid",$AJ794&lt;&gt;"Valid",LEFT($AM794,7)="Invalid",IFERROR(ABS($AQ794)&gt;0.01,FALSE),IFERROR(ABS($AR794)&gt;0.01,FALSE),COUNTIF($AS794,"*Conflicting duplicate*")&gt;0,COUNTIF($AS794,"*Completed order not paid*")&gt;0),"Invalid",IF(OR($H794="Unknown",$N794="Unknown",$AM794="Missing discount imputed as 0"),"Warning","Clean"))</x:f>
        <x:v>Clean</x:v>
      </x:c>
      <x:c r="AF794" s="80" t="str">
        <x:v>Pass</x:v>
      </x:c>
      <x:c r="AG794" s="80" t="str">
        <x:v>No text cleanup required</x:v>
      </x:c>
      <x:c r="AH794" s="12" t="str">
        <x:f>IF(C794="","Missing date",IF(ISNUMBER(C794),"Valid","Unrecognized/invalid date"))</x:f>
        <x:v>Valid</x:v>
      </x:c>
      <x:c r="AI794" s="12" t="str">
        <x:f>IF(D794="","Missing date",IF(ISNUMBER(D794),"Valid","Unrecognized/invalid date"))</x:f>
        <x:v>Valid</x:v>
      </x:c>
      <x:c r="AJ794" s="12" t="str">
        <x:v>Valid</x:v>
      </x:c>
      <x:c r="AK794" s="12" t="str">
        <x:v>Pass</x:v>
      </x:c>
      <x:c r="AL794" s="12" t="str">
        <x:v>None</x:v>
      </x:c>
      <x:c r="AM794" s="12" t="str">
        <x:v>Valid</x:v>
      </x:c>
      <x:c r="AN794" s="12" t="str">
        <x:v>Exclude from completed sales</x:v>
      </x:c>
      <x:c r="AO794" s="12" t="str">
        <x:v>Not a refunded record</x:v>
      </x:c>
      <x:c r="AP794" s="37" t="n">
        <x:f>IF(LEFT($AM794,7)="Invalid","",IF($AM794="Missing discount imputed as 0",IF(AND(COUNT($O794,$P794,$R794,$S794)=4,$O794&gt;0,$P794&gt;=0,$R794&gt;=0,$S794&gt;=0),0,""),IF(AND(ISNUMBER($Q794),$Q794&gt;=0,$Q794&lt;=0.5),$Q794,"")))</x:f>
        <x:v>0.2</x:v>
      </x:c>
      <x:c r="AQ794" s="152" t="n">
        <x:f>IF(OR($W794="",NOT(ISNUMBER($R794))),"",ROUND($R794-$W794,2))</x:f>
        <x:v>0</x:v>
      </x:c>
      <x:c r="AR794" s="152" t="n">
        <x:f>IF(OR($X794="",NOT(ISNUMBER($T794))),"",ROUND($T794-$X794,2))</x:f>
        <x:v>0</x:v>
      </x:c>
      <x:c r="AS794" s="14" t="str">
        <x:v>OK</x:v>
      </x:c>
    </x:row>
    <x:row r="795">
      <x:c r="A795" s="80" t="n">
        <x:v>795</x:v>
      </x:c>
      <x:c r="B795" s="80" t="str">
        <x:v>ORD-2024-10794</x:v>
      </x:c>
      <x:c r="C795" s="81" t="n">
        <x:v>45440</x:v>
      </x:c>
      <x:c r="D795" s="81" t="n">
        <x:v>45446</x:v>
      </x:c>
      <x:c r="E795" s="80" t="str">
        <x:v>CUST-5421</x:v>
      </x:c>
      <x:c r="F795" s="80" t="str">
        <x:v>Vikram Iyer</x:v>
      </x:c>
      <x:c r="G795" s="80" t="str">
        <x:v>Corporate</x:v>
      </x:c>
      <x:c r="H795" s="80" t="str">
        <x:v>North</x:v>
      </x:c>
      <x:c r="I795" s="80" t="str">
        <x:v>Rajasthan</x:v>
      </x:c>
      <x:c r="J795" s="80" t="str">
        <x:v>Jaipur</x:v>
      </x:c>
      <x:c r="K795" s="80" t="str">
        <x:v>Technology</x:v>
      </x:c>
      <x:c r="L795" s="80" t="str">
        <x:v>Copiers</x:v>
      </x:c>
      <x:c r="M795" s="80" t="str">
        <x:v>Basic Copiers 238</x:v>
      </x:c>
      <x:c r="N795" s="80" t="str">
        <x:v>Second Class</x:v>
      </x:c>
      <x:c r="O795" s="82" t="n">
        <x:v>5</x:v>
      </x:c>
      <x:c r="P795" s="83" t="n">
        <x:v>4302.32</x:v>
      </x:c>
      <x:c r="Q795" s="84" t="n">
        <x:v>0</x:v>
      </x:c>
      <x:c r="R795" s="83" t="n">
        <x:v>21511.6</x:v>
      </x:c>
      <x:c r="S795" s="83" t="n">
        <x:v>15408.47</x:v>
      </x:c>
      <x:c r="T795" s="83" t="n">
        <x:v>6103.13</x:v>
      </x:c>
      <x:c r="U795" s="83" t="str">
        <x:v>Paid</x:v>
      </x:c>
      <x:c r="V795" s="83" t="str">
        <x:v>Completed</x:v>
      </x:c>
      <x:c r="W795" s="151" t="n">
        <x:f>IF(OR(NOT(ISNUMBER($AP795)),COUNT($O795,$P795)&lt;2,$O795&lt;=0,$P795&lt;0),"",ROUND($O795*$P795*(1-$AP795),2))</x:f>
        <x:v>21511.6</x:v>
      </x:c>
      <x:c r="X795" s="151" t="n">
        <x:f>IF(OR(NOT(ISNUMBER($W795)),NOT(ISNUMBER($S795))),"",ROUND($W795-$S795,2))</x:f>
        <x:v>6103.13</x:v>
      </x:c>
      <x:c r="Y795" s="85" t="n">
        <x:f>IF(OR(NOT(ISNUMBER($W795)),NOT(ISNUMBER($X795)),$W795=0),"",ROUND($X795/$W795,4))</x:f>
        <x:v>0.2837</x:v>
      </x:c>
      <x:c r="Z795" s="82" t="n">
        <x:f>IF(OR($AH795&lt;&gt;"Valid",$AI795&lt;&gt;"Valid"),"",INT($D795-$C795))</x:f>
        <x:v>6</x:v>
      </x:c>
      <x:c r="AA795" s="86" t="str">
        <x:f>IF($AH795&lt;&gt;"Valid","",TEXT($C795,"mmmm"))</x:f>
        <x:v>May</x:v>
      </x:c>
      <x:c r="AB795" s="82" t="n">
        <x:f>IF($AH795&lt;&gt;"Valid","",YEAR($C795))</x:f>
        <x:v>2024</x:v>
      </x:c>
      <x:c r="AC795" s="80" t="str">
        <x:v>Consistent</x:v>
      </x:c>
      <x:c r="AD795" s="80" t="str">
        <x:v>Eligible</x:v>
      </x:c>
      <x:c r="AE795" s="80" t="str">
        <x:f>IF(OR($AH795&lt;&gt;"Valid",$AI795&lt;&gt;"Valid",$AJ795&lt;&gt;"Valid",LEFT($AM795,7)="Invalid",IFERROR(ABS($AQ795)&gt;0.01,FALSE),IFERROR(ABS($AR795)&gt;0.01,FALSE),COUNTIF($AS795,"*Conflicting duplicate*")&gt;0,COUNTIF($AS795,"*Completed order not paid*")&gt;0),"Invalid",IF(OR($H795="Unknown",$N795="Unknown",$AM795="Missing discount imputed as 0"),"Warning","Clean"))</x:f>
        <x:v>Clean</x:v>
      </x:c>
      <x:c r="AF795" s="80" t="str">
        <x:v>Pass</x:v>
      </x:c>
      <x:c r="AG795" s="80" t="str">
        <x:v>No text cleanup required</x:v>
      </x:c>
      <x:c r="AH795" s="12" t="str">
        <x:f>IF(C795="","Missing date",IF(ISNUMBER(C795),"Valid","Unrecognized/invalid date"))</x:f>
        <x:v>Valid</x:v>
      </x:c>
      <x:c r="AI795" s="12" t="str">
        <x:f>IF(D795="","Missing date",IF(ISNUMBER(D795),"Valid","Unrecognized/invalid date"))</x:f>
        <x:v>Valid</x:v>
      </x:c>
      <x:c r="AJ795" s="12" t="str">
        <x:v>Valid</x:v>
      </x:c>
      <x:c r="AK795" s="12" t="str">
        <x:v>Pass</x:v>
      </x:c>
      <x:c r="AL795" s="12" t="str">
        <x:v>None</x:v>
      </x:c>
      <x:c r="AM795" s="12" t="str">
        <x:v>Valid</x:v>
      </x:c>
      <x:c r="AN795" s="12" t="str">
        <x:v>Include in completed sales</x:v>
      </x:c>
      <x:c r="AO795" s="12" t="str">
        <x:v>Not a refunded record</x:v>
      </x:c>
      <x:c r="AP795" s="37" t="n">
        <x:f>IF(LEFT($AM795,7)="Invalid","",IF($AM795="Missing discount imputed as 0",IF(AND(COUNT($O795,$P795,$R795,$S795)=4,$O795&gt;0,$P795&gt;=0,$R795&gt;=0,$S795&gt;=0),0,""),IF(AND(ISNUMBER($Q795),$Q795&gt;=0,$Q795&lt;=0.5),$Q795,"")))</x:f>
        <x:v>0</x:v>
      </x:c>
      <x:c r="AQ795" s="152" t="n">
        <x:f>IF(OR($W795="",NOT(ISNUMBER($R795))),"",ROUND($R795-$W795,2))</x:f>
        <x:v>0</x:v>
      </x:c>
      <x:c r="AR795" s="152" t="n">
        <x:f>IF(OR($X795="",NOT(ISNUMBER($T795))),"",ROUND($T795-$X795,2))</x:f>
        <x:v>0</x:v>
      </x:c>
      <x:c r="AS795" s="14" t="str">
        <x:v>OK</x:v>
      </x:c>
    </x:row>
    <x:row r="796">
      <x:c r="A796" s="80" t="n">
        <x:v>796</x:v>
      </x:c>
      <x:c r="B796" s="80" t="str">
        <x:v>ORD-2025-10795</x:v>
      </x:c>
      <x:c r="C796" s="81" t="n">
        <x:v>45830</x:v>
      </x:c>
      <x:c r="D796" s="81" t="n">
        <x:v>45832</x:v>
      </x:c>
      <x:c r="E796" s="80" t="str">
        <x:v>CUST-2829</x:v>
      </x:c>
      <x:c r="F796" s="80" t="str">
        <x:v>Sneha Kapoor</x:v>
      </x:c>
      <x:c r="G796" s="80" t="str">
        <x:v>Corporate</x:v>
      </x:c>
      <x:c r="H796" s="80" t="str">
        <x:v>East</x:v>
      </x:c>
      <x:c r="I796" s="80" t="str">
        <x:v>Assam</x:v>
      </x:c>
      <x:c r="J796" s="80" t="str">
        <x:v>Guwahati</x:v>
      </x:c>
      <x:c r="K796" s="80" t="str">
        <x:v>Office Supplies</x:v>
      </x:c>
      <x:c r="L796" s="80" t="str">
        <x:v>Paper</x:v>
      </x:c>
      <x:c r="M796" s="80" t="str">
        <x:v>Elite Paper 847</x:v>
      </x:c>
      <x:c r="N796" s="80" t="str">
        <x:v>Standard Class</x:v>
      </x:c>
      <x:c r="O796" s="82" t="n">
        <x:v>9</x:v>
      </x:c>
      <x:c r="P796" s="83" t="n">
        <x:v>951.55</x:v>
      </x:c>
      <x:c r="Q796" s="84" t="n">
        <x:v>0.15</x:v>
      </x:c>
      <x:c r="R796" s="83" t="n">
        <x:v>7279.36</x:v>
      </x:c>
      <x:c r="S796" s="83" t="n">
        <x:v>4870.39</x:v>
      </x:c>
      <x:c r="T796" s="83" t="n">
        <x:v>2408.97</x:v>
      </x:c>
      <x:c r="U796" s="83" t="str">
        <x:v>Paid</x:v>
      </x:c>
      <x:c r="V796" s="83" t="str">
        <x:v>Completed</x:v>
      </x:c>
      <x:c r="W796" s="151" t="n">
        <x:f>IF(OR(NOT(ISNUMBER($AP796)),COUNT($O796,$P796)&lt;2,$O796&lt;=0,$P796&lt;0),"",ROUND($O796*$P796*(1-$AP796),2))</x:f>
        <x:v>7279.36</x:v>
      </x:c>
      <x:c r="X796" s="151" t="n">
        <x:f>IF(OR(NOT(ISNUMBER($W796)),NOT(ISNUMBER($S796))),"",ROUND($W796-$S796,2))</x:f>
        <x:v>2408.97</x:v>
      </x:c>
      <x:c r="Y796" s="85" t="n">
        <x:f>IF(OR(NOT(ISNUMBER($W796)),NOT(ISNUMBER($X796)),$W796=0),"",ROUND($X796/$W796,4))</x:f>
        <x:v>0.3309</x:v>
      </x:c>
      <x:c r="Z796" s="82" t="n">
        <x:f>IF(OR($AH796&lt;&gt;"Valid",$AI796&lt;&gt;"Valid"),"",INT($D796-$C796))</x:f>
        <x:v>2</x:v>
      </x:c>
      <x:c r="AA796" s="86" t="str">
        <x:f>IF($AH796&lt;&gt;"Valid","",TEXT($C796,"mmmm"))</x:f>
        <x:v>June</x:v>
      </x:c>
      <x:c r="AB796" s="82" t="n">
        <x:f>IF($AH796&lt;&gt;"Valid","",YEAR($C796))</x:f>
        <x:v>2025</x:v>
      </x:c>
      <x:c r="AC796" s="80" t="str">
        <x:v>Consistent</x:v>
      </x:c>
      <x:c r="AD796" s="80" t="str">
        <x:v>Eligible</x:v>
      </x:c>
      <x:c r="AE796" s="80" t="str">
        <x:f>IF(OR($AH796&lt;&gt;"Valid",$AI796&lt;&gt;"Valid",$AJ796&lt;&gt;"Valid",LEFT($AM796,7)="Invalid",IFERROR(ABS($AQ796)&gt;0.01,FALSE),IFERROR(ABS($AR796)&gt;0.01,FALSE),COUNTIF($AS796,"*Conflicting duplicate*")&gt;0,COUNTIF($AS796,"*Completed order not paid*")&gt;0),"Invalid",IF(OR($H796="Unknown",$N796="Unknown",$AM796="Missing discount imputed as 0"),"Warning","Clean"))</x:f>
        <x:v>Clean</x:v>
      </x:c>
      <x:c r="AF796" s="80" t="str">
        <x:v>Pass</x:v>
      </x:c>
      <x:c r="AG796" s="80" t="str">
        <x:v>No text cleanup required</x:v>
      </x:c>
      <x:c r="AH796" s="12" t="str">
        <x:f>IF(C796="","Missing date",IF(ISNUMBER(C796),"Valid","Unrecognized/invalid date"))</x:f>
        <x:v>Valid</x:v>
      </x:c>
      <x:c r="AI796" s="12" t="str">
        <x:f>IF(D796="","Missing date",IF(ISNUMBER(D796),"Valid","Unrecognized/invalid date"))</x:f>
        <x:v>Valid</x:v>
      </x:c>
      <x:c r="AJ796" s="12" t="str">
        <x:v>Valid</x:v>
      </x:c>
      <x:c r="AK796" s="12" t="str">
        <x:v>Pass</x:v>
      </x:c>
      <x:c r="AL796" s="12" t="str">
        <x:v>None</x:v>
      </x:c>
      <x:c r="AM796" s="12" t="str">
        <x:v>Valid</x:v>
      </x:c>
      <x:c r="AN796" s="12" t="str">
        <x:v>Include in completed sales</x:v>
      </x:c>
      <x:c r="AO796" s="12" t="str">
        <x:v>Not a refunded record</x:v>
      </x:c>
      <x:c r="AP796" s="37" t="n">
        <x:f>IF(LEFT($AM796,7)="Invalid","",IF($AM796="Missing discount imputed as 0",IF(AND(COUNT($O796,$P796,$R796,$S796)=4,$O796&gt;0,$P796&gt;=0,$R796&gt;=0,$S796&gt;=0),0,""),IF(AND(ISNUMBER($Q796),$Q796&gt;=0,$Q796&lt;=0.5),$Q796,"")))</x:f>
        <x:v>0.15</x:v>
      </x:c>
      <x:c r="AQ796" s="152" t="n">
        <x:f>IF(OR($W796="",NOT(ISNUMBER($R796))),"",ROUND($R796-$W796,2))</x:f>
        <x:v>0</x:v>
      </x:c>
      <x:c r="AR796" s="152" t="n">
        <x:f>IF(OR($X796="",NOT(ISNUMBER($T796))),"",ROUND($T796-$X796,2))</x:f>
        <x:v>0</x:v>
      </x:c>
      <x:c r="AS796" s="14" t="str">
        <x:v>OK</x:v>
      </x:c>
    </x:row>
    <x:row r="797">
      <x:c r="A797" s="80" t="n">
        <x:v>797</x:v>
      </x:c>
      <x:c r="B797" s="80" t="str">
        <x:v>ORD-2024-10796</x:v>
      </x:c>
      <x:c r="C797" s="81" t="n">
        <x:v>45503</x:v>
      </x:c>
      <x:c r="D797" s="81" t="n">
        <x:v>45503</x:v>
      </x:c>
      <x:c r="E797" s="80" t="str">
        <x:v>CUST-6529</x:v>
      </x:c>
      <x:c r="F797" s="80" t="str">
        <x:v>Diya Patel</x:v>
      </x:c>
      <x:c r="G797" s="80" t="str">
        <x:v>Home Office</x:v>
      </x:c>
      <x:c r="H797" s="80" t="str">
        <x:v>East</x:v>
      </x:c>
      <x:c r="I797" s="80" t="str">
        <x:v>Odisha</x:v>
      </x:c>
      <x:c r="J797" s="80" t="str">
        <x:v>Bhubaneswar</x:v>
      </x:c>
      <x:c r="K797" s="80" t="str">
        <x:v>Technology</x:v>
      </x:c>
      <x:c r="L797" s="80" t="str">
        <x:v>Copiers</x:v>
      </x:c>
      <x:c r="M797" s="80" t="str">
        <x:v>Pro Copiers 653</x:v>
      </x:c>
      <x:c r="N797" s="80" t="str">
        <x:v>Same Day</x:v>
      </x:c>
      <x:c r="O797" s="82" t="n">
        <x:v>9</x:v>
      </x:c>
      <x:c r="P797" s="83" t="n">
        <x:v>2894.66</x:v>
      </x:c>
      <x:c r="Q797" s="84" t="n">
        <x:v>0</x:v>
      </x:c>
      <x:c r="R797" s="83" t="n">
        <x:v>26051.94</x:v>
      </x:c>
      <x:c r="S797" s="83" t="n">
        <x:v>16883.59</x:v>
      </x:c>
      <x:c r="T797" s="83" t="n">
        <x:v>9168.35</x:v>
      </x:c>
      <x:c r="U797" s="83" t="str">
        <x:v>Refunded</x:v>
      </x:c>
      <x:c r="V797" s="83" t="str">
        <x:v>Cancelled</x:v>
      </x:c>
      <x:c r="W797" s="151" t="n">
        <x:f>IF(OR(NOT(ISNUMBER($AP797)),COUNT($O797,$P797)&lt;2,$O797&lt;=0,$P797&lt;0),"",ROUND($O797*$P797*(1-$AP797),2))</x:f>
        <x:v>26051.94</x:v>
      </x:c>
      <x:c r="X797" s="151" t="n">
        <x:f>IF(OR(NOT(ISNUMBER($W797)),NOT(ISNUMBER($S797))),"",ROUND($W797-$S797,2))</x:f>
        <x:v>9168.35</x:v>
      </x:c>
      <x:c r="Y797" s="85" t="n">
        <x:f>IF(OR(NOT(ISNUMBER($W797)),NOT(ISNUMBER($X797)),$W797=0),"",ROUND($X797/$W797,4))</x:f>
        <x:v>0.3519</x:v>
      </x:c>
      <x:c r="Z797" s="82" t="n">
        <x:f>IF(OR($AH797&lt;&gt;"Valid",$AI797&lt;&gt;"Valid"),"",INT($D797-$C797))</x:f>
        <x:v>0</x:v>
      </x:c>
      <x:c r="AA797" s="86" t="str">
        <x:f>IF($AH797&lt;&gt;"Valid","",TEXT($C797,"mmmm"))</x:f>
        <x:v>July</x:v>
      </x:c>
      <x:c r="AB797" s="82" t="n">
        <x:f>IF($AH797&lt;&gt;"Valid","",YEAR($C797))</x:f>
        <x:v>2024</x:v>
      </x:c>
      <x:c r="AC797" s="80" t="str">
        <x:v>Cancelled (excluded from completed-sales summary)</x:v>
      </x:c>
      <x:c r="AD797" s="80" t="str">
        <x:v>Excluded</x:v>
      </x:c>
      <x:c r="AE797" s="80" t="str">
        <x:f>IF(OR($AH797&lt;&gt;"Valid",$AI797&lt;&gt;"Valid",$AJ797&lt;&gt;"Valid",LEFT($AM797,7)="Invalid",IFERROR(ABS($AQ797)&gt;0.01,FALSE),IFERROR(ABS($AR797)&gt;0.01,FALSE),COUNTIF($AS797,"*Conflicting duplicate*")&gt;0,COUNTIF($AS797,"*Completed order not paid*")&gt;0),"Invalid",IF(OR($H797="Unknown",$N797="Unknown",$AM797="Missing discount imputed as 0"),"Warning","Clean"))</x:f>
        <x:v>Clean</x:v>
      </x:c>
      <x:c r="AF797" s="80" t="str">
        <x:v>Pass</x:v>
      </x:c>
      <x:c r="AG797" s="80" t="str">
        <x:v>No text cleanup required</x:v>
      </x:c>
      <x:c r="AH797" s="12" t="str">
        <x:f>IF(C797="","Missing date",IF(ISNUMBER(C797),"Valid","Unrecognized/invalid date"))</x:f>
        <x:v>Valid</x:v>
      </x:c>
      <x:c r="AI797" s="12" t="str">
        <x:f>IF(D797="","Missing date",IF(ISNUMBER(D797),"Valid","Unrecognized/invalid date"))</x:f>
        <x:v>Valid</x:v>
      </x:c>
      <x:c r="AJ797" s="12" t="str">
        <x:v>Valid</x:v>
      </x:c>
      <x:c r="AK797" s="12" t="str">
        <x:v>Pass</x:v>
      </x:c>
      <x:c r="AL797" s="12" t="str">
        <x:v>Cancelled order – excluded from completed sales; Refunded payment – separately summarized</x:v>
      </x:c>
      <x:c r="AM797" s="12" t="str">
        <x:v>Valid</x:v>
      </x:c>
      <x:c r="AN797" s="12" t="str">
        <x:v>Exclude from completed sales</x:v>
      </x:c>
      <x:c r="AO797" s="12" t="str">
        <x:v>Include in refunded summary</x:v>
      </x:c>
      <x:c r="AP797" s="37" t="n">
        <x:f>IF(LEFT($AM797,7)="Invalid","",IF($AM797="Missing discount imputed as 0",IF(AND(COUNT($O797,$P797,$R797,$S797)=4,$O797&gt;0,$P797&gt;=0,$R797&gt;=0,$S797&gt;=0),0,""),IF(AND(ISNUMBER($Q797),$Q797&gt;=0,$Q797&lt;=0.5),$Q797,"")))</x:f>
        <x:v>0</x:v>
      </x:c>
      <x:c r="AQ797" s="152" t="n">
        <x:f>IF(OR($W797="",NOT(ISNUMBER($R797))),"",ROUND($R797-$W797,2))</x:f>
        <x:v>0</x:v>
      </x:c>
      <x:c r="AR797" s="152" t="n">
        <x:f>IF(OR($X797="",NOT(ISNUMBER($T797))),"",ROUND($T797-$X797,2))</x:f>
        <x:v>0</x:v>
      </x:c>
      <x:c r="AS797" s="14" t="str">
        <x:v>OK</x:v>
      </x:c>
    </x:row>
    <x:row r="798">
      <x:c r="A798" s="80" t="n">
        <x:v>798</x:v>
      </x:c>
      <x:c r="B798" s="80" t="str">
        <x:v>ORD-2024-10797</x:v>
      </x:c>
      <x:c r="C798" s="81" t="n">
        <x:v>45374</x:v>
      </x:c>
      <x:c r="D798" s="81" t="n">
        <x:v>45381</x:v>
      </x:c>
      <x:c r="E798" s="80" t="str">
        <x:v>CUST-3126</x:v>
      </x:c>
      <x:c r="F798" s="80" t="str">
        <x:v>Rohan Mehta</x:v>
      </x:c>
      <x:c r="G798" s="80" t="str">
        <x:v>Small Business</x:v>
      </x:c>
      <x:c r="H798" s="80" t="str">
        <x:v>South</x:v>
      </x:c>
      <x:c r="I798" s="80" t="str">
        <x:v>Andhra Pradesh</x:v>
      </x:c>
      <x:c r="J798" s="80" t="str">
        <x:v>Vijayawada</x:v>
      </x:c>
      <x:c r="K798" s="80" t="str">
        <x:v>Technology</x:v>
      </x:c>
      <x:c r="L798" s="80" t="str">
        <x:v>Machines</x:v>
      </x:c>
      <x:c r="M798" s="80" t="str">
        <x:v>Elite Machines 459</x:v>
      </x:c>
      <x:c r="N798" s="80" t="str">
        <x:v>First Class</x:v>
      </x:c>
      <x:c r="O798" s="82" t="n">
        <x:v>6</x:v>
      </x:c>
      <x:c r="P798" s="83" t="n">
        <x:v>1894.44</x:v>
      </x:c>
      <x:c r="Q798" s="84" t="n">
        <x:v>0.15</x:v>
      </x:c>
      <x:c r="R798" s="83" t="n">
        <x:v>9661.64</x:v>
      </x:c>
      <x:c r="S798" s="83" t="n">
        <x:v>6303.77</x:v>
      </x:c>
      <x:c r="T798" s="83" t="n">
        <x:v>3357.87</x:v>
      </x:c>
      <x:c r="U798" s="83" t="str">
        <x:v>Paid</x:v>
      </x:c>
      <x:c r="V798" s="83" t="str">
        <x:v>Completed</x:v>
      </x:c>
      <x:c r="W798" s="151" t="n">
        <x:f>IF(OR(NOT(ISNUMBER($AP798)),COUNT($O798,$P798)&lt;2,$O798&lt;=0,$P798&lt;0),"",ROUND($O798*$P798*(1-$AP798),2))</x:f>
        <x:v>9661.64</x:v>
      </x:c>
      <x:c r="X798" s="151" t="n">
        <x:f>IF(OR(NOT(ISNUMBER($W798)),NOT(ISNUMBER($S798))),"",ROUND($W798-$S798,2))</x:f>
        <x:v>3357.87</x:v>
      </x:c>
      <x:c r="Y798" s="85" t="n">
        <x:f>IF(OR(NOT(ISNUMBER($W798)),NOT(ISNUMBER($X798)),$W798=0),"",ROUND($X798/$W798,4))</x:f>
        <x:v>0.3475</x:v>
      </x:c>
      <x:c r="Z798" s="82" t="n">
        <x:f>IF(OR($AH798&lt;&gt;"Valid",$AI798&lt;&gt;"Valid"),"",INT($D798-$C798))</x:f>
        <x:v>7</x:v>
      </x:c>
      <x:c r="AA798" s="86" t="str">
        <x:f>IF($AH798&lt;&gt;"Valid","",TEXT($C798,"mmmm"))</x:f>
        <x:v>March</x:v>
      </x:c>
      <x:c r="AB798" s="82" t="n">
        <x:f>IF($AH798&lt;&gt;"Valid","",YEAR($C798))</x:f>
        <x:v>2024</x:v>
      </x:c>
      <x:c r="AC798" s="80" t="str">
        <x:v>Consistent</x:v>
      </x:c>
      <x:c r="AD798" s="80" t="str">
        <x:v>Eligible</x:v>
      </x:c>
      <x:c r="AE798" s="80" t="str">
        <x:f>IF(OR($AH798&lt;&gt;"Valid",$AI798&lt;&gt;"Valid",$AJ798&lt;&gt;"Valid",LEFT($AM798,7)="Invalid",IFERROR(ABS($AQ798)&gt;0.01,FALSE),IFERROR(ABS($AR798)&gt;0.01,FALSE),COUNTIF($AS798,"*Conflicting duplicate*")&gt;0,COUNTIF($AS798,"*Completed order not paid*")&gt;0),"Invalid",IF(OR($H798="Unknown",$N798="Unknown",$AM798="Missing discount imputed as 0"),"Warning","Clean"))</x:f>
        <x:v>Clean</x:v>
      </x:c>
      <x:c r="AF798" s="80" t="str">
        <x:v>Pass</x:v>
      </x:c>
      <x:c r="AG798" s="80" t="str">
        <x:v>No text cleanup required</x:v>
      </x:c>
      <x:c r="AH798" s="12" t="str">
        <x:f>IF(C798="","Missing date",IF(ISNUMBER(C798),"Valid","Unrecognized/invalid date"))</x:f>
        <x:v>Valid</x:v>
      </x:c>
      <x:c r="AI798" s="12" t="str">
        <x:f>IF(D798="","Missing date",IF(ISNUMBER(D798),"Valid","Unrecognized/invalid date"))</x:f>
        <x:v>Valid</x:v>
      </x:c>
      <x:c r="AJ798" s="12" t="str">
        <x:v>Valid</x:v>
      </x:c>
      <x:c r="AK798" s="12" t="str">
        <x:v>Pass</x:v>
      </x:c>
      <x:c r="AL798" s="12" t="str">
        <x:v>None</x:v>
      </x:c>
      <x:c r="AM798" s="12" t="str">
        <x:v>Valid</x:v>
      </x:c>
      <x:c r="AN798" s="12" t="str">
        <x:v>Include in completed sales</x:v>
      </x:c>
      <x:c r="AO798" s="12" t="str">
        <x:v>Not a refunded record</x:v>
      </x:c>
      <x:c r="AP798" s="37" t="n">
        <x:f>IF(LEFT($AM798,7)="Invalid","",IF($AM798="Missing discount imputed as 0",IF(AND(COUNT($O798,$P798,$R798,$S798)=4,$O798&gt;0,$P798&gt;=0,$R798&gt;=0,$S798&gt;=0),0,""),IF(AND(ISNUMBER($Q798),$Q798&gt;=0,$Q798&lt;=0.5),$Q798,"")))</x:f>
        <x:v>0.15</x:v>
      </x:c>
      <x:c r="AQ798" s="152" t="n">
        <x:f>IF(OR($W798="",NOT(ISNUMBER($R798))),"",ROUND($R798-$W798,2))</x:f>
        <x:v>0</x:v>
      </x:c>
      <x:c r="AR798" s="152" t="n">
        <x:f>IF(OR($X798="",NOT(ISNUMBER($T798))),"",ROUND($T798-$X798,2))</x:f>
        <x:v>0</x:v>
      </x:c>
      <x:c r="AS798" s="14" t="str">
        <x:v>OK</x:v>
      </x:c>
    </x:row>
    <x:row r="799">
      <x:c r="A799" s="80" t="n">
        <x:v>799</x:v>
      </x:c>
      <x:c r="B799" s="80" t="str">
        <x:v>ORD-2024-10798</x:v>
      </x:c>
      <x:c r="C799" s="81" t="n">
        <x:v>45400</x:v>
      </x:c>
      <x:c r="D799" s="81" t="n">
        <x:v>45404</x:v>
      </x:c>
      <x:c r="E799" s="80" t="str">
        <x:v>CUST-3991</x:v>
      </x:c>
      <x:c r="F799" s="80" t="str">
        <x:v>Aarav Sharma</x:v>
      </x:c>
      <x:c r="G799" s="80" t="str">
        <x:v>Consumer</x:v>
      </x:c>
      <x:c r="H799" s="80" t="str">
        <x:v>East</x:v>
      </x:c>
      <x:c r="I799" s="80" t="str">
        <x:v>Odisha</x:v>
      </x:c>
      <x:c r="J799" s="80" t="str">
        <x:v>Bhubaneswar</x:v>
      </x:c>
      <x:c r="K799" s="80" t="str">
        <x:v>Office Supplies</x:v>
      </x:c>
      <x:c r="L799" s="80" t="str">
        <x:v>Binders</x:v>
      </x:c>
      <x:c r="M799" s="80" t="str">
        <x:v>Elite Binders 764</x:v>
      </x:c>
      <x:c r="N799" s="80" t="str">
        <x:v>First Class</x:v>
      </x:c>
      <x:c r="O799" s="82" t="n">
        <x:v>8</x:v>
      </x:c>
      <x:c r="P799" s="83" t="n">
        <x:v>1714.37</x:v>
      </x:c>
      <x:c r="Q799" s="84" t="n">
        <x:v>0</x:v>
      </x:c>
      <x:c r="R799" s="83" t="n">
        <x:v>13714.96</x:v>
      </x:c>
      <x:c r="S799" s="83" t="n">
        <x:v>10550.47</x:v>
      </x:c>
      <x:c r="T799" s="83" t="n">
        <x:v>3164.49</x:v>
      </x:c>
      <x:c r="U799" s="83" t="str">
        <x:v>Failed</x:v>
      </x:c>
      <x:c r="V799" s="83" t="str">
        <x:v>Cancelled</x:v>
      </x:c>
      <x:c r="W799" s="151" t="n">
        <x:f>IF(OR(NOT(ISNUMBER($AP799)),COUNT($O799,$P799)&lt;2,$O799&lt;=0,$P799&lt;0),"",ROUND($O799*$P799*(1-$AP799),2))</x:f>
        <x:v>13714.96</x:v>
      </x:c>
      <x:c r="X799" s="151" t="n">
        <x:f>IF(OR(NOT(ISNUMBER($W799)),NOT(ISNUMBER($S799))),"",ROUND($W799-$S799,2))</x:f>
        <x:v>3164.49</x:v>
      </x:c>
      <x:c r="Y799" s="85" t="n">
        <x:f>IF(OR(NOT(ISNUMBER($W799)),NOT(ISNUMBER($X799)),$W799=0),"",ROUND($X799/$W799,4))</x:f>
        <x:v>0.2307</x:v>
      </x:c>
      <x:c r="Z799" s="82" t="n">
        <x:f>IF(OR($AH799&lt;&gt;"Valid",$AI799&lt;&gt;"Valid"),"",INT($D799-$C799))</x:f>
        <x:v>4</x:v>
      </x:c>
      <x:c r="AA799" s="86" t="str">
        <x:f>IF($AH799&lt;&gt;"Valid","",TEXT($C799,"mmmm"))</x:f>
        <x:v>April</x:v>
      </x:c>
      <x:c r="AB799" s="82" t="n">
        <x:f>IF($AH799&lt;&gt;"Valid","",YEAR($C799))</x:f>
        <x:v>2024</x:v>
      </x:c>
      <x:c r="AC799" s="80" t="str">
        <x:v>Cancelled (excluded from completed-sales summary)</x:v>
      </x:c>
      <x:c r="AD799" s="80" t="str">
        <x:v>Excluded</x:v>
      </x:c>
      <x:c r="AE799" s="80" t="str">
        <x:f>IF(OR($AH799&lt;&gt;"Valid",$AI799&lt;&gt;"Valid",$AJ799&lt;&gt;"Valid",LEFT($AM799,7)="Invalid",IFERROR(ABS($AQ799)&gt;0.01,FALSE),IFERROR(ABS($AR799)&gt;0.01,FALSE),COUNTIF($AS799,"*Conflicting duplicate*")&gt;0,COUNTIF($AS799,"*Completed order not paid*")&gt;0),"Invalid",IF(OR($H799="Unknown",$N799="Unknown",$AM799="Missing discount imputed as 0"),"Warning","Clean"))</x:f>
        <x:v>Clean</x:v>
      </x:c>
      <x:c r="AF799" s="80" t="str">
        <x:v>Pass</x:v>
      </x:c>
      <x:c r="AG799" s="80" t="str">
        <x:v>No text cleanup required</x:v>
      </x:c>
      <x:c r="AH799" s="12" t="str">
        <x:f>IF(C799="","Missing date",IF(ISNUMBER(C799),"Valid","Unrecognized/invalid date"))</x:f>
        <x:v>Valid</x:v>
      </x:c>
      <x:c r="AI799" s="12" t="str">
        <x:f>IF(D799="","Missing date",IF(ISNUMBER(D799),"Valid","Unrecognized/invalid date"))</x:f>
        <x:v>Valid</x:v>
      </x:c>
      <x:c r="AJ799" s="12" t="str">
        <x:v>Valid</x:v>
      </x:c>
      <x:c r="AK799" s="12" t="str">
        <x:v>Pass</x:v>
      </x:c>
      <x:c r="AL799" s="12" t="str">
        <x:v>Cancelled order – excluded from completed sales; Failed payment – excluded from completed sales</x:v>
      </x:c>
      <x:c r="AM799" s="12" t="str">
        <x:v>Valid</x:v>
      </x:c>
      <x:c r="AN799" s="12" t="str">
        <x:v>Exclude from completed sales</x:v>
      </x:c>
      <x:c r="AO799" s="12" t="str">
        <x:v>Not a refunded record</x:v>
      </x:c>
      <x:c r="AP799" s="37" t="n">
        <x:f>IF(LEFT($AM799,7)="Invalid","",IF($AM799="Missing discount imputed as 0",IF(AND(COUNT($O799,$P799,$R799,$S799)=4,$O799&gt;0,$P799&gt;=0,$R799&gt;=0,$S799&gt;=0),0,""),IF(AND(ISNUMBER($Q799),$Q799&gt;=0,$Q799&lt;=0.5),$Q799,"")))</x:f>
        <x:v>0</x:v>
      </x:c>
      <x:c r="AQ799" s="152" t="n">
        <x:f>IF(OR($W799="",NOT(ISNUMBER($R799))),"",ROUND($R799-$W799,2))</x:f>
        <x:v>0</x:v>
      </x:c>
      <x:c r="AR799" s="152" t="n">
        <x:f>IF(OR($X799="",NOT(ISNUMBER($T799))),"",ROUND($T799-$X799,2))</x:f>
        <x:v>0</x:v>
      </x:c>
      <x:c r="AS799" s="14" t="str">
        <x:v>OK</x:v>
      </x:c>
    </x:row>
    <x:row r="800">
      <x:c r="A800" s="80" t="n">
        <x:v>800</x:v>
      </x:c>
      <x:c r="B800" s="80" t="str">
        <x:v>ORD-2025-10799</x:v>
      </x:c>
      <x:c r="C800" s="81" t="n">
        <x:v>45849</x:v>
      </x:c>
      <x:c r="D800" s="81" t="n">
        <x:v>45847</x:v>
      </x:c>
      <x:c r="E800" s="80" t="str">
        <x:v>CUST-7553</x:v>
      </x:c>
      <x:c r="F800" s="80" t="str">
        <x:v>Aditi Sen</x:v>
      </x:c>
      <x:c r="G800" s="80" t="str">
        <x:v>Corporate</x:v>
      </x:c>
      <x:c r="H800" s="80" t="str">
        <x:v>North</x:v>
      </x:c>
      <x:c r="I800" s="80" t="str">
        <x:v>Delhi</x:v>
      </x:c>
      <x:c r="J800" s="80" t="str">
        <x:v>New Delhi</x:v>
      </x:c>
      <x:c r="K800" s="80" t="str">
        <x:v>Furniture</x:v>
      </x:c>
      <x:c r="L800" s="80" t="str">
        <x:v>Furnishings</x:v>
      </x:c>
      <x:c r="M800" s="80" t="str">
        <x:v>Classic Furnishings 348</x:v>
      </x:c>
      <x:c r="N800" s="80" t="str">
        <x:v>Standard Class</x:v>
      </x:c>
      <x:c r="O800" s="82" t="n">
        <x:v>9</x:v>
      </x:c>
      <x:c r="P800" s="83" t="n">
        <x:v>1706.05</x:v>
      </x:c>
      <x:c r="Q800" s="84" t="n">
        <x:v>0</x:v>
      </x:c>
      <x:c r="R800" s="83" t="n">
        <x:v>15354.45</x:v>
      </x:c>
      <x:c r="S800" s="83" t="n">
        <x:v>9656.5</x:v>
      </x:c>
      <x:c r="T800" s="83" t="n">
        <x:v>5697.95</x:v>
      </x:c>
      <x:c r="U800" s="83" t="str">
        <x:v>Paid</x:v>
      </x:c>
      <x:c r="V800" s="83" t="str">
        <x:v>Completed</x:v>
      </x:c>
      <x:c r="W800" s="151" t="n">
        <x:f>IF(OR(NOT(ISNUMBER($AP800)),COUNT($O800,$P800)&lt;2,$O800&lt;=0,$P800&lt;0),"",ROUND($O800*$P800*(1-$AP800),2))</x:f>
        <x:v>15354.45</x:v>
      </x:c>
      <x:c r="X800" s="151" t="n">
        <x:f>IF(OR(NOT(ISNUMBER($W800)),NOT(ISNUMBER($S800))),"",ROUND($W800-$S800,2))</x:f>
        <x:v>5697.95</x:v>
      </x:c>
      <x:c r="Y800" s="85" t="n">
        <x:f>IF(OR(NOT(ISNUMBER($W800)),NOT(ISNUMBER($X800)),$W800=0),"",ROUND($X800/$W800,4))</x:f>
        <x:v>0.3711</x:v>
      </x:c>
      <x:c r="Z800" s="82" t="n">
        <x:f>IF(OR($AH800&lt;&gt;"Valid",$AI800&lt;&gt;"Valid"),"",INT($D800-$C800))</x:f>
        <x:v>-2</x:v>
      </x:c>
      <x:c r="AA800" s="86" t="str">
        <x:f>IF($AH800&lt;&gt;"Valid","",TEXT($C800,"mmmm"))</x:f>
        <x:v>July</x:v>
      </x:c>
      <x:c r="AB800" s="82" t="n">
        <x:f>IF($AH800&lt;&gt;"Valid","",YEAR($C800))</x:f>
        <x:v>2025</x:v>
      </x:c>
      <x:c r="AC800" s="80" t="str">
        <x:v>Consistent</x:v>
      </x:c>
      <x:c r="AD800" s="80" t="str">
        <x:v>Excluded</x:v>
      </x:c>
      <x:c r="AE800" s="80" t="str">
        <x:f>IF(OR($AH800&lt;&gt;"Valid",$AI800&lt;&gt;"Valid",$AJ800&lt;&gt;"Valid",LEFT($AM800,7)="Invalid",IFERROR(ABS($AQ800)&gt;0.01,FALSE),IFERROR(ABS($AR800)&gt;0.01,FALSE),COUNTIF($AS800,"*Conflicting duplicate*")&gt;0,COUNTIF($AS800,"*Completed order not paid*")&gt;0),"Invalid",IF(OR($H800="Unknown",$N800="Unknown",$AM800="Missing discount imputed as 0"),"Warning","Clean"))</x:f>
        <x:v>Invalid</x:v>
      </x:c>
      <x:c r="AF800" s="80" t="str">
        <x:v>Review</x:v>
      </x:c>
      <x:c r="AG800" s="80" t="str">
        <x:v>No text cleanup required</x:v>
      </x:c>
      <x:c r="AH800" s="12" t="str">
        <x:f>IF(C800="","Missing date",IF(ISNUMBER(C800),"Valid","Unrecognized/invalid date"))</x:f>
        <x:v>Valid</x:v>
      </x:c>
      <x:c r="AI800" s="12" t="str">
        <x:f>IF(D800="","Missing date",IF(ISNUMBER(D800),"Valid","Unrecognized/invalid date"))</x:f>
        <x:v>Valid</x:v>
      </x:c>
      <x:c r="AJ800" s="12" t="str">
        <x:v>Invalid</x:v>
      </x:c>
      <x:c r="AK800" s="12" t="str">
        <x:v>Ship date is earlier than order date</x:v>
      </x:c>
      <x:c r="AL800" s="12" t="str">
        <x:v>None</x:v>
      </x:c>
      <x:c r="AM800" s="12" t="str">
        <x:v>Valid</x:v>
      </x:c>
      <x:c r="AN800" s="12" t="str">
        <x:v>Exclude from completed sales</x:v>
      </x:c>
      <x:c r="AO800" s="12" t="str">
        <x:v>Not a refunded record</x:v>
      </x:c>
      <x:c r="AP800" s="37" t="n">
        <x:f>IF(LEFT($AM800,7)="Invalid","",IF($AM800="Missing discount imputed as 0",IF(AND(COUNT($O800,$P800,$R800,$S800)=4,$O800&gt;0,$P800&gt;=0,$R800&gt;=0,$S800&gt;=0),0,""),IF(AND(ISNUMBER($Q800),$Q800&gt;=0,$Q800&lt;=0.5),$Q800,"")))</x:f>
        <x:v>0</x:v>
      </x:c>
      <x:c r="AQ800" s="152" t="n">
        <x:f>IF(OR($W800="",NOT(ISNUMBER($R800))),"",ROUND($R800-$W800,2))</x:f>
        <x:v>0</x:v>
      </x:c>
      <x:c r="AR800" s="152" t="n">
        <x:f>IF(OR($X800="",NOT(ISNUMBER($T800))),"",ROUND($T800-$X800,2))</x:f>
        <x:v>0</x:v>
      </x:c>
      <x:c r="AS800" s="14" t="str">
        <x:v>Ship date earlier than order date</x:v>
      </x:c>
    </x:row>
    <x:row r="801">
      <x:c r="A801" s="80" t="n">
        <x:v>801</x:v>
      </x:c>
      <x:c r="B801" s="80" t="str">
        <x:v>ORD-2024-10800</x:v>
      </x:c>
      <x:c r="C801" s="81" t="n">
        <x:v>45575</x:v>
      </x:c>
      <x:c r="D801" s="81" t="n">
        <x:v>45582</x:v>
      </x:c>
      <x:c r="E801" s="80" t="str">
        <x:v>CUST-8527</x:v>
      </x:c>
      <x:c r="F801" s="80" t="str">
        <x:v>Isha Nair</x:v>
      </x:c>
      <x:c r="G801" s="80" t="str">
        <x:v>Home Office</x:v>
      </x:c>
      <x:c r="H801" s="80" t="str">
        <x:v>North</x:v>
      </x:c>
      <x:c r="I801" s="80" t="str">
        <x:v>Haryana</x:v>
      </x:c>
      <x:c r="J801" s="80" t="str">
        <x:v>Gurugram</x:v>
      </x:c>
      <x:c r="K801" s="80" t="str">
        <x:v>Technology</x:v>
      </x:c>
      <x:c r="L801" s="80" t="str">
        <x:v>Accessories</x:v>
      </x:c>
      <x:c r="M801" s="80" t="str">
        <x:v>Smart Accessories 487</x:v>
      </x:c>
      <x:c r="N801" s="80" t="str">
        <x:v>Unknown</x:v>
      </x:c>
      <x:c r="O801" s="82" t="n">
        <x:v>5</x:v>
      </x:c>
      <x:c r="P801" s="83" t="n">
        <x:v>967.41</x:v>
      </x:c>
      <x:c r="Q801" s="84" t="n">
        <x:v>0.05</x:v>
      </x:c>
      <x:c r="R801" s="83" t="n">
        <x:v>4595.2</x:v>
      </x:c>
      <x:c r="S801" s="83" t="n">
        <x:v>3887.41</x:v>
      </x:c>
      <x:c r="T801" s="83" t="n">
        <x:v>707.79</x:v>
      </x:c>
      <x:c r="U801" s="83" t="str">
        <x:v>Paid</x:v>
      </x:c>
      <x:c r="V801" s="83" t="str">
        <x:v>Returned</x:v>
      </x:c>
      <x:c r="W801" s="151" t="n">
        <x:f>IF(OR(NOT(ISNUMBER($AP801)),COUNT($O801,$P801)&lt;2,$O801&lt;=0,$P801&lt;0),"",ROUND($O801*$P801*(1-$AP801),2))</x:f>
        <x:v>4595.2</x:v>
      </x:c>
      <x:c r="X801" s="151" t="n">
        <x:f>IF(OR(NOT(ISNUMBER($W801)),NOT(ISNUMBER($S801))),"",ROUND($W801-$S801,2))</x:f>
        <x:v>707.79</x:v>
      </x:c>
      <x:c r="Y801" s="85" t="n">
        <x:f>IF(OR(NOT(ISNUMBER($W801)),NOT(ISNUMBER($X801)),$W801=0),"",ROUND($X801/$W801,4))</x:f>
        <x:v>0.154</x:v>
      </x:c>
      <x:c r="Z801" s="82" t="n">
        <x:f>IF(OR($AH801&lt;&gt;"Valid",$AI801&lt;&gt;"Valid"),"",INT($D801-$C801))</x:f>
        <x:v>7</x:v>
      </x:c>
      <x:c r="AA801" s="86" t="str">
        <x:f>IF($AH801&lt;&gt;"Valid","",TEXT($C801,"mmmm"))</x:f>
        <x:v>October</x:v>
      </x:c>
      <x:c r="AB801" s="82" t="n">
        <x:f>IF($AH801&lt;&gt;"Valid","",YEAR($C801))</x:f>
        <x:v>2024</x:v>
      </x:c>
      <x:c r="AC801" s="80" t="str">
        <x:v>Consistent</x:v>
      </x:c>
      <x:c r="AD801" s="80" t="str">
        <x:v>Excluded</x:v>
      </x:c>
      <x:c r="AE801" s="80" t="str">
        <x:f>IF(OR($AH801&lt;&gt;"Valid",$AI801&lt;&gt;"Valid",$AJ801&lt;&gt;"Valid",LEFT($AM801,7)="Invalid",IFERROR(ABS($AQ801)&gt;0.01,FALSE),IFERROR(ABS($AR801)&gt;0.01,FALSE),COUNTIF($AS801,"*Conflicting duplicate*")&gt;0,COUNTIF($AS801,"*Completed order not paid*")&gt;0),"Invalid",IF(OR($H801="Unknown",$N801="Unknown",$AM801="Missing discount imputed as 0"),"Warning","Clean"))</x:f>
        <x:v>Warning</x:v>
      </x:c>
      <x:c r="AF801" s="80" t="str">
        <x:v>Cleaned</x:v>
      </x:c>
      <x:c r="AG801" s="80" t="str">
        <x:v>ship_mode: Missing value filled as Unknown</x:v>
      </x:c>
      <x:c r="AH801" s="12" t="str">
        <x:f>IF(C801="","Missing date",IF(ISNUMBER(C801),"Valid","Unrecognized/invalid date"))</x:f>
        <x:v>Valid</x:v>
      </x:c>
      <x:c r="AI801" s="12" t="str">
        <x:f>IF(D801="","Missing date",IF(ISNUMBER(D801),"Valid","Unrecognized/invalid date"))</x:f>
        <x:v>Valid</x:v>
      </x:c>
      <x:c r="AJ801" s="12" t="str">
        <x:v>Valid</x:v>
      </x:c>
      <x:c r="AK801" s="12" t="str">
        <x:v>Pass</x:v>
      </x:c>
      <x:c r="AL801" s="12" t="str">
        <x:v>Missing ship_mode filled as Unknown</x:v>
      </x:c>
      <x:c r="AM801" s="12" t="str">
        <x:v>Valid</x:v>
      </x:c>
      <x:c r="AN801" s="12" t="str">
        <x:v>Exclude from completed sales</x:v>
      </x:c>
      <x:c r="AO801" s="12" t="str">
        <x:v>Not a refunded record</x:v>
      </x:c>
      <x:c r="AP801" s="37" t="n">
        <x:f>IF(LEFT($AM801,7)="Invalid","",IF($AM801="Missing discount imputed as 0",IF(AND(COUNT($O801,$P801,$R801,$S801)=4,$O801&gt;0,$P801&gt;=0,$R801&gt;=0,$S801&gt;=0),0,""),IF(AND(ISNUMBER($Q801),$Q801&gt;=0,$Q801&lt;=0.5),$Q801,"")))</x:f>
        <x:v>0.05</x:v>
      </x:c>
      <x:c r="AQ801" s="152" t="n">
        <x:f>IF(OR($W801="",NOT(ISNUMBER($R801))),"",ROUND($R801-$W801,2))</x:f>
        <x:v>0</x:v>
      </x:c>
      <x:c r="AR801" s="152" t="n">
        <x:f>IF(OR($X801="",NOT(ISNUMBER($T801))),"",ROUND($T801-$X801,2))</x:f>
        <x:v>0</x:v>
      </x:c>
      <x:c r="AS801" s="14" t="str">
        <x:v>OK</x:v>
      </x:c>
    </x:row>
    <x:row r="802">
      <x:c r="A802" s="80" t="n">
        <x:v>802</x:v>
      </x:c>
      <x:c r="B802" s="80" t="str">
        <x:v>ORD-2024-10801</x:v>
      </x:c>
      <x:c r="C802" s="81" t="n">
        <x:v>45352</x:v>
      </x:c>
      <x:c r="D802" s="81" t="n">
        <x:v>45358</x:v>
      </x:c>
      <x:c r="E802" s="80" t="str">
        <x:v>CUST-5015</x:v>
      </x:c>
      <x:c r="F802" s="80" t="str">
        <x:v>Vikram Iyer</x:v>
      </x:c>
      <x:c r="G802" s="80" t="str">
        <x:v>Small Business</x:v>
      </x:c>
      <x:c r="H802" s="80" t="str">
        <x:v>West</x:v>
      </x:c>
      <x:c r="I802" s="80" t="str">
        <x:v>Maharashtra</x:v>
      </x:c>
      <x:c r="J802" s="80" t="str">
        <x:v>Mumbai</x:v>
      </x:c>
      <x:c r="K802" s="80" t="str">
        <x:v>Office Supplies</x:v>
      </x:c>
      <x:c r="L802" s="80" t="str">
        <x:v>Storage</x:v>
      </x:c>
      <x:c r="M802" s="80" t="str">
        <x:v>Elite Storage 825</x:v>
      </x:c>
      <x:c r="N802" s="80" t="str">
        <x:v>Second Class</x:v>
      </x:c>
      <x:c r="O802" s="82" t="n">
        <x:v>6</x:v>
      </x:c>
      <x:c r="P802" s="83" t="n">
        <x:v>4163.72</x:v>
      </x:c>
      <x:c r="Q802" s="84" t="n">
        <x:v>0.15</x:v>
      </x:c>
      <x:c r="R802" s="83" t="n">
        <x:v>21234.97</x:v>
      </x:c>
      <x:c r="S802" s="83" t="n">
        <x:v>16736.09</x:v>
      </x:c>
      <x:c r="T802" s="83" t="n">
        <x:v>4498.88</x:v>
      </x:c>
      <x:c r="U802" s="83" t="str">
        <x:v>Paid</x:v>
      </x:c>
      <x:c r="V802" s="83" t="str">
        <x:v>Completed</x:v>
      </x:c>
      <x:c r="W802" s="151" t="n">
        <x:f>IF(OR(NOT(ISNUMBER($AP802)),COUNT($O802,$P802)&lt;2,$O802&lt;=0,$P802&lt;0),"",ROUND($O802*$P802*(1-$AP802),2))</x:f>
        <x:v>21234.97</x:v>
      </x:c>
      <x:c r="X802" s="151" t="n">
        <x:f>IF(OR(NOT(ISNUMBER($W802)),NOT(ISNUMBER($S802))),"",ROUND($W802-$S802,2))</x:f>
        <x:v>4498.88</x:v>
      </x:c>
      <x:c r="Y802" s="85" t="n">
        <x:f>IF(OR(NOT(ISNUMBER($W802)),NOT(ISNUMBER($X802)),$W802=0),"",ROUND($X802/$W802,4))</x:f>
        <x:v>0.2119</x:v>
      </x:c>
      <x:c r="Z802" s="82" t="n">
        <x:f>IF(OR($AH802&lt;&gt;"Valid",$AI802&lt;&gt;"Valid"),"",INT($D802-$C802))</x:f>
        <x:v>6</x:v>
      </x:c>
      <x:c r="AA802" s="86" t="str">
        <x:f>IF($AH802&lt;&gt;"Valid","",TEXT($C802,"mmmm"))</x:f>
        <x:v>March</x:v>
      </x:c>
      <x:c r="AB802" s="82" t="n">
        <x:f>IF($AH802&lt;&gt;"Valid","",YEAR($C802))</x:f>
        <x:v>2024</x:v>
      </x:c>
      <x:c r="AC802" s="80" t="str">
        <x:v>Consistent</x:v>
      </x:c>
      <x:c r="AD802" s="80" t="str">
        <x:v>Eligible</x:v>
      </x:c>
      <x:c r="AE802" s="80" t="str">
        <x:f>IF(OR($AH802&lt;&gt;"Valid",$AI802&lt;&gt;"Valid",$AJ802&lt;&gt;"Valid",LEFT($AM802,7)="Invalid",IFERROR(ABS($AQ802)&gt;0.01,FALSE),IFERROR(ABS($AR802)&gt;0.01,FALSE),COUNTIF($AS802,"*Conflicting duplicate*")&gt;0,COUNTIF($AS802,"*Completed order not paid*")&gt;0),"Invalid",IF(OR($H802="Unknown",$N802="Unknown",$AM802="Missing discount imputed as 0"),"Warning","Clean"))</x:f>
        <x:v>Clean</x:v>
      </x:c>
      <x:c r="AF802" s="80" t="str">
        <x:v>Pass</x:v>
      </x:c>
      <x:c r="AG802" s="80" t="str">
        <x:v>No text cleanup required</x:v>
      </x:c>
      <x:c r="AH802" s="12" t="str">
        <x:f>IF(C802="","Missing date",IF(ISNUMBER(C802),"Valid","Unrecognized/invalid date"))</x:f>
        <x:v>Valid</x:v>
      </x:c>
      <x:c r="AI802" s="12" t="str">
        <x:f>IF(D802="","Missing date",IF(ISNUMBER(D802),"Valid","Unrecognized/invalid date"))</x:f>
        <x:v>Valid</x:v>
      </x:c>
      <x:c r="AJ802" s="12" t="str">
        <x:v>Valid</x:v>
      </x:c>
      <x:c r="AK802" s="12" t="str">
        <x:v>Pass</x:v>
      </x:c>
      <x:c r="AL802" s="12" t="str">
        <x:v>None</x:v>
      </x:c>
      <x:c r="AM802" s="12" t="str">
        <x:v>Valid</x:v>
      </x:c>
      <x:c r="AN802" s="12" t="str">
        <x:v>Include in completed sales</x:v>
      </x:c>
      <x:c r="AO802" s="12" t="str">
        <x:v>Not a refunded record</x:v>
      </x:c>
      <x:c r="AP802" s="37" t="n">
        <x:f>IF(LEFT($AM802,7)="Invalid","",IF($AM802="Missing discount imputed as 0",IF(AND(COUNT($O802,$P802,$R802,$S802)=4,$O802&gt;0,$P802&gt;=0,$R802&gt;=0,$S802&gt;=0),0,""),IF(AND(ISNUMBER($Q802),$Q802&gt;=0,$Q802&lt;=0.5),$Q802,"")))</x:f>
        <x:v>0.15</x:v>
      </x:c>
      <x:c r="AQ802" s="152" t="n">
        <x:f>IF(OR($W802="",NOT(ISNUMBER($R802))),"",ROUND($R802-$W802,2))</x:f>
        <x:v>0</x:v>
      </x:c>
      <x:c r="AR802" s="152" t="n">
        <x:f>IF(OR($X802="",NOT(ISNUMBER($T802))),"",ROUND($T802-$X802,2))</x:f>
        <x:v>0</x:v>
      </x:c>
      <x:c r="AS802" s="14" t="str">
        <x:v>OK</x:v>
      </x:c>
    </x:row>
    <x:row r="803">
      <x:c r="A803" s="80" t="n">
        <x:v>803</x:v>
      </x:c>
      <x:c r="B803" s="80" t="str">
        <x:v>ORD-2025-10802</x:v>
      </x:c>
      <x:c r="C803" s="81" t="n">
        <x:v>45938</x:v>
      </x:c>
      <x:c r="D803" s="81" t="n">
        <x:v>45945</x:v>
      </x:c>
      <x:c r="E803" s="80" t="str">
        <x:v>CUST-3344</x:v>
      </x:c>
      <x:c r="F803" s="80" t="str">
        <x:v>Aarav Sharma</x:v>
      </x:c>
      <x:c r="G803" s="80" t="str">
        <x:v>Home Office</x:v>
      </x:c>
      <x:c r="H803" s="80" t="str">
        <x:v>East</x:v>
      </x:c>
      <x:c r="I803" s="80" t="str">
        <x:v>Odisha</x:v>
      </x:c>
      <x:c r="J803" s="80" t="str">
        <x:v>Bhubaneswar</x:v>
      </x:c>
      <x:c r="K803" s="80" t="str">
        <x:v>Technology</x:v>
      </x:c>
      <x:c r="L803" s="80" t="str">
        <x:v>Accessories</x:v>
      </x:c>
      <x:c r="M803" s="80" t="str">
        <x:v>Pro Accessories 500</x:v>
      </x:c>
      <x:c r="N803" s="80" t="str">
        <x:v>Second Class</x:v>
      </x:c>
      <x:c r="O803" s="82" t="n">
        <x:v>3</x:v>
      </x:c>
      <x:c r="P803" s="83" t="n">
        <x:v>3372.21</x:v>
      </x:c>
      <x:c r="Q803" s="84" t="n">
        <x:v>0.2</x:v>
      </x:c>
      <x:c r="R803" s="83" t="n">
        <x:v>8093.3</x:v>
      </x:c>
      <x:c r="S803" s="83" t="n">
        <x:v>6052.43</x:v>
      </x:c>
      <x:c r="T803" s="83" t="n">
        <x:v>2040.87</x:v>
      </x:c>
      <x:c r="U803" s="83" t="str">
        <x:v>Pending</x:v>
      </x:c>
      <x:c r="V803" s="83" t="str">
        <x:v>Cancelled</x:v>
      </x:c>
      <x:c r="W803" s="151" t="n">
        <x:f>IF(OR(NOT(ISNUMBER($AP803)),COUNT($O803,$P803)&lt;2,$O803&lt;=0,$P803&lt;0),"",ROUND($O803*$P803*(1-$AP803),2))</x:f>
        <x:v>8093.3</x:v>
      </x:c>
      <x:c r="X803" s="151" t="n">
        <x:f>IF(OR(NOT(ISNUMBER($W803)),NOT(ISNUMBER($S803))),"",ROUND($W803-$S803,2))</x:f>
        <x:v>2040.87</x:v>
      </x:c>
      <x:c r="Y803" s="85" t="n">
        <x:f>IF(OR(NOT(ISNUMBER($W803)),NOT(ISNUMBER($X803)),$W803=0),"",ROUND($X803/$W803,4))</x:f>
        <x:v>0.2522</x:v>
      </x:c>
      <x:c r="Z803" s="82" t="n">
        <x:f>IF(OR($AH803&lt;&gt;"Valid",$AI803&lt;&gt;"Valid"),"",INT($D803-$C803))</x:f>
        <x:v>7</x:v>
      </x:c>
      <x:c r="AA803" s="86" t="str">
        <x:f>IF($AH803&lt;&gt;"Valid","",TEXT($C803,"mmmm"))</x:f>
        <x:v>October</x:v>
      </x:c>
      <x:c r="AB803" s="82" t="n">
        <x:f>IF($AH803&lt;&gt;"Valid","",YEAR($C803))</x:f>
        <x:v>2025</x:v>
      </x:c>
      <x:c r="AC803" s="80" t="str">
        <x:v>Cancelled (excluded from completed-sales summary)</x:v>
      </x:c>
      <x:c r="AD803" s="80" t="str">
        <x:v>Excluded</x:v>
      </x:c>
      <x:c r="AE803" s="80" t="str">
        <x:f>IF(OR($AH803&lt;&gt;"Valid",$AI803&lt;&gt;"Valid",$AJ803&lt;&gt;"Valid",LEFT($AM803,7)="Invalid",IFERROR(ABS($AQ803)&gt;0.01,FALSE),IFERROR(ABS($AR803)&gt;0.01,FALSE),COUNTIF($AS803,"*Conflicting duplicate*")&gt;0,COUNTIF($AS803,"*Completed order not paid*")&gt;0),"Invalid",IF(OR($H803="Unknown",$N803="Unknown",$AM803="Missing discount imputed as 0"),"Warning","Clean"))</x:f>
        <x:v>Clean</x:v>
      </x:c>
      <x:c r="AF803" s="80" t="str">
        <x:v>Pass</x:v>
      </x:c>
      <x:c r="AG803" s="80" t="str">
        <x:v>No text cleanup required</x:v>
      </x:c>
      <x:c r="AH803" s="12" t="str">
        <x:f>IF(C803="","Missing date",IF(ISNUMBER(C803),"Valid","Unrecognized/invalid date"))</x:f>
        <x:v>Valid</x:v>
      </x:c>
      <x:c r="AI803" s="12" t="str">
        <x:f>IF(D803="","Missing date",IF(ISNUMBER(D803),"Valid","Unrecognized/invalid date"))</x:f>
        <x:v>Valid</x:v>
      </x:c>
      <x:c r="AJ803" s="12" t="str">
        <x:v>Valid</x:v>
      </x:c>
      <x:c r="AK803" s="12" t="str">
        <x:v>Pass</x:v>
      </x:c>
      <x:c r="AL803" s="12" t="str">
        <x:v>Cancelled order – excluded from completed sales</x:v>
      </x:c>
      <x:c r="AM803" s="12" t="str">
        <x:v>Valid</x:v>
      </x:c>
      <x:c r="AN803" s="12" t="str">
        <x:v>Exclude from completed sales</x:v>
      </x:c>
      <x:c r="AO803" s="12" t="str">
        <x:v>Not a refunded record</x:v>
      </x:c>
      <x:c r="AP803" s="37" t="n">
        <x:f>IF(LEFT($AM803,7)="Invalid","",IF($AM803="Missing discount imputed as 0",IF(AND(COUNT($O803,$P803,$R803,$S803)=4,$O803&gt;0,$P803&gt;=0,$R803&gt;=0,$S803&gt;=0),0,""),IF(AND(ISNUMBER($Q803),$Q803&gt;=0,$Q803&lt;=0.5),$Q803,"")))</x:f>
        <x:v>0.2</x:v>
      </x:c>
      <x:c r="AQ803" s="152" t="n">
        <x:f>IF(OR($W803="",NOT(ISNUMBER($R803))),"",ROUND($R803-$W803,2))</x:f>
        <x:v>0</x:v>
      </x:c>
      <x:c r="AR803" s="152" t="n">
        <x:f>IF(OR($X803="",NOT(ISNUMBER($T803))),"",ROUND($T803-$X803,2))</x:f>
        <x:v>0</x:v>
      </x:c>
      <x:c r="AS803" s="14" t="str">
        <x:v>OK</x:v>
      </x:c>
    </x:row>
    <x:row r="804">
      <x:c r="A804" s="80" t="n">
        <x:v>804</x:v>
      </x:c>
      <x:c r="B804" s="80" t="str">
        <x:v>ORD-2025-10803</x:v>
      </x:c>
      <x:c r="C804" s="81" t="n">
        <x:v>45704</x:v>
      </x:c>
      <x:c r="D804" s="81" t="n">
        <x:v>45704</x:v>
      </x:c>
      <x:c r="E804" s="80" t="str">
        <x:v>CUST-5866</x:v>
      </x:c>
      <x:c r="F804" s="80" t="str">
        <x:v>Rohan Mehta</x:v>
      </x:c>
      <x:c r="G804" s="80" t="str">
        <x:v>Small Business</x:v>
      </x:c>
      <x:c r="H804" s="80" t="str">
        <x:v>East</x:v>
      </x:c>
      <x:c r="I804" s="80" t="str">
        <x:v>Assam</x:v>
      </x:c>
      <x:c r="J804" s="80" t="str">
        <x:v>Guwahati</x:v>
      </x:c>
      <x:c r="K804" s="80" t="str">
        <x:v>Furniture</x:v>
      </x:c>
      <x:c r="L804" s="80" t="str">
        <x:v>Furnishings</x:v>
      </x:c>
      <x:c r="M804" s="80" t="str">
        <x:v>Pro Furnishings 909</x:v>
      </x:c>
      <x:c r="N804" s="80" t="str">
        <x:v>Second Class</x:v>
      </x:c>
      <x:c r="O804" s="82" t="n">
        <x:v>6</x:v>
      </x:c>
      <x:c r="P804" s="83" t="n">
        <x:v>1441.91</x:v>
      </x:c>
      <x:c r="Q804" s="84" t="n">
        <x:v>0</x:v>
      </x:c>
      <x:c r="R804" s="83" t="n">
        <x:v>8651.46</x:v>
      </x:c>
      <x:c r="S804" s="83" t="n">
        <x:v>5254.62</x:v>
      </x:c>
      <x:c r="T804" s="83" t="n">
        <x:v>3396.84</x:v>
      </x:c>
      <x:c r="U804" s="83" t="str">
        <x:v>Failed</x:v>
      </x:c>
      <x:c r="V804" s="83" t="str">
        <x:v>Returned</x:v>
      </x:c>
      <x:c r="W804" s="151" t="n">
        <x:f>IF(OR(NOT(ISNUMBER($AP804)),COUNT($O804,$P804)&lt;2,$O804&lt;=0,$P804&lt;0),"",ROUND($O804*$P804*(1-$AP804),2))</x:f>
        <x:v>8651.46</x:v>
      </x:c>
      <x:c r="X804" s="151" t="n">
        <x:f>IF(OR(NOT(ISNUMBER($W804)),NOT(ISNUMBER($S804))),"",ROUND($W804-$S804,2))</x:f>
        <x:v>3396.84</x:v>
      </x:c>
      <x:c r="Y804" s="85" t="n">
        <x:f>IF(OR(NOT(ISNUMBER($W804)),NOT(ISNUMBER($X804)),$W804=0),"",ROUND($X804/$W804,4))</x:f>
        <x:v>0.3926</x:v>
      </x:c>
      <x:c r="Z804" s="82" t="n">
        <x:f>IF(OR($AH804&lt;&gt;"Valid",$AI804&lt;&gt;"Valid"),"",INT($D804-$C804))</x:f>
        <x:v>0</x:v>
      </x:c>
      <x:c r="AA804" s="86" t="str">
        <x:f>IF($AH804&lt;&gt;"Valid","",TEXT($C804,"mmmm"))</x:f>
        <x:v>February</x:v>
      </x:c>
      <x:c r="AB804" s="82" t="n">
        <x:f>IF($AH804&lt;&gt;"Valid","",YEAR($C804))</x:f>
        <x:v>2025</x:v>
      </x:c>
      <x:c r="AC804" s="80" t="str">
        <x:v>Failed payment (excluded from completed-sales summary)</x:v>
      </x:c>
      <x:c r="AD804" s="80" t="str">
        <x:v>Excluded</x:v>
      </x:c>
      <x:c r="AE804" s="80" t="str">
        <x:f>IF(OR($AH804&lt;&gt;"Valid",$AI804&lt;&gt;"Valid",$AJ804&lt;&gt;"Valid",LEFT($AM804,7)="Invalid",IFERROR(ABS($AQ804)&gt;0.01,FALSE),IFERROR(ABS($AR804)&gt;0.01,FALSE),COUNTIF($AS804,"*Conflicting duplicate*")&gt;0,COUNTIF($AS804,"*Completed order not paid*")&gt;0),"Invalid",IF(OR($H804="Unknown",$N804="Unknown",$AM804="Missing discount imputed as 0"),"Warning","Clean"))</x:f>
        <x:v>Clean</x:v>
      </x:c>
      <x:c r="AF804" s="80" t="str">
        <x:v>Cleaned</x:v>
      </x:c>
      <x:c r="AG804" s="80" t="str">
        <x:v>payment_status: Case standardization</x:v>
      </x:c>
      <x:c r="AH804" s="12" t="str">
        <x:f>IF(C804="","Missing date",IF(ISNUMBER(C804),"Valid","Unrecognized/invalid date"))</x:f>
        <x:v>Valid</x:v>
      </x:c>
      <x:c r="AI804" s="12" t="str">
        <x:f>IF(D804="","Missing date",IF(ISNUMBER(D804),"Valid","Unrecognized/invalid date"))</x:f>
        <x:v>Valid</x:v>
      </x:c>
      <x:c r="AJ804" s="12" t="str">
        <x:v>Valid</x:v>
      </x:c>
      <x:c r="AK804" s="12" t="str">
        <x:v>Pass</x:v>
      </x:c>
      <x:c r="AL804" s="12" t="str">
        <x:v>Failed payment – excluded from completed sales</x:v>
      </x:c>
      <x:c r="AM804" s="12" t="str">
        <x:v>Valid</x:v>
      </x:c>
      <x:c r="AN804" s="12" t="str">
        <x:v>Exclude from completed sales</x:v>
      </x:c>
      <x:c r="AO804" s="12" t="str">
        <x:v>Not a refunded record</x:v>
      </x:c>
      <x:c r="AP804" s="37" t="n">
        <x:f>IF(LEFT($AM804,7)="Invalid","",IF($AM804="Missing discount imputed as 0",IF(AND(COUNT($O804,$P804,$R804,$S804)=4,$O804&gt;0,$P804&gt;=0,$R804&gt;=0,$S804&gt;=0),0,""),IF(AND(ISNUMBER($Q804),$Q804&gt;=0,$Q804&lt;=0.5),$Q804,"")))</x:f>
        <x:v>0</x:v>
      </x:c>
      <x:c r="AQ804" s="152" t="n">
        <x:f>IF(OR($W804="",NOT(ISNUMBER($R804))),"",ROUND($R804-$W804,2))</x:f>
        <x:v>0</x:v>
      </x:c>
      <x:c r="AR804" s="152" t="n">
        <x:f>IF(OR($X804="",NOT(ISNUMBER($T804))),"",ROUND($T804-$X804,2))</x:f>
        <x:v>0</x:v>
      </x:c>
      <x:c r="AS804" s="14" t="str">
        <x:v>OK</x:v>
      </x:c>
    </x:row>
    <x:row r="805">
      <x:c r="A805" s="80" t="n">
        <x:v>805</x:v>
      </x:c>
      <x:c r="B805" s="80" t="str">
        <x:v>ORD-2024-10804</x:v>
      </x:c>
      <x:c r="C805" s="81" t="n">
        <x:v>45635</x:v>
      </x:c>
      <x:c r="D805" s="81" t="n">
        <x:v>45639</x:v>
      </x:c>
      <x:c r="E805" s="80" t="str">
        <x:v>CUST-7180</x:v>
      </x:c>
      <x:c r="F805" s="80" t="str">
        <x:v>Rohan Mehta</x:v>
      </x:c>
      <x:c r="G805" s="80" t="str">
        <x:v>Consumer</x:v>
      </x:c>
      <x:c r="H805" s="80" t="str">
        <x:v>Unknown</x:v>
      </x:c>
      <x:c r="I805" s="80" t="str">
        <x:v>Jharkhand</x:v>
      </x:c>
      <x:c r="J805" s="80" t="str">
        <x:v>Ranchi</x:v>
      </x:c>
      <x:c r="K805" s="80" t="str">
        <x:v>Office Supplies</x:v>
      </x:c>
      <x:c r="L805" s="80" t="str">
        <x:v>Labels</x:v>
      </x:c>
      <x:c r="M805" s="80" t="str">
        <x:v>Basic Labels 359</x:v>
      </x:c>
      <x:c r="N805" s="80" t="str">
        <x:v>First Class</x:v>
      </x:c>
      <x:c r="O805" s="82" t="n">
        <x:v>1</x:v>
      </x:c>
      <x:c r="P805" s="83" t="n">
        <x:v>4306.65</x:v>
      </x:c>
      <x:c r="Q805" s="84" t="n">
        <x:v>0</x:v>
      </x:c>
      <x:c r="R805" s="83" t="n">
        <x:v>4306.65</x:v>
      </x:c>
      <x:c r="S805" s="83" t="n">
        <x:v>2568.82</x:v>
      </x:c>
      <x:c r="T805" s="83" t="n">
        <x:v>1737.83</x:v>
      </x:c>
      <x:c r="U805" s="83" t="str">
        <x:v>Paid</x:v>
      </x:c>
      <x:c r="V805" s="83" t="str">
        <x:v>Completed</x:v>
      </x:c>
      <x:c r="W805" s="151" t="n">
        <x:f>IF(OR(NOT(ISNUMBER($AP805)),COUNT($O805,$P805)&lt;2,$O805&lt;=0,$P805&lt;0),"",ROUND($O805*$P805*(1-$AP805),2))</x:f>
        <x:v>4306.65</x:v>
      </x:c>
      <x:c r="X805" s="151" t="n">
        <x:f>IF(OR(NOT(ISNUMBER($W805)),NOT(ISNUMBER($S805))),"",ROUND($W805-$S805,2))</x:f>
        <x:v>1737.83</x:v>
      </x:c>
      <x:c r="Y805" s="85" t="n">
        <x:f>IF(OR(NOT(ISNUMBER($W805)),NOT(ISNUMBER($X805)),$W805=0),"",ROUND($X805/$W805,4))</x:f>
        <x:v>0.4035</x:v>
      </x:c>
      <x:c r="Z805" s="82" t="n">
        <x:f>IF(OR($AH805&lt;&gt;"Valid",$AI805&lt;&gt;"Valid"),"",INT($D805-$C805))</x:f>
        <x:v>4</x:v>
      </x:c>
      <x:c r="AA805" s="86" t="str">
        <x:f>IF($AH805&lt;&gt;"Valid","",TEXT($C805,"mmmm"))</x:f>
        <x:v>December</x:v>
      </x:c>
      <x:c r="AB805" s="82" t="n">
        <x:f>IF($AH805&lt;&gt;"Valid","",YEAR($C805))</x:f>
        <x:v>2024</x:v>
      </x:c>
      <x:c r="AC805" s="80" t="str">
        <x:v>Consistent</x:v>
      </x:c>
      <x:c r="AD805" s="80" t="str">
        <x:v>Eligible</x:v>
      </x:c>
      <x:c r="AE805" s="80" t="str">
        <x:f>IF(OR($AH805&lt;&gt;"Valid",$AI805&lt;&gt;"Valid",$AJ805&lt;&gt;"Valid",LEFT($AM805,7)="Invalid",IFERROR(ABS($AQ805)&gt;0.01,FALSE),IFERROR(ABS($AR805)&gt;0.01,FALSE),COUNTIF($AS805,"*Conflicting duplicate*")&gt;0,COUNTIF($AS805,"*Completed order not paid*")&gt;0),"Invalid",IF(OR($H805="Unknown",$N805="Unknown",$AM805="Missing discount imputed as 0"),"Warning","Clean"))</x:f>
        <x:v>Warning</x:v>
      </x:c>
      <x:c r="AF805" s="80" t="str">
        <x:v>Cleaned</x:v>
      </x:c>
      <x:c r="AG805" s="80" t="str">
        <x:v>region: Missing value filled as Unknown</x:v>
      </x:c>
      <x:c r="AH805" s="12" t="str">
        <x:f>IF(C805="","Missing date",IF(ISNUMBER(C805),"Valid","Unrecognized/invalid date"))</x:f>
        <x:v>Valid</x:v>
      </x:c>
      <x:c r="AI805" s="12" t="str">
        <x:f>IF(D805="","Missing date",IF(ISNUMBER(D805),"Valid","Unrecognized/invalid date"))</x:f>
        <x:v>Valid</x:v>
      </x:c>
      <x:c r="AJ805" s="12" t="str">
        <x:v>Valid</x:v>
      </x:c>
      <x:c r="AK805" s="12" t="str">
        <x:v>Pass</x:v>
      </x:c>
      <x:c r="AL805" s="12" t="str">
        <x:v>Missing region filled as Unknown</x:v>
      </x:c>
      <x:c r="AM805" s="12" t="str">
        <x:v>Valid</x:v>
      </x:c>
      <x:c r="AN805" s="12" t="str">
        <x:v>Include in completed sales</x:v>
      </x:c>
      <x:c r="AO805" s="12" t="str">
        <x:v>Not a refunded record</x:v>
      </x:c>
      <x:c r="AP805" s="37" t="n">
        <x:f>IF(LEFT($AM805,7)="Invalid","",IF($AM805="Missing discount imputed as 0",IF(AND(COUNT($O805,$P805,$R805,$S805)=4,$O805&gt;0,$P805&gt;=0,$R805&gt;=0,$S805&gt;=0),0,""),IF(AND(ISNUMBER($Q805),$Q805&gt;=0,$Q805&lt;=0.5),$Q805,"")))</x:f>
        <x:v>0</x:v>
      </x:c>
      <x:c r="AQ805" s="152" t="n">
        <x:f>IF(OR($W805="",NOT(ISNUMBER($R805))),"",ROUND($R805-$W805,2))</x:f>
        <x:v>0</x:v>
      </x:c>
      <x:c r="AR805" s="152" t="n">
        <x:f>IF(OR($X805="",NOT(ISNUMBER($T805))),"",ROUND($T805-$X805,2))</x:f>
        <x:v>0</x:v>
      </x:c>
      <x:c r="AS805" s="14" t="str">
        <x:v>OK</x:v>
      </x:c>
    </x:row>
    <x:row r="806">
      <x:c r="A806" s="80" t="n">
        <x:v>806</x:v>
      </x:c>
      <x:c r="B806" s="80" t="str">
        <x:v>ORD-2025-10805</x:v>
      </x:c>
      <x:c r="C806" s="81" t="n">
        <x:v>45910</x:v>
      </x:c>
      <x:c r="D806" s="81" t="n">
        <x:v>45918</x:v>
      </x:c>
      <x:c r="E806" s="80" t="str">
        <x:v>CUST-8745</x:v>
      </x:c>
      <x:c r="F806" s="80" t="str">
        <x:v>Rahul Verma</x:v>
      </x:c>
      <x:c r="G806" s="80" t="str">
        <x:v>Home Office</x:v>
      </x:c>
      <x:c r="H806" s="80" t="str">
        <x:v>South</x:v>
      </x:c>
      <x:c r="I806" s="80" t="str">
        <x:v>Telangana</x:v>
      </x:c>
      <x:c r="J806" s="80" t="str">
        <x:v>Hyderabad</x:v>
      </x:c>
      <x:c r="K806" s="80" t="str">
        <x:v>Furniture</x:v>
      </x:c>
      <x:c r="L806" s="80" t="str">
        <x:v>Furnishings</x:v>
      </x:c>
      <x:c r="M806" s="80" t="str">
        <x:v>Eco Furnishings 541</x:v>
      </x:c>
      <x:c r="N806" s="80" t="str">
        <x:v>Standard Class</x:v>
      </x:c>
      <x:c r="O806" s="82" t="n">
        <x:v>1</x:v>
      </x:c>
      <x:c r="P806" s="83" t="n">
        <x:v>2050.62</x:v>
      </x:c>
      <x:c r="Q806" s="84" t="n">
        <x:v>0.05</x:v>
      </x:c>
      <x:c r="R806" s="83" t="n">
        <x:v>1948.09</x:v>
      </x:c>
      <x:c r="S806" s="83" t="n">
        <x:v>1507.08</x:v>
      </x:c>
      <x:c r="T806" s="83" t="n">
        <x:v>441.01</x:v>
      </x:c>
      <x:c r="U806" s="83" t="str">
        <x:v>Paid</x:v>
      </x:c>
      <x:c r="V806" s="83" t="str">
        <x:v>Completed</x:v>
      </x:c>
      <x:c r="W806" s="151" t="n">
        <x:f>IF(OR(NOT(ISNUMBER($AP806)),COUNT($O806,$P806)&lt;2,$O806&lt;=0,$P806&lt;0),"",ROUND($O806*$P806*(1-$AP806),2))</x:f>
        <x:v>1948.09</x:v>
      </x:c>
      <x:c r="X806" s="151" t="n">
        <x:f>IF(OR(NOT(ISNUMBER($W806)),NOT(ISNUMBER($S806))),"",ROUND($W806-$S806,2))</x:f>
        <x:v>441.01</x:v>
      </x:c>
      <x:c r="Y806" s="85" t="n">
        <x:f>IF(OR(NOT(ISNUMBER($W806)),NOT(ISNUMBER($X806)),$W806=0),"",ROUND($X806/$W806,4))</x:f>
        <x:v>0.2264</x:v>
      </x:c>
      <x:c r="Z806" s="82" t="n">
        <x:f>IF(OR($AH806&lt;&gt;"Valid",$AI806&lt;&gt;"Valid"),"",INT($D806-$C806))</x:f>
        <x:v>8</x:v>
      </x:c>
      <x:c r="AA806" s="86" t="str">
        <x:f>IF($AH806&lt;&gt;"Valid","",TEXT($C806,"mmmm"))</x:f>
        <x:v>September</x:v>
      </x:c>
      <x:c r="AB806" s="82" t="n">
        <x:f>IF($AH806&lt;&gt;"Valid","",YEAR($C806))</x:f>
        <x:v>2025</x:v>
      </x:c>
      <x:c r="AC806" s="80" t="str">
        <x:v>Consistent</x:v>
      </x:c>
      <x:c r="AD806" s="80" t="str">
        <x:v>Eligible</x:v>
      </x:c>
      <x:c r="AE806" s="80" t="str">
        <x:f>IF(OR($AH806&lt;&gt;"Valid",$AI806&lt;&gt;"Valid",$AJ806&lt;&gt;"Valid",LEFT($AM806,7)="Invalid",IFERROR(ABS($AQ806)&gt;0.01,FALSE),IFERROR(ABS($AR806)&gt;0.01,FALSE),COUNTIF($AS806,"*Conflicting duplicate*")&gt;0,COUNTIF($AS806,"*Completed order not paid*")&gt;0),"Invalid",IF(OR($H806="Unknown",$N806="Unknown",$AM806="Missing discount imputed as 0"),"Warning","Clean"))</x:f>
        <x:v>Clean</x:v>
      </x:c>
      <x:c r="AF806" s="80" t="str">
        <x:v>Pass</x:v>
      </x:c>
      <x:c r="AG806" s="80" t="str">
        <x:v>No text cleanup required</x:v>
      </x:c>
      <x:c r="AH806" s="12" t="str">
        <x:f>IF(C806="","Missing date",IF(ISNUMBER(C806),"Valid","Unrecognized/invalid date"))</x:f>
        <x:v>Valid</x:v>
      </x:c>
      <x:c r="AI806" s="12" t="str">
        <x:f>IF(D806="","Missing date",IF(ISNUMBER(D806),"Valid","Unrecognized/invalid date"))</x:f>
        <x:v>Valid</x:v>
      </x:c>
      <x:c r="AJ806" s="12" t="str">
        <x:v>Valid</x:v>
      </x:c>
      <x:c r="AK806" s="12" t="str">
        <x:v>Pass</x:v>
      </x:c>
      <x:c r="AL806" s="12" t="str">
        <x:v>None</x:v>
      </x:c>
      <x:c r="AM806" s="12" t="str">
        <x:v>Valid</x:v>
      </x:c>
      <x:c r="AN806" s="12" t="str">
        <x:v>Include in completed sales</x:v>
      </x:c>
      <x:c r="AO806" s="12" t="str">
        <x:v>Not a refunded record</x:v>
      </x:c>
      <x:c r="AP806" s="37" t="n">
        <x:f>IF(LEFT($AM806,7)="Invalid","",IF($AM806="Missing discount imputed as 0",IF(AND(COUNT($O806,$P806,$R806,$S806)=4,$O806&gt;0,$P806&gt;=0,$R806&gt;=0,$S806&gt;=0),0,""),IF(AND(ISNUMBER($Q806),$Q806&gt;=0,$Q806&lt;=0.5),$Q806,"")))</x:f>
        <x:v>0.05</x:v>
      </x:c>
      <x:c r="AQ806" s="152" t="n">
        <x:f>IF(OR($W806="",NOT(ISNUMBER($R806))),"",ROUND($R806-$W806,2))</x:f>
        <x:v>0</x:v>
      </x:c>
      <x:c r="AR806" s="152" t="n">
        <x:f>IF(OR($X806="",NOT(ISNUMBER($T806))),"",ROUND($T806-$X806,2))</x:f>
        <x:v>0</x:v>
      </x:c>
      <x:c r="AS806" s="14" t="str">
        <x:v>OK</x:v>
      </x:c>
    </x:row>
    <x:row r="807">
      <x:c r="A807" s="80" t="n">
        <x:v>807</x:v>
      </x:c>
      <x:c r="B807" s="80" t="str">
        <x:v>ORD-2025-10806</x:v>
      </x:c>
      <x:c r="C807" s="81" t="n">
        <x:v>45753</x:v>
      </x:c>
      <x:c r="D807" s="81" t="n">
        <x:v>45754</x:v>
      </x:c>
      <x:c r="E807" s="80" t="str">
        <x:v>CUST-2098</x:v>
      </x:c>
      <x:c r="F807" s="80" t="str">
        <x:v>Priya Menon</x:v>
      </x:c>
      <x:c r="G807" s="80" t="str">
        <x:v>Home Office</x:v>
      </x:c>
      <x:c r="H807" s="80" t="str">
        <x:v>East</x:v>
      </x:c>
      <x:c r="I807" s="80" t="str">
        <x:v>Assam</x:v>
      </x:c>
      <x:c r="J807" s="80" t="str">
        <x:v>Guwahati</x:v>
      </x:c>
      <x:c r="K807" s="80" t="str">
        <x:v>Office Supplies</x:v>
      </x:c>
      <x:c r="L807" s="80" t="str">
        <x:v>Binders</x:v>
      </x:c>
      <x:c r="M807" s="80" t="str">
        <x:v>Classic Binders 103</x:v>
      </x:c>
      <x:c r="N807" s="80" t="str">
        <x:v>Second Class</x:v>
      </x:c>
      <x:c r="O807" s="82" t="n">
        <x:v>2</x:v>
      </x:c>
      <x:c r="P807" s="83" t="n">
        <x:v>2030.06</x:v>
      </x:c>
      <x:c r="Q807" s="84" t="n">
        <x:v>0.25</x:v>
      </x:c>
      <x:c r="R807" s="83" t="n">
        <x:v>3045.09</x:v>
      </x:c>
      <x:c r="S807" s="83" t="n">
        <x:v>2601.09</x:v>
      </x:c>
      <x:c r="T807" s="83" t="n">
        <x:v>444</x:v>
      </x:c>
      <x:c r="U807" s="83" t="str">
        <x:v>Paid</x:v>
      </x:c>
      <x:c r="V807" s="83" t="str">
        <x:v>Completed</x:v>
      </x:c>
      <x:c r="W807" s="151" t="n">
        <x:f>IF(OR(NOT(ISNUMBER($AP807)),COUNT($O807,$P807)&lt;2,$O807&lt;=0,$P807&lt;0),"",ROUND($O807*$P807*(1-$AP807),2))</x:f>
        <x:v>3045.09</x:v>
      </x:c>
      <x:c r="X807" s="151" t="n">
        <x:f>IF(OR(NOT(ISNUMBER($W807)),NOT(ISNUMBER($S807))),"",ROUND($W807-$S807,2))</x:f>
        <x:v>444</x:v>
      </x:c>
      <x:c r="Y807" s="85" t="n">
        <x:f>IF(OR(NOT(ISNUMBER($W807)),NOT(ISNUMBER($X807)),$W807=0),"",ROUND($X807/$W807,4))</x:f>
        <x:v>0.1458</x:v>
      </x:c>
      <x:c r="Z807" s="82" t="n">
        <x:f>IF(OR($AH807&lt;&gt;"Valid",$AI807&lt;&gt;"Valid"),"",INT($D807-$C807))</x:f>
        <x:v>1</x:v>
      </x:c>
      <x:c r="AA807" s="86" t="str">
        <x:f>IF($AH807&lt;&gt;"Valid","",TEXT($C807,"mmmm"))</x:f>
        <x:v>April</x:v>
      </x:c>
      <x:c r="AB807" s="82" t="n">
        <x:f>IF($AH807&lt;&gt;"Valid","",YEAR($C807))</x:f>
        <x:v>2025</x:v>
      </x:c>
      <x:c r="AC807" s="80" t="str">
        <x:v>Consistent</x:v>
      </x:c>
      <x:c r="AD807" s="80" t="str">
        <x:v>Eligible</x:v>
      </x:c>
      <x:c r="AE807" s="80" t="str">
        <x:f>IF(OR($AH807&lt;&gt;"Valid",$AI807&lt;&gt;"Valid",$AJ807&lt;&gt;"Valid",LEFT($AM807,7)="Invalid",IFERROR(ABS($AQ807)&gt;0.01,FALSE),IFERROR(ABS($AR807)&gt;0.01,FALSE),COUNTIF($AS807,"*Conflicting duplicate*")&gt;0,COUNTIF($AS807,"*Completed order not paid*")&gt;0),"Invalid",IF(OR($H807="Unknown",$N807="Unknown",$AM807="Missing discount imputed as 0"),"Warning","Clean"))</x:f>
        <x:v>Clean</x:v>
      </x:c>
      <x:c r="AF807" s="80" t="str">
        <x:v>Pass</x:v>
      </x:c>
      <x:c r="AG807" s="80" t="str">
        <x:v>No text cleanup required</x:v>
      </x:c>
      <x:c r="AH807" s="12" t="str">
        <x:f>IF(C807="","Missing date",IF(ISNUMBER(C807),"Valid","Unrecognized/invalid date"))</x:f>
        <x:v>Valid</x:v>
      </x:c>
      <x:c r="AI807" s="12" t="str">
        <x:f>IF(D807="","Missing date",IF(ISNUMBER(D807),"Valid","Unrecognized/invalid date"))</x:f>
        <x:v>Valid</x:v>
      </x:c>
      <x:c r="AJ807" s="12" t="str">
        <x:v>Valid</x:v>
      </x:c>
      <x:c r="AK807" s="12" t="str">
        <x:v>Pass</x:v>
      </x:c>
      <x:c r="AL807" s="12" t="str">
        <x:v>None</x:v>
      </x:c>
      <x:c r="AM807" s="12" t="str">
        <x:v>Valid</x:v>
      </x:c>
      <x:c r="AN807" s="12" t="str">
        <x:v>Include in completed sales</x:v>
      </x:c>
      <x:c r="AO807" s="12" t="str">
        <x:v>Not a refunded record</x:v>
      </x:c>
      <x:c r="AP807" s="37" t="n">
        <x:f>IF(LEFT($AM807,7)="Invalid","",IF($AM807="Missing discount imputed as 0",IF(AND(COUNT($O807,$P807,$R807,$S807)=4,$O807&gt;0,$P807&gt;=0,$R807&gt;=0,$S807&gt;=0),0,""),IF(AND(ISNUMBER($Q807),$Q807&gt;=0,$Q807&lt;=0.5),$Q807,"")))</x:f>
        <x:v>0.25</x:v>
      </x:c>
      <x:c r="AQ807" s="152" t="n">
        <x:f>IF(OR($W807="",NOT(ISNUMBER($R807))),"",ROUND($R807-$W807,2))</x:f>
        <x:v>0</x:v>
      </x:c>
      <x:c r="AR807" s="152" t="n">
        <x:f>IF(OR($X807="",NOT(ISNUMBER($T807))),"",ROUND($T807-$X807,2))</x:f>
        <x:v>0</x:v>
      </x:c>
      <x:c r="AS807" s="14" t="str">
        <x:v>OK</x:v>
      </x:c>
    </x:row>
    <x:row r="808">
      <x:c r="A808" s="80" t="n">
        <x:v>808</x:v>
      </x:c>
      <x:c r="B808" s="80" t="str">
        <x:v>ORD-2024-10807</x:v>
      </x:c>
      <x:c r="C808" s="81" t="n">
        <x:v>45605</x:v>
      </x:c>
      <x:c r="D808" s="81" t="n">
        <x:v>45611</x:v>
      </x:c>
      <x:c r="E808" s="80" t="str">
        <x:v>CUST-3704</x:v>
      </x:c>
      <x:c r="F808" s="80" t="str">
        <x:v>Isha Nair</x:v>
      </x:c>
      <x:c r="G808" s="80" t="str">
        <x:v>Home Office</x:v>
      </x:c>
      <x:c r="H808" s="80" t="str">
        <x:v>North</x:v>
      </x:c>
      <x:c r="I808" s="80" t="str">
        <x:v>Rajasthan</x:v>
      </x:c>
      <x:c r="J808" s="80" t="str">
        <x:v>Jaipur</x:v>
      </x:c>
      <x:c r="K808" s="80" t="str">
        <x:v>Technology</x:v>
      </x:c>
      <x:c r="L808" s="80" t="str">
        <x:v>Copiers</x:v>
      </x:c>
      <x:c r="M808" s="80" t="str">
        <x:v>Max Copiers 560</x:v>
      </x:c>
      <x:c r="N808" s="80" t="str">
        <x:v>Standard Class</x:v>
      </x:c>
      <x:c r="O808" s="82" t="n">
        <x:v>1</x:v>
      </x:c>
      <x:c r="P808" s="83" t="n">
        <x:v>3665.97</x:v>
      </x:c>
      <x:c r="Q808" s="84" t="n">
        <x:v>0.2</x:v>
      </x:c>
      <x:c r="R808" s="83" t="n">
        <x:v>2932.78</x:v>
      </x:c>
      <x:c r="S808" s="83" t="n">
        <x:v>1900.35</x:v>
      </x:c>
      <x:c r="T808" s="83" t="n">
        <x:v>1032.43</x:v>
      </x:c>
      <x:c r="U808" s="83" t="str">
        <x:v>Failed</x:v>
      </x:c>
      <x:c r="V808" s="83" t="str">
        <x:v>Cancelled</x:v>
      </x:c>
      <x:c r="W808" s="151" t="n">
        <x:f>IF(OR(NOT(ISNUMBER($AP808)),COUNT($O808,$P808)&lt;2,$O808&lt;=0,$P808&lt;0),"",ROUND($O808*$P808*(1-$AP808),2))</x:f>
        <x:v>2932.78</x:v>
      </x:c>
      <x:c r="X808" s="151" t="n">
        <x:f>IF(OR(NOT(ISNUMBER($W808)),NOT(ISNUMBER($S808))),"",ROUND($W808-$S808,2))</x:f>
        <x:v>1032.43</x:v>
      </x:c>
      <x:c r="Y808" s="85" t="n">
        <x:f>IF(OR(NOT(ISNUMBER($W808)),NOT(ISNUMBER($X808)),$W808=0),"",ROUND($X808/$W808,4))</x:f>
        <x:v>0.352</x:v>
      </x:c>
      <x:c r="Z808" s="82" t="n">
        <x:f>IF(OR($AH808&lt;&gt;"Valid",$AI808&lt;&gt;"Valid"),"",INT($D808-$C808))</x:f>
        <x:v>6</x:v>
      </x:c>
      <x:c r="AA808" s="86" t="str">
        <x:f>IF($AH808&lt;&gt;"Valid","",TEXT($C808,"mmmm"))</x:f>
        <x:v>November</x:v>
      </x:c>
      <x:c r="AB808" s="82" t="n">
        <x:f>IF($AH808&lt;&gt;"Valid","",YEAR($C808))</x:f>
        <x:v>2024</x:v>
      </x:c>
      <x:c r="AC808" s="80" t="str">
        <x:v>Cancelled (excluded from completed-sales summary)</x:v>
      </x:c>
      <x:c r="AD808" s="80" t="str">
        <x:v>Excluded</x:v>
      </x:c>
      <x:c r="AE808" s="80" t="str">
        <x:f>IF(OR($AH808&lt;&gt;"Valid",$AI808&lt;&gt;"Valid",$AJ808&lt;&gt;"Valid",LEFT($AM808,7)="Invalid",IFERROR(ABS($AQ808)&gt;0.01,FALSE),IFERROR(ABS($AR808)&gt;0.01,FALSE),COUNTIF($AS808,"*Conflicting duplicate*")&gt;0,COUNTIF($AS808,"*Completed order not paid*")&gt;0),"Invalid",IF(OR($H808="Unknown",$N808="Unknown",$AM808="Missing discount imputed as 0"),"Warning","Clean"))</x:f>
        <x:v>Clean</x:v>
      </x:c>
      <x:c r="AF808" s="80" t="str">
        <x:v>Pass</x:v>
      </x:c>
      <x:c r="AG808" s="80" t="str">
        <x:v>No text cleanup required</x:v>
      </x:c>
      <x:c r="AH808" s="12" t="str">
        <x:f>IF(C808="","Missing date",IF(ISNUMBER(C808),"Valid","Unrecognized/invalid date"))</x:f>
        <x:v>Valid</x:v>
      </x:c>
      <x:c r="AI808" s="12" t="str">
        <x:f>IF(D808="","Missing date",IF(ISNUMBER(D808),"Valid","Unrecognized/invalid date"))</x:f>
        <x:v>Valid</x:v>
      </x:c>
      <x:c r="AJ808" s="12" t="str">
        <x:v>Valid</x:v>
      </x:c>
      <x:c r="AK808" s="12" t="str">
        <x:v>Pass</x:v>
      </x:c>
      <x:c r="AL808" s="12" t="str">
        <x:v>Cancelled order – excluded from completed sales; Failed payment – excluded from completed sales</x:v>
      </x:c>
      <x:c r="AM808" s="12" t="str">
        <x:v>Valid</x:v>
      </x:c>
      <x:c r="AN808" s="12" t="str">
        <x:v>Exclude from completed sales</x:v>
      </x:c>
      <x:c r="AO808" s="12" t="str">
        <x:v>Not a refunded record</x:v>
      </x:c>
      <x:c r="AP808" s="37" t="n">
        <x:f>IF(LEFT($AM808,7)="Invalid","",IF($AM808="Missing discount imputed as 0",IF(AND(COUNT($O808,$P808,$R808,$S808)=4,$O808&gt;0,$P808&gt;=0,$R808&gt;=0,$S808&gt;=0),0,""),IF(AND(ISNUMBER($Q808),$Q808&gt;=0,$Q808&lt;=0.5),$Q808,"")))</x:f>
        <x:v>0.2</x:v>
      </x:c>
      <x:c r="AQ808" s="152" t="n">
        <x:f>IF(OR($W808="",NOT(ISNUMBER($R808))),"",ROUND($R808-$W808,2))</x:f>
        <x:v>0</x:v>
      </x:c>
      <x:c r="AR808" s="152" t="n">
        <x:f>IF(OR($X808="",NOT(ISNUMBER($T808))),"",ROUND($T808-$X808,2))</x:f>
        <x:v>0</x:v>
      </x:c>
      <x:c r="AS808" s="14" t="str">
        <x:v>OK</x:v>
      </x:c>
    </x:row>
    <x:row r="809">
      <x:c r="A809" s="80" t="n">
        <x:v>809</x:v>
      </x:c>
      <x:c r="B809" s="80" t="str">
        <x:v>ORD-2025-10808</x:v>
      </x:c>
      <x:c r="C809" s="81" t="n">
        <x:v>45695</x:v>
      </x:c>
      <x:c r="D809" s="81" t="n">
        <x:v>45696</x:v>
      </x:c>
      <x:c r="E809" s="80" t="str">
        <x:v>CUST-5884</x:v>
      </x:c>
      <x:c r="F809" s="80" t="str">
        <x:v>Karan Malhotra</x:v>
      </x:c>
      <x:c r="G809" s="80" t="str">
        <x:v>Small Business</x:v>
      </x:c>
      <x:c r="H809" s="80" t="str">
        <x:v>South</x:v>
      </x:c>
      <x:c r="I809" s="80" t="str">
        <x:v>Telangana</x:v>
      </x:c>
      <x:c r="J809" s="80" t="str">
        <x:v>Hyderabad</x:v>
      </x:c>
      <x:c r="K809" s="80" t="str">
        <x:v>Office Supplies</x:v>
      </x:c>
      <x:c r="L809" s="80" t="str">
        <x:v>Labels</x:v>
      </x:c>
      <x:c r="M809" s="80" t="str">
        <x:v>Smart Labels 436</x:v>
      </x:c>
      <x:c r="N809" s="80" t="str">
        <x:v>Standard Class</x:v>
      </x:c>
      <x:c r="O809" s="82" t="n">
        <x:v>2</x:v>
      </x:c>
      <x:c r="P809" s="83" t="n">
        <x:v>2432.98</x:v>
      </x:c>
      <x:c r="Q809" s="84" t="n">
        <x:v>0.1</x:v>
      </x:c>
      <x:c r="R809" s="83" t="n">
        <x:v>4379.36</x:v>
      </x:c>
      <x:c r="S809" s="83" t="n">
        <x:v>3723.93</x:v>
      </x:c>
      <x:c r="T809" s="83" t="n">
        <x:v>655.43</x:v>
      </x:c>
      <x:c r="U809" s="83" t="str">
        <x:v>Paid</x:v>
      </x:c>
      <x:c r="V809" s="83" t="str">
        <x:v>Completed</x:v>
      </x:c>
      <x:c r="W809" s="151" t="n">
        <x:f>IF(OR(NOT(ISNUMBER($AP809)),COUNT($O809,$P809)&lt;2,$O809&lt;=0,$P809&lt;0),"",ROUND($O809*$P809*(1-$AP809),2))</x:f>
        <x:v>4379.36</x:v>
      </x:c>
      <x:c r="X809" s="151" t="n">
        <x:f>IF(OR(NOT(ISNUMBER($W809)),NOT(ISNUMBER($S809))),"",ROUND($W809-$S809,2))</x:f>
        <x:v>655.43</x:v>
      </x:c>
      <x:c r="Y809" s="85" t="n">
        <x:f>IF(OR(NOT(ISNUMBER($W809)),NOT(ISNUMBER($X809)),$W809=0),"",ROUND($X809/$W809,4))</x:f>
        <x:v>0.1497</x:v>
      </x:c>
      <x:c r="Z809" s="82" t="n">
        <x:f>IF(OR($AH809&lt;&gt;"Valid",$AI809&lt;&gt;"Valid"),"",INT($D809-$C809))</x:f>
        <x:v>1</x:v>
      </x:c>
      <x:c r="AA809" s="86" t="str">
        <x:f>IF($AH809&lt;&gt;"Valid","",TEXT($C809,"mmmm"))</x:f>
        <x:v>February</x:v>
      </x:c>
      <x:c r="AB809" s="82" t="n">
        <x:f>IF($AH809&lt;&gt;"Valid","",YEAR($C809))</x:f>
        <x:v>2025</x:v>
      </x:c>
      <x:c r="AC809" s="80" t="str">
        <x:v>Consistent</x:v>
      </x:c>
      <x:c r="AD809" s="80" t="str">
        <x:v>Eligible</x:v>
      </x:c>
      <x:c r="AE809" s="80" t="str">
        <x:f>IF(OR($AH809&lt;&gt;"Valid",$AI809&lt;&gt;"Valid",$AJ809&lt;&gt;"Valid",LEFT($AM809,7)="Invalid",IFERROR(ABS($AQ809)&gt;0.01,FALSE),IFERROR(ABS($AR809)&gt;0.01,FALSE),COUNTIF($AS809,"*Conflicting duplicate*")&gt;0,COUNTIF($AS809,"*Completed order not paid*")&gt;0),"Invalid",IF(OR($H809="Unknown",$N809="Unknown",$AM809="Missing discount imputed as 0"),"Warning","Clean"))</x:f>
        <x:v>Clean</x:v>
      </x:c>
      <x:c r="AF809" s="80" t="str">
        <x:v>Cleaned</x:v>
      </x:c>
      <x:c r="AG809" s="80" t="str">
        <x:v>ship_mode: Case standardization</x:v>
      </x:c>
      <x:c r="AH809" s="12" t="str">
        <x:f>IF(C809="","Missing date",IF(ISNUMBER(C809),"Valid","Unrecognized/invalid date"))</x:f>
        <x:v>Valid</x:v>
      </x:c>
      <x:c r="AI809" s="12" t="str">
        <x:f>IF(D809="","Missing date",IF(ISNUMBER(D809),"Valid","Unrecognized/invalid date"))</x:f>
        <x:v>Valid</x:v>
      </x:c>
      <x:c r="AJ809" s="12" t="str">
        <x:v>Valid</x:v>
      </x:c>
      <x:c r="AK809" s="12" t="str">
        <x:v>Pass</x:v>
      </x:c>
      <x:c r="AL809" s="12" t="str">
        <x:v>None</x:v>
      </x:c>
      <x:c r="AM809" s="12" t="str">
        <x:v>Valid</x:v>
      </x:c>
      <x:c r="AN809" s="12" t="str">
        <x:v>Include in completed sales</x:v>
      </x:c>
      <x:c r="AO809" s="12" t="str">
        <x:v>Not a refunded record</x:v>
      </x:c>
      <x:c r="AP809" s="37" t="n">
        <x:f>IF(LEFT($AM809,7)="Invalid","",IF($AM809="Missing discount imputed as 0",IF(AND(COUNT($O809,$P809,$R809,$S809)=4,$O809&gt;0,$P809&gt;=0,$R809&gt;=0,$S809&gt;=0),0,""),IF(AND(ISNUMBER($Q809),$Q809&gt;=0,$Q809&lt;=0.5),$Q809,"")))</x:f>
        <x:v>0.1</x:v>
      </x:c>
      <x:c r="AQ809" s="152" t="n">
        <x:f>IF(OR($W809="",NOT(ISNUMBER($R809))),"",ROUND($R809-$W809,2))</x:f>
        <x:v>0</x:v>
      </x:c>
      <x:c r="AR809" s="152" t="n">
        <x:f>IF(OR($X809="",NOT(ISNUMBER($T809))),"",ROUND($T809-$X809,2))</x:f>
        <x:v>0</x:v>
      </x:c>
      <x:c r="AS809" s="14" t="str">
        <x:v>OK</x:v>
      </x:c>
    </x:row>
    <x:row r="810">
      <x:c r="A810" s="80" t="n">
        <x:v>810</x:v>
      </x:c>
      <x:c r="B810" s="80" t="str">
        <x:v>ORD-2025-10809</x:v>
      </x:c>
      <x:c r="C810" s="81" t="n">
        <x:v>45900</x:v>
      </x:c>
      <x:c r="D810" s="81" t="n">
        <x:v>45897</x:v>
      </x:c>
      <x:c r="E810" s="80" t="str">
        <x:v>CUST-7503</x:v>
      </x:c>
      <x:c r="F810" s="80" t="str">
        <x:v>Aarav Sharma</x:v>
      </x:c>
      <x:c r="G810" s="80" t="str">
        <x:v>Small Business</x:v>
      </x:c>
      <x:c r="H810" s="80" t="str">
        <x:v>South</x:v>
      </x:c>
      <x:c r="I810" s="80" t="str">
        <x:v>Tamil Nadu</x:v>
      </x:c>
      <x:c r="J810" s="80" t="str">
        <x:v>Chennai</x:v>
      </x:c>
      <x:c r="K810" s="80" t="str">
        <x:v>Furniture</x:v>
      </x:c>
      <x:c r="L810" s="80" t="str">
        <x:v>Furnishings</x:v>
      </x:c>
      <x:c r="M810" s="80" t="str">
        <x:v>Pro Furnishings 386</x:v>
      </x:c>
      <x:c r="N810" s="80" t="str">
        <x:v>First Class</x:v>
      </x:c>
      <x:c r="O810" s="82" t="n">
        <x:v>7</x:v>
      </x:c>
      <x:c r="P810" s="83" t="n">
        <x:v>977.28</x:v>
      </x:c>
      <x:c r="Q810" s="84" t="n">
        <x:v>0.2</x:v>
      </x:c>
      <x:c r="R810" s="83" t="n">
        <x:v>5472.77</x:v>
      </x:c>
      <x:c r="S810" s="83" t="n">
        <x:v>4477.33</x:v>
      </x:c>
      <x:c r="T810" s="83" t="n">
        <x:v>995.44</x:v>
      </x:c>
      <x:c r="U810" s="83" t="str">
        <x:v>Paid</x:v>
      </x:c>
      <x:c r="V810" s="83" t="str">
        <x:v>Completed</x:v>
      </x:c>
      <x:c r="W810" s="151" t="n">
        <x:f>IF(OR(NOT(ISNUMBER($AP810)),COUNT($O810,$P810)&lt;2,$O810&lt;=0,$P810&lt;0),"",ROUND($O810*$P810*(1-$AP810),2))</x:f>
        <x:v>5472.77</x:v>
      </x:c>
      <x:c r="X810" s="151" t="n">
        <x:f>IF(OR(NOT(ISNUMBER($W810)),NOT(ISNUMBER($S810))),"",ROUND($W810-$S810,2))</x:f>
        <x:v>995.44</x:v>
      </x:c>
      <x:c r="Y810" s="85" t="n">
        <x:f>IF(OR(NOT(ISNUMBER($W810)),NOT(ISNUMBER($X810)),$W810=0),"",ROUND($X810/$W810,4))</x:f>
        <x:v>0.1819</x:v>
      </x:c>
      <x:c r="Z810" s="82" t="n">
        <x:f>IF(OR($AH810&lt;&gt;"Valid",$AI810&lt;&gt;"Valid"),"",INT($D810-$C810))</x:f>
        <x:v>-3</x:v>
      </x:c>
      <x:c r="AA810" s="86" t="str">
        <x:f>IF($AH810&lt;&gt;"Valid","",TEXT($C810,"mmmm"))</x:f>
        <x:v>August</x:v>
      </x:c>
      <x:c r="AB810" s="82" t="n">
        <x:f>IF($AH810&lt;&gt;"Valid","",YEAR($C810))</x:f>
        <x:v>2025</x:v>
      </x:c>
      <x:c r="AC810" s="80" t="str">
        <x:v>Consistent</x:v>
      </x:c>
      <x:c r="AD810" s="80" t="str">
        <x:v>Excluded</x:v>
      </x:c>
      <x:c r="AE810" s="80" t="str">
        <x:f>IF(OR($AH810&lt;&gt;"Valid",$AI810&lt;&gt;"Valid",$AJ810&lt;&gt;"Valid",LEFT($AM810,7)="Invalid",IFERROR(ABS($AQ810)&gt;0.01,FALSE),IFERROR(ABS($AR810)&gt;0.01,FALSE),COUNTIF($AS810,"*Conflicting duplicate*")&gt;0,COUNTIF($AS810,"*Completed order not paid*")&gt;0),"Invalid",IF(OR($H810="Unknown",$N810="Unknown",$AM810="Missing discount imputed as 0"),"Warning","Clean"))</x:f>
        <x:v>Invalid</x:v>
      </x:c>
      <x:c r="AF810" s="80" t="str">
        <x:v>Review</x:v>
      </x:c>
      <x:c r="AG810" s="80" t="str">
        <x:v>No text cleanup required</x:v>
      </x:c>
      <x:c r="AH810" s="12" t="str">
        <x:f>IF(C810="","Missing date",IF(ISNUMBER(C810),"Valid","Unrecognized/invalid date"))</x:f>
        <x:v>Valid</x:v>
      </x:c>
      <x:c r="AI810" s="12" t="str">
        <x:f>IF(D810="","Missing date",IF(ISNUMBER(D810),"Valid","Unrecognized/invalid date"))</x:f>
        <x:v>Valid</x:v>
      </x:c>
      <x:c r="AJ810" s="12" t="str">
        <x:v>Invalid</x:v>
      </x:c>
      <x:c r="AK810" s="12" t="str">
        <x:v>Ship date is earlier than order date</x:v>
      </x:c>
      <x:c r="AL810" s="12" t="str">
        <x:v>None</x:v>
      </x:c>
      <x:c r="AM810" s="12" t="str">
        <x:v>Valid</x:v>
      </x:c>
      <x:c r="AN810" s="12" t="str">
        <x:v>Exclude from completed sales</x:v>
      </x:c>
      <x:c r="AO810" s="12" t="str">
        <x:v>Not a refunded record</x:v>
      </x:c>
      <x:c r="AP810" s="37" t="n">
        <x:f>IF(LEFT($AM810,7)="Invalid","",IF($AM810="Missing discount imputed as 0",IF(AND(COUNT($O810,$P810,$R810,$S810)=4,$O810&gt;0,$P810&gt;=0,$R810&gt;=0,$S810&gt;=0),0,""),IF(AND(ISNUMBER($Q810),$Q810&gt;=0,$Q810&lt;=0.5),$Q810,"")))</x:f>
        <x:v>0.2</x:v>
      </x:c>
      <x:c r="AQ810" s="152" t="n">
        <x:f>IF(OR($W810="",NOT(ISNUMBER($R810))),"",ROUND($R810-$W810,2))</x:f>
        <x:v>0</x:v>
      </x:c>
      <x:c r="AR810" s="152" t="n">
        <x:f>IF(OR($X810="",NOT(ISNUMBER($T810))),"",ROUND($T810-$X810,2))</x:f>
        <x:v>0</x:v>
      </x:c>
      <x:c r="AS810" s="14" t="str">
        <x:v>Ship date earlier than order date</x:v>
      </x:c>
    </x:row>
    <x:row r="811">
      <x:c r="A811" s="80" t="n">
        <x:v>811</x:v>
      </x:c>
      <x:c r="B811" s="80" t="str">
        <x:v>ORD-2025-10810</x:v>
      </x:c>
      <x:c r="C811" s="81" t="n">
        <x:v>45833</x:v>
      </x:c>
      <x:c r="D811" s="81" t="n">
        <x:v>45833</x:v>
      </x:c>
      <x:c r="E811" s="80" t="str">
        <x:v>CUST-6973</x:v>
      </x:c>
      <x:c r="F811" s="80" t="str">
        <x:v>Arjun Bose</x:v>
      </x:c>
      <x:c r="G811" s="80" t="str">
        <x:v>Small Business</x:v>
      </x:c>
      <x:c r="H811" s="80" t="str">
        <x:v>Unknown</x:v>
      </x:c>
      <x:c r="I811" s="80" t="str">
        <x:v>Punjab</x:v>
      </x:c>
      <x:c r="J811" s="80" t="str">
        <x:v>Ludhiana</x:v>
      </x:c>
      <x:c r="K811" s="80" t="str">
        <x:v>Office Supplies</x:v>
      </x:c>
      <x:c r="L811" s="80" t="str">
        <x:v>Binders</x:v>
      </x:c>
      <x:c r="M811" s="80" t="str">
        <x:v>Eco Binders 601</x:v>
      </x:c>
      <x:c r="N811" s="80" t="str">
        <x:v>Second Class</x:v>
      </x:c>
      <x:c r="O811" s="82" t="n">
        <x:v>6</x:v>
      </x:c>
      <x:c r="P811" s="83" t="n">
        <x:v>1366.13</x:v>
      </x:c>
      <x:c r="Q811" s="84" t="n">
        <x:v>0.1</x:v>
      </x:c>
      <x:c r="R811" s="83" t="n">
        <x:v>7377.1</x:v>
      </x:c>
      <x:c r="S811" s="83" t="n">
        <x:v>5085.21</x:v>
      </x:c>
      <x:c r="T811" s="83" t="n">
        <x:v>2291.89</x:v>
      </x:c>
      <x:c r="U811" s="83" t="str">
        <x:v>Paid</x:v>
      </x:c>
      <x:c r="V811" s="83" t="str">
        <x:v>Completed</x:v>
      </x:c>
      <x:c r="W811" s="151" t="n">
        <x:f>IF(OR(NOT(ISNUMBER($AP811)),COUNT($O811,$P811)&lt;2,$O811&lt;=0,$P811&lt;0),"",ROUND($O811*$P811*(1-$AP811),2))</x:f>
        <x:v>7377.1</x:v>
      </x:c>
      <x:c r="X811" s="151" t="n">
        <x:f>IF(OR(NOT(ISNUMBER($W811)),NOT(ISNUMBER($S811))),"",ROUND($W811-$S811,2))</x:f>
        <x:v>2291.89</x:v>
      </x:c>
      <x:c r="Y811" s="85" t="n">
        <x:f>IF(OR(NOT(ISNUMBER($W811)),NOT(ISNUMBER($X811)),$W811=0),"",ROUND($X811/$W811,4))</x:f>
        <x:v>0.3107</x:v>
      </x:c>
      <x:c r="Z811" s="82" t="n">
        <x:f>IF(OR($AH811&lt;&gt;"Valid",$AI811&lt;&gt;"Valid"),"",INT($D811-$C811))</x:f>
        <x:v>0</x:v>
      </x:c>
      <x:c r="AA811" s="86" t="str">
        <x:f>IF($AH811&lt;&gt;"Valid","",TEXT($C811,"mmmm"))</x:f>
        <x:v>June</x:v>
      </x:c>
      <x:c r="AB811" s="82" t="n">
        <x:f>IF($AH811&lt;&gt;"Valid","",YEAR($C811))</x:f>
        <x:v>2025</x:v>
      </x:c>
      <x:c r="AC811" s="80" t="str">
        <x:v>Consistent</x:v>
      </x:c>
      <x:c r="AD811" s="80" t="str">
        <x:v>Eligible</x:v>
      </x:c>
      <x:c r="AE811" s="80" t="str">
        <x:f>IF(OR($AH811&lt;&gt;"Valid",$AI811&lt;&gt;"Valid",$AJ811&lt;&gt;"Valid",LEFT($AM811,7)="Invalid",IFERROR(ABS($AQ811)&gt;0.01,FALSE),IFERROR(ABS($AR811)&gt;0.01,FALSE),COUNTIF($AS811,"*Conflicting duplicate*")&gt;0,COUNTIF($AS811,"*Completed order not paid*")&gt;0),"Invalid",IF(OR($H811="Unknown",$N811="Unknown",$AM811="Missing discount imputed as 0"),"Warning","Clean"))</x:f>
        <x:v>Warning</x:v>
      </x:c>
      <x:c r="AF811" s="80" t="str">
        <x:v>Cleaned</x:v>
      </x:c>
      <x:c r="AG811" s="80" t="str">
        <x:v>region: Missing value filled as Unknown</x:v>
      </x:c>
      <x:c r="AH811" s="12" t="str">
        <x:f>IF(C811="","Missing date",IF(ISNUMBER(C811),"Valid","Unrecognized/invalid date"))</x:f>
        <x:v>Valid</x:v>
      </x:c>
      <x:c r="AI811" s="12" t="str">
        <x:f>IF(D811="","Missing date",IF(ISNUMBER(D811),"Valid","Unrecognized/invalid date"))</x:f>
        <x:v>Valid</x:v>
      </x:c>
      <x:c r="AJ811" s="12" t="str">
        <x:v>Valid</x:v>
      </x:c>
      <x:c r="AK811" s="12" t="str">
        <x:v>Pass</x:v>
      </x:c>
      <x:c r="AL811" s="12" t="str">
        <x:v>Missing region filled as Unknown</x:v>
      </x:c>
      <x:c r="AM811" s="12" t="str">
        <x:v>Valid</x:v>
      </x:c>
      <x:c r="AN811" s="12" t="str">
        <x:v>Include in completed sales</x:v>
      </x:c>
      <x:c r="AO811" s="12" t="str">
        <x:v>Not a refunded record</x:v>
      </x:c>
      <x:c r="AP811" s="37" t="n">
        <x:f>IF(LEFT($AM811,7)="Invalid","",IF($AM811="Missing discount imputed as 0",IF(AND(COUNT($O811,$P811,$R811,$S811)=4,$O811&gt;0,$P811&gt;=0,$R811&gt;=0,$S811&gt;=0),0,""),IF(AND(ISNUMBER($Q811),$Q811&gt;=0,$Q811&lt;=0.5),$Q811,"")))</x:f>
        <x:v>0.1</x:v>
      </x:c>
      <x:c r="AQ811" s="152" t="n">
        <x:f>IF(OR($W811="",NOT(ISNUMBER($R811))),"",ROUND($R811-$W811,2))</x:f>
        <x:v>0</x:v>
      </x:c>
      <x:c r="AR811" s="152" t="n">
        <x:f>IF(OR($X811="",NOT(ISNUMBER($T811))),"",ROUND($T811-$X811,2))</x:f>
        <x:v>0</x:v>
      </x:c>
      <x:c r="AS811" s="14" t="str">
        <x:v>OK</x:v>
      </x:c>
    </x:row>
    <x:row r="812">
      <x:c r="A812" s="80" t="n">
        <x:v>812</x:v>
      </x:c>
      <x:c r="B812" s="80" t="str">
        <x:v>ORD-2024-10811</x:v>
      </x:c>
      <x:c r="C812" s="81" t="n">
        <x:v>45385</x:v>
      </x:c>
      <x:c r="D812" s="81" t="n">
        <x:v>45390</x:v>
      </x:c>
      <x:c r="E812" s="80" t="str">
        <x:v>CUST-4653</x:v>
      </x:c>
      <x:c r="F812" s="80" t="str">
        <x:v>Kabir Singh</x:v>
      </x:c>
      <x:c r="G812" s="80" t="str">
        <x:v>Home Office</x:v>
      </x:c>
      <x:c r="H812" s="80" t="str">
        <x:v>West</x:v>
      </x:c>
      <x:c r="I812" s="80" t="str">
        <x:v>Gujarat</x:v>
      </x:c>
      <x:c r="J812" s="80" t="str">
        <x:v>Ahmedabad</x:v>
      </x:c>
      <x:c r="K812" s="80" t="str">
        <x:v>Technology</x:v>
      </x:c>
      <x:c r="L812" s="80" t="str">
        <x:v>Copiers</x:v>
      </x:c>
      <x:c r="M812" s="80" t="str">
        <x:v>Pro Copiers 867</x:v>
      </x:c>
      <x:c r="N812" s="80" t="str">
        <x:v>First Class</x:v>
      </x:c>
      <x:c r="O812" s="82" t="n">
        <x:v>1</x:v>
      </x:c>
      <x:c r="P812" s="83" t="n">
        <x:v>3151.85</x:v>
      </x:c>
      <x:c r="Q812" s="84" t="n">
        <x:v>0.25</x:v>
      </x:c>
      <x:c r="R812" s="83" t="n">
        <x:v>2363.89</x:v>
      </x:c>
      <x:c r="S812" s="83" t="n">
        <x:v>1471.51</x:v>
      </x:c>
      <x:c r="T812" s="83" t="n">
        <x:v>892.38</x:v>
      </x:c>
      <x:c r="U812" s="83" t="str">
        <x:v>Paid</x:v>
      </x:c>
      <x:c r="V812" s="83" t="str">
        <x:v>Completed</x:v>
      </x:c>
      <x:c r="W812" s="151" t="n">
        <x:f>IF(OR(NOT(ISNUMBER($AP812)),COUNT($O812,$P812)&lt;2,$O812&lt;=0,$P812&lt;0),"",ROUND($O812*$P812*(1-$AP812),2))</x:f>
        <x:v>2363.89</x:v>
      </x:c>
      <x:c r="X812" s="151" t="n">
        <x:f>IF(OR(NOT(ISNUMBER($W812)),NOT(ISNUMBER($S812))),"",ROUND($W812-$S812,2))</x:f>
        <x:v>892.38</x:v>
      </x:c>
      <x:c r="Y812" s="85" t="n">
        <x:f>IF(OR(NOT(ISNUMBER($W812)),NOT(ISNUMBER($X812)),$W812=0),"",ROUND($X812/$W812,4))</x:f>
        <x:v>0.3775</x:v>
      </x:c>
      <x:c r="Z812" s="82" t="n">
        <x:f>IF(OR($AH812&lt;&gt;"Valid",$AI812&lt;&gt;"Valid"),"",INT($D812-$C812))</x:f>
        <x:v>5</x:v>
      </x:c>
      <x:c r="AA812" s="86" t="str">
        <x:f>IF($AH812&lt;&gt;"Valid","",TEXT($C812,"mmmm"))</x:f>
        <x:v>April</x:v>
      </x:c>
      <x:c r="AB812" s="82" t="n">
        <x:f>IF($AH812&lt;&gt;"Valid","",YEAR($C812))</x:f>
        <x:v>2024</x:v>
      </x:c>
      <x:c r="AC812" s="80" t="str">
        <x:v>Consistent</x:v>
      </x:c>
      <x:c r="AD812" s="80" t="str">
        <x:v>Eligible</x:v>
      </x:c>
      <x:c r="AE812" s="80" t="str">
        <x:f>IF(OR($AH812&lt;&gt;"Valid",$AI812&lt;&gt;"Valid",$AJ812&lt;&gt;"Valid",LEFT($AM812,7)="Invalid",IFERROR(ABS($AQ812)&gt;0.01,FALSE),IFERROR(ABS($AR812)&gt;0.01,FALSE),COUNTIF($AS812,"*Conflicting duplicate*")&gt;0,COUNTIF($AS812,"*Completed order not paid*")&gt;0),"Invalid",IF(OR($H812="Unknown",$N812="Unknown",$AM812="Missing discount imputed as 0"),"Warning","Clean"))</x:f>
        <x:v>Clean</x:v>
      </x:c>
      <x:c r="AF812" s="80" t="str">
        <x:v>Cleaned</x:v>
      </x:c>
      <x:c r="AG812" s="80" t="str">
        <x:v>segment: TRIM/SUBSTITUTE whitespace cleanup</x:v>
      </x:c>
      <x:c r="AH812" s="12" t="str">
        <x:f>IF(C812="","Missing date",IF(ISNUMBER(C812),"Valid","Unrecognized/invalid date"))</x:f>
        <x:v>Valid</x:v>
      </x:c>
      <x:c r="AI812" s="12" t="str">
        <x:f>IF(D812="","Missing date",IF(ISNUMBER(D812),"Valid","Unrecognized/invalid date"))</x:f>
        <x:v>Valid</x:v>
      </x:c>
      <x:c r="AJ812" s="12" t="str">
        <x:v>Valid</x:v>
      </x:c>
      <x:c r="AK812" s="12" t="str">
        <x:v>Pass</x:v>
      </x:c>
      <x:c r="AL812" s="12" t="str">
        <x:v>None</x:v>
      </x:c>
      <x:c r="AM812" s="12" t="str">
        <x:v>Valid</x:v>
      </x:c>
      <x:c r="AN812" s="12" t="str">
        <x:v>Include in completed sales</x:v>
      </x:c>
      <x:c r="AO812" s="12" t="str">
        <x:v>Not a refunded record</x:v>
      </x:c>
      <x:c r="AP812" s="37" t="n">
        <x:f>IF(LEFT($AM812,7)="Invalid","",IF($AM812="Missing discount imputed as 0",IF(AND(COUNT($O812,$P812,$R812,$S812)=4,$O812&gt;0,$P812&gt;=0,$R812&gt;=0,$S812&gt;=0),0,""),IF(AND(ISNUMBER($Q812),$Q812&gt;=0,$Q812&lt;=0.5),$Q812,"")))</x:f>
        <x:v>0.25</x:v>
      </x:c>
      <x:c r="AQ812" s="152" t="n">
        <x:f>IF(OR($W812="",NOT(ISNUMBER($R812))),"",ROUND($R812-$W812,2))</x:f>
        <x:v>0</x:v>
      </x:c>
      <x:c r="AR812" s="152" t="n">
        <x:f>IF(OR($X812="",NOT(ISNUMBER($T812))),"",ROUND($T812-$X812,2))</x:f>
        <x:v>0</x:v>
      </x:c>
      <x:c r="AS812" s="14" t="str">
        <x:v>OK</x:v>
      </x:c>
    </x:row>
    <x:row r="813">
      <x:c r="A813" s="80" t="n">
        <x:v>813</x:v>
      </x:c>
      <x:c r="B813" s="80" t="str">
        <x:v>ORD-2024-10812</x:v>
      </x:c>
      <x:c r="C813" s="81" t="n">
        <x:v>45638</x:v>
      </x:c>
      <x:c r="D813" s="81" t="n">
        <x:v>45645</x:v>
      </x:c>
      <x:c r="E813" s="80" t="str">
        <x:v>CUST-3303</x:v>
      </x:c>
      <x:c r="F813" s="80" t="str">
        <x:v>Rohan Mehta</x:v>
      </x:c>
      <x:c r="G813" s="80" t="str">
        <x:v>Home Office</x:v>
      </x:c>
      <x:c r="H813" s="80" t="str">
        <x:v>North</x:v>
      </x:c>
      <x:c r="I813" s="80" t="str">
        <x:v>Haryana</x:v>
      </x:c>
      <x:c r="J813" s="80" t="str">
        <x:v>Gurugram</x:v>
      </x:c>
      <x:c r="K813" s="80" t="str">
        <x:v>Technology</x:v>
      </x:c>
      <x:c r="L813" s="80" t="str">
        <x:v>Accessories</x:v>
      </x:c>
      <x:c r="M813" s="80" t="str">
        <x:v>Eco Accessories 122</x:v>
      </x:c>
      <x:c r="N813" s="80" t="str">
        <x:v>First Class</x:v>
      </x:c>
      <x:c r="O813" s="82" t="n">
        <x:v>2</x:v>
      </x:c>
      <x:c r="P813" s="83" t="n">
        <x:v>1610.75</x:v>
      </x:c>
      <x:c r="Q813" s="84" t="n">
        <x:v>0.2</x:v>
      </x:c>
      <x:c r="R813" s="83" t="n">
        <x:v>2577.2</x:v>
      </x:c>
      <x:c r="S813" s="83" t="n">
        <x:v>1475.87</x:v>
      </x:c>
      <x:c r="T813" s="83" t="n">
        <x:v>1101.33</x:v>
      </x:c>
      <x:c r="U813" s="83" t="str">
        <x:v>Paid</x:v>
      </x:c>
      <x:c r="V813" s="83" t="str">
        <x:v>Completed</x:v>
      </x:c>
      <x:c r="W813" s="151" t="n">
        <x:f>IF(OR(NOT(ISNUMBER($AP813)),COUNT($O813,$P813)&lt;2,$O813&lt;=0,$P813&lt;0),"",ROUND($O813*$P813*(1-$AP813),2))</x:f>
        <x:v>2577.2</x:v>
      </x:c>
      <x:c r="X813" s="151" t="n">
        <x:f>IF(OR(NOT(ISNUMBER($W813)),NOT(ISNUMBER($S813))),"",ROUND($W813-$S813,2))</x:f>
        <x:v>1101.33</x:v>
      </x:c>
      <x:c r="Y813" s="85" t="n">
        <x:f>IF(OR(NOT(ISNUMBER($W813)),NOT(ISNUMBER($X813)),$W813=0),"",ROUND($X813/$W813,4))</x:f>
        <x:v>0.4273</x:v>
      </x:c>
      <x:c r="Z813" s="82" t="n">
        <x:f>IF(OR($AH813&lt;&gt;"Valid",$AI813&lt;&gt;"Valid"),"",INT($D813-$C813))</x:f>
        <x:v>7</x:v>
      </x:c>
      <x:c r="AA813" s="86" t="str">
        <x:f>IF($AH813&lt;&gt;"Valid","",TEXT($C813,"mmmm"))</x:f>
        <x:v>December</x:v>
      </x:c>
      <x:c r="AB813" s="82" t="n">
        <x:f>IF($AH813&lt;&gt;"Valid","",YEAR($C813))</x:f>
        <x:v>2024</x:v>
      </x:c>
      <x:c r="AC813" s="80" t="str">
        <x:v>Consistent</x:v>
      </x:c>
      <x:c r="AD813" s="80" t="str">
        <x:v>Eligible</x:v>
      </x:c>
      <x:c r="AE813" s="80" t="str">
        <x:f>IF(OR($AH813&lt;&gt;"Valid",$AI813&lt;&gt;"Valid",$AJ813&lt;&gt;"Valid",LEFT($AM813,7)="Invalid",IFERROR(ABS($AQ813)&gt;0.01,FALSE),IFERROR(ABS($AR813)&gt;0.01,FALSE),COUNTIF($AS813,"*Conflicting duplicate*")&gt;0,COUNTIF($AS813,"*Completed order not paid*")&gt;0),"Invalid",IF(OR($H813="Unknown",$N813="Unknown",$AM813="Missing discount imputed as 0"),"Warning","Clean"))</x:f>
        <x:v>Clean</x:v>
      </x:c>
      <x:c r="AF813" s="80" t="str">
        <x:v>Pass</x:v>
      </x:c>
      <x:c r="AG813" s="80" t="str">
        <x:v>No text cleanup required</x:v>
      </x:c>
      <x:c r="AH813" s="12" t="str">
        <x:f>IF(C813="","Missing date",IF(ISNUMBER(C813),"Valid","Unrecognized/invalid date"))</x:f>
        <x:v>Valid</x:v>
      </x:c>
      <x:c r="AI813" s="12" t="str">
        <x:f>IF(D813="","Missing date",IF(ISNUMBER(D813),"Valid","Unrecognized/invalid date"))</x:f>
        <x:v>Valid</x:v>
      </x:c>
      <x:c r="AJ813" s="12" t="str">
        <x:v>Valid</x:v>
      </x:c>
      <x:c r="AK813" s="12" t="str">
        <x:v>Pass</x:v>
      </x:c>
      <x:c r="AL813" s="12" t="str">
        <x:v>None</x:v>
      </x:c>
      <x:c r="AM813" s="12" t="str">
        <x:v>Valid</x:v>
      </x:c>
      <x:c r="AN813" s="12" t="str">
        <x:v>Include in completed sales</x:v>
      </x:c>
      <x:c r="AO813" s="12" t="str">
        <x:v>Not a refunded record</x:v>
      </x:c>
      <x:c r="AP813" s="37" t="n">
        <x:f>IF(LEFT($AM813,7)="Invalid","",IF($AM813="Missing discount imputed as 0",IF(AND(COUNT($O813,$P813,$R813,$S813)=4,$O813&gt;0,$P813&gt;=0,$R813&gt;=0,$S813&gt;=0),0,""),IF(AND(ISNUMBER($Q813),$Q813&gt;=0,$Q813&lt;=0.5),$Q813,"")))</x:f>
        <x:v>0.2</x:v>
      </x:c>
      <x:c r="AQ813" s="152" t="n">
        <x:f>IF(OR($W813="",NOT(ISNUMBER($R813))),"",ROUND($R813-$W813,2))</x:f>
        <x:v>0</x:v>
      </x:c>
      <x:c r="AR813" s="152" t="n">
        <x:f>IF(OR($X813="",NOT(ISNUMBER($T813))),"",ROUND($T813-$X813,2))</x:f>
        <x:v>0</x:v>
      </x:c>
      <x:c r="AS813" s="14" t="str">
        <x:v>OK</x:v>
      </x:c>
    </x:row>
    <x:row r="814">
      <x:c r="A814" s="80" t="n">
        <x:v>814</x:v>
      </x:c>
      <x:c r="B814" s="80" t="str">
        <x:v>ORD-2024-10813</x:v>
      </x:c>
      <x:c r="C814" s="81" t="n">
        <x:v>45458</x:v>
      </x:c>
      <x:c r="D814" s="81" t="n">
        <x:v>45463</x:v>
      </x:c>
      <x:c r="E814" s="80" t="str">
        <x:v>CUST-5754</x:v>
      </x:c>
      <x:c r="F814" s="80" t="str">
        <x:v>Sneha Kapoor</x:v>
      </x:c>
      <x:c r="G814" s="80" t="str">
        <x:v>Small Business</x:v>
      </x:c>
      <x:c r="H814" s="80" t="str">
        <x:v>East</x:v>
      </x:c>
      <x:c r="I814" s="80" t="str">
        <x:v>Jharkhand</x:v>
      </x:c>
      <x:c r="J814" s="80" t="str">
        <x:v>Ranchi</x:v>
      </x:c>
      <x:c r="K814" s="80" t="str">
        <x:v>Furniture</x:v>
      </x:c>
      <x:c r="L814" s="80" t="str">
        <x:v>Tables</x:v>
      </x:c>
      <x:c r="M814" s="80" t="str">
        <x:v>Basic Tables 127</x:v>
      </x:c>
      <x:c r="N814" s="80" t="str">
        <x:v>First Class</x:v>
      </x:c>
      <x:c r="O814" s="82" t="n">
        <x:v>8</x:v>
      </x:c>
      <x:c r="P814" s="83" t="n">
        <x:v>2228.47</x:v>
      </x:c>
      <x:c r="Q814" s="84" t="n">
        <x:v>0</x:v>
      </x:c>
      <x:c r="R814" s="83" t="n">
        <x:v>17827.76</x:v>
      </x:c>
      <x:c r="S814" s="83" t="n">
        <x:v>14122.13</x:v>
      </x:c>
      <x:c r="T814" s="83" t="n">
        <x:v>3705.63</x:v>
      </x:c>
      <x:c r="U814" s="83" t="str">
        <x:v>Paid</x:v>
      </x:c>
      <x:c r="V814" s="83" t="str">
        <x:v>Completed</x:v>
      </x:c>
      <x:c r="W814" s="151" t="n">
        <x:f>IF(OR(NOT(ISNUMBER($AP814)),COUNT($O814,$P814)&lt;2,$O814&lt;=0,$P814&lt;0),"",ROUND($O814*$P814*(1-$AP814),2))</x:f>
        <x:v>17827.76</x:v>
      </x:c>
      <x:c r="X814" s="151" t="n">
        <x:f>IF(OR(NOT(ISNUMBER($W814)),NOT(ISNUMBER($S814))),"",ROUND($W814-$S814,2))</x:f>
        <x:v>3705.63</x:v>
      </x:c>
      <x:c r="Y814" s="85" t="n">
        <x:f>IF(OR(NOT(ISNUMBER($W814)),NOT(ISNUMBER($X814)),$W814=0),"",ROUND($X814/$W814,4))</x:f>
        <x:v>0.2079</x:v>
      </x:c>
      <x:c r="Z814" s="82" t="n">
        <x:f>IF(OR($AH814&lt;&gt;"Valid",$AI814&lt;&gt;"Valid"),"",INT($D814-$C814))</x:f>
        <x:v>5</x:v>
      </x:c>
      <x:c r="AA814" s="86" t="str">
        <x:f>IF($AH814&lt;&gt;"Valid","",TEXT($C814,"mmmm"))</x:f>
        <x:v>June</x:v>
      </x:c>
      <x:c r="AB814" s="82" t="n">
        <x:f>IF($AH814&lt;&gt;"Valid","",YEAR($C814))</x:f>
        <x:v>2024</x:v>
      </x:c>
      <x:c r="AC814" s="80" t="str">
        <x:v>Consistent</x:v>
      </x:c>
      <x:c r="AD814" s="80" t="str">
        <x:v>Eligible</x:v>
      </x:c>
      <x:c r="AE814" s="80" t="str">
        <x:f>IF(OR($AH814&lt;&gt;"Valid",$AI814&lt;&gt;"Valid",$AJ814&lt;&gt;"Valid",LEFT($AM814,7)="Invalid",IFERROR(ABS($AQ814)&gt;0.01,FALSE),IFERROR(ABS($AR814)&gt;0.01,FALSE),COUNTIF($AS814,"*Conflicting duplicate*")&gt;0,COUNTIF($AS814,"*Completed order not paid*")&gt;0),"Invalid",IF(OR($H814="Unknown",$N814="Unknown",$AM814="Missing discount imputed as 0"),"Warning","Clean"))</x:f>
        <x:v>Clean</x:v>
      </x:c>
      <x:c r="AF814" s="80" t="str">
        <x:v>Pass</x:v>
      </x:c>
      <x:c r="AG814" s="80" t="str">
        <x:v>No text cleanup required</x:v>
      </x:c>
      <x:c r="AH814" s="12" t="str">
        <x:f>IF(C814="","Missing date",IF(ISNUMBER(C814),"Valid","Unrecognized/invalid date"))</x:f>
        <x:v>Valid</x:v>
      </x:c>
      <x:c r="AI814" s="12" t="str">
        <x:f>IF(D814="","Missing date",IF(ISNUMBER(D814),"Valid","Unrecognized/invalid date"))</x:f>
        <x:v>Valid</x:v>
      </x:c>
      <x:c r="AJ814" s="12" t="str">
        <x:v>Valid</x:v>
      </x:c>
      <x:c r="AK814" s="12" t="str">
        <x:v>Pass</x:v>
      </x:c>
      <x:c r="AL814" s="12" t="str">
        <x:v>None</x:v>
      </x:c>
      <x:c r="AM814" s="12" t="str">
        <x:v>Valid</x:v>
      </x:c>
      <x:c r="AN814" s="12" t="str">
        <x:v>Include in completed sales</x:v>
      </x:c>
      <x:c r="AO814" s="12" t="str">
        <x:v>Not a refunded record</x:v>
      </x:c>
      <x:c r="AP814" s="37" t="n">
        <x:f>IF(LEFT($AM814,7)="Invalid","",IF($AM814="Missing discount imputed as 0",IF(AND(COUNT($O814,$P814,$R814,$S814)=4,$O814&gt;0,$P814&gt;=0,$R814&gt;=0,$S814&gt;=0),0,""),IF(AND(ISNUMBER($Q814),$Q814&gt;=0,$Q814&lt;=0.5),$Q814,"")))</x:f>
        <x:v>0</x:v>
      </x:c>
      <x:c r="AQ814" s="152" t="n">
        <x:f>IF(OR($W814="",NOT(ISNUMBER($R814))),"",ROUND($R814-$W814,2))</x:f>
        <x:v>0</x:v>
      </x:c>
      <x:c r="AR814" s="152" t="n">
        <x:f>IF(OR($X814="",NOT(ISNUMBER($T814))),"",ROUND($T814-$X814,2))</x:f>
        <x:v>0</x:v>
      </x:c>
      <x:c r="AS814" s="14" t="str">
        <x:v>OK</x:v>
      </x:c>
    </x:row>
    <x:row r="815">
      <x:c r="A815" s="80" t="n">
        <x:v>815</x:v>
      </x:c>
      <x:c r="B815" s="80" t="str">
        <x:v>ORD-2025-10814</x:v>
      </x:c>
      <x:c r="C815" s="81" t="n">
        <x:v>45753</x:v>
      </x:c>
      <x:c r="D815" s="81" t="n">
        <x:v>45757</x:v>
      </x:c>
      <x:c r="E815" s="80" t="str">
        <x:v>CUST-7848</x:v>
      </x:c>
      <x:c r="F815" s="80" t="str">
        <x:v>Rohan Mehta</x:v>
      </x:c>
      <x:c r="G815" s="80" t="str">
        <x:v>Consumer</x:v>
      </x:c>
      <x:c r="H815" s="80" t="str">
        <x:v>East</x:v>
      </x:c>
      <x:c r="I815" s="80" t="str">
        <x:v>Odisha</x:v>
      </x:c>
      <x:c r="J815" s="80" t="str">
        <x:v>Bhubaneswar</x:v>
      </x:c>
      <x:c r="K815" s="80" t="str">
        <x:v>Furniture</x:v>
      </x:c>
      <x:c r="L815" s="80" t="str">
        <x:v>Bookcases</x:v>
      </x:c>
      <x:c r="M815" s="80" t="str">
        <x:v>Elite Bookcases 988</x:v>
      </x:c>
      <x:c r="N815" s="80" t="str">
        <x:v>Standard Class</x:v>
      </x:c>
      <x:c r="O815" s="82" t="n">
        <x:v>2</x:v>
      </x:c>
      <x:c r="P815" s="83" t="n">
        <x:v>1337.67</x:v>
      </x:c>
      <x:c r="Q815" s="84" t="n">
        <x:v>0</x:v>
      </x:c>
      <x:c r="R815" s="83" t="n">
        <x:v>2675.34</x:v>
      </x:c>
      <x:c r="S815" s="83" t="n">
        <x:v>1595.87</x:v>
      </x:c>
      <x:c r="T815" s="83" t="n">
        <x:v>1079.47</x:v>
      </x:c>
      <x:c r="U815" s="83" t="str">
        <x:v>Paid</x:v>
      </x:c>
      <x:c r="V815" s="83" t="str">
        <x:v>Completed</x:v>
      </x:c>
      <x:c r="W815" s="151" t="n">
        <x:f>IF(OR(NOT(ISNUMBER($AP815)),COUNT($O815,$P815)&lt;2,$O815&lt;=0,$P815&lt;0),"",ROUND($O815*$P815*(1-$AP815),2))</x:f>
        <x:v>2675.34</x:v>
      </x:c>
      <x:c r="X815" s="151" t="n">
        <x:f>IF(OR(NOT(ISNUMBER($W815)),NOT(ISNUMBER($S815))),"",ROUND($W815-$S815,2))</x:f>
        <x:v>1079.47</x:v>
      </x:c>
      <x:c r="Y815" s="85" t="n">
        <x:f>IF(OR(NOT(ISNUMBER($W815)),NOT(ISNUMBER($X815)),$W815=0),"",ROUND($X815/$W815,4))</x:f>
        <x:v>0.4035</x:v>
      </x:c>
      <x:c r="Z815" s="82" t="n">
        <x:f>IF(OR($AH815&lt;&gt;"Valid",$AI815&lt;&gt;"Valid"),"",INT($D815-$C815))</x:f>
        <x:v>4</x:v>
      </x:c>
      <x:c r="AA815" s="86" t="str">
        <x:f>IF($AH815&lt;&gt;"Valid","",TEXT($C815,"mmmm"))</x:f>
        <x:v>April</x:v>
      </x:c>
      <x:c r="AB815" s="82" t="n">
        <x:f>IF($AH815&lt;&gt;"Valid","",YEAR($C815))</x:f>
        <x:v>2025</x:v>
      </x:c>
      <x:c r="AC815" s="80" t="str">
        <x:v>Consistent</x:v>
      </x:c>
      <x:c r="AD815" s="80" t="str">
        <x:v>Eligible</x:v>
      </x:c>
      <x:c r="AE815" s="80" t="str">
        <x:f>IF(OR($AH815&lt;&gt;"Valid",$AI815&lt;&gt;"Valid",$AJ815&lt;&gt;"Valid",LEFT($AM815,7)="Invalid",IFERROR(ABS($AQ815)&gt;0.01,FALSE),IFERROR(ABS($AR815)&gt;0.01,FALSE),COUNTIF($AS815,"*Conflicting duplicate*")&gt;0,COUNTIF($AS815,"*Completed order not paid*")&gt;0),"Invalid",IF(OR($H815="Unknown",$N815="Unknown",$AM815="Missing discount imputed as 0"),"Warning","Clean"))</x:f>
        <x:v>Clean</x:v>
      </x:c>
      <x:c r="AF815" s="80" t="str">
        <x:v>Pass</x:v>
      </x:c>
      <x:c r="AG815" s="80" t="str">
        <x:v>No text cleanup required</x:v>
      </x:c>
      <x:c r="AH815" s="12" t="str">
        <x:f>IF(C815="","Missing date",IF(ISNUMBER(C815),"Valid","Unrecognized/invalid date"))</x:f>
        <x:v>Valid</x:v>
      </x:c>
      <x:c r="AI815" s="12" t="str">
        <x:f>IF(D815="","Missing date",IF(ISNUMBER(D815),"Valid","Unrecognized/invalid date"))</x:f>
        <x:v>Valid</x:v>
      </x:c>
      <x:c r="AJ815" s="12" t="str">
        <x:v>Valid</x:v>
      </x:c>
      <x:c r="AK815" s="12" t="str">
        <x:v>Pass</x:v>
      </x:c>
      <x:c r="AL815" s="12" t="str">
        <x:v>None</x:v>
      </x:c>
      <x:c r="AM815" s="12" t="str">
        <x:v>Valid</x:v>
      </x:c>
      <x:c r="AN815" s="12" t="str">
        <x:v>Include in completed sales</x:v>
      </x:c>
      <x:c r="AO815" s="12" t="str">
        <x:v>Not a refunded record</x:v>
      </x:c>
      <x:c r="AP815" s="37" t="n">
        <x:f>IF(LEFT($AM815,7)="Invalid","",IF($AM815="Missing discount imputed as 0",IF(AND(COUNT($O815,$P815,$R815,$S815)=4,$O815&gt;0,$P815&gt;=0,$R815&gt;=0,$S815&gt;=0),0,""),IF(AND(ISNUMBER($Q815),$Q815&gt;=0,$Q815&lt;=0.5),$Q815,"")))</x:f>
        <x:v>0</x:v>
      </x:c>
      <x:c r="AQ815" s="152" t="n">
        <x:f>IF(OR($W815="",NOT(ISNUMBER($R815))),"",ROUND($R815-$W815,2))</x:f>
        <x:v>0</x:v>
      </x:c>
      <x:c r="AR815" s="152" t="n">
        <x:f>IF(OR($X815="",NOT(ISNUMBER($T815))),"",ROUND($T815-$X815,2))</x:f>
        <x:v>0</x:v>
      </x:c>
      <x:c r="AS815" s="14" t="str">
        <x:v>OK</x:v>
      </x:c>
    </x:row>
    <x:row r="816">
      <x:c r="A816" s="80" t="n">
        <x:v>816</x:v>
      </x:c>
      <x:c r="B816" s="80" t="str">
        <x:v>ORD-2025-10815</x:v>
      </x:c>
      <x:c r="C816" s="81" t="n">
        <x:v>45875</x:v>
      </x:c>
      <x:c r="D816" s="81" t="n">
        <x:v>45880</x:v>
      </x:c>
      <x:c r="E816" s="80" t="str">
        <x:v>CUST-9048</x:v>
      </x:c>
      <x:c r="F816" s="80" t="str">
        <x:v>Arjun Bose</x:v>
      </x:c>
      <x:c r="G816" s="80" t="str">
        <x:v>Consumer</x:v>
      </x:c>
      <x:c r="H816" s="80" t="str">
        <x:v>West</x:v>
      </x:c>
      <x:c r="I816" s="80" t="str">
        <x:v>Madhya Pradesh</x:v>
      </x:c>
      <x:c r="J816" s="80" t="str">
        <x:v>Indore</x:v>
      </x:c>
      <x:c r="K816" s="80" t="str">
        <x:v>Office Supplies</x:v>
      </x:c>
      <x:c r="L816" s="80" t="str">
        <x:v>Labels</x:v>
      </x:c>
      <x:c r="M816" s="80" t="str">
        <x:v>Smart Labels 126</x:v>
      </x:c>
      <x:c r="N816" s="80" t="str">
        <x:v>First Class</x:v>
      </x:c>
      <x:c r="O816" s="82" t="n">
        <x:v>2</x:v>
      </x:c>
      <x:c r="P816" s="83" t="n">
        <x:v>2375.94</x:v>
      </x:c>
      <x:c r="Q816" s="84" t="n">
        <x:v>0.25</x:v>
      </x:c>
      <x:c r="R816" s="83" t="n">
        <x:v>3563.91</x:v>
      </x:c>
      <x:c r="S816" s="83" t="n">
        <x:v>2639.7</x:v>
      </x:c>
      <x:c r="T816" s="83" t="n">
        <x:v>924.21</x:v>
      </x:c>
      <x:c r="U816" s="83" t="str">
        <x:v>Paid</x:v>
      </x:c>
      <x:c r="V816" s="83" t="str">
        <x:v>Completed</x:v>
      </x:c>
      <x:c r="W816" s="151" t="n">
        <x:f>IF(OR(NOT(ISNUMBER($AP816)),COUNT($O816,$P816)&lt;2,$O816&lt;=0,$P816&lt;0),"",ROUND($O816*$P816*(1-$AP816),2))</x:f>
        <x:v>3563.91</x:v>
      </x:c>
      <x:c r="X816" s="151" t="n">
        <x:f>IF(OR(NOT(ISNUMBER($W816)),NOT(ISNUMBER($S816))),"",ROUND($W816-$S816,2))</x:f>
        <x:v>924.21</x:v>
      </x:c>
      <x:c r="Y816" s="85" t="n">
        <x:f>IF(OR(NOT(ISNUMBER($W816)),NOT(ISNUMBER($X816)),$W816=0),"",ROUND($X816/$W816,4))</x:f>
        <x:v>0.2593</x:v>
      </x:c>
      <x:c r="Z816" s="82" t="n">
        <x:f>IF(OR($AH816&lt;&gt;"Valid",$AI816&lt;&gt;"Valid"),"",INT($D816-$C816))</x:f>
        <x:v>5</x:v>
      </x:c>
      <x:c r="AA816" s="86" t="str">
        <x:f>IF($AH816&lt;&gt;"Valid","",TEXT($C816,"mmmm"))</x:f>
        <x:v>August</x:v>
      </x:c>
      <x:c r="AB816" s="82" t="n">
        <x:f>IF($AH816&lt;&gt;"Valid","",YEAR($C816))</x:f>
        <x:v>2025</x:v>
      </x:c>
      <x:c r="AC816" s="80" t="str">
        <x:v>Consistent</x:v>
      </x:c>
      <x:c r="AD816" s="80" t="str">
        <x:v>Eligible</x:v>
      </x:c>
      <x:c r="AE816" s="80" t="str">
        <x:f>IF(OR($AH816&lt;&gt;"Valid",$AI816&lt;&gt;"Valid",$AJ816&lt;&gt;"Valid",LEFT($AM816,7)="Invalid",IFERROR(ABS($AQ816)&gt;0.01,FALSE),IFERROR(ABS($AR816)&gt;0.01,FALSE),COUNTIF($AS816,"*Conflicting duplicate*")&gt;0,COUNTIF($AS816,"*Completed order not paid*")&gt;0),"Invalid",IF(OR($H816="Unknown",$N816="Unknown",$AM816="Missing discount imputed as 0"),"Warning","Clean"))</x:f>
        <x:v>Clean</x:v>
      </x:c>
      <x:c r="AF816" s="80" t="str">
        <x:v>Pass</x:v>
      </x:c>
      <x:c r="AG816" s="80" t="str">
        <x:v>No text cleanup required</x:v>
      </x:c>
      <x:c r="AH816" s="12" t="str">
        <x:f>IF(C816="","Missing date",IF(ISNUMBER(C816),"Valid","Unrecognized/invalid date"))</x:f>
        <x:v>Valid</x:v>
      </x:c>
      <x:c r="AI816" s="12" t="str">
        <x:f>IF(D816="","Missing date",IF(ISNUMBER(D816),"Valid","Unrecognized/invalid date"))</x:f>
        <x:v>Valid</x:v>
      </x:c>
      <x:c r="AJ816" s="12" t="str">
        <x:v>Valid</x:v>
      </x:c>
      <x:c r="AK816" s="12" t="str">
        <x:v>Pass</x:v>
      </x:c>
      <x:c r="AL816" s="12" t="str">
        <x:v>None</x:v>
      </x:c>
      <x:c r="AM816" s="12" t="str">
        <x:v>Valid</x:v>
      </x:c>
      <x:c r="AN816" s="12" t="str">
        <x:v>Include in completed sales</x:v>
      </x:c>
      <x:c r="AO816" s="12" t="str">
        <x:v>Not a refunded record</x:v>
      </x:c>
      <x:c r="AP816" s="37" t="n">
        <x:f>IF(LEFT($AM816,7)="Invalid","",IF($AM816="Missing discount imputed as 0",IF(AND(COUNT($O816,$P816,$R816,$S816)=4,$O816&gt;0,$P816&gt;=0,$R816&gt;=0,$S816&gt;=0),0,""),IF(AND(ISNUMBER($Q816),$Q816&gt;=0,$Q816&lt;=0.5),$Q816,"")))</x:f>
        <x:v>0.25</x:v>
      </x:c>
      <x:c r="AQ816" s="152" t="n">
        <x:f>IF(OR($W816="",NOT(ISNUMBER($R816))),"",ROUND($R816-$W816,2))</x:f>
        <x:v>0</x:v>
      </x:c>
      <x:c r="AR816" s="152" t="n">
        <x:f>IF(OR($X816="",NOT(ISNUMBER($T816))),"",ROUND($T816-$X816,2))</x:f>
        <x:v>0</x:v>
      </x:c>
      <x:c r="AS816" s="14" t="str">
        <x:v>OK</x:v>
      </x:c>
    </x:row>
    <x:row r="817">
      <x:c r="A817" s="80" t="n">
        <x:v>817</x:v>
      </x:c>
      <x:c r="B817" s="80" t="str">
        <x:v>ORD-2024-10816</x:v>
      </x:c>
      <x:c r="C817" s="81" t="n">
        <x:v>45383</x:v>
      </x:c>
      <x:c r="D817" s="81" t="n">
        <x:v>45390</x:v>
      </x:c>
      <x:c r="E817" s="80" t="str">
        <x:v>CUST-2951</x:v>
      </x:c>
      <x:c r="F817" s="80" t="str">
        <x:v>Diya Patel</x:v>
      </x:c>
      <x:c r="G817" s="80" t="str">
        <x:v>Consumer</x:v>
      </x:c>
      <x:c r="H817" s="80" t="str">
        <x:v>East</x:v>
      </x:c>
      <x:c r="I817" s="80" t="str">
        <x:v>Odisha</x:v>
      </x:c>
      <x:c r="J817" s="80" t="str">
        <x:v>Bhubaneswar</x:v>
      </x:c>
      <x:c r="K817" s="80" t="str">
        <x:v>Technology</x:v>
      </x:c>
      <x:c r="L817" s="80" t="str">
        <x:v>Machines</x:v>
      </x:c>
      <x:c r="M817" s="80" t="str">
        <x:v>Max Machines 569</x:v>
      </x:c>
      <x:c r="N817" s="80" t="str">
        <x:v>Standard Class</x:v>
      </x:c>
      <x:c r="O817" s="82" t="n">
        <x:v>7</x:v>
      </x:c>
      <x:c r="P817" s="83" t="n">
        <x:v>715.81</x:v>
      </x:c>
      <x:c r="Q817" s="84" t="n">
        <x:v>0.15</x:v>
      </x:c>
      <x:c r="R817" s="83" t="n">
        <x:v>4259.07</x:v>
      </x:c>
      <x:c r="S817" s="83" t="n">
        <x:v>3130.32</x:v>
      </x:c>
      <x:c r="T817" s="83" t="n">
        <x:v>1128.75</x:v>
      </x:c>
      <x:c r="U817" s="83" t="str">
        <x:v>Pending</x:v>
      </x:c>
      <x:c r="V817" s="83" t="str">
        <x:v>Cancelled</x:v>
      </x:c>
      <x:c r="W817" s="151" t="n">
        <x:f>IF(OR(NOT(ISNUMBER($AP817)),COUNT($O817,$P817)&lt;2,$O817&lt;=0,$P817&lt;0),"",ROUND($O817*$P817*(1-$AP817),2))</x:f>
        <x:v>4259.07</x:v>
      </x:c>
      <x:c r="X817" s="151" t="n">
        <x:f>IF(OR(NOT(ISNUMBER($W817)),NOT(ISNUMBER($S817))),"",ROUND($W817-$S817,2))</x:f>
        <x:v>1128.75</x:v>
      </x:c>
      <x:c r="Y817" s="85" t="n">
        <x:f>IF(OR(NOT(ISNUMBER($W817)),NOT(ISNUMBER($X817)),$W817=0),"",ROUND($X817/$W817,4))</x:f>
        <x:v>0.265</x:v>
      </x:c>
      <x:c r="Z817" s="82" t="n">
        <x:f>IF(OR($AH817&lt;&gt;"Valid",$AI817&lt;&gt;"Valid"),"",INT($D817-$C817))</x:f>
        <x:v>7</x:v>
      </x:c>
      <x:c r="AA817" s="86" t="str">
        <x:f>IF($AH817&lt;&gt;"Valid","",TEXT($C817,"mmmm"))</x:f>
        <x:v>April</x:v>
      </x:c>
      <x:c r="AB817" s="82" t="n">
        <x:f>IF($AH817&lt;&gt;"Valid","",YEAR($C817))</x:f>
        <x:v>2024</x:v>
      </x:c>
      <x:c r="AC817" s="80" t="str">
        <x:v>Cancelled (excluded from completed-sales summary)</x:v>
      </x:c>
      <x:c r="AD817" s="80" t="str">
        <x:v>Excluded</x:v>
      </x:c>
      <x:c r="AE817" s="80" t="str">
        <x:f>IF(OR($AH817&lt;&gt;"Valid",$AI817&lt;&gt;"Valid",$AJ817&lt;&gt;"Valid",LEFT($AM817,7)="Invalid",IFERROR(ABS($AQ817)&gt;0.01,FALSE),IFERROR(ABS($AR817)&gt;0.01,FALSE),COUNTIF($AS817,"*Conflicting duplicate*")&gt;0,COUNTIF($AS817,"*Completed order not paid*")&gt;0),"Invalid",IF(OR($H817="Unknown",$N817="Unknown",$AM817="Missing discount imputed as 0"),"Warning","Clean"))</x:f>
        <x:v>Clean</x:v>
      </x:c>
      <x:c r="AF817" s="80" t="str">
        <x:v>Pass</x:v>
      </x:c>
      <x:c r="AG817" s="80" t="str">
        <x:v>No text cleanup required</x:v>
      </x:c>
      <x:c r="AH817" s="12" t="str">
        <x:f>IF(C817="","Missing date",IF(ISNUMBER(C817),"Valid","Unrecognized/invalid date"))</x:f>
        <x:v>Valid</x:v>
      </x:c>
      <x:c r="AI817" s="12" t="str">
        <x:f>IF(D817="","Missing date",IF(ISNUMBER(D817),"Valid","Unrecognized/invalid date"))</x:f>
        <x:v>Valid</x:v>
      </x:c>
      <x:c r="AJ817" s="12" t="str">
        <x:v>Valid</x:v>
      </x:c>
      <x:c r="AK817" s="12" t="str">
        <x:v>Pass</x:v>
      </x:c>
      <x:c r="AL817" s="12" t="str">
        <x:v>Cancelled order – excluded from completed sales</x:v>
      </x:c>
      <x:c r="AM817" s="12" t="str">
        <x:v>Valid</x:v>
      </x:c>
      <x:c r="AN817" s="12" t="str">
        <x:v>Exclude from completed sales</x:v>
      </x:c>
      <x:c r="AO817" s="12" t="str">
        <x:v>Not a refunded record</x:v>
      </x:c>
      <x:c r="AP817" s="37" t="n">
        <x:f>IF(LEFT($AM817,7)="Invalid","",IF($AM817="Missing discount imputed as 0",IF(AND(COUNT($O817,$P817,$R817,$S817)=4,$O817&gt;0,$P817&gt;=0,$R817&gt;=0,$S817&gt;=0),0,""),IF(AND(ISNUMBER($Q817),$Q817&gt;=0,$Q817&lt;=0.5),$Q817,"")))</x:f>
        <x:v>0.15</x:v>
      </x:c>
      <x:c r="AQ817" s="152" t="n">
        <x:f>IF(OR($W817="",NOT(ISNUMBER($R817))),"",ROUND($R817-$W817,2))</x:f>
        <x:v>0</x:v>
      </x:c>
      <x:c r="AR817" s="152" t="n">
        <x:f>IF(OR($X817="",NOT(ISNUMBER($T817))),"",ROUND($T817-$X817,2))</x:f>
        <x:v>0</x:v>
      </x:c>
      <x:c r="AS817" s="14" t="str">
        <x:v>OK</x:v>
      </x:c>
    </x:row>
    <x:row r="818">
      <x:c r="A818" s="80" t="n">
        <x:v>818</x:v>
      </x:c>
      <x:c r="B818" s="80" t="str">
        <x:v>ORD-2024-10817</x:v>
      </x:c>
      <x:c r="C818" s="81" t="n">
        <x:v>45623</x:v>
      </x:c>
      <x:c r="D818" s="81" t="n">
        <x:v>45626</x:v>
      </x:c>
      <x:c r="E818" s="80" t="str">
        <x:v>CUST-3072</x:v>
      </x:c>
      <x:c r="F818" s="80" t="str">
        <x:v>Rahul Verma</x:v>
      </x:c>
      <x:c r="G818" s="80" t="str">
        <x:v>Small Business</x:v>
      </x:c>
      <x:c r="H818" s="80" t="str">
        <x:v>East</x:v>
      </x:c>
      <x:c r="I818" s="80" t="str">
        <x:v>Jharkhand</x:v>
      </x:c>
      <x:c r="J818" s="80" t="str">
        <x:v>Ranchi</x:v>
      </x:c>
      <x:c r="K818" s="80" t="str">
        <x:v>Furniture</x:v>
      </x:c>
      <x:c r="L818" s="80" t="str">
        <x:v>Furnishings</x:v>
      </x:c>
      <x:c r="M818" s="80" t="str">
        <x:v>Basic Furnishings 306</x:v>
      </x:c>
      <x:c r="N818" s="80" t="str">
        <x:v>First Class</x:v>
      </x:c>
      <x:c r="O818" s="82" t="n">
        <x:v>1</x:v>
      </x:c>
      <x:c r="P818" s="83" t="n">
        <x:v>874.3</x:v>
      </x:c>
      <x:c r="Q818" s="84" t="n">
        <x:v>0.1</x:v>
      </x:c>
      <x:c r="R818" s="83" t="n">
        <x:v>786.87</x:v>
      </x:c>
      <x:c r="S818" s="83" t="n">
        <x:v>498.5</x:v>
      </x:c>
      <x:c r="T818" s="83" t="n">
        <x:v>288.37</x:v>
      </x:c>
      <x:c r="U818" s="83" t="str">
        <x:v>Paid</x:v>
      </x:c>
      <x:c r="V818" s="83" t="str">
        <x:v>Completed</x:v>
      </x:c>
      <x:c r="W818" s="151" t="n">
        <x:f>IF(OR(NOT(ISNUMBER($AP818)),COUNT($O818,$P818)&lt;2,$O818&lt;=0,$P818&lt;0),"",ROUND($O818*$P818*(1-$AP818),2))</x:f>
        <x:v>786.87</x:v>
      </x:c>
      <x:c r="X818" s="151" t="n">
        <x:f>IF(OR(NOT(ISNUMBER($W818)),NOT(ISNUMBER($S818))),"",ROUND($W818-$S818,2))</x:f>
        <x:v>288.37</x:v>
      </x:c>
      <x:c r="Y818" s="85" t="n">
        <x:f>IF(OR(NOT(ISNUMBER($W818)),NOT(ISNUMBER($X818)),$W818=0),"",ROUND($X818/$W818,4))</x:f>
        <x:v>0.3665</x:v>
      </x:c>
      <x:c r="Z818" s="82" t="n">
        <x:f>IF(OR($AH818&lt;&gt;"Valid",$AI818&lt;&gt;"Valid"),"",INT($D818-$C818))</x:f>
        <x:v>3</x:v>
      </x:c>
      <x:c r="AA818" s="86" t="str">
        <x:f>IF($AH818&lt;&gt;"Valid","",TEXT($C818,"mmmm"))</x:f>
        <x:v>November</x:v>
      </x:c>
      <x:c r="AB818" s="82" t="n">
        <x:f>IF($AH818&lt;&gt;"Valid","",YEAR($C818))</x:f>
        <x:v>2024</x:v>
      </x:c>
      <x:c r="AC818" s="80" t="str">
        <x:v>Consistent</x:v>
      </x:c>
      <x:c r="AD818" s="80" t="str">
        <x:v>Eligible</x:v>
      </x:c>
      <x:c r="AE818" s="80" t="str">
        <x:f>IF(OR($AH818&lt;&gt;"Valid",$AI818&lt;&gt;"Valid",$AJ818&lt;&gt;"Valid",LEFT($AM818,7)="Invalid",IFERROR(ABS($AQ818)&gt;0.01,FALSE),IFERROR(ABS($AR818)&gt;0.01,FALSE),COUNTIF($AS818,"*Conflicting duplicate*")&gt;0,COUNTIF($AS818,"*Completed order not paid*")&gt;0),"Invalid",IF(OR($H818="Unknown",$N818="Unknown",$AM818="Missing discount imputed as 0"),"Warning","Clean"))</x:f>
        <x:v>Clean</x:v>
      </x:c>
      <x:c r="AF818" s="80" t="str">
        <x:v>Pass</x:v>
      </x:c>
      <x:c r="AG818" s="80" t="str">
        <x:v>No text cleanup required</x:v>
      </x:c>
      <x:c r="AH818" s="12" t="str">
        <x:f>IF(C818="","Missing date",IF(ISNUMBER(C818),"Valid","Unrecognized/invalid date"))</x:f>
        <x:v>Valid</x:v>
      </x:c>
      <x:c r="AI818" s="12" t="str">
        <x:f>IF(D818="","Missing date",IF(ISNUMBER(D818),"Valid","Unrecognized/invalid date"))</x:f>
        <x:v>Valid</x:v>
      </x:c>
      <x:c r="AJ818" s="12" t="str">
        <x:v>Valid</x:v>
      </x:c>
      <x:c r="AK818" s="12" t="str">
        <x:v>Pass</x:v>
      </x:c>
      <x:c r="AL818" s="12" t="str">
        <x:v>None</x:v>
      </x:c>
      <x:c r="AM818" s="12" t="str">
        <x:v>Valid</x:v>
      </x:c>
      <x:c r="AN818" s="12" t="str">
        <x:v>Include in completed sales</x:v>
      </x:c>
      <x:c r="AO818" s="12" t="str">
        <x:v>Not a refunded record</x:v>
      </x:c>
      <x:c r="AP818" s="37" t="n">
        <x:f>IF(LEFT($AM818,7)="Invalid","",IF($AM818="Missing discount imputed as 0",IF(AND(COUNT($O818,$P818,$R818,$S818)=4,$O818&gt;0,$P818&gt;=0,$R818&gt;=0,$S818&gt;=0),0,""),IF(AND(ISNUMBER($Q818),$Q818&gt;=0,$Q818&lt;=0.5),$Q818,"")))</x:f>
        <x:v>0.1</x:v>
      </x:c>
      <x:c r="AQ818" s="152" t="n">
        <x:f>IF(OR($W818="",NOT(ISNUMBER($R818))),"",ROUND($R818-$W818,2))</x:f>
        <x:v>0</x:v>
      </x:c>
      <x:c r="AR818" s="152" t="n">
        <x:f>IF(OR($X818="",NOT(ISNUMBER($T818))),"",ROUND($T818-$X818,2))</x:f>
        <x:v>0</x:v>
      </x:c>
      <x:c r="AS818" s="14" t="str">
        <x:v>OK</x:v>
      </x:c>
    </x:row>
    <x:row r="819">
      <x:c r="A819" s="80" t="n">
        <x:v>819</x:v>
      </x:c>
      <x:c r="B819" s="80" t="str">
        <x:v>ORD-2025-10818</x:v>
      </x:c>
      <x:c r="C819" s="81" t="n">
        <x:v>45752</x:v>
      </x:c>
      <x:c r="D819" s="81" t="n">
        <x:v>45752</x:v>
      </x:c>
      <x:c r="E819" s="80" t="str">
        <x:v>CUST-2221</x:v>
      </x:c>
      <x:c r="F819" s="80" t="str">
        <x:v>Sneha Kapoor</x:v>
      </x:c>
      <x:c r="G819" s="80" t="str">
        <x:v>Consumer</x:v>
      </x:c>
      <x:c r="H819" s="80" t="str">
        <x:v>East</x:v>
      </x:c>
      <x:c r="I819" s="80" t="str">
        <x:v>Bihar</x:v>
      </x:c>
      <x:c r="J819" s="80" t="str">
        <x:v>Patna</x:v>
      </x:c>
      <x:c r="K819" s="80" t="str">
        <x:v>Office Supplies</x:v>
      </x:c>
      <x:c r="L819" s="80" t="str">
        <x:v>Binders</x:v>
      </x:c>
      <x:c r="M819" s="80" t="str">
        <x:v>Classic Binders 873</x:v>
      </x:c>
      <x:c r="N819" s="80" t="str">
        <x:v>Standard Class</x:v>
      </x:c>
      <x:c r="O819" s="82" t="n">
        <x:v>6</x:v>
      </x:c>
      <x:c r="P819" s="83" t="n">
        <x:v>1829.69</x:v>
      </x:c>
      <x:c r="Q819" s="84" t="n">
        <x:v>0.25</x:v>
      </x:c>
      <x:c r="R819" s="83" t="n">
        <x:v>8233.6</x:v>
      </x:c>
      <x:c r="S819" s="83" t="n">
        <x:v>4713.79</x:v>
      </x:c>
      <x:c r="T819" s="83" t="n">
        <x:v>3519.81</x:v>
      </x:c>
      <x:c r="U819" s="83" t="str">
        <x:v>Paid</x:v>
      </x:c>
      <x:c r="V819" s="83" t="str">
        <x:v>Completed</x:v>
      </x:c>
      <x:c r="W819" s="151" t="n">
        <x:f>IF(OR(NOT(ISNUMBER($AP819)),COUNT($O819,$P819)&lt;2,$O819&lt;=0,$P819&lt;0),"",ROUND($O819*$P819*(1-$AP819),2))</x:f>
        <x:v>8233.61</x:v>
      </x:c>
      <x:c r="X819" s="151" t="n">
        <x:f>IF(OR(NOT(ISNUMBER($W819)),NOT(ISNUMBER($S819))),"",ROUND($W819-$S819,2))</x:f>
        <x:v>3519.82</x:v>
      </x:c>
      <x:c r="Y819" s="85" t="n">
        <x:f>IF(OR(NOT(ISNUMBER($W819)),NOT(ISNUMBER($X819)),$W819=0),"",ROUND($X819/$W819,4))</x:f>
        <x:v>0.4275</x:v>
      </x:c>
      <x:c r="Z819" s="82" t="n">
        <x:f>IF(OR($AH819&lt;&gt;"Valid",$AI819&lt;&gt;"Valid"),"",INT($D819-$C819))</x:f>
        <x:v>0</x:v>
      </x:c>
      <x:c r="AA819" s="86" t="str">
        <x:f>IF($AH819&lt;&gt;"Valid","",TEXT($C819,"mmmm"))</x:f>
        <x:v>April</x:v>
      </x:c>
      <x:c r="AB819" s="82" t="n">
        <x:f>IF($AH819&lt;&gt;"Valid","",YEAR($C819))</x:f>
        <x:v>2025</x:v>
      </x:c>
      <x:c r="AC819" s="80" t="str">
        <x:v>Consistent</x:v>
      </x:c>
      <x:c r="AD819" s="80" t="str">
        <x:v>Eligible</x:v>
      </x:c>
      <x:c r="AE819" s="80" t="str">
        <x:f>IF(OR($AH819&lt;&gt;"Valid",$AI819&lt;&gt;"Valid",$AJ819&lt;&gt;"Valid",LEFT($AM819,7)="Invalid",IFERROR(ABS($AQ819)&gt;0.01,FALSE),IFERROR(ABS($AR819)&gt;0.01,FALSE),COUNTIF($AS819,"*Conflicting duplicate*")&gt;0,COUNTIF($AS819,"*Completed order not paid*")&gt;0),"Invalid",IF(OR($H819="Unknown",$N819="Unknown",$AM819="Missing discount imputed as 0"),"Warning","Clean"))</x:f>
        <x:v>Clean</x:v>
      </x:c>
      <x:c r="AF819" s="80" t="str">
        <x:v>Pass</x:v>
      </x:c>
      <x:c r="AG819" s="80" t="str">
        <x:v>No text cleanup required</x:v>
      </x:c>
      <x:c r="AH819" s="12" t="str">
        <x:f>IF(C819="","Missing date",IF(ISNUMBER(C819),"Valid","Unrecognized/invalid date"))</x:f>
        <x:v>Valid</x:v>
      </x:c>
      <x:c r="AI819" s="12" t="str">
        <x:f>IF(D819="","Missing date",IF(ISNUMBER(D819),"Valid","Unrecognized/invalid date"))</x:f>
        <x:v>Valid</x:v>
      </x:c>
      <x:c r="AJ819" s="12" t="str">
        <x:v>Valid</x:v>
      </x:c>
      <x:c r="AK819" s="12" t="str">
        <x:v>Pass</x:v>
      </x:c>
      <x:c r="AL819" s="12" t="str">
        <x:v>None</x:v>
      </x:c>
      <x:c r="AM819" s="12" t="str">
        <x:v>Valid</x:v>
      </x:c>
      <x:c r="AN819" s="12" t="str">
        <x:v>Include in completed sales</x:v>
      </x:c>
      <x:c r="AO819" s="12" t="str">
        <x:v>Not a refunded record</x:v>
      </x:c>
      <x:c r="AP819" s="37" t="n">
        <x:f>IF(LEFT($AM819,7)="Invalid","",IF($AM819="Missing discount imputed as 0",IF(AND(COUNT($O819,$P819,$R819,$S819)=4,$O819&gt;0,$P819&gt;=0,$R819&gt;=0,$S819&gt;=0),0,""),IF(AND(ISNUMBER($Q819),$Q819&gt;=0,$Q819&lt;=0.5),$Q819,"")))</x:f>
        <x:v>0.25</x:v>
      </x:c>
      <x:c r="AQ819" s="152" t="n">
        <x:f>IF(OR($W819="",NOT(ISNUMBER($R819))),"",ROUND($R819-$W819,2))</x:f>
        <x:v>-0.01</x:v>
      </x:c>
      <x:c r="AR819" s="152" t="n">
        <x:f>IF(OR($X819="",NOT(ISNUMBER($T819))),"",ROUND($T819-$X819,2))</x:f>
        <x:v>-0.01</x:v>
      </x:c>
      <x:c r="AS819" s="14" t="str">
        <x:v>OK</x:v>
      </x:c>
    </x:row>
    <x:row r="820">
      <x:c r="A820" s="80" t="n">
        <x:v>820</x:v>
      </x:c>
      <x:c r="B820" s="80" t="str">
        <x:v>ORD-2024-10819</x:v>
      </x:c>
      <x:c r="C820" s="81" t="n">
        <x:v>45564</x:v>
      </x:c>
      <x:c r="D820" s="81" t="n">
        <x:v>45570</x:v>
      </x:c>
      <x:c r="E820" s="80" t="str">
        <x:v>CUST-3943</x:v>
      </x:c>
      <x:c r="F820" s="80" t="str">
        <x:v>Priya Menon</x:v>
      </x:c>
      <x:c r="G820" s="80" t="str">
        <x:v>Small Business</x:v>
      </x:c>
      <x:c r="H820" s="80" t="str">
        <x:v>West</x:v>
      </x:c>
      <x:c r="I820" s="80" t="str">
        <x:v>Maharashtra</x:v>
      </x:c>
      <x:c r="J820" s="80" t="str">
        <x:v>Mumbai</x:v>
      </x:c>
      <x:c r="K820" s="80" t="str">
        <x:v>Office Supplies</x:v>
      </x:c>
      <x:c r="L820" s="80" t="str">
        <x:v>Labels</x:v>
      </x:c>
      <x:c r="M820" s="80" t="str">
        <x:v>Pro Labels 611</x:v>
      </x:c>
      <x:c r="N820" s="80" t="str">
        <x:v>First Class</x:v>
      </x:c>
      <x:c r="O820" s="82" t="n">
        <x:v>8</x:v>
      </x:c>
      <x:c r="P820" s="83" t="n">
        <x:v>1981.04</x:v>
      </x:c>
      <x:c r="Q820" s="84" t="n">
        <x:v>-0.14</x:v>
      </x:c>
      <x:c r="R820" s="83" t="n">
        <x:v>12678.66</x:v>
      </x:c>
      <x:c r="S820" s="83" t="n">
        <x:v>10088.65</x:v>
      </x:c>
      <x:c r="T820" s="83" t="n">
        <x:v>2590.01</x:v>
      </x:c>
      <x:c r="U820" s="83" t="str">
        <x:v>Paid</x:v>
      </x:c>
      <x:c r="V820" s="83" t="str">
        <x:v>Completed</x:v>
      </x:c>
      <x:c r="W820" s="151" t="str">
        <x:f>IF(OR(NOT(ISNUMBER($AP820)),COUNT($O820,$P820)&lt;2,$O820&lt;=0,$P820&lt;0),"",ROUND($O820*$P820*(1-$AP820),2))</x:f>
      </x:c>
      <x:c r="X820" s="151" t="str">
        <x:f>IF(OR(NOT(ISNUMBER($W820)),NOT(ISNUMBER($S820))),"",ROUND($W820-$S820,2))</x:f>
      </x:c>
      <x:c r="Y820" s="85" t="str">
        <x:f>IF(OR(NOT(ISNUMBER($W820)),NOT(ISNUMBER($X820)),$W820=0),"",ROUND($X820/$W820,4))</x:f>
      </x:c>
      <x:c r="Z820" s="82" t="n">
        <x:f>IF(OR($AH820&lt;&gt;"Valid",$AI820&lt;&gt;"Valid"),"",INT($D820-$C820))</x:f>
        <x:v>6</x:v>
      </x:c>
      <x:c r="AA820" s="86" t="str">
        <x:f>IF($AH820&lt;&gt;"Valid","",TEXT($C820,"mmmm"))</x:f>
        <x:v>September</x:v>
      </x:c>
      <x:c r="AB820" s="82" t="n">
        <x:f>IF($AH820&lt;&gt;"Valid","",YEAR($C820))</x:f>
        <x:v>2024</x:v>
      </x:c>
      <x:c r="AC820" s="80" t="str">
        <x:v>Consistent</x:v>
      </x:c>
      <x:c r="AD820" s="80" t="str">
        <x:v>Excluded</x:v>
      </x:c>
      <x:c r="AE820" s="80" t="str">
        <x:f>IF(OR($AH820&lt;&gt;"Valid",$AI820&lt;&gt;"Valid",$AJ820&lt;&gt;"Valid",LEFT($AM820,7)="Invalid",IFERROR(ABS($AQ820)&gt;0.01,FALSE),IFERROR(ABS($AR820)&gt;0.01,FALSE),COUNTIF($AS820,"*Conflicting duplicate*")&gt;0,COUNTIF($AS820,"*Completed order not paid*")&gt;0),"Invalid",IF(OR($H820="Unknown",$N820="Unknown",$AM820="Missing discount imputed as 0"),"Warning","Clean"))</x:f>
        <x:v>Invalid</x:v>
      </x:c>
      <x:c r="AF820" s="80" t="str">
        <x:v>Review</x:v>
      </x:c>
      <x:c r="AG820" s="80" t="str">
        <x:v>No text cleanup required</x:v>
      </x:c>
      <x:c r="AH820" s="12" t="str">
        <x:f>IF(C820="","Missing date",IF(ISNUMBER(C820),"Valid","Unrecognized/invalid date"))</x:f>
        <x:v>Valid</x:v>
      </x:c>
      <x:c r="AI820" s="12" t="str">
        <x:f>IF(D820="","Missing date",IF(ISNUMBER(D820),"Valid","Unrecognized/invalid date"))</x:f>
        <x:v>Valid</x:v>
      </x:c>
      <x:c r="AJ820" s="12" t="str">
        <x:v>Valid</x:v>
      </x:c>
      <x:c r="AK820" s="12" t="str">
        <x:v>Pass</x:v>
      </x:c>
      <x:c r="AL820" s="12" t="str">
        <x:v>None</x:v>
      </x:c>
      <x:c r="AM820" s="12" t="str">
        <x:v>Invalid discount – negative</x:v>
      </x:c>
      <x:c r="AN820" s="12" t="str">
        <x:v>Exclude from completed sales</x:v>
      </x:c>
      <x:c r="AO820" s="12" t="str">
        <x:v>Not a refunded record</x:v>
      </x:c>
      <x:c r="AP820" s="37" t="str">
        <x:f>IF(LEFT($AM820,7)="Invalid","",IF($AM820="Missing discount imputed as 0",IF(AND(COUNT($O820,$P820,$R820,$S820)=4,$O820&gt;0,$P820&gt;=0,$R820&gt;=0,$S820&gt;=0),0,""),IF(AND(ISNUMBER($Q820),$Q820&gt;=0,$Q820&lt;=0.5),$Q820,"")))</x:f>
      </x:c>
      <x:c r="AQ820" s="152" t="str">
        <x:f>IF(OR($W820="",NOT(ISNUMBER($R820))),"",ROUND($R820-$W820,2))</x:f>
      </x:c>
      <x:c r="AR820" s="152" t="str">
        <x:f>IF(OR($X820="",NOT(ISNUMBER($T820))),"",ROUND($T820-$X820,2))</x:f>
      </x:c>
      <x:c r="AS820" s="14" t="str">
        <x:v>Negative discount</x:v>
      </x:c>
    </x:row>
    <x:row r="821">
      <x:c r="A821" s="80" t="n">
        <x:v>821</x:v>
      </x:c>
      <x:c r="B821" s="80" t="str">
        <x:v>ORD-2024-10820</x:v>
      </x:c>
      <x:c r="C821" s="81" t="n">
        <x:v>45504</x:v>
      </x:c>
      <x:c r="D821" s="81" t="n">
        <x:v>45504</x:v>
      </x:c>
      <x:c r="E821" s="80" t="str">
        <x:v>CUST-7510</x:v>
      </x:c>
      <x:c r="F821" s="80" t="str">
        <x:v>Karan Malhotra</x:v>
      </x:c>
      <x:c r="G821" s="80" t="str">
        <x:v>Home Office</x:v>
      </x:c>
      <x:c r="H821" s="80" t="str">
        <x:v>South</x:v>
      </x:c>
      <x:c r="I821" s="80" t="str">
        <x:v>Kerala</x:v>
      </x:c>
      <x:c r="J821" s="80" t="str">
        <x:v>Kochi</x:v>
      </x:c>
      <x:c r="K821" s="80" t="str">
        <x:v>Technology</x:v>
      </x:c>
      <x:c r="L821" s="80" t="str">
        <x:v>Machines</x:v>
      </x:c>
      <x:c r="M821" s="80" t="str">
        <x:v>Prime Machines 524</x:v>
      </x:c>
      <x:c r="N821" s="80" t="str">
        <x:v>Standard Class</x:v>
      </x:c>
      <x:c r="O821" s="82" t="n">
        <x:v>8</x:v>
      </x:c>
      <x:c r="P821" s="83" t="n">
        <x:v>4246.01</x:v>
      </x:c>
      <x:c r="Q821" s="84" t="n">
        <x:v>0</x:v>
      </x:c>
      <x:c r="R821" s="83" t="n">
        <x:v>33968.08</x:v>
      </x:c>
      <x:c r="S821" s="83" t="n">
        <x:v>26902.44</x:v>
      </x:c>
      <x:c r="T821" s="83" t="n">
        <x:v>7065.64</x:v>
      </x:c>
      <x:c r="U821" s="83" t="str">
        <x:v>Failed</x:v>
      </x:c>
      <x:c r="V821" s="83" t="str">
        <x:v>Cancelled</x:v>
      </x:c>
      <x:c r="W821" s="151" t="n">
        <x:f>IF(OR(NOT(ISNUMBER($AP821)),COUNT($O821,$P821)&lt;2,$O821&lt;=0,$P821&lt;0),"",ROUND($O821*$P821*(1-$AP821),2))</x:f>
        <x:v>33968.08</x:v>
      </x:c>
      <x:c r="X821" s="151" t="n">
        <x:f>IF(OR(NOT(ISNUMBER($W821)),NOT(ISNUMBER($S821))),"",ROUND($W821-$S821,2))</x:f>
        <x:v>7065.64</x:v>
      </x:c>
      <x:c r="Y821" s="85" t="n">
        <x:f>IF(OR(NOT(ISNUMBER($W821)),NOT(ISNUMBER($X821)),$W821=0),"",ROUND($X821/$W821,4))</x:f>
        <x:v>0.208</x:v>
      </x:c>
      <x:c r="Z821" s="82" t="n">
        <x:f>IF(OR($AH821&lt;&gt;"Valid",$AI821&lt;&gt;"Valid"),"",INT($D821-$C821))</x:f>
        <x:v>0</x:v>
      </x:c>
      <x:c r="AA821" s="86" t="str">
        <x:f>IF($AH821&lt;&gt;"Valid","",TEXT($C821,"mmmm"))</x:f>
        <x:v>July</x:v>
      </x:c>
      <x:c r="AB821" s="82" t="n">
        <x:f>IF($AH821&lt;&gt;"Valid","",YEAR($C821))</x:f>
        <x:v>2024</x:v>
      </x:c>
      <x:c r="AC821" s="80" t="str">
        <x:v>Cancelled (excluded from completed-sales summary)</x:v>
      </x:c>
      <x:c r="AD821" s="80" t="str">
        <x:v>Excluded</x:v>
      </x:c>
      <x:c r="AE821" s="80" t="str">
        <x:f>IF(OR($AH821&lt;&gt;"Valid",$AI821&lt;&gt;"Valid",$AJ821&lt;&gt;"Valid",LEFT($AM821,7)="Invalid",IFERROR(ABS($AQ821)&gt;0.01,FALSE),IFERROR(ABS($AR821)&gt;0.01,FALSE),COUNTIF($AS821,"*Conflicting duplicate*")&gt;0,COUNTIF($AS821,"*Completed order not paid*")&gt;0),"Invalid",IF(OR($H821="Unknown",$N821="Unknown",$AM821="Missing discount imputed as 0"),"Warning","Clean"))</x:f>
        <x:v>Clean</x:v>
      </x:c>
      <x:c r="AF821" s="80" t="str">
        <x:v>Cleaned</x:v>
      </x:c>
      <x:c r="AG821" s="80" t="str">
        <x:v>sub_category: Case standardization</x:v>
      </x:c>
      <x:c r="AH821" s="12" t="str">
        <x:f>IF(C821="","Missing date",IF(ISNUMBER(C821),"Valid","Unrecognized/invalid date"))</x:f>
        <x:v>Valid</x:v>
      </x:c>
      <x:c r="AI821" s="12" t="str">
        <x:f>IF(D821="","Missing date",IF(ISNUMBER(D821),"Valid","Unrecognized/invalid date"))</x:f>
        <x:v>Valid</x:v>
      </x:c>
      <x:c r="AJ821" s="12" t="str">
        <x:v>Valid</x:v>
      </x:c>
      <x:c r="AK821" s="12" t="str">
        <x:v>Pass</x:v>
      </x:c>
      <x:c r="AL821" s="12" t="str">
        <x:v>Cancelled order – excluded from completed sales; Failed payment – excluded from completed sales</x:v>
      </x:c>
      <x:c r="AM821" s="12" t="str">
        <x:v>Valid</x:v>
      </x:c>
      <x:c r="AN821" s="12" t="str">
        <x:v>Exclude from completed sales</x:v>
      </x:c>
      <x:c r="AO821" s="12" t="str">
        <x:v>Not a refunded record</x:v>
      </x:c>
      <x:c r="AP821" s="37" t="n">
        <x:f>IF(LEFT($AM821,7)="Invalid","",IF($AM821="Missing discount imputed as 0",IF(AND(COUNT($O821,$P821,$R821,$S821)=4,$O821&gt;0,$P821&gt;=0,$R821&gt;=0,$S821&gt;=0),0,""),IF(AND(ISNUMBER($Q821),$Q821&gt;=0,$Q821&lt;=0.5),$Q821,"")))</x:f>
        <x:v>0</x:v>
      </x:c>
      <x:c r="AQ821" s="152" t="n">
        <x:f>IF(OR($W821="",NOT(ISNUMBER($R821))),"",ROUND($R821-$W821,2))</x:f>
        <x:v>0</x:v>
      </x:c>
      <x:c r="AR821" s="152" t="n">
        <x:f>IF(OR($X821="",NOT(ISNUMBER($T821))),"",ROUND($T821-$X821,2))</x:f>
        <x:v>0</x:v>
      </x:c>
      <x:c r="AS821" s="14" t="str">
        <x:v>OK</x:v>
      </x:c>
    </x:row>
    <x:row r="822">
      <x:c r="A822" s="80" t="n">
        <x:v>822</x:v>
      </x:c>
      <x:c r="B822" s="80" t="str">
        <x:v>ORD-2025-10821</x:v>
      </x:c>
      <x:c r="C822" s="81" t="n">
        <x:v>45694</x:v>
      </x:c>
      <x:c r="D822" s="81" t="n">
        <x:v>45698</x:v>
      </x:c>
      <x:c r="E822" s="80" t="str">
        <x:v>CUST-2041</x:v>
      </x:c>
      <x:c r="F822" s="80" t="str">
        <x:v>Ananya Rao</x:v>
      </x:c>
      <x:c r="G822" s="80" t="str">
        <x:v>Home Office</x:v>
      </x:c>
      <x:c r="H822" s="80" t="str">
        <x:v>North</x:v>
      </x:c>
      <x:c r="I822" s="80" t="str">
        <x:v>Uttar Pradesh</x:v>
      </x:c>
      <x:c r="J822" s="80" t="str">
        <x:v>Noida</x:v>
      </x:c>
      <x:c r="K822" s="80" t="str">
        <x:v>Furniture</x:v>
      </x:c>
      <x:c r="L822" s="80" t="str">
        <x:v>Bookcases</x:v>
      </x:c>
      <x:c r="M822" s="80" t="str">
        <x:v>Classic Bookcases 882</x:v>
      </x:c>
      <x:c r="N822" s="80" t="str">
        <x:v>Standard Class</x:v>
      </x:c>
      <x:c r="O822" s="82" t="n">
        <x:v>2</x:v>
      </x:c>
      <x:c r="P822" s="83" t="n">
        <x:v>319.57</x:v>
      </x:c>
      <x:c r="Q822" s="84" t="n">
        <x:v>0.2</x:v>
      </x:c>
      <x:c r="R822" s="83" t="n">
        <x:v>511.31</x:v>
      </x:c>
      <x:c r="S822" s="83" t="n">
        <x:v>436.43</x:v>
      </x:c>
      <x:c r="T822" s="83" t="n">
        <x:v>74.88</x:v>
      </x:c>
      <x:c r="U822" s="83" t="str">
        <x:v>Paid</x:v>
      </x:c>
      <x:c r="V822" s="83" t="str">
        <x:v>Completed</x:v>
      </x:c>
      <x:c r="W822" s="151" t="n">
        <x:f>IF(OR(NOT(ISNUMBER($AP822)),COUNT($O822,$P822)&lt;2,$O822&lt;=0,$P822&lt;0),"",ROUND($O822*$P822*(1-$AP822),2))</x:f>
        <x:v>511.31</x:v>
      </x:c>
      <x:c r="X822" s="151" t="n">
        <x:f>IF(OR(NOT(ISNUMBER($W822)),NOT(ISNUMBER($S822))),"",ROUND($W822-$S822,2))</x:f>
        <x:v>74.88</x:v>
      </x:c>
      <x:c r="Y822" s="85" t="n">
        <x:f>IF(OR(NOT(ISNUMBER($W822)),NOT(ISNUMBER($X822)),$W822=0),"",ROUND($X822/$W822,4))</x:f>
        <x:v>0.1464</x:v>
      </x:c>
      <x:c r="Z822" s="82" t="n">
        <x:f>IF(OR($AH822&lt;&gt;"Valid",$AI822&lt;&gt;"Valid"),"",INT($D822-$C822))</x:f>
        <x:v>4</x:v>
      </x:c>
      <x:c r="AA822" s="86" t="str">
        <x:f>IF($AH822&lt;&gt;"Valid","",TEXT($C822,"mmmm"))</x:f>
        <x:v>February</x:v>
      </x:c>
      <x:c r="AB822" s="82" t="n">
        <x:f>IF($AH822&lt;&gt;"Valid","",YEAR($C822))</x:f>
        <x:v>2025</x:v>
      </x:c>
      <x:c r="AC822" s="80" t="str">
        <x:v>Consistent</x:v>
      </x:c>
      <x:c r="AD822" s="80" t="str">
        <x:v>Eligible</x:v>
      </x:c>
      <x:c r="AE822" s="80" t="str">
        <x:f>IF(OR($AH822&lt;&gt;"Valid",$AI822&lt;&gt;"Valid",$AJ822&lt;&gt;"Valid",LEFT($AM822,7)="Invalid",IFERROR(ABS($AQ822)&gt;0.01,FALSE),IFERROR(ABS($AR822)&gt;0.01,FALSE),COUNTIF($AS822,"*Conflicting duplicate*")&gt;0,COUNTIF($AS822,"*Completed order not paid*")&gt;0),"Invalid",IF(OR($H822="Unknown",$N822="Unknown",$AM822="Missing discount imputed as 0"),"Warning","Clean"))</x:f>
        <x:v>Clean</x:v>
      </x:c>
      <x:c r="AF822" s="80" t="str">
        <x:v>Pass</x:v>
      </x:c>
      <x:c r="AG822" s="80" t="str">
        <x:v>No text cleanup required</x:v>
      </x:c>
      <x:c r="AH822" s="12" t="str">
        <x:f>IF(C822="","Missing date",IF(ISNUMBER(C822),"Valid","Unrecognized/invalid date"))</x:f>
        <x:v>Valid</x:v>
      </x:c>
      <x:c r="AI822" s="12" t="str">
        <x:f>IF(D822="","Missing date",IF(ISNUMBER(D822),"Valid","Unrecognized/invalid date"))</x:f>
        <x:v>Valid</x:v>
      </x:c>
      <x:c r="AJ822" s="12" t="str">
        <x:v>Valid</x:v>
      </x:c>
      <x:c r="AK822" s="12" t="str">
        <x:v>Pass</x:v>
      </x:c>
      <x:c r="AL822" s="12" t="str">
        <x:v>None</x:v>
      </x:c>
      <x:c r="AM822" s="12" t="str">
        <x:v>Valid</x:v>
      </x:c>
      <x:c r="AN822" s="12" t="str">
        <x:v>Include in completed sales</x:v>
      </x:c>
      <x:c r="AO822" s="12" t="str">
        <x:v>Not a refunded record</x:v>
      </x:c>
      <x:c r="AP822" s="37" t="n">
        <x:f>IF(LEFT($AM822,7)="Invalid","",IF($AM822="Missing discount imputed as 0",IF(AND(COUNT($O822,$P822,$R822,$S822)=4,$O822&gt;0,$P822&gt;=0,$R822&gt;=0,$S822&gt;=0),0,""),IF(AND(ISNUMBER($Q822),$Q822&gt;=0,$Q822&lt;=0.5),$Q822,"")))</x:f>
        <x:v>0.2</x:v>
      </x:c>
      <x:c r="AQ822" s="152" t="n">
        <x:f>IF(OR($W822="",NOT(ISNUMBER($R822))),"",ROUND($R822-$W822,2))</x:f>
        <x:v>0</x:v>
      </x:c>
      <x:c r="AR822" s="152" t="n">
        <x:f>IF(OR($X822="",NOT(ISNUMBER($T822))),"",ROUND($T822-$X822,2))</x:f>
        <x:v>0</x:v>
      </x:c>
      <x:c r="AS822" s="14" t="str">
        <x:v>OK</x:v>
      </x:c>
    </x:row>
    <x:row r="823">
      <x:c r="A823" s="80" t="n">
        <x:v>823</x:v>
      </x:c>
      <x:c r="B823" s="80" t="str">
        <x:v>ORD-2024-10822</x:v>
      </x:c>
      <x:c r="C823" s="81" t="n">
        <x:v>45476</x:v>
      </x:c>
      <x:c r="D823" s="81" t="n">
        <x:v>45479</x:v>
      </x:c>
      <x:c r="E823" s="80" t="str">
        <x:v>CUST-4466</x:v>
      </x:c>
      <x:c r="F823" s="80" t="str">
        <x:v>Aarav Sharma</x:v>
      </x:c>
      <x:c r="G823" s="80" t="str">
        <x:v>Corporate</x:v>
      </x:c>
      <x:c r="H823" s="80" t="str">
        <x:v>South</x:v>
      </x:c>
      <x:c r="I823" s="80" t="str">
        <x:v>Karnataka</x:v>
      </x:c>
      <x:c r="J823" s="80" t="str">
        <x:v>Bengaluru</x:v>
      </x:c>
      <x:c r="K823" s="80" t="str">
        <x:v>Technology</x:v>
      </x:c>
      <x:c r="L823" s="80" t="str">
        <x:v>Accessories</x:v>
      </x:c>
      <x:c r="M823" s="80" t="str">
        <x:v>Classic Accessories 471</x:v>
      </x:c>
      <x:c r="N823" s="80" t="str">
        <x:v>First Class</x:v>
      </x:c>
      <x:c r="O823" s="82" t="n">
        <x:v>7</x:v>
      </x:c>
      <x:c r="P823" s="83" t="n">
        <x:v>1942.49</x:v>
      </x:c>
      <x:c r="Q823" s="84" t="n">
        <x:v>0.2</x:v>
      </x:c>
      <x:c r="R823" s="83" t="n">
        <x:v>10877.94</x:v>
      </x:c>
      <x:c r="S823" s="83" t="n">
        <x:v>9110.14</x:v>
      </x:c>
      <x:c r="T823" s="83" t="n">
        <x:v>1767.8</x:v>
      </x:c>
      <x:c r="U823" s="83" t="str">
        <x:v>Paid</x:v>
      </x:c>
      <x:c r="V823" s="83" t="str">
        <x:v>Completed</x:v>
      </x:c>
      <x:c r="W823" s="151" t="n">
        <x:f>IF(OR(NOT(ISNUMBER($AP823)),COUNT($O823,$P823)&lt;2,$O823&lt;=0,$P823&lt;0),"",ROUND($O823*$P823*(1-$AP823),2))</x:f>
        <x:v>10877.94</x:v>
      </x:c>
      <x:c r="X823" s="151" t="n">
        <x:f>IF(OR(NOT(ISNUMBER($W823)),NOT(ISNUMBER($S823))),"",ROUND($W823-$S823,2))</x:f>
        <x:v>1767.8</x:v>
      </x:c>
      <x:c r="Y823" s="85" t="n">
        <x:f>IF(OR(NOT(ISNUMBER($W823)),NOT(ISNUMBER($X823)),$W823=0),"",ROUND($X823/$W823,4))</x:f>
        <x:v>0.1625</x:v>
      </x:c>
      <x:c r="Z823" s="82" t="n">
        <x:f>IF(OR($AH823&lt;&gt;"Valid",$AI823&lt;&gt;"Valid"),"",INT($D823-$C823))</x:f>
        <x:v>3</x:v>
      </x:c>
      <x:c r="AA823" s="86" t="str">
        <x:f>IF($AH823&lt;&gt;"Valid","",TEXT($C823,"mmmm"))</x:f>
        <x:v>July</x:v>
      </x:c>
      <x:c r="AB823" s="82" t="n">
        <x:f>IF($AH823&lt;&gt;"Valid","",YEAR($C823))</x:f>
        <x:v>2024</x:v>
      </x:c>
      <x:c r="AC823" s="80" t="str">
        <x:v>Consistent</x:v>
      </x:c>
      <x:c r="AD823" s="80" t="str">
        <x:v>Eligible</x:v>
      </x:c>
      <x:c r="AE823" s="80" t="str">
        <x:f>IF(OR($AH823&lt;&gt;"Valid",$AI823&lt;&gt;"Valid",$AJ823&lt;&gt;"Valid",LEFT($AM823,7)="Invalid",IFERROR(ABS($AQ823)&gt;0.01,FALSE),IFERROR(ABS($AR823)&gt;0.01,FALSE),COUNTIF($AS823,"*Conflicting duplicate*")&gt;0,COUNTIF($AS823,"*Completed order not paid*")&gt;0),"Invalid",IF(OR($H823="Unknown",$N823="Unknown",$AM823="Missing discount imputed as 0"),"Warning","Clean"))</x:f>
        <x:v>Clean</x:v>
      </x:c>
      <x:c r="AF823" s="80" t="str">
        <x:v>Pass</x:v>
      </x:c>
      <x:c r="AG823" s="80" t="str">
        <x:v>No text cleanup required</x:v>
      </x:c>
      <x:c r="AH823" s="12" t="str">
        <x:f>IF(C823="","Missing date",IF(ISNUMBER(C823),"Valid","Unrecognized/invalid date"))</x:f>
        <x:v>Valid</x:v>
      </x:c>
      <x:c r="AI823" s="12" t="str">
        <x:f>IF(D823="","Missing date",IF(ISNUMBER(D823),"Valid","Unrecognized/invalid date"))</x:f>
        <x:v>Valid</x:v>
      </x:c>
      <x:c r="AJ823" s="12" t="str">
        <x:v>Valid</x:v>
      </x:c>
      <x:c r="AK823" s="12" t="str">
        <x:v>Pass</x:v>
      </x:c>
      <x:c r="AL823" s="12" t="str">
        <x:v>None</x:v>
      </x:c>
      <x:c r="AM823" s="12" t="str">
        <x:v>Valid</x:v>
      </x:c>
      <x:c r="AN823" s="12" t="str">
        <x:v>Include in completed sales</x:v>
      </x:c>
      <x:c r="AO823" s="12" t="str">
        <x:v>Not a refunded record</x:v>
      </x:c>
      <x:c r="AP823" s="37" t="n">
        <x:f>IF(LEFT($AM823,7)="Invalid","",IF($AM823="Missing discount imputed as 0",IF(AND(COUNT($O823,$P823,$R823,$S823)=4,$O823&gt;0,$P823&gt;=0,$R823&gt;=0,$S823&gt;=0),0,""),IF(AND(ISNUMBER($Q823),$Q823&gt;=0,$Q823&lt;=0.5),$Q823,"")))</x:f>
        <x:v>0.2</x:v>
      </x:c>
      <x:c r="AQ823" s="152" t="n">
        <x:f>IF(OR($W823="",NOT(ISNUMBER($R823))),"",ROUND($R823-$W823,2))</x:f>
        <x:v>0</x:v>
      </x:c>
      <x:c r="AR823" s="152" t="n">
        <x:f>IF(OR($X823="",NOT(ISNUMBER($T823))),"",ROUND($T823-$X823,2))</x:f>
        <x:v>0</x:v>
      </x:c>
      <x:c r="AS823" s="14" t="str">
        <x:v>OK</x:v>
      </x:c>
    </x:row>
    <x:row r="824">
      <x:c r="A824" s="80" t="n">
        <x:v>824</x:v>
      </x:c>
      <x:c r="B824" s="80" t="str">
        <x:v>ORD-2024-10823</x:v>
      </x:c>
      <x:c r="C824" s="81" t="n">
        <x:v>45577</x:v>
      </x:c>
      <x:c r="D824" s="81" t="n">
        <x:v>45573</x:v>
      </x:c>
      <x:c r="E824" s="80" t="str">
        <x:v>CUST-3188</x:v>
      </x:c>
      <x:c r="F824" s="80" t="str">
        <x:v>Mira Das</x:v>
      </x:c>
      <x:c r="G824" s="80" t="str">
        <x:v>Corporate</x:v>
      </x:c>
      <x:c r="H824" s="80" t="str">
        <x:v>East</x:v>
      </x:c>
      <x:c r="I824" s="80" t="str">
        <x:v>Assam</x:v>
      </x:c>
      <x:c r="J824" s="80" t="str">
        <x:v>Guwahati</x:v>
      </x:c>
      <x:c r="K824" s="80" t="str">
        <x:v>Furniture</x:v>
      </x:c>
      <x:c r="L824" s="80" t="str">
        <x:v>Furnishings</x:v>
      </x:c>
      <x:c r="M824" s="80" t="str">
        <x:v>Smart Furnishings 175</x:v>
      </x:c>
      <x:c r="N824" s="80" t="str">
        <x:v>Second Class</x:v>
      </x:c>
      <x:c r="O824" s="82" t="n">
        <x:v>4</x:v>
      </x:c>
      <x:c r="P824" s="83" t="n">
        <x:v>3202.04</x:v>
      </x:c>
      <x:c r="Q824" s="84" t="n">
        <x:v>0.2</x:v>
      </x:c>
      <x:c r="R824" s="83" t="n">
        <x:v>10246.53</x:v>
      </x:c>
      <x:c r="S824" s="83" t="n">
        <x:v>8634.42</x:v>
      </x:c>
      <x:c r="T824" s="83" t="n">
        <x:v>1612.11</x:v>
      </x:c>
      <x:c r="U824" s="83" t="str">
        <x:v>Pending</x:v>
      </x:c>
      <x:c r="V824" s="83" t="str">
        <x:v>Returned</x:v>
      </x:c>
      <x:c r="W824" s="151" t="n">
        <x:f>IF(OR(NOT(ISNUMBER($AP824)),COUNT($O824,$P824)&lt;2,$O824&lt;=0,$P824&lt;0),"",ROUND($O824*$P824*(1-$AP824),2))</x:f>
        <x:v>10246.53</x:v>
      </x:c>
      <x:c r="X824" s="151" t="n">
        <x:f>IF(OR(NOT(ISNUMBER($W824)),NOT(ISNUMBER($S824))),"",ROUND($W824-$S824,2))</x:f>
        <x:v>1612.11</x:v>
      </x:c>
      <x:c r="Y824" s="85" t="n">
        <x:f>IF(OR(NOT(ISNUMBER($W824)),NOT(ISNUMBER($X824)),$W824=0),"",ROUND($X824/$W824,4))</x:f>
        <x:v>0.1573</x:v>
      </x:c>
      <x:c r="Z824" s="82" t="n">
        <x:f>IF(OR($AH824&lt;&gt;"Valid",$AI824&lt;&gt;"Valid"),"",INT($D824-$C824))</x:f>
        <x:v>-4</x:v>
      </x:c>
      <x:c r="AA824" s="86" t="str">
        <x:f>IF($AH824&lt;&gt;"Valid","",TEXT($C824,"mmmm"))</x:f>
        <x:v>October</x:v>
      </x:c>
      <x:c r="AB824" s="82" t="n">
        <x:f>IF($AH824&lt;&gt;"Valid","",YEAR($C824))</x:f>
        <x:v>2024</x:v>
      </x:c>
      <x:c r="AC824" s="80" t="str">
        <x:v>Consistent</x:v>
      </x:c>
      <x:c r="AD824" s="80" t="str">
        <x:v>Excluded</x:v>
      </x:c>
      <x:c r="AE824" s="80" t="str">
        <x:f>IF(OR($AH824&lt;&gt;"Valid",$AI824&lt;&gt;"Valid",$AJ824&lt;&gt;"Valid",LEFT($AM824,7)="Invalid",IFERROR(ABS($AQ824)&gt;0.01,FALSE),IFERROR(ABS($AR824)&gt;0.01,FALSE),COUNTIF($AS824,"*Conflicting duplicate*")&gt;0,COUNTIF($AS824,"*Completed order not paid*")&gt;0),"Invalid",IF(OR($H824="Unknown",$N824="Unknown",$AM824="Missing discount imputed as 0"),"Warning","Clean"))</x:f>
        <x:v>Invalid</x:v>
      </x:c>
      <x:c r="AF824" s="80" t="str">
        <x:v>Review</x:v>
      </x:c>
      <x:c r="AG824" s="80" t="str">
        <x:v>No text cleanup required</x:v>
      </x:c>
      <x:c r="AH824" s="12" t="str">
        <x:f>IF(C824="","Missing date",IF(ISNUMBER(C824),"Valid","Unrecognized/invalid date"))</x:f>
        <x:v>Valid</x:v>
      </x:c>
      <x:c r="AI824" s="12" t="str">
        <x:f>IF(D824="","Missing date",IF(ISNUMBER(D824),"Valid","Unrecognized/invalid date"))</x:f>
        <x:v>Valid</x:v>
      </x:c>
      <x:c r="AJ824" s="12" t="str">
        <x:v>Invalid</x:v>
      </x:c>
      <x:c r="AK824" s="12" t="str">
        <x:v>Ship date is earlier than order date</x:v>
      </x:c>
      <x:c r="AL824" s="12" t="str">
        <x:v>None</x:v>
      </x:c>
      <x:c r="AM824" s="12" t="str">
        <x:v>Valid</x:v>
      </x:c>
      <x:c r="AN824" s="12" t="str">
        <x:v>Exclude from completed sales</x:v>
      </x:c>
      <x:c r="AO824" s="12" t="str">
        <x:v>Not a refunded record</x:v>
      </x:c>
      <x:c r="AP824" s="37" t="n">
        <x:f>IF(LEFT($AM824,7)="Invalid","",IF($AM824="Missing discount imputed as 0",IF(AND(COUNT($O824,$P824,$R824,$S824)=4,$O824&gt;0,$P824&gt;=0,$R824&gt;=0,$S824&gt;=0),0,""),IF(AND(ISNUMBER($Q824),$Q824&gt;=0,$Q824&lt;=0.5),$Q824,"")))</x:f>
        <x:v>0.2</x:v>
      </x:c>
      <x:c r="AQ824" s="152" t="n">
        <x:f>IF(OR($W824="",NOT(ISNUMBER($R824))),"",ROUND($R824-$W824,2))</x:f>
        <x:v>0</x:v>
      </x:c>
      <x:c r="AR824" s="152" t="n">
        <x:f>IF(OR($X824="",NOT(ISNUMBER($T824))),"",ROUND($T824-$X824,2))</x:f>
        <x:v>0</x:v>
      </x:c>
      <x:c r="AS824" s="14" t="str">
        <x:v>Ship date earlier than order date</x:v>
      </x:c>
    </x:row>
    <x:row r="825">
      <x:c r="A825" s="80" t="n">
        <x:v>825</x:v>
      </x:c>
      <x:c r="B825" s="80" t="str">
        <x:v>ORD-2025-10824</x:v>
      </x:c>
      <x:c r="C825" s="81" t="n">
        <x:v>45663</x:v>
      </x:c>
      <x:c r="D825" s="81" t="n">
        <x:v>45669</x:v>
      </x:c>
      <x:c r="E825" s="80" t="str">
        <x:v>CUST-6638</x:v>
      </x:c>
      <x:c r="F825" s="80" t="str">
        <x:v>Mira Das</x:v>
      </x:c>
      <x:c r="G825" s="80" t="str">
        <x:v>Home Office</x:v>
      </x:c>
      <x:c r="H825" s="80" t="str">
        <x:v>West</x:v>
      </x:c>
      <x:c r="I825" s="80" t="str">
        <x:v>Goa</x:v>
      </x:c>
      <x:c r="J825" s="80" t="str">
        <x:v>Panaji</x:v>
      </x:c>
      <x:c r="K825" s="80" t="str">
        <x:v>Office Supplies</x:v>
      </x:c>
      <x:c r="L825" s="80" t="str">
        <x:v>Paper</x:v>
      </x:c>
      <x:c r="M825" s="80" t="str">
        <x:v>Basic Paper 899</x:v>
      </x:c>
      <x:c r="N825" s="80" t="str">
        <x:v>Same Day</x:v>
      </x:c>
      <x:c r="O825" s="82" t="n">
        <x:v>3</x:v>
      </x:c>
      <x:c r="P825" s="83" t="n">
        <x:v>668.33</x:v>
      </x:c>
      <x:c r="Q825" s="84" t="n">
        <x:v>0.15</x:v>
      </x:c>
      <x:c r="R825" s="83" t="n">
        <x:v>1704.24</x:v>
      </x:c>
      <x:c r="S825" s="83" t="n">
        <x:v>957.55</x:v>
      </x:c>
      <x:c r="T825" s="83" t="n">
        <x:v>746.69</x:v>
      </x:c>
      <x:c r="U825" s="83" t="str">
        <x:v>Paid</x:v>
      </x:c>
      <x:c r="V825" s="83" t="str">
        <x:v>Completed</x:v>
      </x:c>
      <x:c r="W825" s="151" t="n">
        <x:f>IF(OR(NOT(ISNUMBER($AP825)),COUNT($O825,$P825)&lt;2,$O825&lt;=0,$P825&lt;0),"",ROUND($O825*$P825*(1-$AP825),2))</x:f>
        <x:v>1704.24</x:v>
      </x:c>
      <x:c r="X825" s="151" t="n">
        <x:f>IF(OR(NOT(ISNUMBER($W825)),NOT(ISNUMBER($S825))),"",ROUND($W825-$S825,2))</x:f>
        <x:v>746.69</x:v>
      </x:c>
      <x:c r="Y825" s="85" t="n">
        <x:f>IF(OR(NOT(ISNUMBER($W825)),NOT(ISNUMBER($X825)),$W825=0),"",ROUND($X825/$W825,4))</x:f>
        <x:v>0.4381</x:v>
      </x:c>
      <x:c r="Z825" s="82" t="n">
        <x:f>IF(OR($AH825&lt;&gt;"Valid",$AI825&lt;&gt;"Valid"),"",INT($D825-$C825))</x:f>
        <x:v>6</x:v>
      </x:c>
      <x:c r="AA825" s="86" t="str">
        <x:f>IF($AH825&lt;&gt;"Valid","",TEXT($C825,"mmmm"))</x:f>
        <x:v>January</x:v>
      </x:c>
      <x:c r="AB825" s="82" t="n">
        <x:f>IF($AH825&lt;&gt;"Valid","",YEAR($C825))</x:f>
        <x:v>2025</x:v>
      </x:c>
      <x:c r="AC825" s="80" t="str">
        <x:v>Consistent</x:v>
      </x:c>
      <x:c r="AD825" s="80" t="str">
        <x:v>Eligible</x:v>
      </x:c>
      <x:c r="AE825" s="80" t="str">
        <x:f>IF(OR($AH825&lt;&gt;"Valid",$AI825&lt;&gt;"Valid",$AJ825&lt;&gt;"Valid",LEFT($AM825,7)="Invalid",IFERROR(ABS($AQ825)&gt;0.01,FALSE),IFERROR(ABS($AR825)&gt;0.01,FALSE),COUNTIF($AS825,"*Conflicting duplicate*")&gt;0,COUNTIF($AS825,"*Completed order not paid*")&gt;0),"Invalid",IF(OR($H825="Unknown",$N825="Unknown",$AM825="Missing discount imputed as 0"),"Warning","Clean"))</x:f>
        <x:v>Clean</x:v>
      </x:c>
      <x:c r="AF825" s="80" t="str">
        <x:v>Pass</x:v>
      </x:c>
      <x:c r="AG825" s="80" t="str">
        <x:v>No text cleanup required</x:v>
      </x:c>
      <x:c r="AH825" s="12" t="str">
        <x:f>IF(C825="","Missing date",IF(ISNUMBER(C825),"Valid","Unrecognized/invalid date"))</x:f>
        <x:v>Valid</x:v>
      </x:c>
      <x:c r="AI825" s="12" t="str">
        <x:f>IF(D825="","Missing date",IF(ISNUMBER(D825),"Valid","Unrecognized/invalid date"))</x:f>
        <x:v>Valid</x:v>
      </x:c>
      <x:c r="AJ825" s="12" t="str">
        <x:v>Valid</x:v>
      </x:c>
      <x:c r="AK825" s="12" t="str">
        <x:v>Pass</x:v>
      </x:c>
      <x:c r="AL825" s="12" t="str">
        <x:v>None</x:v>
      </x:c>
      <x:c r="AM825" s="12" t="str">
        <x:v>Valid</x:v>
      </x:c>
      <x:c r="AN825" s="12" t="str">
        <x:v>Include in completed sales</x:v>
      </x:c>
      <x:c r="AO825" s="12" t="str">
        <x:v>Not a refunded record</x:v>
      </x:c>
      <x:c r="AP825" s="37" t="n">
        <x:f>IF(LEFT($AM825,7)="Invalid","",IF($AM825="Missing discount imputed as 0",IF(AND(COUNT($O825,$P825,$R825,$S825)=4,$O825&gt;0,$P825&gt;=0,$R825&gt;=0,$S825&gt;=0),0,""),IF(AND(ISNUMBER($Q825),$Q825&gt;=0,$Q825&lt;=0.5),$Q825,"")))</x:f>
        <x:v>0.15</x:v>
      </x:c>
      <x:c r="AQ825" s="152" t="n">
        <x:f>IF(OR($W825="",NOT(ISNUMBER($R825))),"",ROUND($R825-$W825,2))</x:f>
        <x:v>0</x:v>
      </x:c>
      <x:c r="AR825" s="152" t="n">
        <x:f>IF(OR($X825="",NOT(ISNUMBER($T825))),"",ROUND($T825-$X825,2))</x:f>
        <x:v>0</x:v>
      </x:c>
      <x:c r="AS825" s="14" t="str">
        <x:v>OK</x:v>
      </x:c>
    </x:row>
    <x:row r="826">
      <x:c r="A826" s="80" t="n">
        <x:v>826</x:v>
      </x:c>
      <x:c r="B826" s="80" t="str">
        <x:v>ORD-2025-10825</x:v>
      </x:c>
      <x:c r="C826" s="81" t="n">
        <x:v>45737</x:v>
      </x:c>
      <x:c r="D826" s="81" t="n">
        <x:v>45738</x:v>
      </x:c>
      <x:c r="E826" s="80" t="str">
        <x:v>CUST-3540</x:v>
      </x:c>
      <x:c r="F826" s="80" t="str">
        <x:v>Priya Menon</x:v>
      </x:c>
      <x:c r="G826" s="80" t="str">
        <x:v>Consumer</x:v>
      </x:c>
      <x:c r="H826" s="80" t="str">
        <x:v>West</x:v>
      </x:c>
      <x:c r="I826" s="80" t="str">
        <x:v>Goa</x:v>
      </x:c>
      <x:c r="J826" s="80" t="str">
        <x:v>Panaji</x:v>
      </x:c>
      <x:c r="K826" s="80" t="str">
        <x:v>Office Supplies</x:v>
      </x:c>
      <x:c r="L826" s="80" t="str">
        <x:v>Paper</x:v>
      </x:c>
      <x:c r="M826" s="80" t="str">
        <x:v>Pro Paper 267</x:v>
      </x:c>
      <x:c r="N826" s="80" t="str">
        <x:v>First Class</x:v>
      </x:c>
      <x:c r="O826" s="82" t="n">
        <x:v>8</x:v>
      </x:c>
      <x:c r="P826" s="83" t="n">
        <x:v>4436.74</x:v>
      </x:c>
      <x:c r="Q826" s="84" t="n">
        <x:v>0.05</x:v>
      </x:c>
      <x:c r="R826" s="83" t="n">
        <x:v>33719.22</x:v>
      </x:c>
      <x:c r="S826" s="83" t="n">
        <x:v>28924.43</x:v>
      </x:c>
      <x:c r="T826" s="83" t="n">
        <x:v>4794.79</x:v>
      </x:c>
      <x:c r="U826" s="83" t="str">
        <x:v>Paid</x:v>
      </x:c>
      <x:c r="V826" s="83" t="str">
        <x:v>Completed</x:v>
      </x:c>
      <x:c r="W826" s="151" t="n">
        <x:f>IF(OR(NOT(ISNUMBER($AP826)),COUNT($O826,$P826)&lt;2,$O826&lt;=0,$P826&lt;0),"",ROUND($O826*$P826*(1-$AP826),2))</x:f>
        <x:v>33719.22</x:v>
      </x:c>
      <x:c r="X826" s="151" t="n">
        <x:f>IF(OR(NOT(ISNUMBER($W826)),NOT(ISNUMBER($S826))),"",ROUND($W826-$S826,2))</x:f>
        <x:v>4794.79</x:v>
      </x:c>
      <x:c r="Y826" s="85" t="n">
        <x:f>IF(OR(NOT(ISNUMBER($W826)),NOT(ISNUMBER($X826)),$W826=0),"",ROUND($X826/$W826,4))</x:f>
        <x:v>0.1422</x:v>
      </x:c>
      <x:c r="Z826" s="82" t="n">
        <x:f>IF(OR($AH826&lt;&gt;"Valid",$AI826&lt;&gt;"Valid"),"",INT($D826-$C826))</x:f>
        <x:v>1</x:v>
      </x:c>
      <x:c r="AA826" s="86" t="str">
        <x:f>IF($AH826&lt;&gt;"Valid","",TEXT($C826,"mmmm"))</x:f>
        <x:v>March</x:v>
      </x:c>
      <x:c r="AB826" s="82" t="n">
        <x:f>IF($AH826&lt;&gt;"Valid","",YEAR($C826))</x:f>
        <x:v>2025</x:v>
      </x:c>
      <x:c r="AC826" s="80" t="str">
        <x:v>Consistent</x:v>
      </x:c>
      <x:c r="AD826" s="80" t="str">
        <x:v>Eligible</x:v>
      </x:c>
      <x:c r="AE826" s="80" t="str">
        <x:f>IF(OR($AH826&lt;&gt;"Valid",$AI826&lt;&gt;"Valid",$AJ826&lt;&gt;"Valid",LEFT($AM826,7)="Invalid",IFERROR(ABS($AQ826)&gt;0.01,FALSE),IFERROR(ABS($AR826)&gt;0.01,FALSE),COUNTIF($AS826,"*Conflicting duplicate*")&gt;0,COUNTIF($AS826,"*Completed order not paid*")&gt;0),"Invalid",IF(OR($H826="Unknown",$N826="Unknown",$AM826="Missing discount imputed as 0"),"Warning","Clean"))</x:f>
        <x:v>Clean</x:v>
      </x:c>
      <x:c r="AF826" s="80" t="str">
        <x:v>Pass</x:v>
      </x:c>
      <x:c r="AG826" s="80" t="str">
        <x:v>No text cleanup required</x:v>
      </x:c>
      <x:c r="AH826" s="12" t="str">
        <x:f>IF(C826="","Missing date",IF(ISNUMBER(C826),"Valid","Unrecognized/invalid date"))</x:f>
        <x:v>Valid</x:v>
      </x:c>
      <x:c r="AI826" s="12" t="str">
        <x:f>IF(D826="","Missing date",IF(ISNUMBER(D826),"Valid","Unrecognized/invalid date"))</x:f>
        <x:v>Valid</x:v>
      </x:c>
      <x:c r="AJ826" s="12" t="str">
        <x:v>Valid</x:v>
      </x:c>
      <x:c r="AK826" s="12" t="str">
        <x:v>Pass</x:v>
      </x:c>
      <x:c r="AL826" s="12" t="str">
        <x:v>None</x:v>
      </x:c>
      <x:c r="AM826" s="12" t="str">
        <x:v>Valid</x:v>
      </x:c>
      <x:c r="AN826" s="12" t="str">
        <x:v>Include in completed sales</x:v>
      </x:c>
      <x:c r="AO826" s="12" t="str">
        <x:v>Not a refunded record</x:v>
      </x:c>
      <x:c r="AP826" s="37" t="n">
        <x:f>IF(LEFT($AM826,7)="Invalid","",IF($AM826="Missing discount imputed as 0",IF(AND(COUNT($O826,$P826,$R826,$S826)=4,$O826&gt;0,$P826&gt;=0,$R826&gt;=0,$S826&gt;=0),0,""),IF(AND(ISNUMBER($Q826),$Q826&gt;=0,$Q826&lt;=0.5),$Q826,"")))</x:f>
        <x:v>0.05</x:v>
      </x:c>
      <x:c r="AQ826" s="152" t="n">
        <x:f>IF(OR($W826="",NOT(ISNUMBER($R826))),"",ROUND($R826-$W826,2))</x:f>
        <x:v>0</x:v>
      </x:c>
      <x:c r="AR826" s="152" t="n">
        <x:f>IF(OR($X826="",NOT(ISNUMBER($T826))),"",ROUND($T826-$X826,2))</x:f>
        <x:v>0</x:v>
      </x:c>
      <x:c r="AS826" s="14" t="str">
        <x:v>OK</x:v>
      </x:c>
    </x:row>
    <x:row r="827">
      <x:c r="A827" s="80" t="n">
        <x:v>827</x:v>
      </x:c>
      <x:c r="B827" s="80" t="str">
        <x:v>ORD-2025-10826</x:v>
      </x:c>
      <x:c r="C827" s="81" t="n">
        <x:v>45763</x:v>
      </x:c>
      <x:c r="D827" s="81" t="n">
        <x:v>45764</x:v>
      </x:c>
      <x:c r="E827" s="80" t="str">
        <x:v>CUST-3351</x:v>
      </x:c>
      <x:c r="F827" s="80" t="str">
        <x:v>Vikram Iyer</x:v>
      </x:c>
      <x:c r="G827" s="80" t="str">
        <x:v>Small Business</x:v>
      </x:c>
      <x:c r="H827" s="80" t="str">
        <x:v>North</x:v>
      </x:c>
      <x:c r="I827" s="80" t="str">
        <x:v>Uttar Pradesh</x:v>
      </x:c>
      <x:c r="J827" s="80" t="str">
        <x:v>Noida</x:v>
      </x:c>
      <x:c r="K827" s="80" t="str">
        <x:v>Technology</x:v>
      </x:c>
      <x:c r="L827" s="80" t="str">
        <x:v>Machines</x:v>
      </x:c>
      <x:c r="M827" s="80" t="str">
        <x:v>Basic Machines 832</x:v>
      </x:c>
      <x:c r="N827" s="80" t="str">
        <x:v>First Class</x:v>
      </x:c>
      <x:c r="O827" s="82" t="n">
        <x:v>1</x:v>
      </x:c>
      <x:c r="P827" s="83" t="n">
        <x:v>2720.17</x:v>
      </x:c>
      <x:c r="Q827" s="84" t="n">
        <x:v>0</x:v>
      </x:c>
      <x:c r="R827" s="83" t="n">
        <x:v>2720.17</x:v>
      </x:c>
      <x:c r="S827" s="83" t="n">
        <x:v>1834.23</x:v>
      </x:c>
      <x:c r="T827" s="83" t="n">
        <x:v>885.94</x:v>
      </x:c>
      <x:c r="U827" s="83" t="str">
        <x:v>Paid</x:v>
      </x:c>
      <x:c r="V827" s="83" t="str">
        <x:v>Completed</x:v>
      </x:c>
      <x:c r="W827" s="151" t="n">
        <x:f>IF(OR(NOT(ISNUMBER($AP827)),COUNT($O827,$P827)&lt;2,$O827&lt;=0,$P827&lt;0),"",ROUND($O827*$P827*(1-$AP827),2))</x:f>
        <x:v>2720.17</x:v>
      </x:c>
      <x:c r="X827" s="151" t="n">
        <x:f>IF(OR(NOT(ISNUMBER($W827)),NOT(ISNUMBER($S827))),"",ROUND($W827-$S827,2))</x:f>
        <x:v>885.94</x:v>
      </x:c>
      <x:c r="Y827" s="85" t="n">
        <x:f>IF(OR(NOT(ISNUMBER($W827)),NOT(ISNUMBER($X827)),$W827=0),"",ROUND($X827/$W827,4))</x:f>
        <x:v>0.3257</x:v>
      </x:c>
      <x:c r="Z827" s="82" t="n">
        <x:f>IF(OR($AH827&lt;&gt;"Valid",$AI827&lt;&gt;"Valid"),"",INT($D827-$C827))</x:f>
        <x:v>1</x:v>
      </x:c>
      <x:c r="AA827" s="86" t="str">
        <x:f>IF($AH827&lt;&gt;"Valid","",TEXT($C827,"mmmm"))</x:f>
        <x:v>April</x:v>
      </x:c>
      <x:c r="AB827" s="82" t="n">
        <x:f>IF($AH827&lt;&gt;"Valid","",YEAR($C827))</x:f>
        <x:v>2025</x:v>
      </x:c>
      <x:c r="AC827" s="80" t="str">
        <x:v>Consistent</x:v>
      </x:c>
      <x:c r="AD827" s="80" t="str">
        <x:v>Eligible</x:v>
      </x:c>
      <x:c r="AE827" s="80" t="str">
        <x:f>IF(OR($AH827&lt;&gt;"Valid",$AI827&lt;&gt;"Valid",$AJ827&lt;&gt;"Valid",LEFT($AM827,7)="Invalid",IFERROR(ABS($AQ827)&gt;0.01,FALSE),IFERROR(ABS($AR827)&gt;0.01,FALSE),COUNTIF($AS827,"*Conflicting duplicate*")&gt;0,COUNTIF($AS827,"*Completed order not paid*")&gt;0),"Invalid",IF(OR($H827="Unknown",$N827="Unknown",$AM827="Missing discount imputed as 0"),"Warning","Clean"))</x:f>
        <x:v>Clean</x:v>
      </x:c>
      <x:c r="AF827" s="80" t="str">
        <x:v>Pass</x:v>
      </x:c>
      <x:c r="AG827" s="80" t="str">
        <x:v>No text cleanup required</x:v>
      </x:c>
      <x:c r="AH827" s="12" t="str">
        <x:f>IF(C827="","Missing date",IF(ISNUMBER(C827),"Valid","Unrecognized/invalid date"))</x:f>
        <x:v>Valid</x:v>
      </x:c>
      <x:c r="AI827" s="12" t="str">
        <x:f>IF(D827="","Missing date",IF(ISNUMBER(D827),"Valid","Unrecognized/invalid date"))</x:f>
        <x:v>Valid</x:v>
      </x:c>
      <x:c r="AJ827" s="12" t="str">
        <x:v>Valid</x:v>
      </x:c>
      <x:c r="AK827" s="12" t="str">
        <x:v>Pass</x:v>
      </x:c>
      <x:c r="AL827" s="12" t="str">
        <x:v>None</x:v>
      </x:c>
      <x:c r="AM827" s="12" t="str">
        <x:v>Valid</x:v>
      </x:c>
      <x:c r="AN827" s="12" t="str">
        <x:v>Include in completed sales</x:v>
      </x:c>
      <x:c r="AO827" s="12" t="str">
        <x:v>Not a refunded record</x:v>
      </x:c>
      <x:c r="AP827" s="37" t="n">
        <x:f>IF(LEFT($AM827,7)="Invalid","",IF($AM827="Missing discount imputed as 0",IF(AND(COUNT($O827,$P827,$R827,$S827)=4,$O827&gt;0,$P827&gt;=0,$R827&gt;=0,$S827&gt;=0),0,""),IF(AND(ISNUMBER($Q827),$Q827&gt;=0,$Q827&lt;=0.5),$Q827,"")))</x:f>
        <x:v>0</x:v>
      </x:c>
      <x:c r="AQ827" s="152" t="n">
        <x:f>IF(OR($W827="",NOT(ISNUMBER($R827))),"",ROUND($R827-$W827,2))</x:f>
        <x:v>0</x:v>
      </x:c>
      <x:c r="AR827" s="152" t="n">
        <x:f>IF(OR($X827="",NOT(ISNUMBER($T827))),"",ROUND($T827-$X827,2))</x:f>
        <x:v>0</x:v>
      </x:c>
      <x:c r="AS827" s="14" t="str">
        <x:v>OK</x:v>
      </x:c>
    </x:row>
    <x:row r="828">
      <x:c r="A828" s="80" t="n">
        <x:v>828</x:v>
      </x:c>
      <x:c r="B828" s="80" t="str">
        <x:v>ORD-2025-10827</x:v>
      </x:c>
      <x:c r="C828" s="81" t="n">
        <x:v>45879</x:v>
      </x:c>
      <x:c r="D828" s="81" t="n">
        <x:v>45883</x:v>
      </x:c>
      <x:c r="E828" s="80" t="str">
        <x:v>CUST-4375</x:v>
      </x:c>
      <x:c r="F828" s="80" t="str">
        <x:v>Aditi Sen</x:v>
      </x:c>
      <x:c r="G828" s="80" t="str">
        <x:v>Consumer</x:v>
      </x:c>
      <x:c r="H828" s="80" t="str">
        <x:v>West</x:v>
      </x:c>
      <x:c r="I828" s="80" t="str">
        <x:v>Rajasthan</x:v>
      </x:c>
      <x:c r="J828" s="80" t="str">
        <x:v>Udaipur</x:v>
      </x:c>
      <x:c r="K828" s="80" t="str">
        <x:v>Technology</x:v>
      </x:c>
      <x:c r="L828" s="80" t="str">
        <x:v>Accessories</x:v>
      </x:c>
      <x:c r="M828" s="80" t="str">
        <x:v>Elite Accessories 790</x:v>
      </x:c>
      <x:c r="N828" s="80" t="str">
        <x:v>Standard Class</x:v>
      </x:c>
      <x:c r="O828" s="82" t="n">
        <x:v>5</x:v>
      </x:c>
      <x:c r="P828" s="83" t="n">
        <x:v>2190.14</x:v>
      </x:c>
      <x:c r="Q828" s="84" t="n">
        <x:v>0.25</x:v>
      </x:c>
      <x:c r="R828" s="83" t="n">
        <x:v>8213.02</x:v>
      </x:c>
      <x:c r="S828" s="83" t="n">
        <x:v>5569.3</x:v>
      </x:c>
      <x:c r="T828" s="83" t="n">
        <x:v>2643.72</x:v>
      </x:c>
      <x:c r="U828" s="83" t="str">
        <x:v>Paid</x:v>
      </x:c>
      <x:c r="V828" s="83" t="str">
        <x:v>Completed</x:v>
      </x:c>
      <x:c r="W828" s="151" t="n">
        <x:f>IF(OR(NOT(ISNUMBER($AP828)),COUNT($O828,$P828)&lt;2,$O828&lt;=0,$P828&lt;0),"",ROUND($O828*$P828*(1-$AP828),2))</x:f>
        <x:v>8213.03</x:v>
      </x:c>
      <x:c r="X828" s="151" t="n">
        <x:f>IF(OR(NOT(ISNUMBER($W828)),NOT(ISNUMBER($S828))),"",ROUND($W828-$S828,2))</x:f>
        <x:v>2643.73</x:v>
      </x:c>
      <x:c r="Y828" s="85" t="n">
        <x:f>IF(OR(NOT(ISNUMBER($W828)),NOT(ISNUMBER($X828)),$W828=0),"",ROUND($X828/$W828,4))</x:f>
        <x:v>0.3219</x:v>
      </x:c>
      <x:c r="Z828" s="82" t="n">
        <x:f>IF(OR($AH828&lt;&gt;"Valid",$AI828&lt;&gt;"Valid"),"",INT($D828-$C828))</x:f>
        <x:v>4</x:v>
      </x:c>
      <x:c r="AA828" s="86" t="str">
        <x:f>IF($AH828&lt;&gt;"Valid","",TEXT($C828,"mmmm"))</x:f>
        <x:v>August</x:v>
      </x:c>
      <x:c r="AB828" s="82" t="n">
        <x:f>IF($AH828&lt;&gt;"Valid","",YEAR($C828))</x:f>
        <x:v>2025</x:v>
      </x:c>
      <x:c r="AC828" s="80" t="str">
        <x:v>Consistent</x:v>
      </x:c>
      <x:c r="AD828" s="80" t="str">
        <x:v>Eligible</x:v>
      </x:c>
      <x:c r="AE828" s="80" t="str">
        <x:f>IF(OR($AH828&lt;&gt;"Valid",$AI828&lt;&gt;"Valid",$AJ828&lt;&gt;"Valid",LEFT($AM828,7)="Invalid",IFERROR(ABS($AQ828)&gt;0.01,FALSE),IFERROR(ABS($AR828)&gt;0.01,FALSE),COUNTIF($AS828,"*Conflicting duplicate*")&gt;0,COUNTIF($AS828,"*Completed order not paid*")&gt;0),"Invalid",IF(OR($H828="Unknown",$N828="Unknown",$AM828="Missing discount imputed as 0"),"Warning","Clean"))</x:f>
        <x:v>Clean</x:v>
      </x:c>
      <x:c r="AF828" s="80" t="str">
        <x:v>Pass</x:v>
      </x:c>
      <x:c r="AG828" s="80" t="str">
        <x:v>No text cleanup required</x:v>
      </x:c>
      <x:c r="AH828" s="12" t="str">
        <x:f>IF(C828="","Missing date",IF(ISNUMBER(C828),"Valid","Unrecognized/invalid date"))</x:f>
        <x:v>Valid</x:v>
      </x:c>
      <x:c r="AI828" s="12" t="str">
        <x:f>IF(D828="","Missing date",IF(ISNUMBER(D828),"Valid","Unrecognized/invalid date"))</x:f>
        <x:v>Valid</x:v>
      </x:c>
      <x:c r="AJ828" s="12" t="str">
        <x:v>Valid</x:v>
      </x:c>
      <x:c r="AK828" s="12" t="str">
        <x:v>Pass</x:v>
      </x:c>
      <x:c r="AL828" s="12" t="str">
        <x:v>None</x:v>
      </x:c>
      <x:c r="AM828" s="12" t="str">
        <x:v>Valid</x:v>
      </x:c>
      <x:c r="AN828" s="12" t="str">
        <x:v>Include in completed sales</x:v>
      </x:c>
      <x:c r="AO828" s="12" t="str">
        <x:v>Not a refunded record</x:v>
      </x:c>
      <x:c r="AP828" s="37" t="n">
        <x:f>IF(LEFT($AM828,7)="Invalid","",IF($AM828="Missing discount imputed as 0",IF(AND(COUNT($O828,$P828,$R828,$S828)=4,$O828&gt;0,$P828&gt;=0,$R828&gt;=0,$S828&gt;=0),0,""),IF(AND(ISNUMBER($Q828),$Q828&gt;=0,$Q828&lt;=0.5),$Q828,"")))</x:f>
        <x:v>0.25</x:v>
      </x:c>
      <x:c r="AQ828" s="152" t="n">
        <x:f>IF(OR($W828="",NOT(ISNUMBER($R828))),"",ROUND($R828-$W828,2))</x:f>
        <x:v>-0.01</x:v>
      </x:c>
      <x:c r="AR828" s="152" t="n">
        <x:f>IF(OR($X828="",NOT(ISNUMBER($T828))),"",ROUND($T828-$X828,2))</x:f>
        <x:v>-0.01</x:v>
      </x:c>
      <x:c r="AS828" s="14" t="str">
        <x:v>OK</x:v>
      </x:c>
    </x:row>
    <x:row r="829">
      <x:c r="A829" s="80" t="n">
        <x:v>829</x:v>
      </x:c>
      <x:c r="B829" s="80" t="str">
        <x:v>ORD-2024-10828</x:v>
      </x:c>
      <x:c r="C829" s="81" t="n">
        <x:v>45620</x:v>
      </x:c>
      <x:c r="D829" s="81" t="n">
        <x:v>45627</x:v>
      </x:c>
      <x:c r="E829" s="80" t="str">
        <x:v>CUST-5125</x:v>
      </x:c>
      <x:c r="F829" s="80" t="str">
        <x:v>Priya Menon</x:v>
      </x:c>
      <x:c r="G829" s="80" t="str">
        <x:v>Home Office</x:v>
      </x:c>
      <x:c r="H829" s="80" t="str">
        <x:v>South</x:v>
      </x:c>
      <x:c r="I829" s="80" t="str">
        <x:v>Tamil Nadu</x:v>
      </x:c>
      <x:c r="J829" s="80" t="str">
        <x:v>Chennai</x:v>
      </x:c>
      <x:c r="K829" s="80" t="str">
        <x:v>Office Supplies</x:v>
      </x:c>
      <x:c r="L829" s="80" t="str">
        <x:v>Paper</x:v>
      </x:c>
      <x:c r="M829" s="80" t="str">
        <x:v>Basic Paper 707</x:v>
      </x:c>
      <x:c r="N829" s="80" t="str">
        <x:v>Same Day</x:v>
      </x:c>
      <x:c r="O829" s="82" t="n">
        <x:v>1</x:v>
      </x:c>
      <x:c r="P829" s="83" t="n">
        <x:v>844.89</x:v>
      </x:c>
      <x:c r="Q829" s="84" t="n">
        <x:v>0.25</x:v>
      </x:c>
      <x:c r="R829" s="83" t="n">
        <x:v>633.67</x:v>
      </x:c>
      <x:c r="S829" s="83" t="n">
        <x:v>520.47</x:v>
      </x:c>
      <x:c r="T829" s="83" t="n">
        <x:v>113.2</x:v>
      </x:c>
      <x:c r="U829" s="83" t="str">
        <x:v>Paid</x:v>
      </x:c>
      <x:c r="V829" s="83" t="str">
        <x:v>Cancelled</x:v>
      </x:c>
      <x:c r="W829" s="151" t="n">
        <x:f>IF(OR(NOT(ISNUMBER($AP829)),COUNT($O829,$P829)&lt;2,$O829&lt;=0,$P829&lt;0),"",ROUND($O829*$P829*(1-$AP829),2))</x:f>
        <x:v>633.67</x:v>
      </x:c>
      <x:c r="X829" s="151" t="n">
        <x:f>IF(OR(NOT(ISNUMBER($W829)),NOT(ISNUMBER($S829))),"",ROUND($W829-$S829,2))</x:f>
        <x:v>113.2</x:v>
      </x:c>
      <x:c r="Y829" s="85" t="n">
        <x:f>IF(OR(NOT(ISNUMBER($W829)),NOT(ISNUMBER($X829)),$W829=0),"",ROUND($X829/$W829,4))</x:f>
        <x:v>0.1786</x:v>
      </x:c>
      <x:c r="Z829" s="82" t="n">
        <x:f>IF(OR($AH829&lt;&gt;"Valid",$AI829&lt;&gt;"Valid"),"",INT($D829-$C829))</x:f>
        <x:v>7</x:v>
      </x:c>
      <x:c r="AA829" s="86" t="str">
        <x:f>IF($AH829&lt;&gt;"Valid","",TEXT($C829,"mmmm"))</x:f>
        <x:v>November</x:v>
      </x:c>
      <x:c r="AB829" s="82" t="n">
        <x:f>IF($AH829&lt;&gt;"Valid","",YEAR($C829))</x:f>
        <x:v>2024</x:v>
      </x:c>
      <x:c r="AC829" s="80" t="str">
        <x:v>Cancelled (excluded from completed-sales summary)</x:v>
      </x:c>
      <x:c r="AD829" s="80" t="str">
        <x:v>Excluded</x:v>
      </x:c>
      <x:c r="AE829" s="80" t="str">
        <x:f>IF(OR($AH829&lt;&gt;"Valid",$AI829&lt;&gt;"Valid",$AJ829&lt;&gt;"Valid",LEFT($AM829,7)="Invalid",IFERROR(ABS($AQ829)&gt;0.01,FALSE),IFERROR(ABS($AR829)&gt;0.01,FALSE),COUNTIF($AS829,"*Conflicting duplicate*")&gt;0,COUNTIF($AS829,"*Completed order not paid*")&gt;0),"Invalid",IF(OR($H829="Unknown",$N829="Unknown",$AM829="Missing discount imputed as 0"),"Warning","Clean"))</x:f>
        <x:v>Clean</x:v>
      </x:c>
      <x:c r="AF829" s="80" t="str">
        <x:v>Pass</x:v>
      </x:c>
      <x:c r="AG829" s="80" t="str">
        <x:v>No text cleanup required</x:v>
      </x:c>
      <x:c r="AH829" s="12" t="str">
        <x:f>IF(C829="","Missing date",IF(ISNUMBER(C829),"Valid","Unrecognized/invalid date"))</x:f>
        <x:v>Valid</x:v>
      </x:c>
      <x:c r="AI829" s="12" t="str">
        <x:f>IF(D829="","Missing date",IF(ISNUMBER(D829),"Valid","Unrecognized/invalid date"))</x:f>
        <x:v>Valid</x:v>
      </x:c>
      <x:c r="AJ829" s="12" t="str">
        <x:v>Valid</x:v>
      </x:c>
      <x:c r="AK829" s="12" t="str">
        <x:v>Pass</x:v>
      </x:c>
      <x:c r="AL829" s="12" t="str">
        <x:v>Cancelled order – excluded from completed sales</x:v>
      </x:c>
      <x:c r="AM829" s="12" t="str">
        <x:v>Valid</x:v>
      </x:c>
      <x:c r="AN829" s="12" t="str">
        <x:v>Exclude from completed sales</x:v>
      </x:c>
      <x:c r="AO829" s="12" t="str">
        <x:v>Not a refunded record</x:v>
      </x:c>
      <x:c r="AP829" s="37" t="n">
        <x:f>IF(LEFT($AM829,7)="Invalid","",IF($AM829="Missing discount imputed as 0",IF(AND(COUNT($O829,$P829,$R829,$S829)=4,$O829&gt;0,$P829&gt;=0,$R829&gt;=0,$S829&gt;=0),0,""),IF(AND(ISNUMBER($Q829),$Q829&gt;=0,$Q829&lt;=0.5),$Q829,"")))</x:f>
        <x:v>0.25</x:v>
      </x:c>
      <x:c r="AQ829" s="152" t="n">
        <x:f>IF(OR($W829="",NOT(ISNUMBER($R829))),"",ROUND($R829-$W829,2))</x:f>
        <x:v>0</x:v>
      </x:c>
      <x:c r="AR829" s="152" t="n">
        <x:f>IF(OR($X829="",NOT(ISNUMBER($T829))),"",ROUND($T829-$X829,2))</x:f>
        <x:v>0</x:v>
      </x:c>
      <x:c r="AS829" s="14" t="str">
        <x:v>OK</x:v>
      </x:c>
    </x:row>
    <x:row r="830">
      <x:c r="A830" s="80" t="n">
        <x:v>830</x:v>
      </x:c>
      <x:c r="B830" s="80" t="str">
        <x:v>ORD-2025-10829</x:v>
      </x:c>
      <x:c r="C830" s="81" t="n">
        <x:v>45940</x:v>
      </x:c>
      <x:c r="D830" s="81" t="n">
        <x:v>45941</x:v>
      </x:c>
      <x:c r="E830" s="80" t="str">
        <x:v>CUST-6010</x:v>
      </x:c>
      <x:c r="F830" s="80" t="str">
        <x:v>Karan Malhotra</x:v>
      </x:c>
      <x:c r="G830" s="80" t="str">
        <x:v>Corporate</x:v>
      </x:c>
      <x:c r="H830" s="80" t="str">
        <x:v>East</x:v>
      </x:c>
      <x:c r="I830" s="80" t="str">
        <x:v>Odisha</x:v>
      </x:c>
      <x:c r="J830" s="80" t="str">
        <x:v>Bhubaneswar</x:v>
      </x:c>
      <x:c r="K830" s="80" t="str">
        <x:v>Furniture</x:v>
      </x:c>
      <x:c r="L830" s="80" t="str">
        <x:v>Chairs</x:v>
      </x:c>
      <x:c r="M830" s="80" t="str">
        <x:v>Elite Chairs 979</x:v>
      </x:c>
      <x:c r="N830" s="80" t="str">
        <x:v>Second Class</x:v>
      </x:c>
      <x:c r="O830" s="82" t="n">
        <x:v>7</x:v>
      </x:c>
      <x:c r="P830" s="83" t="n">
        <x:v>3791.96</x:v>
      </x:c>
      <x:c r="Q830" s="84" t="n">
        <x:v>0.05</x:v>
      </x:c>
      <x:c r="R830" s="83" t="n">
        <x:v>25216.53</x:v>
      </x:c>
      <x:c r="S830" s="83" t="n">
        <x:v>14216.94</x:v>
      </x:c>
      <x:c r="T830" s="83" t="n">
        <x:v>10999.59</x:v>
      </x:c>
      <x:c r="U830" s="83" t="str">
        <x:v>Failed</x:v>
      </x:c>
      <x:c r="V830" s="83" t="str">
        <x:v>Cancelled</x:v>
      </x:c>
      <x:c r="W830" s="151" t="n">
        <x:f>IF(OR(NOT(ISNUMBER($AP830)),COUNT($O830,$P830)&lt;2,$O830&lt;=0,$P830&lt;0),"",ROUND($O830*$P830*(1-$AP830),2))</x:f>
        <x:v>25216.53</x:v>
      </x:c>
      <x:c r="X830" s="151" t="n">
        <x:f>IF(OR(NOT(ISNUMBER($W830)),NOT(ISNUMBER($S830))),"",ROUND($W830-$S830,2))</x:f>
        <x:v>10999.59</x:v>
      </x:c>
      <x:c r="Y830" s="85" t="n">
        <x:f>IF(OR(NOT(ISNUMBER($W830)),NOT(ISNUMBER($X830)),$W830=0),"",ROUND($X830/$W830,4))</x:f>
        <x:v>0.4362</x:v>
      </x:c>
      <x:c r="Z830" s="82" t="n">
        <x:f>IF(OR($AH830&lt;&gt;"Valid",$AI830&lt;&gt;"Valid"),"",INT($D830-$C830))</x:f>
        <x:v>1</x:v>
      </x:c>
      <x:c r="AA830" s="86" t="str">
        <x:f>IF($AH830&lt;&gt;"Valid","",TEXT($C830,"mmmm"))</x:f>
        <x:v>October</x:v>
      </x:c>
      <x:c r="AB830" s="82" t="n">
        <x:f>IF($AH830&lt;&gt;"Valid","",YEAR($C830))</x:f>
        <x:v>2025</x:v>
      </x:c>
      <x:c r="AC830" s="80" t="str">
        <x:v>Cancelled (excluded from completed-sales summary)</x:v>
      </x:c>
      <x:c r="AD830" s="80" t="str">
        <x:v>Excluded</x:v>
      </x:c>
      <x:c r="AE830" s="80" t="str">
        <x:f>IF(OR($AH830&lt;&gt;"Valid",$AI830&lt;&gt;"Valid",$AJ830&lt;&gt;"Valid",LEFT($AM830,7)="Invalid",IFERROR(ABS($AQ830)&gt;0.01,FALSE),IFERROR(ABS($AR830)&gt;0.01,FALSE),COUNTIF($AS830,"*Conflicting duplicate*")&gt;0,COUNTIF($AS830,"*Completed order not paid*")&gt;0),"Invalid",IF(OR($H830="Unknown",$N830="Unknown",$AM830="Missing discount imputed as 0"),"Warning","Clean"))</x:f>
        <x:v>Clean</x:v>
      </x:c>
      <x:c r="AF830" s="80" t="str">
        <x:v>Cleaned</x:v>
      </x:c>
      <x:c r="AG830" s="80" t="str">
        <x:v>customer_name: TRIM/SUBSTITUTE whitespace cleanup</x:v>
      </x:c>
      <x:c r="AH830" s="12" t="str">
        <x:f>IF(C830="","Missing date",IF(ISNUMBER(C830),"Valid","Unrecognized/invalid date"))</x:f>
        <x:v>Valid</x:v>
      </x:c>
      <x:c r="AI830" s="12" t="str">
        <x:f>IF(D830="","Missing date",IF(ISNUMBER(D830),"Valid","Unrecognized/invalid date"))</x:f>
        <x:v>Valid</x:v>
      </x:c>
      <x:c r="AJ830" s="12" t="str">
        <x:v>Valid</x:v>
      </x:c>
      <x:c r="AK830" s="12" t="str">
        <x:v>Pass</x:v>
      </x:c>
      <x:c r="AL830" s="12" t="str">
        <x:v>Cancelled order – excluded from completed sales; Failed payment – excluded from completed sales</x:v>
      </x:c>
      <x:c r="AM830" s="12" t="str">
        <x:v>Valid</x:v>
      </x:c>
      <x:c r="AN830" s="12" t="str">
        <x:v>Exclude from completed sales</x:v>
      </x:c>
      <x:c r="AO830" s="12" t="str">
        <x:v>Not a refunded record</x:v>
      </x:c>
      <x:c r="AP830" s="37" t="n">
        <x:f>IF(LEFT($AM830,7)="Invalid","",IF($AM830="Missing discount imputed as 0",IF(AND(COUNT($O830,$P830,$R830,$S830)=4,$O830&gt;0,$P830&gt;=0,$R830&gt;=0,$S830&gt;=0),0,""),IF(AND(ISNUMBER($Q830),$Q830&gt;=0,$Q830&lt;=0.5),$Q830,"")))</x:f>
        <x:v>0.05</x:v>
      </x:c>
      <x:c r="AQ830" s="152" t="n">
        <x:f>IF(OR($W830="",NOT(ISNUMBER($R830))),"",ROUND($R830-$W830,2))</x:f>
        <x:v>0</x:v>
      </x:c>
      <x:c r="AR830" s="152" t="n">
        <x:f>IF(OR($X830="",NOT(ISNUMBER($T830))),"",ROUND($T830-$X830,2))</x:f>
        <x:v>0</x:v>
      </x:c>
      <x:c r="AS830" s="14" t="str">
        <x:v>OK</x:v>
      </x:c>
    </x:row>
    <x:row r="831">
      <x:c r="A831" s="80" t="n">
        <x:v>831</x:v>
      </x:c>
      <x:c r="B831" s="80" t="str">
        <x:v>ORD-2024-10830</x:v>
      </x:c>
      <x:c r="C831" s="81" t="n">
        <x:v>45348</x:v>
      </x:c>
      <x:c r="D831" s="81" t="n">
        <x:v>45350</x:v>
      </x:c>
      <x:c r="E831" s="80" t="str">
        <x:v>CUST-9036</x:v>
      </x:c>
      <x:c r="F831" s="80" t="str">
        <x:v>Aditi Sen</x:v>
      </x:c>
      <x:c r="G831" s="80" t="str">
        <x:v>Small Business</x:v>
      </x:c>
      <x:c r="H831" s="80" t="str">
        <x:v>West</x:v>
      </x:c>
      <x:c r="I831" s="80" t="str">
        <x:v>Goa</x:v>
      </x:c>
      <x:c r="J831" s="80" t="str">
        <x:v>Panaji</x:v>
      </x:c>
      <x:c r="K831" s="80" t="str">
        <x:v>Furniture</x:v>
      </x:c>
      <x:c r="L831" s="80" t="str">
        <x:v>Furnishings</x:v>
      </x:c>
      <x:c r="M831" s="80" t="str">
        <x:v>Pro Furnishings 192</x:v>
      </x:c>
      <x:c r="N831" s="80" t="str">
        <x:v>Second Class</x:v>
      </x:c>
      <x:c r="O831" s="82" t="n">
        <x:v>7</x:v>
      </x:c>
      <x:c r="P831" s="83" t="n">
        <x:v>1035.14</x:v>
      </x:c>
      <x:c r="Q831" s="84" t="n">
        <x:v>0.1</x:v>
      </x:c>
      <x:c r="R831" s="83" t="n">
        <x:v>6521.38</x:v>
      </x:c>
      <x:c r="S831" s="83" t="n">
        <x:v>4511.1</x:v>
      </x:c>
      <x:c r="T831" s="83" t="n">
        <x:v>2010.28</x:v>
      </x:c>
      <x:c r="U831" s="83" t="str">
        <x:v>Paid</x:v>
      </x:c>
      <x:c r="V831" s="83" t="str">
        <x:v>Completed</x:v>
      </x:c>
      <x:c r="W831" s="151" t="n">
        <x:f>IF(OR(NOT(ISNUMBER($AP831)),COUNT($O831,$P831)&lt;2,$O831&lt;=0,$P831&lt;0),"",ROUND($O831*$P831*(1-$AP831),2))</x:f>
        <x:v>6521.38</x:v>
      </x:c>
      <x:c r="X831" s="151" t="n">
        <x:f>IF(OR(NOT(ISNUMBER($W831)),NOT(ISNUMBER($S831))),"",ROUND($W831-$S831,2))</x:f>
        <x:v>2010.28</x:v>
      </x:c>
      <x:c r="Y831" s="85" t="n">
        <x:f>IF(OR(NOT(ISNUMBER($W831)),NOT(ISNUMBER($X831)),$W831=0),"",ROUND($X831/$W831,4))</x:f>
        <x:v>0.3083</x:v>
      </x:c>
      <x:c r="Z831" s="82" t="n">
        <x:f>IF(OR($AH831&lt;&gt;"Valid",$AI831&lt;&gt;"Valid"),"",INT($D831-$C831))</x:f>
        <x:v>2</x:v>
      </x:c>
      <x:c r="AA831" s="86" t="str">
        <x:f>IF($AH831&lt;&gt;"Valid","",TEXT($C831,"mmmm"))</x:f>
        <x:v>February</x:v>
      </x:c>
      <x:c r="AB831" s="82" t="n">
        <x:f>IF($AH831&lt;&gt;"Valid","",YEAR($C831))</x:f>
        <x:v>2024</x:v>
      </x:c>
      <x:c r="AC831" s="80" t="str">
        <x:v>Consistent</x:v>
      </x:c>
      <x:c r="AD831" s="80" t="str">
        <x:v>Eligible</x:v>
      </x:c>
      <x:c r="AE831" s="80" t="str">
        <x:f>IF(OR($AH831&lt;&gt;"Valid",$AI831&lt;&gt;"Valid",$AJ831&lt;&gt;"Valid",LEFT($AM831,7)="Invalid",IFERROR(ABS($AQ831)&gt;0.01,FALSE),IFERROR(ABS($AR831)&gt;0.01,FALSE),COUNTIF($AS831,"*Conflicting duplicate*")&gt;0,COUNTIF($AS831,"*Completed order not paid*")&gt;0),"Invalid",IF(OR($H831="Unknown",$N831="Unknown",$AM831="Missing discount imputed as 0"),"Warning","Clean"))</x:f>
        <x:v>Clean</x:v>
      </x:c>
      <x:c r="AF831" s="80" t="str">
        <x:v>Pass</x:v>
      </x:c>
      <x:c r="AG831" s="80" t="str">
        <x:v>No text cleanup required</x:v>
      </x:c>
      <x:c r="AH831" s="12" t="str">
        <x:f>IF(C831="","Missing date",IF(ISNUMBER(C831),"Valid","Unrecognized/invalid date"))</x:f>
        <x:v>Valid</x:v>
      </x:c>
      <x:c r="AI831" s="12" t="str">
        <x:f>IF(D831="","Missing date",IF(ISNUMBER(D831),"Valid","Unrecognized/invalid date"))</x:f>
        <x:v>Valid</x:v>
      </x:c>
      <x:c r="AJ831" s="12" t="str">
        <x:v>Valid</x:v>
      </x:c>
      <x:c r="AK831" s="12" t="str">
        <x:v>Pass</x:v>
      </x:c>
      <x:c r="AL831" s="12" t="str">
        <x:v>None</x:v>
      </x:c>
      <x:c r="AM831" s="12" t="str">
        <x:v>Valid</x:v>
      </x:c>
      <x:c r="AN831" s="12" t="str">
        <x:v>Include in completed sales</x:v>
      </x:c>
      <x:c r="AO831" s="12" t="str">
        <x:v>Not a refunded record</x:v>
      </x:c>
      <x:c r="AP831" s="37" t="n">
        <x:f>IF(LEFT($AM831,7)="Invalid","",IF($AM831="Missing discount imputed as 0",IF(AND(COUNT($O831,$P831,$R831,$S831)=4,$O831&gt;0,$P831&gt;=0,$R831&gt;=0,$S831&gt;=0),0,""),IF(AND(ISNUMBER($Q831),$Q831&gt;=0,$Q831&lt;=0.5),$Q831,"")))</x:f>
        <x:v>0.1</x:v>
      </x:c>
      <x:c r="AQ831" s="152" t="n">
        <x:f>IF(OR($W831="",NOT(ISNUMBER($R831))),"",ROUND($R831-$W831,2))</x:f>
        <x:v>0</x:v>
      </x:c>
      <x:c r="AR831" s="152" t="n">
        <x:f>IF(OR($X831="",NOT(ISNUMBER($T831))),"",ROUND($T831-$X831,2))</x:f>
        <x:v>0</x:v>
      </x:c>
      <x:c r="AS831" s="14" t="str">
        <x:v>OK</x:v>
      </x:c>
    </x:row>
    <x:row r="832">
      <x:c r="A832" s="80" t="n">
        <x:v>832</x:v>
      </x:c>
      <x:c r="B832" s="80" t="str">
        <x:v>ORD-2025-10831</x:v>
      </x:c>
      <x:c r="C832" s="81" t="n">
        <x:v>45853</x:v>
      </x:c>
      <x:c r="D832" s="81" t="n">
        <x:v>45856</x:v>
      </x:c>
      <x:c r="E832" s="80" t="str">
        <x:v>CUST-7929</x:v>
      </x:c>
      <x:c r="F832" s="80" t="str">
        <x:v>Aditi Sen</x:v>
      </x:c>
      <x:c r="G832" s="80" t="str">
        <x:v>Small Business</x:v>
      </x:c>
      <x:c r="H832" s="80" t="str">
        <x:v>Unknown</x:v>
      </x:c>
      <x:c r="I832" s="80" t="str">
        <x:v>Tamil Nadu</x:v>
      </x:c>
      <x:c r="J832" s="80" t="str">
        <x:v>Chennai</x:v>
      </x:c>
      <x:c r="K832" s="80" t="str">
        <x:v>Technology</x:v>
      </x:c>
      <x:c r="L832" s="80" t="str">
        <x:v>Machines</x:v>
      </x:c>
      <x:c r="M832" s="80" t="str">
        <x:v>Smart Machines 951</x:v>
      </x:c>
      <x:c r="N832" s="80" t="str">
        <x:v>First Class</x:v>
      </x:c>
      <x:c r="O832" s="82" t="n">
        <x:v>6</x:v>
      </x:c>
      <x:c r="P832" s="83" t="n">
        <x:v>2382.88</x:v>
      </x:c>
      <x:c r="Q832" s="84" t="n">
        <x:v>0.1</x:v>
      </x:c>
      <x:c r="R832" s="83" t="n">
        <x:v>12867.55</x:v>
      </x:c>
      <x:c r="S832" s="83" t="n">
        <x:v>10068.94</x:v>
      </x:c>
      <x:c r="T832" s="83" t="n">
        <x:v>2798.61</x:v>
      </x:c>
      <x:c r="U832" s="83" t="str">
        <x:v>Paid</x:v>
      </x:c>
      <x:c r="V832" s="83" t="str">
        <x:v>Completed</x:v>
      </x:c>
      <x:c r="W832" s="151" t="n">
        <x:f>IF(OR(NOT(ISNUMBER($AP832)),COUNT($O832,$P832)&lt;2,$O832&lt;=0,$P832&lt;0),"",ROUND($O832*$P832*(1-$AP832),2))</x:f>
        <x:v>12867.55</x:v>
      </x:c>
      <x:c r="X832" s="151" t="n">
        <x:f>IF(OR(NOT(ISNUMBER($W832)),NOT(ISNUMBER($S832))),"",ROUND($W832-$S832,2))</x:f>
        <x:v>2798.61</x:v>
      </x:c>
      <x:c r="Y832" s="85" t="n">
        <x:f>IF(OR(NOT(ISNUMBER($W832)),NOT(ISNUMBER($X832)),$W832=0),"",ROUND($X832/$W832,4))</x:f>
        <x:v>0.2175</x:v>
      </x:c>
      <x:c r="Z832" s="82" t="n">
        <x:f>IF(OR($AH832&lt;&gt;"Valid",$AI832&lt;&gt;"Valid"),"",INT($D832-$C832))</x:f>
        <x:v>3</x:v>
      </x:c>
      <x:c r="AA832" s="86" t="str">
        <x:f>IF($AH832&lt;&gt;"Valid","",TEXT($C832,"mmmm"))</x:f>
        <x:v>July</x:v>
      </x:c>
      <x:c r="AB832" s="82" t="n">
        <x:f>IF($AH832&lt;&gt;"Valid","",YEAR($C832))</x:f>
        <x:v>2025</x:v>
      </x:c>
      <x:c r="AC832" s="80" t="str">
        <x:v>Consistent</x:v>
      </x:c>
      <x:c r="AD832" s="80" t="str">
        <x:v>Eligible</x:v>
      </x:c>
      <x:c r="AE832" s="80" t="str">
        <x:f>IF(OR($AH832&lt;&gt;"Valid",$AI832&lt;&gt;"Valid",$AJ832&lt;&gt;"Valid",LEFT($AM832,7)="Invalid",IFERROR(ABS($AQ832)&gt;0.01,FALSE),IFERROR(ABS($AR832)&gt;0.01,FALSE),COUNTIF($AS832,"*Conflicting duplicate*")&gt;0,COUNTIF($AS832,"*Completed order not paid*")&gt;0),"Invalid",IF(OR($H832="Unknown",$N832="Unknown",$AM832="Missing discount imputed as 0"),"Warning","Clean"))</x:f>
        <x:v>Warning</x:v>
      </x:c>
      <x:c r="AF832" s="80" t="str">
        <x:v>Cleaned</x:v>
      </x:c>
      <x:c r="AG832" s="80" t="str">
        <x:v>region: Missing value filled as Unknown</x:v>
      </x:c>
      <x:c r="AH832" s="12" t="str">
        <x:f>IF(C832="","Missing date",IF(ISNUMBER(C832),"Valid","Unrecognized/invalid date"))</x:f>
        <x:v>Valid</x:v>
      </x:c>
      <x:c r="AI832" s="12" t="str">
        <x:f>IF(D832="","Missing date",IF(ISNUMBER(D832),"Valid","Unrecognized/invalid date"))</x:f>
        <x:v>Valid</x:v>
      </x:c>
      <x:c r="AJ832" s="12" t="str">
        <x:v>Valid</x:v>
      </x:c>
      <x:c r="AK832" s="12" t="str">
        <x:v>Pass</x:v>
      </x:c>
      <x:c r="AL832" s="12" t="str">
        <x:v>Missing region filled as Unknown</x:v>
      </x:c>
      <x:c r="AM832" s="12" t="str">
        <x:v>Valid</x:v>
      </x:c>
      <x:c r="AN832" s="12" t="str">
        <x:v>Include in completed sales</x:v>
      </x:c>
      <x:c r="AO832" s="12" t="str">
        <x:v>Not a refunded record</x:v>
      </x:c>
      <x:c r="AP832" s="37" t="n">
        <x:f>IF(LEFT($AM832,7)="Invalid","",IF($AM832="Missing discount imputed as 0",IF(AND(COUNT($O832,$P832,$R832,$S832)=4,$O832&gt;0,$P832&gt;=0,$R832&gt;=0,$S832&gt;=0),0,""),IF(AND(ISNUMBER($Q832),$Q832&gt;=0,$Q832&lt;=0.5),$Q832,"")))</x:f>
        <x:v>0.1</x:v>
      </x:c>
      <x:c r="AQ832" s="152" t="n">
        <x:f>IF(OR($W832="",NOT(ISNUMBER($R832))),"",ROUND($R832-$W832,2))</x:f>
        <x:v>0</x:v>
      </x:c>
      <x:c r="AR832" s="152" t="n">
        <x:f>IF(OR($X832="",NOT(ISNUMBER($T832))),"",ROUND($T832-$X832,2))</x:f>
        <x:v>0</x:v>
      </x:c>
      <x:c r="AS832" s="14" t="str">
        <x:v>OK</x:v>
      </x:c>
    </x:row>
    <x:row r="833">
      <x:c r="A833" s="80" t="n">
        <x:v>833</x:v>
      </x:c>
      <x:c r="B833" s="80" t="str">
        <x:v>ORD-2025-10832</x:v>
      </x:c>
      <x:c r="C833" s="81" t="n">
        <x:v>45750</x:v>
      </x:c>
      <x:c r="D833" s="81" t="n">
        <x:v>45750</x:v>
      </x:c>
      <x:c r="E833" s="80" t="str">
        <x:v>CUST-1106</x:v>
      </x:c>
      <x:c r="F833" s="80" t="str">
        <x:v>Diya Patel</x:v>
      </x:c>
      <x:c r="G833" s="80" t="str">
        <x:v>Home Office</x:v>
      </x:c>
      <x:c r="H833" s="80" t="str">
        <x:v>Unknown</x:v>
      </x:c>
      <x:c r="I833" s="80" t="str">
        <x:v>Haryana</x:v>
      </x:c>
      <x:c r="J833" s="80" t="str">
        <x:v>Gurugram</x:v>
      </x:c>
      <x:c r="K833" s="80" t="str">
        <x:v>Furniture</x:v>
      </x:c>
      <x:c r="L833" s="80" t="str">
        <x:v>Chairs</x:v>
      </x:c>
      <x:c r="M833" s="80" t="str">
        <x:v>Smart Chairs 794</x:v>
      </x:c>
      <x:c r="N833" s="80" t="str">
        <x:v>First Class</x:v>
      </x:c>
      <x:c r="O833" s="82" t="n">
        <x:v>9</x:v>
      </x:c>
      <x:c r="P833" s="83" t="n">
        <x:v>3462.7</x:v>
      </x:c>
      <x:c r="Q833" s="84" t="n">
        <x:v>0.15</x:v>
      </x:c>
      <x:c r="R833" s="83" t="n">
        <x:v>26489.65</x:v>
      </x:c>
      <x:c r="S833" s="83" t="n">
        <x:v>15818.46</x:v>
      </x:c>
      <x:c r="T833" s="83" t="n">
        <x:v>10671.19</x:v>
      </x:c>
      <x:c r="U833" s="83" t="str">
        <x:v>Failed</x:v>
      </x:c>
      <x:c r="V833" s="83" t="str">
        <x:v>Returned</x:v>
      </x:c>
      <x:c r="W833" s="151" t="n">
        <x:f>IF(OR(NOT(ISNUMBER($AP833)),COUNT($O833,$P833)&lt;2,$O833&lt;=0,$P833&lt;0),"",ROUND($O833*$P833*(1-$AP833),2))</x:f>
        <x:v>26489.66</x:v>
      </x:c>
      <x:c r="X833" s="151" t="n">
        <x:f>IF(OR(NOT(ISNUMBER($W833)),NOT(ISNUMBER($S833))),"",ROUND($W833-$S833,2))</x:f>
        <x:v>10671.2</x:v>
      </x:c>
      <x:c r="Y833" s="85" t="n">
        <x:f>IF(OR(NOT(ISNUMBER($W833)),NOT(ISNUMBER($X833)),$W833=0),"",ROUND($X833/$W833,4))</x:f>
        <x:v>0.4028</x:v>
      </x:c>
      <x:c r="Z833" s="82" t="n">
        <x:f>IF(OR($AH833&lt;&gt;"Valid",$AI833&lt;&gt;"Valid"),"",INT($D833-$C833))</x:f>
        <x:v>0</x:v>
      </x:c>
      <x:c r="AA833" s="86" t="str">
        <x:f>IF($AH833&lt;&gt;"Valid","",TEXT($C833,"mmmm"))</x:f>
        <x:v>April</x:v>
      </x:c>
      <x:c r="AB833" s="82" t="n">
        <x:f>IF($AH833&lt;&gt;"Valid","",YEAR($C833))</x:f>
        <x:v>2025</x:v>
      </x:c>
      <x:c r="AC833" s="80" t="str">
        <x:v>Failed payment (excluded from completed-sales summary)</x:v>
      </x:c>
      <x:c r="AD833" s="80" t="str">
        <x:v>Excluded</x:v>
      </x:c>
      <x:c r="AE833" s="80" t="str">
        <x:f>IF(OR($AH833&lt;&gt;"Valid",$AI833&lt;&gt;"Valid",$AJ833&lt;&gt;"Valid",LEFT($AM833,7)="Invalid",IFERROR(ABS($AQ833)&gt;0.01,FALSE),IFERROR(ABS($AR833)&gt;0.01,FALSE),COUNTIF($AS833,"*Conflicting duplicate*")&gt;0,COUNTIF($AS833,"*Completed order not paid*")&gt;0),"Invalid",IF(OR($H833="Unknown",$N833="Unknown",$AM833="Missing discount imputed as 0"),"Warning","Clean"))</x:f>
        <x:v>Warning</x:v>
      </x:c>
      <x:c r="AF833" s="80" t="str">
        <x:v>Cleaned</x:v>
      </x:c>
      <x:c r="AG833" s="80" t="str">
        <x:v>region: Missing value filled as Unknown</x:v>
      </x:c>
      <x:c r="AH833" s="12" t="str">
        <x:f>IF(C833="","Missing date",IF(ISNUMBER(C833),"Valid","Unrecognized/invalid date"))</x:f>
        <x:v>Valid</x:v>
      </x:c>
      <x:c r="AI833" s="12" t="str">
        <x:f>IF(D833="","Missing date",IF(ISNUMBER(D833),"Valid","Unrecognized/invalid date"))</x:f>
        <x:v>Valid</x:v>
      </x:c>
      <x:c r="AJ833" s="12" t="str">
        <x:v>Valid</x:v>
      </x:c>
      <x:c r="AK833" s="12" t="str">
        <x:v>Pass</x:v>
      </x:c>
      <x:c r="AL833" s="12" t="str">
        <x:v>Missing region filled as Unknown; Failed payment – excluded from completed sales</x:v>
      </x:c>
      <x:c r="AM833" s="12" t="str">
        <x:v>Valid</x:v>
      </x:c>
      <x:c r="AN833" s="12" t="str">
        <x:v>Exclude from completed sales</x:v>
      </x:c>
      <x:c r="AO833" s="12" t="str">
        <x:v>Not a refunded record</x:v>
      </x:c>
      <x:c r="AP833" s="37" t="n">
        <x:f>IF(LEFT($AM833,7)="Invalid","",IF($AM833="Missing discount imputed as 0",IF(AND(COUNT($O833,$P833,$R833,$S833)=4,$O833&gt;0,$P833&gt;=0,$R833&gt;=0,$S833&gt;=0),0,""),IF(AND(ISNUMBER($Q833),$Q833&gt;=0,$Q833&lt;=0.5),$Q833,"")))</x:f>
        <x:v>0.15</x:v>
      </x:c>
      <x:c r="AQ833" s="152" t="n">
        <x:f>IF(OR($W833="",NOT(ISNUMBER($R833))),"",ROUND($R833-$W833,2))</x:f>
        <x:v>-0.01</x:v>
      </x:c>
      <x:c r="AR833" s="152" t="n">
        <x:f>IF(OR($X833="",NOT(ISNUMBER($T833))),"",ROUND($T833-$X833,2))</x:f>
        <x:v>-0.01</x:v>
      </x:c>
      <x:c r="AS833" s="14" t="str">
        <x:v>OK</x:v>
      </x:c>
    </x:row>
    <x:row r="834">
      <x:c r="A834" s="80" t="n">
        <x:v>834</x:v>
      </x:c>
      <x:c r="B834" s="80" t="str">
        <x:v>ORD-2025-10833</x:v>
      </x:c>
      <x:c r="C834" s="81" t="n">
        <x:v>45803</x:v>
      </x:c>
      <x:c r="D834" s="81" t="n">
        <x:v>45805</x:v>
      </x:c>
      <x:c r="E834" s="80" t="str">
        <x:v>CUST-9557</x:v>
      </x:c>
      <x:c r="F834" s="80" t="str">
        <x:v>Kabir Singh</x:v>
      </x:c>
      <x:c r="G834" s="80" t="str">
        <x:v>Small Business</x:v>
      </x:c>
      <x:c r="H834" s="80" t="str">
        <x:v>South</x:v>
      </x:c>
      <x:c r="I834" s="80" t="str">
        <x:v>Andhra Pradesh</x:v>
      </x:c>
      <x:c r="J834" s="80" t="str">
        <x:v>Vijayawada</x:v>
      </x:c>
      <x:c r="K834" s="80" t="str">
        <x:v>Technology</x:v>
      </x:c>
      <x:c r="L834" s="80" t="str">
        <x:v>Phones</x:v>
      </x:c>
      <x:c r="M834" s="80" t="str">
        <x:v>Max Phones 919</x:v>
      </x:c>
      <x:c r="N834" s="80" t="str">
        <x:v>Second Class</x:v>
      </x:c>
      <x:c r="O834" s="82" t="n">
        <x:v>9</x:v>
      </x:c>
      <x:c r="P834" s="83" t="n">
        <x:v>4302.02</x:v>
      </x:c>
      <x:c r="Q834" s="84" t="n">
        <x:v>0.05</x:v>
      </x:c>
      <x:c r="R834" s="83" t="n">
        <x:v>36782.27</x:v>
      </x:c>
      <x:c r="S834" s="83" t="n">
        <x:v>25902.81</x:v>
      </x:c>
      <x:c r="T834" s="83" t="n">
        <x:v>10879.46</x:v>
      </x:c>
      <x:c r="U834" s="83" t="str">
        <x:v>Paid</x:v>
      </x:c>
      <x:c r="V834" s="83" t="str">
        <x:v>Completed</x:v>
      </x:c>
      <x:c r="W834" s="151" t="n">
        <x:f>IF(OR(NOT(ISNUMBER($AP834)),COUNT($O834,$P834)&lt;2,$O834&lt;=0,$P834&lt;0),"",ROUND($O834*$P834*(1-$AP834),2))</x:f>
        <x:v>36782.27</x:v>
      </x:c>
      <x:c r="X834" s="151" t="n">
        <x:f>IF(OR(NOT(ISNUMBER($W834)),NOT(ISNUMBER($S834))),"",ROUND($W834-$S834,2))</x:f>
        <x:v>10879.46</x:v>
      </x:c>
      <x:c r="Y834" s="85" t="n">
        <x:f>IF(OR(NOT(ISNUMBER($W834)),NOT(ISNUMBER($X834)),$W834=0),"",ROUND($X834/$W834,4))</x:f>
        <x:v>0.2958</x:v>
      </x:c>
      <x:c r="Z834" s="82" t="n">
        <x:f>IF(OR($AH834&lt;&gt;"Valid",$AI834&lt;&gt;"Valid"),"",INT($D834-$C834))</x:f>
        <x:v>2</x:v>
      </x:c>
      <x:c r="AA834" s="86" t="str">
        <x:f>IF($AH834&lt;&gt;"Valid","",TEXT($C834,"mmmm"))</x:f>
        <x:v>May</x:v>
      </x:c>
      <x:c r="AB834" s="82" t="n">
        <x:f>IF($AH834&lt;&gt;"Valid","",YEAR($C834))</x:f>
        <x:v>2025</x:v>
      </x:c>
      <x:c r="AC834" s="80" t="str">
        <x:v>Consistent</x:v>
      </x:c>
      <x:c r="AD834" s="80" t="str">
        <x:v>Eligible</x:v>
      </x:c>
      <x:c r="AE834" s="80" t="str">
        <x:f>IF(OR($AH834&lt;&gt;"Valid",$AI834&lt;&gt;"Valid",$AJ834&lt;&gt;"Valid",LEFT($AM834,7)="Invalid",IFERROR(ABS($AQ834)&gt;0.01,FALSE),IFERROR(ABS($AR834)&gt;0.01,FALSE),COUNTIF($AS834,"*Conflicting duplicate*")&gt;0,COUNTIF($AS834,"*Completed order not paid*")&gt;0),"Invalid",IF(OR($H834="Unknown",$N834="Unknown",$AM834="Missing discount imputed as 0"),"Warning","Clean"))</x:f>
        <x:v>Clean</x:v>
      </x:c>
      <x:c r="AF834" s="80" t="str">
        <x:v>Pass</x:v>
      </x:c>
      <x:c r="AG834" s="80" t="str">
        <x:v>No text cleanup required</x:v>
      </x:c>
      <x:c r="AH834" s="12" t="str">
        <x:f>IF(C834="","Missing date",IF(ISNUMBER(C834),"Valid","Unrecognized/invalid date"))</x:f>
        <x:v>Valid</x:v>
      </x:c>
      <x:c r="AI834" s="12" t="str">
        <x:f>IF(D834="","Missing date",IF(ISNUMBER(D834),"Valid","Unrecognized/invalid date"))</x:f>
        <x:v>Valid</x:v>
      </x:c>
      <x:c r="AJ834" s="12" t="str">
        <x:v>Valid</x:v>
      </x:c>
      <x:c r="AK834" s="12" t="str">
        <x:v>Pass</x:v>
      </x:c>
      <x:c r="AL834" s="12" t="str">
        <x:v>None</x:v>
      </x:c>
      <x:c r="AM834" s="12" t="str">
        <x:v>Valid</x:v>
      </x:c>
      <x:c r="AN834" s="12" t="str">
        <x:v>Include in completed sales</x:v>
      </x:c>
      <x:c r="AO834" s="12" t="str">
        <x:v>Not a refunded record</x:v>
      </x:c>
      <x:c r="AP834" s="37" t="n">
        <x:f>IF(LEFT($AM834,7)="Invalid","",IF($AM834="Missing discount imputed as 0",IF(AND(COUNT($O834,$P834,$R834,$S834)=4,$O834&gt;0,$P834&gt;=0,$R834&gt;=0,$S834&gt;=0),0,""),IF(AND(ISNUMBER($Q834),$Q834&gt;=0,$Q834&lt;=0.5),$Q834,"")))</x:f>
        <x:v>0.05</x:v>
      </x:c>
      <x:c r="AQ834" s="152" t="n">
        <x:f>IF(OR($W834="",NOT(ISNUMBER($R834))),"",ROUND($R834-$W834,2))</x:f>
        <x:v>0</x:v>
      </x:c>
      <x:c r="AR834" s="152" t="n">
        <x:f>IF(OR($X834="",NOT(ISNUMBER($T834))),"",ROUND($T834-$X834,2))</x:f>
        <x:v>0</x:v>
      </x:c>
      <x:c r="AS834" s="14" t="str">
        <x:v>OK</x:v>
      </x:c>
    </x:row>
    <x:row r="835">
      <x:c r="A835" s="80" t="n">
        <x:v>835</x:v>
      </x:c>
      <x:c r="B835" s="80" t="str">
        <x:v>ORD-2024-10834</x:v>
      </x:c>
      <x:c r="C835" s="81" t="n">
        <x:v>45447</x:v>
      </x:c>
      <x:c r="D835" s="81" t="n">
        <x:v>45447</x:v>
      </x:c>
      <x:c r="E835" s="80" t="str">
        <x:v>CUST-2689</x:v>
      </x:c>
      <x:c r="F835" s="80" t="str">
        <x:v>Rahul Verma</x:v>
      </x:c>
      <x:c r="G835" s="80" t="str">
        <x:v>Home Office</x:v>
      </x:c>
      <x:c r="H835" s="80" t="str">
        <x:v>East</x:v>
      </x:c>
      <x:c r="I835" s="80" t="str">
        <x:v>West Bengal</x:v>
      </x:c>
      <x:c r="J835" s="80" t="str">
        <x:v>Kolkata</x:v>
      </x:c>
      <x:c r="K835" s="80" t="str">
        <x:v>Furniture</x:v>
      </x:c>
      <x:c r="L835" s="80" t="str">
        <x:v>Bookcases</x:v>
      </x:c>
      <x:c r="M835" s="80" t="str">
        <x:v>Basic Bookcases 499</x:v>
      </x:c>
      <x:c r="N835" s="80" t="str">
        <x:v>First Class</x:v>
      </x:c>
      <x:c r="O835" s="82" t="n">
        <x:v>6</x:v>
      </x:c>
      <x:c r="P835" s="83" t="n">
        <x:v>3949.4</x:v>
      </x:c>
      <x:c r="Q835" s="84" t="n">
        <x:v>0</x:v>
      </x:c>
      <x:c r="R835" s="83" t="n">
        <x:v>23696.4</x:v>
      </x:c>
      <x:c r="S835" s="83" t="n">
        <x:v>18109.77</x:v>
      </x:c>
      <x:c r="T835" s="83" t="n">
        <x:v>5586.63</x:v>
      </x:c>
      <x:c r="U835" s="83" t="str">
        <x:v>Paid</x:v>
      </x:c>
      <x:c r="V835" s="83" t="str">
        <x:v>Completed</x:v>
      </x:c>
      <x:c r="W835" s="151" t="n">
        <x:f>IF(OR(NOT(ISNUMBER($AP835)),COUNT($O835,$P835)&lt;2,$O835&lt;=0,$P835&lt;0),"",ROUND($O835*$P835*(1-$AP835),2))</x:f>
        <x:v>23696.4</x:v>
      </x:c>
      <x:c r="X835" s="151" t="n">
        <x:f>IF(OR(NOT(ISNUMBER($W835)),NOT(ISNUMBER($S835))),"",ROUND($W835-$S835,2))</x:f>
        <x:v>5586.63</x:v>
      </x:c>
      <x:c r="Y835" s="85" t="n">
        <x:f>IF(OR(NOT(ISNUMBER($W835)),NOT(ISNUMBER($X835)),$W835=0),"",ROUND($X835/$W835,4))</x:f>
        <x:v>0.2358</x:v>
      </x:c>
      <x:c r="Z835" s="82" t="n">
        <x:f>IF(OR($AH835&lt;&gt;"Valid",$AI835&lt;&gt;"Valid"),"",INT($D835-$C835))</x:f>
        <x:v>0</x:v>
      </x:c>
      <x:c r="AA835" s="86" t="str">
        <x:f>IF($AH835&lt;&gt;"Valid","",TEXT($C835,"mmmm"))</x:f>
        <x:v>June</x:v>
      </x:c>
      <x:c r="AB835" s="82" t="n">
        <x:f>IF($AH835&lt;&gt;"Valid","",YEAR($C835))</x:f>
        <x:v>2024</x:v>
      </x:c>
      <x:c r="AC835" s="80" t="str">
        <x:v>Consistent</x:v>
      </x:c>
      <x:c r="AD835" s="80" t="str">
        <x:v>Eligible</x:v>
      </x:c>
      <x:c r="AE835" s="80" t="str">
        <x:f>IF(OR($AH835&lt;&gt;"Valid",$AI835&lt;&gt;"Valid",$AJ835&lt;&gt;"Valid",LEFT($AM835,7)="Invalid",IFERROR(ABS($AQ835)&gt;0.01,FALSE),IFERROR(ABS($AR835)&gt;0.01,FALSE),COUNTIF($AS835,"*Conflicting duplicate*")&gt;0,COUNTIF($AS835,"*Completed order not paid*")&gt;0),"Invalid",IF(OR($H835="Unknown",$N835="Unknown",$AM835="Missing discount imputed as 0"),"Warning","Clean"))</x:f>
        <x:v>Clean</x:v>
      </x:c>
      <x:c r="AF835" s="80" t="str">
        <x:v>Pass</x:v>
      </x:c>
      <x:c r="AG835" s="80" t="str">
        <x:v>No text cleanup required</x:v>
      </x:c>
      <x:c r="AH835" s="12" t="str">
        <x:f>IF(C835="","Missing date",IF(ISNUMBER(C835),"Valid","Unrecognized/invalid date"))</x:f>
        <x:v>Valid</x:v>
      </x:c>
      <x:c r="AI835" s="12" t="str">
        <x:f>IF(D835="","Missing date",IF(ISNUMBER(D835),"Valid","Unrecognized/invalid date"))</x:f>
        <x:v>Valid</x:v>
      </x:c>
      <x:c r="AJ835" s="12" t="str">
        <x:v>Valid</x:v>
      </x:c>
      <x:c r="AK835" s="12" t="str">
        <x:v>Pass</x:v>
      </x:c>
      <x:c r="AL835" s="12" t="str">
        <x:v>None</x:v>
      </x:c>
      <x:c r="AM835" s="12" t="str">
        <x:v>Valid</x:v>
      </x:c>
      <x:c r="AN835" s="12" t="str">
        <x:v>Include in completed sales</x:v>
      </x:c>
      <x:c r="AO835" s="12" t="str">
        <x:v>Not a refunded record</x:v>
      </x:c>
      <x:c r="AP835" s="37" t="n">
        <x:f>IF(LEFT($AM835,7)="Invalid","",IF($AM835="Missing discount imputed as 0",IF(AND(COUNT($O835,$P835,$R835,$S835)=4,$O835&gt;0,$P835&gt;=0,$R835&gt;=0,$S835&gt;=0),0,""),IF(AND(ISNUMBER($Q835),$Q835&gt;=0,$Q835&lt;=0.5),$Q835,"")))</x:f>
        <x:v>0</x:v>
      </x:c>
      <x:c r="AQ835" s="152" t="n">
        <x:f>IF(OR($W835="",NOT(ISNUMBER($R835))),"",ROUND($R835-$W835,2))</x:f>
        <x:v>0</x:v>
      </x:c>
      <x:c r="AR835" s="152" t="n">
        <x:f>IF(OR($X835="",NOT(ISNUMBER($T835))),"",ROUND($T835-$X835,2))</x:f>
        <x:v>0</x:v>
      </x:c>
      <x:c r="AS835" s="14" t="str">
        <x:v>OK</x:v>
      </x:c>
    </x:row>
    <x:row r="836">
      <x:c r="A836" s="80" t="n">
        <x:v>836</x:v>
      </x:c>
      <x:c r="B836" s="80" t="str">
        <x:v>ORD-2024-10835</x:v>
      </x:c>
      <x:c r="C836" s="81" t="n">
        <x:v>45583</x:v>
      </x:c>
      <x:c r="D836" s="81" t="n">
        <x:v>45587</x:v>
      </x:c>
      <x:c r="E836" s="80" t="str">
        <x:v>CUST-2879</x:v>
      </x:c>
      <x:c r="F836" s="80" t="str">
        <x:v>Aarav Sharma</x:v>
      </x:c>
      <x:c r="G836" s="80" t="str">
        <x:v>Home Office</x:v>
      </x:c>
      <x:c r="H836" s="80" t="str">
        <x:v>South</x:v>
      </x:c>
      <x:c r="I836" s="80" t="str">
        <x:v>Telangana</x:v>
      </x:c>
      <x:c r="J836" s="80" t="str">
        <x:v>Hyderabad</x:v>
      </x:c>
      <x:c r="K836" s="80" t="str">
        <x:v>Office Supplies</x:v>
      </x:c>
      <x:c r="L836" s="80" t="str">
        <x:v>Art</x:v>
      </x:c>
      <x:c r="M836" s="80" t="str">
        <x:v>Basic Art 143</x:v>
      </x:c>
      <x:c r="N836" s="80" t="str">
        <x:v>First Class</x:v>
      </x:c>
      <x:c r="O836" s="82" t="n">
        <x:v>6</x:v>
      </x:c>
      <x:c r="P836" s="83" t="n">
        <x:v>674.61</x:v>
      </x:c>
      <x:c r="Q836" s="84" t="n">
        <x:v>0</x:v>
      </x:c>
      <x:c r="R836" s="83" t="n">
        <x:v>4047.66</x:v>
      </x:c>
      <x:c r="S836" s="83" t="n">
        <x:v>3078.93</x:v>
      </x:c>
      <x:c r="T836" s="83" t="n">
        <x:v>1279.79</x:v>
      </x:c>
      <x:c r="U836" s="83" t="str">
        <x:v>Paid</x:v>
      </x:c>
      <x:c r="V836" s="83" t="str">
        <x:v>Completed</x:v>
      </x:c>
      <x:c r="W836" s="151" t="n">
        <x:f>IF(OR(NOT(ISNUMBER($AP836)),COUNT($O836,$P836)&lt;2,$O836&lt;=0,$P836&lt;0),"",ROUND($O836*$P836*(1-$AP836),2))</x:f>
        <x:v>4047.66</x:v>
      </x:c>
      <x:c r="X836" s="151" t="n">
        <x:f>IF(OR(NOT(ISNUMBER($W836)),NOT(ISNUMBER($S836))),"",ROUND($W836-$S836,2))</x:f>
        <x:v>968.73</x:v>
      </x:c>
      <x:c r="Y836" s="85" t="n">
        <x:f>IF(OR(NOT(ISNUMBER($W836)),NOT(ISNUMBER($X836)),$W836=0),"",ROUND($X836/$W836,4))</x:f>
        <x:v>0.2393</x:v>
      </x:c>
      <x:c r="Z836" s="82" t="n">
        <x:f>IF(OR($AH836&lt;&gt;"Valid",$AI836&lt;&gt;"Valid"),"",INT($D836-$C836))</x:f>
        <x:v>4</x:v>
      </x:c>
      <x:c r="AA836" s="86" t="str">
        <x:f>IF($AH836&lt;&gt;"Valid","",TEXT($C836,"mmmm"))</x:f>
        <x:v>October</x:v>
      </x:c>
      <x:c r="AB836" s="82" t="n">
        <x:f>IF($AH836&lt;&gt;"Valid","",YEAR($C836))</x:f>
        <x:v>2024</x:v>
      </x:c>
      <x:c r="AC836" s="80" t="str">
        <x:v>Consistent</x:v>
      </x:c>
      <x:c r="AD836" s="80" t="str">
        <x:v>Excluded</x:v>
      </x:c>
      <x:c r="AE836" s="80" t="str">
        <x:f>IF(OR($AH836&lt;&gt;"Valid",$AI836&lt;&gt;"Valid",$AJ836&lt;&gt;"Valid",LEFT($AM836,7)="Invalid",IFERROR(ABS($AQ836)&gt;0.01,FALSE),IFERROR(ABS($AR836)&gt;0.01,FALSE),COUNTIF($AS836,"*Conflicting duplicate*")&gt;0,COUNTIF($AS836,"*Completed order not paid*")&gt;0),"Invalid",IF(OR($H836="Unknown",$N836="Unknown",$AM836="Missing discount imputed as 0"),"Warning","Clean"))</x:f>
        <x:v>Invalid</x:v>
      </x:c>
      <x:c r="AF836" s="80" t="str">
        <x:v>Review</x:v>
      </x:c>
      <x:c r="AG836" s="80" t="str">
        <x:v>No text cleanup required</x:v>
      </x:c>
      <x:c r="AH836" s="12" t="str">
        <x:f>IF(C836="","Missing date",IF(ISNUMBER(C836),"Valid","Unrecognized/invalid date"))</x:f>
        <x:v>Valid</x:v>
      </x:c>
      <x:c r="AI836" s="12" t="str">
        <x:f>IF(D836="","Missing date",IF(ISNUMBER(D836),"Valid","Unrecognized/invalid date"))</x:f>
        <x:v>Valid</x:v>
      </x:c>
      <x:c r="AJ836" s="12" t="str">
        <x:v>Valid</x:v>
      </x:c>
      <x:c r="AK836" s="12" t="str">
        <x:v>Pass</x:v>
      </x:c>
      <x:c r="AL836" s="12" t="str">
        <x:v>None</x:v>
      </x:c>
      <x:c r="AM836" s="12" t="str">
        <x:v>Valid</x:v>
      </x:c>
      <x:c r="AN836" s="12" t="str">
        <x:v>Exclude from completed sales</x:v>
      </x:c>
      <x:c r="AO836" s="12" t="str">
        <x:v>Not a refunded record</x:v>
      </x:c>
      <x:c r="AP836" s="37" t="n">
        <x:f>IF(LEFT($AM836,7)="Invalid","",IF($AM836="Missing discount imputed as 0",IF(AND(COUNT($O836,$P836,$R836,$S836)=4,$O836&gt;0,$P836&gt;=0,$R836&gt;=0,$S836&gt;=0),0,""),IF(AND(ISNUMBER($Q836),$Q836&gt;=0,$Q836&lt;=0.5),$Q836,"")))</x:f>
        <x:v>0</x:v>
      </x:c>
      <x:c r="AQ836" s="152" t="n">
        <x:f>IF(OR($W836="",NOT(ISNUMBER($R836))),"",ROUND($R836-$W836,2))</x:f>
        <x:v>0</x:v>
      </x:c>
      <x:c r="AR836" s="152" t="n">
        <x:f>IF(OR($X836="",NOT(ISNUMBER($T836))),"",ROUND($T836-$X836,2))</x:f>
        <x:v>311.06</x:v>
      </x:c>
      <x:c r="AS836" s="14" t="str">
        <x:v>Profit calculation mismatch</x:v>
      </x:c>
    </x:row>
    <x:row r="837">
      <x:c r="A837" s="80" t="n">
        <x:v>837</x:v>
      </x:c>
      <x:c r="B837" s="80" t="str">
        <x:v>ORD-2025-10836</x:v>
      </x:c>
      <x:c r="C837" s="81" t="n">
        <x:v>45926</x:v>
      </x:c>
      <x:c r="D837" s="81" t="n">
        <x:v>45934</x:v>
      </x:c>
      <x:c r="E837" s="80" t="str">
        <x:v>CUST-5150</x:v>
      </x:c>
      <x:c r="F837" s="80" t="str">
        <x:v>Priya Menon</x:v>
      </x:c>
      <x:c r="G837" s="80" t="str">
        <x:v>Small Business</x:v>
      </x:c>
      <x:c r="H837" s="80" t="str">
        <x:v>East</x:v>
      </x:c>
      <x:c r="I837" s="80" t="str">
        <x:v>Assam</x:v>
      </x:c>
      <x:c r="J837" s="80" t="str">
        <x:v>Guwahati</x:v>
      </x:c>
      <x:c r="K837" s="80" t="str">
        <x:v>Technology</x:v>
      </x:c>
      <x:c r="L837" s="80" t="str">
        <x:v>Phones</x:v>
      </x:c>
      <x:c r="M837" s="80" t="str">
        <x:v>Prime Phones 338</x:v>
      </x:c>
      <x:c r="N837" s="80" t="str">
        <x:v>Second Class</x:v>
      </x:c>
      <x:c r="O837" s="82" t="n">
        <x:v>7</x:v>
      </x:c>
      <x:c r="P837" s="83" t="n">
        <x:v>1509.59</x:v>
      </x:c>
      <x:c r="Q837" s="84" t="n">
        <x:v>0.05</x:v>
      </x:c>
      <x:c r="R837" s="83" t="n">
        <x:v>10038.77</x:v>
      </x:c>
      <x:c r="S837" s="83" t="n">
        <x:v>5673.1</x:v>
      </x:c>
      <x:c r="T837" s="83" t="n">
        <x:v>4365.67</x:v>
      </x:c>
      <x:c r="U837" s="83" t="str">
        <x:v>Paid</x:v>
      </x:c>
      <x:c r="V837" s="83" t="str">
        <x:v>Completed</x:v>
      </x:c>
      <x:c r="W837" s="151" t="n">
        <x:f>IF(OR(NOT(ISNUMBER($AP837)),COUNT($O837,$P837)&lt;2,$O837&lt;=0,$P837&lt;0),"",ROUND($O837*$P837*(1-$AP837),2))</x:f>
        <x:v>10038.77</x:v>
      </x:c>
      <x:c r="X837" s="151" t="n">
        <x:f>IF(OR(NOT(ISNUMBER($W837)),NOT(ISNUMBER($S837))),"",ROUND($W837-$S837,2))</x:f>
        <x:v>4365.67</x:v>
      </x:c>
      <x:c r="Y837" s="85" t="n">
        <x:f>IF(OR(NOT(ISNUMBER($W837)),NOT(ISNUMBER($X837)),$W837=0),"",ROUND($X837/$W837,4))</x:f>
        <x:v>0.4349</x:v>
      </x:c>
      <x:c r="Z837" s="82" t="n">
        <x:f>IF(OR($AH837&lt;&gt;"Valid",$AI837&lt;&gt;"Valid"),"",INT($D837-$C837))</x:f>
        <x:v>8</x:v>
      </x:c>
      <x:c r="AA837" s="86" t="str">
        <x:f>IF($AH837&lt;&gt;"Valid","",TEXT($C837,"mmmm"))</x:f>
        <x:v>September</x:v>
      </x:c>
      <x:c r="AB837" s="82" t="n">
        <x:f>IF($AH837&lt;&gt;"Valid","",YEAR($C837))</x:f>
        <x:v>2025</x:v>
      </x:c>
      <x:c r="AC837" s="80" t="str">
        <x:v>Consistent</x:v>
      </x:c>
      <x:c r="AD837" s="80" t="str">
        <x:v>Eligible</x:v>
      </x:c>
      <x:c r="AE837" s="80" t="str">
        <x:f>IF(OR($AH837&lt;&gt;"Valid",$AI837&lt;&gt;"Valid",$AJ837&lt;&gt;"Valid",LEFT($AM837,7)="Invalid",IFERROR(ABS($AQ837)&gt;0.01,FALSE),IFERROR(ABS($AR837)&gt;0.01,FALSE),COUNTIF($AS837,"*Conflicting duplicate*")&gt;0,COUNTIF($AS837,"*Completed order not paid*")&gt;0),"Invalid",IF(OR($H837="Unknown",$N837="Unknown",$AM837="Missing discount imputed as 0"),"Warning","Clean"))</x:f>
        <x:v>Clean</x:v>
      </x:c>
      <x:c r="AF837" s="80" t="str">
        <x:v>Pass</x:v>
      </x:c>
      <x:c r="AG837" s="80" t="str">
        <x:v>No text cleanup required</x:v>
      </x:c>
      <x:c r="AH837" s="12" t="str">
        <x:f>IF(C837="","Missing date",IF(ISNUMBER(C837),"Valid","Unrecognized/invalid date"))</x:f>
        <x:v>Valid</x:v>
      </x:c>
      <x:c r="AI837" s="12" t="str">
        <x:f>IF(D837="","Missing date",IF(ISNUMBER(D837),"Valid","Unrecognized/invalid date"))</x:f>
        <x:v>Valid</x:v>
      </x:c>
      <x:c r="AJ837" s="12" t="str">
        <x:v>Valid</x:v>
      </x:c>
      <x:c r="AK837" s="12" t="str">
        <x:v>Pass</x:v>
      </x:c>
      <x:c r="AL837" s="12" t="str">
        <x:v>None</x:v>
      </x:c>
      <x:c r="AM837" s="12" t="str">
        <x:v>Valid</x:v>
      </x:c>
      <x:c r="AN837" s="12" t="str">
        <x:v>Include in completed sales</x:v>
      </x:c>
      <x:c r="AO837" s="12" t="str">
        <x:v>Not a refunded record</x:v>
      </x:c>
      <x:c r="AP837" s="37" t="n">
        <x:f>IF(LEFT($AM837,7)="Invalid","",IF($AM837="Missing discount imputed as 0",IF(AND(COUNT($O837,$P837,$R837,$S837)=4,$O837&gt;0,$P837&gt;=0,$R837&gt;=0,$S837&gt;=0),0,""),IF(AND(ISNUMBER($Q837),$Q837&gt;=0,$Q837&lt;=0.5),$Q837,"")))</x:f>
        <x:v>0.05</x:v>
      </x:c>
      <x:c r="AQ837" s="152" t="n">
        <x:f>IF(OR($W837="",NOT(ISNUMBER($R837))),"",ROUND($R837-$W837,2))</x:f>
        <x:v>0</x:v>
      </x:c>
      <x:c r="AR837" s="152" t="n">
        <x:f>IF(OR($X837="",NOT(ISNUMBER($T837))),"",ROUND($T837-$X837,2))</x:f>
        <x:v>0</x:v>
      </x:c>
      <x:c r="AS837" s="14" t="str">
        <x:v>OK</x:v>
      </x:c>
    </x:row>
    <x:row r="838">
      <x:c r="A838" s="80" t="n">
        <x:v>838</x:v>
      </x:c>
      <x:c r="B838" s="80" t="str">
        <x:v>ORD-2024-10837</x:v>
      </x:c>
      <x:c r="C838" s="81" t="n">
        <x:v>45641</x:v>
      </x:c>
      <x:c r="D838" s="81" t="n">
        <x:v>45644</x:v>
      </x:c>
      <x:c r="E838" s="80" t="str">
        <x:v>CUST-9776</x:v>
      </x:c>
      <x:c r="F838" s="80" t="str">
        <x:v>Isha Nair</x:v>
      </x:c>
      <x:c r="G838" s="80" t="str">
        <x:v>Small Business</x:v>
      </x:c>
      <x:c r="H838" s="80" t="str">
        <x:v>North</x:v>
      </x:c>
      <x:c r="I838" s="80" t="str">
        <x:v>Rajasthan</x:v>
      </x:c>
      <x:c r="J838" s="80" t="str">
        <x:v>Jaipur</x:v>
      </x:c>
      <x:c r="K838" s="80" t="str">
        <x:v>Office Supplies</x:v>
      </x:c>
      <x:c r="L838" s="80" t="str">
        <x:v>Labels</x:v>
      </x:c>
      <x:c r="M838" s="80" t="str">
        <x:v>Smart Labels 814</x:v>
      </x:c>
      <x:c r="N838" s="80" t="str">
        <x:v>Second Class</x:v>
      </x:c>
      <x:c r="O838" s="82" t="n">
        <x:v>2</x:v>
      </x:c>
      <x:c r="P838" s="83" t="n">
        <x:v>537.11</x:v>
      </x:c>
      <x:c r="Q838" s="84" t="n">
        <x:v>0</x:v>
      </x:c>
      <x:c r="R838" s="83" t="n">
        <x:v>1074.22</x:v>
      </x:c>
      <x:c r="S838" s="83" t="n">
        <x:v>850.86</x:v>
      </x:c>
      <x:c r="T838" s="83" t="n">
        <x:v>223.36</x:v>
      </x:c>
      <x:c r="U838" s="83" t="str">
        <x:v>Paid</x:v>
      </x:c>
      <x:c r="V838" s="83" t="str">
        <x:v>Completed</x:v>
      </x:c>
      <x:c r="W838" s="151" t="n">
        <x:f>IF(OR(NOT(ISNUMBER($AP838)),COUNT($O838,$P838)&lt;2,$O838&lt;=0,$P838&lt;0),"",ROUND($O838*$P838*(1-$AP838),2))</x:f>
        <x:v>1074.22</x:v>
      </x:c>
      <x:c r="X838" s="151" t="n">
        <x:f>IF(OR(NOT(ISNUMBER($W838)),NOT(ISNUMBER($S838))),"",ROUND($W838-$S838,2))</x:f>
        <x:v>223.36</x:v>
      </x:c>
      <x:c r="Y838" s="85" t="n">
        <x:f>IF(OR(NOT(ISNUMBER($W838)),NOT(ISNUMBER($X838)),$W838=0),"",ROUND($X838/$W838,4))</x:f>
        <x:v>0.2079</x:v>
      </x:c>
      <x:c r="Z838" s="82" t="n">
        <x:f>IF(OR($AH838&lt;&gt;"Valid",$AI838&lt;&gt;"Valid"),"",INT($D838-$C838))</x:f>
        <x:v>3</x:v>
      </x:c>
      <x:c r="AA838" s="86" t="str">
        <x:f>IF($AH838&lt;&gt;"Valid","",TEXT($C838,"mmmm"))</x:f>
        <x:v>December</x:v>
      </x:c>
      <x:c r="AB838" s="82" t="n">
        <x:f>IF($AH838&lt;&gt;"Valid","",YEAR($C838))</x:f>
        <x:v>2024</x:v>
      </x:c>
      <x:c r="AC838" s="80" t="str">
        <x:v>Consistent</x:v>
      </x:c>
      <x:c r="AD838" s="80" t="str">
        <x:v>Eligible</x:v>
      </x:c>
      <x:c r="AE838" s="80" t="str">
        <x:f>IF(OR($AH838&lt;&gt;"Valid",$AI838&lt;&gt;"Valid",$AJ838&lt;&gt;"Valid",LEFT($AM838,7)="Invalid",IFERROR(ABS($AQ838)&gt;0.01,FALSE),IFERROR(ABS($AR838)&gt;0.01,FALSE),COUNTIF($AS838,"*Conflicting duplicate*")&gt;0,COUNTIF($AS838,"*Completed order not paid*")&gt;0),"Invalid",IF(OR($H838="Unknown",$N838="Unknown",$AM838="Missing discount imputed as 0"),"Warning","Clean"))</x:f>
        <x:v>Clean</x:v>
      </x:c>
      <x:c r="AF838" s="80" t="str">
        <x:v>Pass</x:v>
      </x:c>
      <x:c r="AG838" s="80" t="str">
        <x:v>No text cleanup required</x:v>
      </x:c>
      <x:c r="AH838" s="12" t="str">
        <x:f>IF(C838="","Missing date",IF(ISNUMBER(C838),"Valid","Unrecognized/invalid date"))</x:f>
        <x:v>Valid</x:v>
      </x:c>
      <x:c r="AI838" s="12" t="str">
        <x:f>IF(D838="","Missing date",IF(ISNUMBER(D838),"Valid","Unrecognized/invalid date"))</x:f>
        <x:v>Valid</x:v>
      </x:c>
      <x:c r="AJ838" s="12" t="str">
        <x:v>Valid</x:v>
      </x:c>
      <x:c r="AK838" s="12" t="str">
        <x:v>Pass</x:v>
      </x:c>
      <x:c r="AL838" s="12" t="str">
        <x:v>None</x:v>
      </x:c>
      <x:c r="AM838" s="12" t="str">
        <x:v>Valid</x:v>
      </x:c>
      <x:c r="AN838" s="12" t="str">
        <x:v>Include in completed sales</x:v>
      </x:c>
      <x:c r="AO838" s="12" t="str">
        <x:v>Not a refunded record</x:v>
      </x:c>
      <x:c r="AP838" s="37" t="n">
        <x:f>IF(LEFT($AM838,7)="Invalid","",IF($AM838="Missing discount imputed as 0",IF(AND(COUNT($O838,$P838,$R838,$S838)=4,$O838&gt;0,$P838&gt;=0,$R838&gt;=0,$S838&gt;=0),0,""),IF(AND(ISNUMBER($Q838),$Q838&gt;=0,$Q838&lt;=0.5),$Q838,"")))</x:f>
        <x:v>0</x:v>
      </x:c>
      <x:c r="AQ838" s="152" t="n">
        <x:f>IF(OR($W838="",NOT(ISNUMBER($R838))),"",ROUND($R838-$W838,2))</x:f>
        <x:v>0</x:v>
      </x:c>
      <x:c r="AR838" s="152" t="n">
        <x:f>IF(OR($X838="",NOT(ISNUMBER($T838))),"",ROUND($T838-$X838,2))</x:f>
        <x:v>0</x:v>
      </x:c>
      <x:c r="AS838" s="14" t="str">
        <x:v>OK</x:v>
      </x:c>
    </x:row>
    <x:row r="839">
      <x:c r="A839" s="80" t="n">
        <x:v>839</x:v>
      </x:c>
      <x:c r="B839" s="80" t="str">
        <x:v>ORD-2025-10838</x:v>
      </x:c>
      <x:c r="C839" s="81" t="n">
        <x:v>45927</x:v>
      </x:c>
      <x:c r="D839" s="81" t="n">
        <x:v>45928</x:v>
      </x:c>
      <x:c r="E839" s="80" t="str">
        <x:v>CUST-2551</x:v>
      </x:c>
      <x:c r="F839" s="80" t="str">
        <x:v>Karan Malhotra</x:v>
      </x:c>
      <x:c r="G839" s="80" t="str">
        <x:v>Home Office</x:v>
      </x:c>
      <x:c r="H839" s="80" t="str">
        <x:v>West</x:v>
      </x:c>
      <x:c r="I839" s="80" t="str">
        <x:v>Maharashtra</x:v>
      </x:c>
      <x:c r="J839" s="80" t="str">
        <x:v>Mumbai</x:v>
      </x:c>
      <x:c r="K839" s="80" t="str">
        <x:v>Office Supplies</x:v>
      </x:c>
      <x:c r="L839" s="80" t="str">
        <x:v>Paper</x:v>
      </x:c>
      <x:c r="M839" s="80" t="str">
        <x:v>Prime Paper 812</x:v>
      </x:c>
      <x:c r="N839" s="80" t="str">
        <x:v>First Class</x:v>
      </x:c>
      <x:c r="O839" s="82" t="n">
        <x:v>3</x:v>
      </x:c>
      <x:c r="P839" s="83" t="n">
        <x:v>4177.63</x:v>
      </x:c>
      <x:c r="Q839" s="84" t="n">
        <x:v>0.25</x:v>
      </x:c>
      <x:c r="R839" s="83" t="n">
        <x:v>9399.67</x:v>
      </x:c>
      <x:c r="S839" s="83" t="n">
        <x:v>6540.37</x:v>
      </x:c>
      <x:c r="T839" s="83" t="n">
        <x:v>2859.3</x:v>
      </x:c>
      <x:c r="U839" s="83" t="str">
        <x:v>Paid</x:v>
      </x:c>
      <x:c r="V839" s="83" t="str">
        <x:v>Completed</x:v>
      </x:c>
      <x:c r="W839" s="151" t="n">
        <x:f>IF(OR(NOT(ISNUMBER($AP839)),COUNT($O839,$P839)&lt;2,$O839&lt;=0,$P839&lt;0),"",ROUND($O839*$P839*(1-$AP839),2))</x:f>
        <x:v>9399.67</x:v>
      </x:c>
      <x:c r="X839" s="151" t="n">
        <x:f>IF(OR(NOT(ISNUMBER($W839)),NOT(ISNUMBER($S839))),"",ROUND($W839-$S839,2))</x:f>
        <x:v>2859.3</x:v>
      </x:c>
      <x:c r="Y839" s="85" t="n">
        <x:f>IF(OR(NOT(ISNUMBER($W839)),NOT(ISNUMBER($X839)),$W839=0),"",ROUND($X839/$W839,4))</x:f>
        <x:v>0.3042</x:v>
      </x:c>
      <x:c r="Z839" s="82" t="n">
        <x:f>IF(OR($AH839&lt;&gt;"Valid",$AI839&lt;&gt;"Valid"),"",INT($D839-$C839))</x:f>
        <x:v>1</x:v>
      </x:c>
      <x:c r="AA839" s="86" t="str">
        <x:f>IF($AH839&lt;&gt;"Valid","",TEXT($C839,"mmmm"))</x:f>
        <x:v>September</x:v>
      </x:c>
      <x:c r="AB839" s="82" t="n">
        <x:f>IF($AH839&lt;&gt;"Valid","",YEAR($C839))</x:f>
        <x:v>2025</x:v>
      </x:c>
      <x:c r="AC839" s="80" t="str">
        <x:v>Consistent</x:v>
      </x:c>
      <x:c r="AD839" s="80" t="str">
        <x:v>Eligible</x:v>
      </x:c>
      <x:c r="AE839" s="80" t="str">
        <x:f>IF(OR($AH839&lt;&gt;"Valid",$AI839&lt;&gt;"Valid",$AJ839&lt;&gt;"Valid",LEFT($AM839,7)="Invalid",IFERROR(ABS($AQ839)&gt;0.01,FALSE),IFERROR(ABS($AR839)&gt;0.01,FALSE),COUNTIF($AS839,"*Conflicting duplicate*")&gt;0,COUNTIF($AS839,"*Completed order not paid*")&gt;0),"Invalid",IF(OR($H839="Unknown",$N839="Unknown",$AM839="Missing discount imputed as 0"),"Warning","Clean"))</x:f>
        <x:v>Clean</x:v>
      </x:c>
      <x:c r="AF839" s="80" t="str">
        <x:v>Pass</x:v>
      </x:c>
      <x:c r="AG839" s="80" t="str">
        <x:v>No text cleanup required</x:v>
      </x:c>
      <x:c r="AH839" s="12" t="str">
        <x:f>IF(C839="","Missing date",IF(ISNUMBER(C839),"Valid","Unrecognized/invalid date"))</x:f>
        <x:v>Valid</x:v>
      </x:c>
      <x:c r="AI839" s="12" t="str">
        <x:f>IF(D839="","Missing date",IF(ISNUMBER(D839),"Valid","Unrecognized/invalid date"))</x:f>
        <x:v>Valid</x:v>
      </x:c>
      <x:c r="AJ839" s="12" t="str">
        <x:v>Valid</x:v>
      </x:c>
      <x:c r="AK839" s="12" t="str">
        <x:v>Pass</x:v>
      </x:c>
      <x:c r="AL839" s="12" t="str">
        <x:v>None</x:v>
      </x:c>
      <x:c r="AM839" s="12" t="str">
        <x:v>Valid</x:v>
      </x:c>
      <x:c r="AN839" s="12" t="str">
        <x:v>Include in completed sales</x:v>
      </x:c>
      <x:c r="AO839" s="12" t="str">
        <x:v>Not a refunded record</x:v>
      </x:c>
      <x:c r="AP839" s="37" t="n">
        <x:f>IF(LEFT($AM839,7)="Invalid","",IF($AM839="Missing discount imputed as 0",IF(AND(COUNT($O839,$P839,$R839,$S839)=4,$O839&gt;0,$P839&gt;=0,$R839&gt;=0,$S839&gt;=0),0,""),IF(AND(ISNUMBER($Q839),$Q839&gt;=0,$Q839&lt;=0.5),$Q839,"")))</x:f>
        <x:v>0.25</x:v>
      </x:c>
      <x:c r="AQ839" s="152" t="n">
        <x:f>IF(OR($W839="",NOT(ISNUMBER($R839))),"",ROUND($R839-$W839,2))</x:f>
        <x:v>0</x:v>
      </x:c>
      <x:c r="AR839" s="152" t="n">
        <x:f>IF(OR($X839="",NOT(ISNUMBER($T839))),"",ROUND($T839-$X839,2))</x:f>
        <x:v>0</x:v>
      </x:c>
      <x:c r="AS839" s="14" t="str">
        <x:v>OK</x:v>
      </x:c>
    </x:row>
    <x:row r="840">
      <x:c r="A840" s="80" t="n">
        <x:v>840</x:v>
      </x:c>
      <x:c r="B840" s="80" t="str">
        <x:v>ORD-2025-10839</x:v>
      </x:c>
      <x:c r="C840" s="81" t="n">
        <x:v>45750</x:v>
      </x:c>
      <x:c r="D840" s="81" t="n">
        <x:v>45754</x:v>
      </x:c>
      <x:c r="E840" s="80" t="str">
        <x:v>CUST-4708</x:v>
      </x:c>
      <x:c r="F840" s="80" t="str">
        <x:v>Ananya Rao</x:v>
      </x:c>
      <x:c r="G840" s="80" t="str">
        <x:v>Small Business</x:v>
      </x:c>
      <x:c r="H840" s="80" t="str">
        <x:v>West</x:v>
      </x:c>
      <x:c r="I840" s="80" t="str">
        <x:v>Goa</x:v>
      </x:c>
      <x:c r="J840" s="80" t="str">
        <x:v>Panaji</x:v>
      </x:c>
      <x:c r="K840" s="80" t="str">
        <x:v>Office Supplies</x:v>
      </x:c>
      <x:c r="L840" s="80" t="str">
        <x:v>Paper</x:v>
      </x:c>
      <x:c r="M840" s="80" t="str">
        <x:v>Pro Paper 355</x:v>
      </x:c>
      <x:c r="N840" s="80" t="str">
        <x:v>Same Day</x:v>
      </x:c>
      <x:c r="O840" s="82" t="n">
        <x:v>1</x:v>
      </x:c>
      <x:c r="P840" s="83" t="n">
        <x:v>1470.57</x:v>
      </x:c>
      <x:c r="Q840" s="84" t="n">
        <x:v>0</x:v>
      </x:c>
      <x:c r="R840" s="83" t="n">
        <x:v>1470.57</x:v>
      </x:c>
      <x:c r="S840" s="83" t="n">
        <x:v>834.02</x:v>
      </x:c>
      <x:c r="T840" s="83" t="n">
        <x:v>636.55</x:v>
      </x:c>
      <x:c r="U840" s="83" t="str">
        <x:v>Paid</x:v>
      </x:c>
      <x:c r="V840" s="83" t="str">
        <x:v>Returned</x:v>
      </x:c>
      <x:c r="W840" s="151" t="n">
        <x:f>IF(OR(NOT(ISNUMBER($AP840)),COUNT($O840,$P840)&lt;2,$O840&lt;=0,$P840&lt;0),"",ROUND($O840*$P840*(1-$AP840),2))</x:f>
        <x:v>1470.57</x:v>
      </x:c>
      <x:c r="X840" s="151" t="n">
        <x:f>IF(OR(NOT(ISNUMBER($W840)),NOT(ISNUMBER($S840))),"",ROUND($W840-$S840,2))</x:f>
        <x:v>636.55</x:v>
      </x:c>
      <x:c r="Y840" s="85" t="n">
        <x:f>IF(OR(NOT(ISNUMBER($W840)),NOT(ISNUMBER($X840)),$W840=0),"",ROUND($X840/$W840,4))</x:f>
        <x:v>0.4329</x:v>
      </x:c>
      <x:c r="Z840" s="82" t="n">
        <x:f>IF(OR($AH840&lt;&gt;"Valid",$AI840&lt;&gt;"Valid"),"",INT($D840-$C840))</x:f>
        <x:v>4</x:v>
      </x:c>
      <x:c r="AA840" s="86" t="str">
        <x:f>IF($AH840&lt;&gt;"Valid","",TEXT($C840,"mmmm"))</x:f>
        <x:v>April</x:v>
      </x:c>
      <x:c r="AB840" s="82" t="n">
        <x:f>IF($AH840&lt;&gt;"Valid","",YEAR($C840))</x:f>
        <x:v>2025</x:v>
      </x:c>
      <x:c r="AC840" s="80" t="str">
        <x:v>Consistent</x:v>
      </x:c>
      <x:c r="AD840" s="80" t="str">
        <x:v>Excluded</x:v>
      </x:c>
      <x:c r="AE840" s="80" t="str">
        <x:f>IF(OR($AH840&lt;&gt;"Valid",$AI840&lt;&gt;"Valid",$AJ840&lt;&gt;"Valid",LEFT($AM840,7)="Invalid",IFERROR(ABS($AQ840)&gt;0.01,FALSE),IFERROR(ABS($AR840)&gt;0.01,FALSE),COUNTIF($AS840,"*Conflicting duplicate*")&gt;0,COUNTIF($AS840,"*Completed order not paid*")&gt;0),"Invalid",IF(OR($H840="Unknown",$N840="Unknown",$AM840="Missing discount imputed as 0"),"Warning","Clean"))</x:f>
        <x:v>Clean</x:v>
      </x:c>
      <x:c r="AF840" s="80" t="str">
        <x:v>Pass</x:v>
      </x:c>
      <x:c r="AG840" s="80" t="str">
        <x:v>No text cleanup required</x:v>
      </x:c>
      <x:c r="AH840" s="12" t="str">
        <x:f>IF(C840="","Missing date",IF(ISNUMBER(C840),"Valid","Unrecognized/invalid date"))</x:f>
        <x:v>Valid</x:v>
      </x:c>
      <x:c r="AI840" s="12" t="str">
        <x:f>IF(D840="","Missing date",IF(ISNUMBER(D840),"Valid","Unrecognized/invalid date"))</x:f>
        <x:v>Valid</x:v>
      </x:c>
      <x:c r="AJ840" s="12" t="str">
        <x:v>Valid</x:v>
      </x:c>
      <x:c r="AK840" s="12" t="str">
        <x:v>Pass</x:v>
      </x:c>
      <x:c r="AL840" s="12" t="str">
        <x:v>None</x:v>
      </x:c>
      <x:c r="AM840" s="12" t="str">
        <x:v>Valid</x:v>
      </x:c>
      <x:c r="AN840" s="12" t="str">
        <x:v>Exclude from completed sales</x:v>
      </x:c>
      <x:c r="AO840" s="12" t="str">
        <x:v>Not a refunded record</x:v>
      </x:c>
      <x:c r="AP840" s="37" t="n">
        <x:f>IF(LEFT($AM840,7)="Invalid","",IF($AM840="Missing discount imputed as 0",IF(AND(COUNT($O840,$P840,$R840,$S840)=4,$O840&gt;0,$P840&gt;=0,$R840&gt;=0,$S840&gt;=0),0,""),IF(AND(ISNUMBER($Q840),$Q840&gt;=0,$Q840&lt;=0.5),$Q840,"")))</x:f>
        <x:v>0</x:v>
      </x:c>
      <x:c r="AQ840" s="152" t="n">
        <x:f>IF(OR($W840="",NOT(ISNUMBER($R840))),"",ROUND($R840-$W840,2))</x:f>
        <x:v>0</x:v>
      </x:c>
      <x:c r="AR840" s="152" t="n">
        <x:f>IF(OR($X840="",NOT(ISNUMBER($T840))),"",ROUND($T840-$X840,2))</x:f>
        <x:v>0</x:v>
      </x:c>
      <x:c r="AS840" s="14" t="str">
        <x:v>OK</x:v>
      </x:c>
    </x:row>
    <x:row r="841">
      <x:c r="A841" s="80" t="n">
        <x:v>841</x:v>
      </x:c>
      <x:c r="B841" s="80" t="str">
        <x:v>ORD-2024-10840</x:v>
      </x:c>
      <x:c r="C841" s="81" t="n">
        <x:v>45555</x:v>
      </x:c>
      <x:c r="D841" s="81" t="n">
        <x:v>45557</x:v>
      </x:c>
      <x:c r="E841" s="80" t="str">
        <x:v>CUST-8206</x:v>
      </x:c>
      <x:c r="F841" s="80" t="str">
        <x:v>Rohan Mehta</x:v>
      </x:c>
      <x:c r="G841" s="80" t="str">
        <x:v>Home Office</x:v>
      </x:c>
      <x:c r="H841" s="80" t="str">
        <x:v>East</x:v>
      </x:c>
      <x:c r="I841" s="80" t="str">
        <x:v>Odisha</x:v>
      </x:c>
      <x:c r="J841" s="80" t="str">
        <x:v>Bhubaneswar</x:v>
      </x:c>
      <x:c r="K841" s="80" t="str">
        <x:v>Technology</x:v>
      </x:c>
      <x:c r="L841" s="80" t="str">
        <x:v>Phones</x:v>
      </x:c>
      <x:c r="M841" s="80" t="str">
        <x:v>Basic Phones 398</x:v>
      </x:c>
      <x:c r="N841" s="80" t="str">
        <x:v>Standard Class</x:v>
      </x:c>
      <x:c r="O841" s="82" t="n">
        <x:v>8</x:v>
      </x:c>
      <x:c r="P841" s="83" t="n">
        <x:v>531.43</x:v>
      </x:c>
      <x:c r="Q841" s="84" t="n">
        <x:v>0.1</x:v>
      </x:c>
      <x:c r="R841" s="83" t="n">
        <x:v>3826.3</x:v>
      </x:c>
      <x:c r="S841" s="83" t="n">
        <x:v>2194.12</x:v>
      </x:c>
      <x:c r="T841" s="83" t="n">
        <x:v>1632.18</x:v>
      </x:c>
      <x:c r="U841" s="83" t="str">
        <x:v>Paid</x:v>
      </x:c>
      <x:c r="V841" s="83" t="str">
        <x:v>Completed</x:v>
      </x:c>
      <x:c r="W841" s="151" t="n">
        <x:f>IF(OR(NOT(ISNUMBER($AP841)),COUNT($O841,$P841)&lt;2,$O841&lt;=0,$P841&lt;0),"",ROUND($O841*$P841*(1-$AP841),2))</x:f>
        <x:v>3826.3</x:v>
      </x:c>
      <x:c r="X841" s="151" t="n">
        <x:f>IF(OR(NOT(ISNUMBER($W841)),NOT(ISNUMBER($S841))),"",ROUND($W841-$S841,2))</x:f>
        <x:v>1632.18</x:v>
      </x:c>
      <x:c r="Y841" s="85" t="n">
        <x:f>IF(OR(NOT(ISNUMBER($W841)),NOT(ISNUMBER($X841)),$W841=0),"",ROUND($X841/$W841,4))</x:f>
        <x:v>0.4266</x:v>
      </x:c>
      <x:c r="Z841" s="82" t="n">
        <x:f>IF(OR($AH841&lt;&gt;"Valid",$AI841&lt;&gt;"Valid"),"",INT($D841-$C841))</x:f>
        <x:v>2</x:v>
      </x:c>
      <x:c r="AA841" s="86" t="str">
        <x:f>IF($AH841&lt;&gt;"Valid","",TEXT($C841,"mmmm"))</x:f>
        <x:v>September</x:v>
      </x:c>
      <x:c r="AB841" s="82" t="n">
        <x:f>IF($AH841&lt;&gt;"Valid","",YEAR($C841))</x:f>
        <x:v>2024</x:v>
      </x:c>
      <x:c r="AC841" s="80" t="str">
        <x:v>Consistent</x:v>
      </x:c>
      <x:c r="AD841" s="80" t="str">
        <x:v>Eligible</x:v>
      </x:c>
      <x:c r="AE841" s="80" t="str">
        <x:f>IF(OR($AH841&lt;&gt;"Valid",$AI841&lt;&gt;"Valid",$AJ841&lt;&gt;"Valid",LEFT($AM841,7)="Invalid",IFERROR(ABS($AQ841)&gt;0.01,FALSE),IFERROR(ABS($AR841)&gt;0.01,FALSE),COUNTIF($AS841,"*Conflicting duplicate*")&gt;0,COUNTIF($AS841,"*Completed order not paid*")&gt;0),"Invalid",IF(OR($H841="Unknown",$N841="Unknown",$AM841="Missing discount imputed as 0"),"Warning","Clean"))</x:f>
        <x:v>Clean</x:v>
      </x:c>
      <x:c r="AF841" s="80" t="str">
        <x:v>Pass</x:v>
      </x:c>
      <x:c r="AG841" s="80" t="str">
        <x:v>No text cleanup required</x:v>
      </x:c>
      <x:c r="AH841" s="12" t="str">
        <x:f>IF(C841="","Missing date",IF(ISNUMBER(C841),"Valid","Unrecognized/invalid date"))</x:f>
        <x:v>Valid</x:v>
      </x:c>
      <x:c r="AI841" s="12" t="str">
        <x:f>IF(D841="","Missing date",IF(ISNUMBER(D841),"Valid","Unrecognized/invalid date"))</x:f>
        <x:v>Valid</x:v>
      </x:c>
      <x:c r="AJ841" s="12" t="str">
        <x:v>Valid</x:v>
      </x:c>
      <x:c r="AK841" s="12" t="str">
        <x:v>Pass</x:v>
      </x:c>
      <x:c r="AL841" s="12" t="str">
        <x:v>None</x:v>
      </x:c>
      <x:c r="AM841" s="12" t="str">
        <x:v>Valid</x:v>
      </x:c>
      <x:c r="AN841" s="12" t="str">
        <x:v>Include in completed sales</x:v>
      </x:c>
      <x:c r="AO841" s="12" t="str">
        <x:v>Not a refunded record</x:v>
      </x:c>
      <x:c r="AP841" s="37" t="n">
        <x:f>IF(LEFT($AM841,7)="Invalid","",IF($AM841="Missing discount imputed as 0",IF(AND(COUNT($O841,$P841,$R841,$S841)=4,$O841&gt;0,$P841&gt;=0,$R841&gt;=0,$S841&gt;=0),0,""),IF(AND(ISNUMBER($Q841),$Q841&gt;=0,$Q841&lt;=0.5),$Q841,"")))</x:f>
        <x:v>0.1</x:v>
      </x:c>
      <x:c r="AQ841" s="152" t="n">
        <x:f>IF(OR($W841="",NOT(ISNUMBER($R841))),"",ROUND($R841-$W841,2))</x:f>
        <x:v>0</x:v>
      </x:c>
      <x:c r="AR841" s="152" t="n">
        <x:f>IF(OR($X841="",NOT(ISNUMBER($T841))),"",ROUND($T841-$X841,2))</x:f>
        <x:v>0</x:v>
      </x:c>
      <x:c r="AS841" s="14" t="str">
        <x:v>OK</x:v>
      </x:c>
    </x:row>
    <x:row r="842">
      <x:c r="A842" s="80" t="n">
        <x:v>842</x:v>
      </x:c>
      <x:c r="B842" s="80" t="str">
        <x:v>ORD-2025-10841</x:v>
      </x:c>
      <x:c r="C842" s="81" t="n">
        <x:v>45919</x:v>
      </x:c>
      <x:c r="D842" s="81" t="n">
        <x:v>45919</x:v>
      </x:c>
      <x:c r="E842" s="80" t="str">
        <x:v>CUST-1297</x:v>
      </x:c>
      <x:c r="F842" s="80" t="str">
        <x:v>Neha Gupta</x:v>
      </x:c>
      <x:c r="G842" s="80" t="str">
        <x:v>Home Office</x:v>
      </x:c>
      <x:c r="H842" s="80" t="str">
        <x:v>North</x:v>
      </x:c>
      <x:c r="I842" s="80" t="str">
        <x:v>Delhi</x:v>
      </x:c>
      <x:c r="J842" s="80" t="str">
        <x:v>New Delhi</x:v>
      </x:c>
      <x:c r="K842" s="80" t="str">
        <x:v>Furniture</x:v>
      </x:c>
      <x:c r="L842" s="80" t="str">
        <x:v>Chairs</x:v>
      </x:c>
      <x:c r="M842" s="80" t="str">
        <x:v>Classic Chairs 204</x:v>
      </x:c>
      <x:c r="N842" s="80" t="str">
        <x:v>Same Day</x:v>
      </x:c>
      <x:c r="O842" s="82" t="n">
        <x:v>4</x:v>
      </x:c>
      <x:c r="P842" s="83" t="n">
        <x:v>1584.11</x:v>
      </x:c>
      <x:c r="Q842" s="84" t="n">
        <x:v>0</x:v>
      </x:c>
      <x:c r="R842" s="83" t="n">
        <x:v>6336.44</x:v>
      </x:c>
      <x:c r="S842" s="83" t="n">
        <x:v>4680.68</x:v>
      </x:c>
      <x:c r="T842" s="83" t="n">
        <x:v>1655.76</x:v>
      </x:c>
      <x:c r="U842" s="83" t="str">
        <x:v>Paid</x:v>
      </x:c>
      <x:c r="V842" s="83" t="str">
        <x:v>Completed</x:v>
      </x:c>
      <x:c r="W842" s="151" t="n">
        <x:f>IF(OR(NOT(ISNUMBER($AP842)),COUNT($O842,$P842)&lt;2,$O842&lt;=0,$P842&lt;0),"",ROUND($O842*$P842*(1-$AP842),2))</x:f>
        <x:v>6336.44</x:v>
      </x:c>
      <x:c r="X842" s="151" t="n">
        <x:f>IF(OR(NOT(ISNUMBER($W842)),NOT(ISNUMBER($S842))),"",ROUND($W842-$S842,2))</x:f>
        <x:v>1655.76</x:v>
      </x:c>
      <x:c r="Y842" s="85" t="n">
        <x:f>IF(OR(NOT(ISNUMBER($W842)),NOT(ISNUMBER($X842)),$W842=0),"",ROUND($X842/$W842,4))</x:f>
        <x:v>0.2613</x:v>
      </x:c>
      <x:c r="Z842" s="82" t="n">
        <x:f>IF(OR($AH842&lt;&gt;"Valid",$AI842&lt;&gt;"Valid"),"",INT($D842-$C842))</x:f>
        <x:v>0</x:v>
      </x:c>
      <x:c r="AA842" s="86" t="str">
        <x:f>IF($AH842&lt;&gt;"Valid","",TEXT($C842,"mmmm"))</x:f>
        <x:v>September</x:v>
      </x:c>
      <x:c r="AB842" s="82" t="n">
        <x:f>IF($AH842&lt;&gt;"Valid","",YEAR($C842))</x:f>
        <x:v>2025</x:v>
      </x:c>
      <x:c r="AC842" s="80" t="str">
        <x:v>Consistent</x:v>
      </x:c>
      <x:c r="AD842" s="80" t="str">
        <x:v>Eligible</x:v>
      </x:c>
      <x:c r="AE842" s="80" t="str">
        <x:f>IF(OR($AH842&lt;&gt;"Valid",$AI842&lt;&gt;"Valid",$AJ842&lt;&gt;"Valid",LEFT($AM842,7)="Invalid",IFERROR(ABS($AQ842)&gt;0.01,FALSE),IFERROR(ABS($AR842)&gt;0.01,FALSE),COUNTIF($AS842,"*Conflicting duplicate*")&gt;0,COUNTIF($AS842,"*Completed order not paid*")&gt;0),"Invalid",IF(OR($H842="Unknown",$N842="Unknown",$AM842="Missing discount imputed as 0"),"Warning","Clean"))</x:f>
        <x:v>Clean</x:v>
      </x:c>
      <x:c r="AF842" s="80" t="str">
        <x:v>Pass</x:v>
      </x:c>
      <x:c r="AG842" s="80" t="str">
        <x:v>No text cleanup required</x:v>
      </x:c>
      <x:c r="AH842" s="12" t="str">
        <x:f>IF(C842="","Missing date",IF(ISNUMBER(C842),"Valid","Unrecognized/invalid date"))</x:f>
        <x:v>Valid</x:v>
      </x:c>
      <x:c r="AI842" s="12" t="str">
        <x:f>IF(D842="","Missing date",IF(ISNUMBER(D842),"Valid","Unrecognized/invalid date"))</x:f>
        <x:v>Valid</x:v>
      </x:c>
      <x:c r="AJ842" s="12" t="str">
        <x:v>Valid</x:v>
      </x:c>
      <x:c r="AK842" s="12" t="str">
        <x:v>Pass</x:v>
      </x:c>
      <x:c r="AL842" s="12" t="str">
        <x:v>None</x:v>
      </x:c>
      <x:c r="AM842" s="12" t="str">
        <x:v>Valid</x:v>
      </x:c>
      <x:c r="AN842" s="12" t="str">
        <x:v>Include in completed sales</x:v>
      </x:c>
      <x:c r="AO842" s="12" t="str">
        <x:v>Not a refunded record</x:v>
      </x:c>
      <x:c r="AP842" s="37" t="n">
        <x:f>IF(LEFT($AM842,7)="Invalid","",IF($AM842="Missing discount imputed as 0",IF(AND(COUNT($O842,$P842,$R842,$S842)=4,$O842&gt;0,$P842&gt;=0,$R842&gt;=0,$S842&gt;=0),0,""),IF(AND(ISNUMBER($Q842),$Q842&gt;=0,$Q842&lt;=0.5),$Q842,"")))</x:f>
        <x:v>0</x:v>
      </x:c>
      <x:c r="AQ842" s="152" t="n">
        <x:f>IF(OR($W842="",NOT(ISNUMBER($R842))),"",ROUND($R842-$W842,2))</x:f>
        <x:v>0</x:v>
      </x:c>
      <x:c r="AR842" s="152" t="n">
        <x:f>IF(OR($X842="",NOT(ISNUMBER($T842))),"",ROUND($T842-$X842,2))</x:f>
        <x:v>0</x:v>
      </x:c>
      <x:c r="AS842" s="14" t="str">
        <x:v>OK</x:v>
      </x:c>
    </x:row>
    <x:row r="843">
      <x:c r="A843" s="80" t="n">
        <x:v>843</x:v>
      </x:c>
      <x:c r="B843" s="80" t="str">
        <x:v>ORD-2025-10842</x:v>
      </x:c>
      <x:c r="C843" s="81" t="n">
        <x:v>45694</x:v>
      </x:c>
      <x:c r="D843" s="81" t="n">
        <x:v>45700</x:v>
      </x:c>
      <x:c r="E843" s="80" t="str">
        <x:v>CUST-7558</x:v>
      </x:c>
      <x:c r="F843" s="80" t="str">
        <x:v>Ananya Rao</x:v>
      </x:c>
      <x:c r="G843" s="80" t="str">
        <x:v>Small Business</x:v>
      </x:c>
      <x:c r="H843" s="80" t="str">
        <x:v>East</x:v>
      </x:c>
      <x:c r="I843" s="80" t="str">
        <x:v>Bihar</x:v>
      </x:c>
      <x:c r="J843" s="80" t="str">
        <x:v>Patna</x:v>
      </x:c>
      <x:c r="K843" s="80" t="str">
        <x:v>Office Supplies</x:v>
      </x:c>
      <x:c r="L843" s="80" t="str">
        <x:v>Art</x:v>
      </x:c>
      <x:c r="M843" s="80" t="str">
        <x:v>Max Art 339</x:v>
      </x:c>
      <x:c r="N843" s="80" t="str">
        <x:v>Standard Class</x:v>
      </x:c>
      <x:c r="O843" s="82" t="n">
        <x:v>9</x:v>
      </x:c>
      <x:c r="P843" s="83" t="n">
        <x:v>3237.16</x:v>
      </x:c>
      <x:c r="Q843" s="84" t="n">
        <x:v>0.25</x:v>
      </x:c>
      <x:c r="R843" s="83" t="n">
        <x:v>21850.83</x:v>
      </x:c>
      <x:c r="S843" s="83" t="n">
        <x:v>16600.13</x:v>
      </x:c>
      <x:c r="T843" s="83" t="n">
        <x:v>5250.7</x:v>
      </x:c>
      <x:c r="U843" s="83" t="str">
        <x:v>Paid</x:v>
      </x:c>
      <x:c r="V843" s="83" t="str">
        <x:v>Completed</x:v>
      </x:c>
      <x:c r="W843" s="151" t="n">
        <x:f>IF(OR(NOT(ISNUMBER($AP843)),COUNT($O843,$P843)&lt;2,$O843&lt;=0,$P843&lt;0),"",ROUND($O843*$P843*(1-$AP843),2))</x:f>
        <x:v>21850.83</x:v>
      </x:c>
      <x:c r="X843" s="151" t="n">
        <x:f>IF(OR(NOT(ISNUMBER($W843)),NOT(ISNUMBER($S843))),"",ROUND($W843-$S843,2))</x:f>
        <x:v>5250.7</x:v>
      </x:c>
      <x:c r="Y843" s="85" t="n">
        <x:f>IF(OR(NOT(ISNUMBER($W843)),NOT(ISNUMBER($X843)),$W843=0),"",ROUND($X843/$W843,4))</x:f>
        <x:v>0.2403</x:v>
      </x:c>
      <x:c r="Z843" s="82" t="n">
        <x:f>IF(OR($AH843&lt;&gt;"Valid",$AI843&lt;&gt;"Valid"),"",INT($D843-$C843))</x:f>
        <x:v>6</x:v>
      </x:c>
      <x:c r="AA843" s="86" t="str">
        <x:f>IF($AH843&lt;&gt;"Valid","",TEXT($C843,"mmmm"))</x:f>
        <x:v>February</x:v>
      </x:c>
      <x:c r="AB843" s="82" t="n">
        <x:f>IF($AH843&lt;&gt;"Valid","",YEAR($C843))</x:f>
        <x:v>2025</x:v>
      </x:c>
      <x:c r="AC843" s="80" t="str">
        <x:v>Consistent</x:v>
      </x:c>
      <x:c r="AD843" s="80" t="str">
        <x:v>Eligible</x:v>
      </x:c>
      <x:c r="AE843" s="80" t="str">
        <x:f>IF(OR($AH843&lt;&gt;"Valid",$AI843&lt;&gt;"Valid",$AJ843&lt;&gt;"Valid",LEFT($AM843,7)="Invalid",IFERROR(ABS($AQ843)&gt;0.01,FALSE),IFERROR(ABS($AR843)&gt;0.01,FALSE),COUNTIF($AS843,"*Conflicting duplicate*")&gt;0,COUNTIF($AS843,"*Completed order not paid*")&gt;0),"Invalid",IF(OR($H843="Unknown",$N843="Unknown",$AM843="Missing discount imputed as 0"),"Warning","Clean"))</x:f>
        <x:v>Clean</x:v>
      </x:c>
      <x:c r="AF843" s="80" t="str">
        <x:v>Pass</x:v>
      </x:c>
      <x:c r="AG843" s="80" t="str">
        <x:v>No text cleanup required</x:v>
      </x:c>
      <x:c r="AH843" s="12" t="str">
        <x:f>IF(C843="","Missing date",IF(ISNUMBER(C843),"Valid","Unrecognized/invalid date"))</x:f>
        <x:v>Valid</x:v>
      </x:c>
      <x:c r="AI843" s="12" t="str">
        <x:f>IF(D843="","Missing date",IF(ISNUMBER(D843),"Valid","Unrecognized/invalid date"))</x:f>
        <x:v>Valid</x:v>
      </x:c>
      <x:c r="AJ843" s="12" t="str">
        <x:v>Valid</x:v>
      </x:c>
      <x:c r="AK843" s="12" t="str">
        <x:v>Pass</x:v>
      </x:c>
      <x:c r="AL843" s="12" t="str">
        <x:v>None</x:v>
      </x:c>
      <x:c r="AM843" s="12" t="str">
        <x:v>Valid</x:v>
      </x:c>
      <x:c r="AN843" s="12" t="str">
        <x:v>Include in completed sales</x:v>
      </x:c>
      <x:c r="AO843" s="12" t="str">
        <x:v>Not a refunded record</x:v>
      </x:c>
      <x:c r="AP843" s="37" t="n">
        <x:f>IF(LEFT($AM843,7)="Invalid","",IF($AM843="Missing discount imputed as 0",IF(AND(COUNT($O843,$P843,$R843,$S843)=4,$O843&gt;0,$P843&gt;=0,$R843&gt;=0,$S843&gt;=0),0,""),IF(AND(ISNUMBER($Q843),$Q843&gt;=0,$Q843&lt;=0.5),$Q843,"")))</x:f>
        <x:v>0.25</x:v>
      </x:c>
      <x:c r="AQ843" s="152" t="n">
        <x:f>IF(OR($W843="",NOT(ISNUMBER($R843))),"",ROUND($R843-$W843,2))</x:f>
        <x:v>0</x:v>
      </x:c>
      <x:c r="AR843" s="152" t="n">
        <x:f>IF(OR($X843="",NOT(ISNUMBER($T843))),"",ROUND($T843-$X843,2))</x:f>
        <x:v>0</x:v>
      </x:c>
      <x:c r="AS843" s="14" t="str">
        <x:v>OK</x:v>
      </x:c>
    </x:row>
    <x:row r="844">
      <x:c r="A844" s="80" t="n">
        <x:v>844</x:v>
      </x:c>
      <x:c r="B844" s="80" t="str">
        <x:v>ORD-2024-10843</x:v>
      </x:c>
      <x:c r="C844" s="81" t="n">
        <x:v>45382</x:v>
      </x:c>
      <x:c r="D844" s="81" t="n">
        <x:v>45381</x:v>
      </x:c>
      <x:c r="E844" s="80" t="str">
        <x:v>CUST-1798</x:v>
      </x:c>
      <x:c r="F844" s="80" t="str">
        <x:v>Kabir Singh</x:v>
      </x:c>
      <x:c r="G844" s="80" t="str">
        <x:v>Consumer</x:v>
      </x:c>
      <x:c r="H844" s="80" t="str">
        <x:v>North</x:v>
      </x:c>
      <x:c r="I844" s="80" t="str">
        <x:v>Haryana</x:v>
      </x:c>
      <x:c r="J844" s="80" t="str">
        <x:v>Gurugram</x:v>
      </x:c>
      <x:c r="K844" s="80" t="str">
        <x:v>Technology</x:v>
      </x:c>
      <x:c r="L844" s="80" t="str">
        <x:v>Machines</x:v>
      </x:c>
      <x:c r="M844" s="80" t="str">
        <x:v>Smart Machines 581</x:v>
      </x:c>
      <x:c r="N844" s="80" t="str">
        <x:v>First Class</x:v>
      </x:c>
      <x:c r="O844" s="82" t="n">
        <x:v>4</x:v>
      </x:c>
      <x:c r="P844" s="83" t="n">
        <x:v>2192.08</x:v>
      </x:c>
      <x:c r="Q844" s="84" t="n">
        <x:v>0.15</x:v>
      </x:c>
      <x:c r="R844" s="83" t="n">
        <x:v>7453.07</x:v>
      </x:c>
      <x:c r="S844" s="83" t="n">
        <x:v>5133.78</x:v>
      </x:c>
      <x:c r="T844" s="83" t="n">
        <x:v>2319.29</x:v>
      </x:c>
      <x:c r="U844" s="83" t="str">
        <x:v>Paid</x:v>
      </x:c>
      <x:c r="V844" s="83" t="str">
        <x:v>Returned</x:v>
      </x:c>
      <x:c r="W844" s="151" t="n">
        <x:f>IF(OR(NOT(ISNUMBER($AP844)),COUNT($O844,$P844)&lt;2,$O844&lt;=0,$P844&lt;0),"",ROUND($O844*$P844*(1-$AP844),2))</x:f>
        <x:v>7453.07</x:v>
      </x:c>
      <x:c r="X844" s="151" t="n">
        <x:f>IF(OR(NOT(ISNUMBER($W844)),NOT(ISNUMBER($S844))),"",ROUND($W844-$S844,2))</x:f>
        <x:v>2319.29</x:v>
      </x:c>
      <x:c r="Y844" s="85" t="n">
        <x:f>IF(OR(NOT(ISNUMBER($W844)),NOT(ISNUMBER($X844)),$W844=0),"",ROUND($X844/$W844,4))</x:f>
        <x:v>0.3112</x:v>
      </x:c>
      <x:c r="Z844" s="82" t="n">
        <x:f>IF(OR($AH844&lt;&gt;"Valid",$AI844&lt;&gt;"Valid"),"",INT($D844-$C844))</x:f>
        <x:v>-1</x:v>
      </x:c>
      <x:c r="AA844" s="86" t="str">
        <x:f>IF($AH844&lt;&gt;"Valid","",TEXT($C844,"mmmm"))</x:f>
        <x:v>March</x:v>
      </x:c>
      <x:c r="AB844" s="82" t="n">
        <x:f>IF($AH844&lt;&gt;"Valid","",YEAR($C844))</x:f>
        <x:v>2024</x:v>
      </x:c>
      <x:c r="AC844" s="80" t="str">
        <x:v>Consistent</x:v>
      </x:c>
      <x:c r="AD844" s="80" t="str">
        <x:v>Excluded</x:v>
      </x:c>
      <x:c r="AE844" s="80" t="str">
        <x:f>IF(OR($AH844&lt;&gt;"Valid",$AI844&lt;&gt;"Valid",$AJ844&lt;&gt;"Valid",LEFT($AM844,7)="Invalid",IFERROR(ABS($AQ844)&gt;0.01,FALSE),IFERROR(ABS($AR844)&gt;0.01,FALSE),COUNTIF($AS844,"*Conflicting duplicate*")&gt;0,COUNTIF($AS844,"*Completed order not paid*")&gt;0),"Invalid",IF(OR($H844="Unknown",$N844="Unknown",$AM844="Missing discount imputed as 0"),"Warning","Clean"))</x:f>
        <x:v>Invalid</x:v>
      </x:c>
      <x:c r="AF844" s="80" t="str">
        <x:v>Review</x:v>
      </x:c>
      <x:c r="AG844" s="80" t="str">
        <x:v>customer_name: Case standardization</x:v>
      </x:c>
      <x:c r="AH844" s="12" t="str">
        <x:f>IF(C844="","Missing date",IF(ISNUMBER(C844),"Valid","Unrecognized/invalid date"))</x:f>
        <x:v>Valid</x:v>
      </x:c>
      <x:c r="AI844" s="12" t="str">
        <x:f>IF(D844="","Missing date",IF(ISNUMBER(D844),"Valid","Unrecognized/invalid date"))</x:f>
        <x:v>Valid</x:v>
      </x:c>
      <x:c r="AJ844" s="12" t="str">
        <x:v>Invalid</x:v>
      </x:c>
      <x:c r="AK844" s="12" t="str">
        <x:v>Ship date is earlier than order date</x:v>
      </x:c>
      <x:c r="AL844" s="12" t="str">
        <x:v>None</x:v>
      </x:c>
      <x:c r="AM844" s="12" t="str">
        <x:v>Valid</x:v>
      </x:c>
      <x:c r="AN844" s="12" t="str">
        <x:v>Exclude from completed sales</x:v>
      </x:c>
      <x:c r="AO844" s="12" t="str">
        <x:v>Not a refunded record</x:v>
      </x:c>
      <x:c r="AP844" s="37" t="n">
        <x:f>IF(LEFT($AM844,7)="Invalid","",IF($AM844="Missing discount imputed as 0",IF(AND(COUNT($O844,$P844,$R844,$S844)=4,$O844&gt;0,$P844&gt;=0,$R844&gt;=0,$S844&gt;=0),0,""),IF(AND(ISNUMBER($Q844),$Q844&gt;=0,$Q844&lt;=0.5),$Q844,"")))</x:f>
        <x:v>0.15</x:v>
      </x:c>
      <x:c r="AQ844" s="152" t="n">
        <x:f>IF(OR($W844="",NOT(ISNUMBER($R844))),"",ROUND($R844-$W844,2))</x:f>
        <x:v>0</x:v>
      </x:c>
      <x:c r="AR844" s="152" t="n">
        <x:f>IF(OR($X844="",NOT(ISNUMBER($T844))),"",ROUND($T844-$X844,2))</x:f>
        <x:v>0</x:v>
      </x:c>
      <x:c r="AS844" s="14" t="str">
        <x:v>Ship date earlier than order date</x:v>
      </x:c>
    </x:row>
    <x:row r="845">
      <x:c r="A845" s="80" t="n">
        <x:v>845</x:v>
      </x:c>
      <x:c r="B845" s="80" t="str">
        <x:v>ORD-2025-10844</x:v>
      </x:c>
      <x:c r="C845" s="81" t="n">
        <x:v>45856</x:v>
      </x:c>
      <x:c r="D845" s="81" t="n">
        <x:v>45863</x:v>
      </x:c>
      <x:c r="E845" s="80" t="str">
        <x:v>CUST-7333</x:v>
      </x:c>
      <x:c r="F845" s="80" t="str">
        <x:v>Priya Menon</x:v>
      </x:c>
      <x:c r="G845" s="80" t="str">
        <x:v>Small Business</x:v>
      </x:c>
      <x:c r="H845" s="80" t="str">
        <x:v>North</x:v>
      </x:c>
      <x:c r="I845" s="80" t="str">
        <x:v>Uttar Pradesh</x:v>
      </x:c>
      <x:c r="J845" s="80" t="str">
        <x:v>Noida</x:v>
      </x:c>
      <x:c r="K845" s="80" t="str">
        <x:v>Technology</x:v>
      </x:c>
      <x:c r="L845" s="80" t="str">
        <x:v>Phones</x:v>
      </x:c>
      <x:c r="M845" s="80" t="str">
        <x:v>Prime Phones 482</x:v>
      </x:c>
      <x:c r="N845" s="80" t="str">
        <x:v>First Class</x:v>
      </x:c>
      <x:c r="O845" s="82" t="n">
        <x:v>9</x:v>
      </x:c>
      <x:c r="P845" s="83" t="n">
        <x:v>3989.52</x:v>
      </x:c>
      <x:c r="Q845" s="84" t="n">
        <x:v>-0.02</x:v>
      </x:c>
      <x:c r="R845" s="83" t="n">
        <x:v>35905.68</x:v>
      </x:c>
      <x:c r="S845" s="83" t="n">
        <x:v>23916.1</x:v>
      </x:c>
      <x:c r="T845" s="83" t="n">
        <x:v>11989.58</x:v>
      </x:c>
      <x:c r="U845" s="83" t="str">
        <x:v>Paid</x:v>
      </x:c>
      <x:c r="V845" s="83" t="str">
        <x:v>Completed</x:v>
      </x:c>
      <x:c r="W845" s="151" t="str">
        <x:f>IF(OR(NOT(ISNUMBER($AP845)),COUNT($O845,$P845)&lt;2,$O845&lt;=0,$P845&lt;0),"",ROUND($O845*$P845*(1-$AP845),2))</x:f>
      </x:c>
      <x:c r="X845" s="151" t="str">
        <x:f>IF(OR(NOT(ISNUMBER($W845)),NOT(ISNUMBER($S845))),"",ROUND($W845-$S845,2))</x:f>
      </x:c>
      <x:c r="Y845" s="85" t="str">
        <x:f>IF(OR(NOT(ISNUMBER($W845)),NOT(ISNUMBER($X845)),$W845=0),"",ROUND($X845/$W845,4))</x:f>
      </x:c>
      <x:c r="Z845" s="82" t="n">
        <x:f>IF(OR($AH845&lt;&gt;"Valid",$AI845&lt;&gt;"Valid"),"",INT($D845-$C845))</x:f>
        <x:v>7</x:v>
      </x:c>
      <x:c r="AA845" s="86" t="str">
        <x:f>IF($AH845&lt;&gt;"Valid","",TEXT($C845,"mmmm"))</x:f>
        <x:v>July</x:v>
      </x:c>
      <x:c r="AB845" s="82" t="n">
        <x:f>IF($AH845&lt;&gt;"Valid","",YEAR($C845))</x:f>
        <x:v>2025</x:v>
      </x:c>
      <x:c r="AC845" s="80" t="str">
        <x:v>Consistent</x:v>
      </x:c>
      <x:c r="AD845" s="80" t="str">
        <x:v>Excluded</x:v>
      </x:c>
      <x:c r="AE845" s="80" t="str">
        <x:f>IF(OR($AH845&lt;&gt;"Valid",$AI845&lt;&gt;"Valid",$AJ845&lt;&gt;"Valid",LEFT($AM845,7)="Invalid",IFERROR(ABS($AQ845)&gt;0.01,FALSE),IFERROR(ABS($AR845)&gt;0.01,FALSE),COUNTIF($AS845,"*Conflicting duplicate*")&gt;0,COUNTIF($AS845,"*Completed order not paid*")&gt;0),"Invalid",IF(OR($H845="Unknown",$N845="Unknown",$AM845="Missing discount imputed as 0"),"Warning","Clean"))</x:f>
        <x:v>Invalid</x:v>
      </x:c>
      <x:c r="AF845" s="80" t="str">
        <x:v>Review</x:v>
      </x:c>
      <x:c r="AG845" s="80" t="str">
        <x:v>No text cleanup required</x:v>
      </x:c>
      <x:c r="AH845" s="12" t="str">
        <x:f>IF(C845="","Missing date",IF(ISNUMBER(C845),"Valid","Unrecognized/invalid date"))</x:f>
        <x:v>Valid</x:v>
      </x:c>
      <x:c r="AI845" s="12" t="str">
        <x:f>IF(D845="","Missing date",IF(ISNUMBER(D845),"Valid","Unrecognized/invalid date"))</x:f>
        <x:v>Valid</x:v>
      </x:c>
      <x:c r="AJ845" s="12" t="str">
        <x:v>Valid</x:v>
      </x:c>
      <x:c r="AK845" s="12" t="str">
        <x:v>Pass</x:v>
      </x:c>
      <x:c r="AL845" s="12" t="str">
        <x:v>None</x:v>
      </x:c>
      <x:c r="AM845" s="12" t="str">
        <x:v>Invalid discount – negative</x:v>
      </x:c>
      <x:c r="AN845" s="12" t="str">
        <x:v>Exclude from completed sales</x:v>
      </x:c>
      <x:c r="AO845" s="12" t="str">
        <x:v>Not a refunded record</x:v>
      </x:c>
      <x:c r="AP845" s="37" t="str">
        <x:f>IF(LEFT($AM845,7)="Invalid","",IF($AM845="Missing discount imputed as 0",IF(AND(COUNT($O845,$P845,$R845,$S845)=4,$O845&gt;0,$P845&gt;=0,$R845&gt;=0,$S845&gt;=0),0,""),IF(AND(ISNUMBER($Q845),$Q845&gt;=0,$Q845&lt;=0.5),$Q845,"")))</x:f>
      </x:c>
      <x:c r="AQ845" s="152" t="str">
        <x:f>IF(OR($W845="",NOT(ISNUMBER($R845))),"",ROUND($R845-$W845,2))</x:f>
      </x:c>
      <x:c r="AR845" s="152" t="str">
        <x:f>IF(OR($X845="",NOT(ISNUMBER($T845))),"",ROUND($T845-$X845,2))</x:f>
      </x:c>
      <x:c r="AS845" s="14" t="str">
        <x:v>Negative discount</x:v>
      </x:c>
    </x:row>
    <x:row r="846">
      <x:c r="A846" s="80" t="n">
        <x:v>846</x:v>
      </x:c>
      <x:c r="B846" s="80" t="str">
        <x:v>ORD-2025-10845</x:v>
      </x:c>
      <x:c r="C846" s="81" t="n">
        <x:v>45677</x:v>
      </x:c>
      <x:c r="D846" s="81" t="n">
        <x:v>45682</x:v>
      </x:c>
      <x:c r="E846" s="80" t="str">
        <x:v>CUST-2086</x:v>
      </x:c>
      <x:c r="F846" s="80" t="str">
        <x:v>Aditi Sen</x:v>
      </x:c>
      <x:c r="G846" s="80" t="str">
        <x:v>Home Office</x:v>
      </x:c>
      <x:c r="H846" s="80" t="str">
        <x:v>West</x:v>
      </x:c>
      <x:c r="I846" s="80" t="str">
        <x:v>Goa</x:v>
      </x:c>
      <x:c r="J846" s="80" t="str">
        <x:v>Panaji</x:v>
      </x:c>
      <x:c r="K846" s="80" t="str">
        <x:v>Office Supplies</x:v>
      </x:c>
      <x:c r="L846" s="80" t="str">
        <x:v>Art</x:v>
      </x:c>
      <x:c r="M846" s="80" t="str">
        <x:v>Pro Art 588</x:v>
      </x:c>
      <x:c r="N846" s="80" t="str">
        <x:v>First Class</x:v>
      </x:c>
      <x:c r="O846" s="82" t="n">
        <x:v>1</x:v>
      </x:c>
      <x:c r="P846" s="83" t="n">
        <x:v>3515.15</x:v>
      </x:c>
      <x:c r="Q846" s="84" t="n">
        <x:v>0</x:v>
      </x:c>
      <x:c r="R846" s="83" t="n">
        <x:v>3515.15</x:v>
      </x:c>
      <x:c r="S846" s="83" t="n">
        <x:v>2216.34</x:v>
      </x:c>
      <x:c r="T846" s="83" t="n">
        <x:v>1298.81</x:v>
      </x:c>
      <x:c r="U846" s="83" t="str">
        <x:v>Paid</x:v>
      </x:c>
      <x:c r="V846" s="83" t="str">
        <x:v>Completed</x:v>
      </x:c>
      <x:c r="W846" s="151" t="n">
        <x:f>IF(OR(NOT(ISNUMBER($AP846)),COUNT($O846,$P846)&lt;2,$O846&lt;=0,$P846&lt;0),"",ROUND($O846*$P846*(1-$AP846),2))</x:f>
        <x:v>3515.15</x:v>
      </x:c>
      <x:c r="X846" s="151" t="n">
        <x:f>IF(OR(NOT(ISNUMBER($W846)),NOT(ISNUMBER($S846))),"",ROUND($W846-$S846,2))</x:f>
        <x:v>1298.81</x:v>
      </x:c>
      <x:c r="Y846" s="85" t="n">
        <x:f>IF(OR(NOT(ISNUMBER($W846)),NOT(ISNUMBER($X846)),$W846=0),"",ROUND($X846/$W846,4))</x:f>
        <x:v>0.3695</x:v>
      </x:c>
      <x:c r="Z846" s="82" t="n">
        <x:f>IF(OR($AH846&lt;&gt;"Valid",$AI846&lt;&gt;"Valid"),"",INT($D846-$C846))</x:f>
        <x:v>5</x:v>
      </x:c>
      <x:c r="AA846" s="86" t="str">
        <x:f>IF($AH846&lt;&gt;"Valid","",TEXT($C846,"mmmm"))</x:f>
        <x:v>January</x:v>
      </x:c>
      <x:c r="AB846" s="82" t="n">
        <x:f>IF($AH846&lt;&gt;"Valid","",YEAR($C846))</x:f>
        <x:v>2025</x:v>
      </x:c>
      <x:c r="AC846" s="80" t="str">
        <x:v>Consistent</x:v>
      </x:c>
      <x:c r="AD846" s="80" t="str">
        <x:v>Eligible</x:v>
      </x:c>
      <x:c r="AE846" s="80" t="str">
        <x:f>IF(OR($AH846&lt;&gt;"Valid",$AI846&lt;&gt;"Valid",$AJ846&lt;&gt;"Valid",LEFT($AM846,7)="Invalid",IFERROR(ABS($AQ846)&gt;0.01,FALSE),IFERROR(ABS($AR846)&gt;0.01,FALSE),COUNTIF($AS846,"*Conflicting duplicate*")&gt;0,COUNTIF($AS846,"*Completed order not paid*")&gt;0),"Invalid",IF(OR($H846="Unknown",$N846="Unknown",$AM846="Missing discount imputed as 0"),"Warning","Clean"))</x:f>
        <x:v>Clean</x:v>
      </x:c>
      <x:c r="AF846" s="80" t="str">
        <x:v>Pass</x:v>
      </x:c>
      <x:c r="AG846" s="80" t="str">
        <x:v>No text cleanup required</x:v>
      </x:c>
      <x:c r="AH846" s="12" t="str">
        <x:f>IF(C846="","Missing date",IF(ISNUMBER(C846),"Valid","Unrecognized/invalid date"))</x:f>
        <x:v>Valid</x:v>
      </x:c>
      <x:c r="AI846" s="12" t="str">
        <x:f>IF(D846="","Missing date",IF(ISNUMBER(D846),"Valid","Unrecognized/invalid date"))</x:f>
        <x:v>Valid</x:v>
      </x:c>
      <x:c r="AJ846" s="12" t="str">
        <x:v>Valid</x:v>
      </x:c>
      <x:c r="AK846" s="12" t="str">
        <x:v>Pass</x:v>
      </x:c>
      <x:c r="AL846" s="12" t="str">
        <x:v>None</x:v>
      </x:c>
      <x:c r="AM846" s="12" t="str">
        <x:v>Valid</x:v>
      </x:c>
      <x:c r="AN846" s="12" t="str">
        <x:v>Include in completed sales</x:v>
      </x:c>
      <x:c r="AO846" s="12" t="str">
        <x:v>Not a refunded record</x:v>
      </x:c>
      <x:c r="AP846" s="37" t="n">
        <x:f>IF(LEFT($AM846,7)="Invalid","",IF($AM846="Missing discount imputed as 0",IF(AND(COUNT($O846,$P846,$R846,$S846)=4,$O846&gt;0,$P846&gt;=0,$R846&gt;=0,$S846&gt;=0),0,""),IF(AND(ISNUMBER($Q846),$Q846&gt;=0,$Q846&lt;=0.5),$Q846,"")))</x:f>
        <x:v>0</x:v>
      </x:c>
      <x:c r="AQ846" s="152" t="n">
        <x:f>IF(OR($W846="",NOT(ISNUMBER($R846))),"",ROUND($R846-$W846,2))</x:f>
        <x:v>0</x:v>
      </x:c>
      <x:c r="AR846" s="152" t="n">
        <x:f>IF(OR($X846="",NOT(ISNUMBER($T846))),"",ROUND($T846-$X846,2))</x:f>
        <x:v>0</x:v>
      </x:c>
      <x:c r="AS846" s="14" t="str">
        <x:v>OK</x:v>
      </x:c>
    </x:row>
    <x:row r="847">
      <x:c r="A847" s="80" t="n">
        <x:v>847</x:v>
      </x:c>
      <x:c r="B847" s="80" t="str">
        <x:v>ORD-2024-10846</x:v>
      </x:c>
      <x:c r="C847" s="81" t="n">
        <x:v>45345</x:v>
      </x:c>
      <x:c r="D847" s="81" t="n">
        <x:v>45349</x:v>
      </x:c>
      <x:c r="E847" s="80" t="str">
        <x:v>CUST-2367</x:v>
      </x:c>
      <x:c r="F847" s="80" t="str">
        <x:v>Karan Malhotra</x:v>
      </x:c>
      <x:c r="G847" s="80" t="str">
        <x:v>Consumer</x:v>
      </x:c>
      <x:c r="H847" s="80" t="str">
        <x:v>East</x:v>
      </x:c>
      <x:c r="I847" s="80" t="str">
        <x:v>Odisha</x:v>
      </x:c>
      <x:c r="J847" s="80" t="str">
        <x:v>Bhubaneswar</x:v>
      </x:c>
      <x:c r="K847" s="80" t="str">
        <x:v>Furniture</x:v>
      </x:c>
      <x:c r="L847" s="80" t="str">
        <x:v>Tables</x:v>
      </x:c>
      <x:c r="M847" s="80" t="str">
        <x:v>Eco Tables 792</x:v>
      </x:c>
      <x:c r="N847" s="80" t="str">
        <x:v>First Class</x:v>
      </x:c>
      <x:c r="O847" s="82" t="n">
        <x:v>9</x:v>
      </x:c>
      <x:c r="P847" s="83" t="n">
        <x:v>3616.23</x:v>
      </x:c>
      <x:c r="Q847" s="84" t="n">
        <x:v>0.25</x:v>
      </x:c>
      <x:c r="R847" s="83" t="n">
        <x:v>24409.55</x:v>
      </x:c>
      <x:c r="S847" s="83" t="n">
        <x:v>17157.58</x:v>
      </x:c>
      <x:c r="T847" s="83" t="n">
        <x:v>7251.97</x:v>
      </x:c>
      <x:c r="U847" s="83" t="str">
        <x:v>Pending</x:v>
      </x:c>
      <x:c r="V847" s="83" t="str">
        <x:v>Returned</x:v>
      </x:c>
      <x:c r="W847" s="151" t="n">
        <x:f>IF(OR(NOT(ISNUMBER($AP847)),COUNT($O847,$P847)&lt;2,$O847&lt;=0,$P847&lt;0),"",ROUND($O847*$P847*(1-$AP847),2))</x:f>
        <x:v>24409.55</x:v>
      </x:c>
      <x:c r="X847" s="151" t="n">
        <x:f>IF(OR(NOT(ISNUMBER($W847)),NOT(ISNUMBER($S847))),"",ROUND($W847-$S847,2))</x:f>
        <x:v>7251.97</x:v>
      </x:c>
      <x:c r="Y847" s="85" t="n">
        <x:f>IF(OR(NOT(ISNUMBER($W847)),NOT(ISNUMBER($X847)),$W847=0),"",ROUND($X847/$W847,4))</x:f>
        <x:v>0.2971</x:v>
      </x:c>
      <x:c r="Z847" s="82" t="n">
        <x:f>IF(OR($AH847&lt;&gt;"Valid",$AI847&lt;&gt;"Valid"),"",INT($D847-$C847))</x:f>
        <x:v>4</x:v>
      </x:c>
      <x:c r="AA847" s="86" t="str">
        <x:f>IF($AH847&lt;&gt;"Valid","",TEXT($C847,"mmmm"))</x:f>
        <x:v>February</x:v>
      </x:c>
      <x:c r="AB847" s="82" t="n">
        <x:f>IF($AH847&lt;&gt;"Valid","",YEAR($C847))</x:f>
        <x:v>2024</x:v>
      </x:c>
      <x:c r="AC847" s="80" t="str">
        <x:v>Consistent</x:v>
      </x:c>
      <x:c r="AD847" s="80" t="str">
        <x:v>Excluded</x:v>
      </x:c>
      <x:c r="AE847" s="80" t="str">
        <x:f>IF(OR($AH847&lt;&gt;"Valid",$AI847&lt;&gt;"Valid",$AJ847&lt;&gt;"Valid",LEFT($AM847,7)="Invalid",IFERROR(ABS($AQ847)&gt;0.01,FALSE),IFERROR(ABS($AR847)&gt;0.01,FALSE),COUNTIF($AS847,"*Conflicting duplicate*")&gt;0,COUNTIF($AS847,"*Completed order not paid*")&gt;0),"Invalid",IF(OR($H847="Unknown",$N847="Unknown",$AM847="Missing discount imputed as 0"),"Warning","Clean"))</x:f>
        <x:v>Clean</x:v>
      </x:c>
      <x:c r="AF847" s="80" t="str">
        <x:v>Pass</x:v>
      </x:c>
      <x:c r="AG847" s="80" t="str">
        <x:v>No text cleanup required</x:v>
      </x:c>
      <x:c r="AH847" s="12" t="str">
        <x:f>IF(C847="","Missing date",IF(ISNUMBER(C847),"Valid","Unrecognized/invalid date"))</x:f>
        <x:v>Valid</x:v>
      </x:c>
      <x:c r="AI847" s="12" t="str">
        <x:f>IF(D847="","Missing date",IF(ISNUMBER(D847),"Valid","Unrecognized/invalid date"))</x:f>
        <x:v>Valid</x:v>
      </x:c>
      <x:c r="AJ847" s="12" t="str">
        <x:v>Valid</x:v>
      </x:c>
      <x:c r="AK847" s="12" t="str">
        <x:v>Pass</x:v>
      </x:c>
      <x:c r="AL847" s="12" t="str">
        <x:v>None</x:v>
      </x:c>
      <x:c r="AM847" s="12" t="str">
        <x:v>Valid</x:v>
      </x:c>
      <x:c r="AN847" s="12" t="str">
        <x:v>Exclude from completed sales</x:v>
      </x:c>
      <x:c r="AO847" s="12" t="str">
        <x:v>Not a refunded record</x:v>
      </x:c>
      <x:c r="AP847" s="37" t="n">
        <x:f>IF(LEFT($AM847,7)="Invalid","",IF($AM847="Missing discount imputed as 0",IF(AND(COUNT($O847,$P847,$R847,$S847)=4,$O847&gt;0,$P847&gt;=0,$R847&gt;=0,$S847&gt;=0),0,""),IF(AND(ISNUMBER($Q847),$Q847&gt;=0,$Q847&lt;=0.5),$Q847,"")))</x:f>
        <x:v>0.25</x:v>
      </x:c>
      <x:c r="AQ847" s="152" t="n">
        <x:f>IF(OR($W847="",NOT(ISNUMBER($R847))),"",ROUND($R847-$W847,2))</x:f>
        <x:v>0</x:v>
      </x:c>
      <x:c r="AR847" s="152" t="n">
        <x:f>IF(OR($X847="",NOT(ISNUMBER($T847))),"",ROUND($T847-$X847,2))</x:f>
        <x:v>0</x:v>
      </x:c>
      <x:c r="AS847" s="14" t="str">
        <x:v>OK</x:v>
      </x:c>
    </x:row>
    <x:row r="848">
      <x:c r="A848" s="80" t="n">
        <x:v>848</x:v>
      </x:c>
      <x:c r="B848" s="80" t="str">
        <x:v>ORD-2024-10847</x:v>
      </x:c>
      <x:c r="C848" s="81" t="n">
        <x:v>45396</x:v>
      </x:c>
      <x:c r="D848" s="81" t="n">
        <x:v>45404</x:v>
      </x:c>
      <x:c r="E848" s="80" t="str">
        <x:v>CUST-6522</x:v>
      </x:c>
      <x:c r="F848" s="80" t="str">
        <x:v>Priya Menon</x:v>
      </x:c>
      <x:c r="G848" s="80" t="str">
        <x:v>Small Business</x:v>
      </x:c>
      <x:c r="H848" s="80" t="str">
        <x:v>West</x:v>
      </x:c>
      <x:c r="I848" s="80" t="str">
        <x:v>Gujarat</x:v>
      </x:c>
      <x:c r="J848" s="80" t="str">
        <x:v>Ahmedabad</x:v>
      </x:c>
      <x:c r="K848" s="80" t="str">
        <x:v>Furniture</x:v>
      </x:c>
      <x:c r="L848" s="80" t="str">
        <x:v>Bookcases</x:v>
      </x:c>
      <x:c r="M848" s="80" t="str">
        <x:v>Prime Bookcases 177</x:v>
      </x:c>
      <x:c r="N848" s="80" t="str">
        <x:v>Standard Class</x:v>
      </x:c>
      <x:c r="O848" s="82" t="n">
        <x:v>2</x:v>
      </x:c>
      <x:c r="P848" s="83" t="n">
        <x:v>3977.52</x:v>
      </x:c>
      <x:c r="Q848" s="84" t="n">
        <x:v>0</x:v>
      </x:c>
      <x:c r="R848" s="83" t="n">
        <x:v>7955.04</x:v>
      </x:c>
      <x:c r="S848" s="83" t="n">
        <x:v>5580.68</x:v>
      </x:c>
      <x:c r="T848" s="83" t="n">
        <x:v>2374.36</x:v>
      </x:c>
      <x:c r="U848" s="83" t="str">
        <x:v>Pending</x:v>
      </x:c>
      <x:c r="V848" s="83" t="str">
        <x:v>Returned</x:v>
      </x:c>
      <x:c r="W848" s="151" t="n">
        <x:f>IF(OR(NOT(ISNUMBER($AP848)),COUNT($O848,$P848)&lt;2,$O848&lt;=0,$P848&lt;0),"",ROUND($O848*$P848*(1-$AP848),2))</x:f>
        <x:v>7955.04</x:v>
      </x:c>
      <x:c r="X848" s="151" t="n">
        <x:f>IF(OR(NOT(ISNUMBER($W848)),NOT(ISNUMBER($S848))),"",ROUND($W848-$S848,2))</x:f>
        <x:v>2374.36</x:v>
      </x:c>
      <x:c r="Y848" s="85" t="n">
        <x:f>IF(OR(NOT(ISNUMBER($W848)),NOT(ISNUMBER($X848)),$W848=0),"",ROUND($X848/$W848,4))</x:f>
        <x:v>0.2985</x:v>
      </x:c>
      <x:c r="Z848" s="82" t="n">
        <x:f>IF(OR($AH848&lt;&gt;"Valid",$AI848&lt;&gt;"Valid"),"",INT($D848-$C848))</x:f>
        <x:v>8</x:v>
      </x:c>
      <x:c r="AA848" s="86" t="str">
        <x:f>IF($AH848&lt;&gt;"Valid","",TEXT($C848,"mmmm"))</x:f>
        <x:v>April</x:v>
      </x:c>
      <x:c r="AB848" s="82" t="n">
        <x:f>IF($AH848&lt;&gt;"Valid","",YEAR($C848))</x:f>
        <x:v>2024</x:v>
      </x:c>
      <x:c r="AC848" s="80" t="str">
        <x:v>Consistent</x:v>
      </x:c>
      <x:c r="AD848" s="80" t="str">
        <x:v>Excluded</x:v>
      </x:c>
      <x:c r="AE848" s="80" t="str">
        <x:f>IF(OR($AH848&lt;&gt;"Valid",$AI848&lt;&gt;"Valid",$AJ848&lt;&gt;"Valid",LEFT($AM848,7)="Invalid",IFERROR(ABS($AQ848)&gt;0.01,FALSE),IFERROR(ABS($AR848)&gt;0.01,FALSE),COUNTIF($AS848,"*Conflicting duplicate*")&gt;0,COUNTIF($AS848,"*Completed order not paid*")&gt;0),"Invalid",IF(OR($H848="Unknown",$N848="Unknown",$AM848="Missing discount imputed as 0"),"Warning","Clean"))</x:f>
        <x:v>Clean</x:v>
      </x:c>
      <x:c r="AF848" s="80" t="str">
        <x:v>Pass</x:v>
      </x:c>
      <x:c r="AG848" s="80" t="str">
        <x:v>No text cleanup required</x:v>
      </x:c>
      <x:c r="AH848" s="12" t="str">
        <x:f>IF(C848="","Missing date",IF(ISNUMBER(C848),"Valid","Unrecognized/invalid date"))</x:f>
        <x:v>Valid</x:v>
      </x:c>
      <x:c r="AI848" s="12" t="str">
        <x:f>IF(D848="","Missing date",IF(ISNUMBER(D848),"Valid","Unrecognized/invalid date"))</x:f>
        <x:v>Valid</x:v>
      </x:c>
      <x:c r="AJ848" s="12" t="str">
        <x:v>Valid</x:v>
      </x:c>
      <x:c r="AK848" s="12" t="str">
        <x:v>Pass</x:v>
      </x:c>
      <x:c r="AL848" s="12" t="str">
        <x:v>None</x:v>
      </x:c>
      <x:c r="AM848" s="12" t="str">
        <x:v>Valid</x:v>
      </x:c>
      <x:c r="AN848" s="12" t="str">
        <x:v>Exclude from completed sales</x:v>
      </x:c>
      <x:c r="AO848" s="12" t="str">
        <x:v>Not a refunded record</x:v>
      </x:c>
      <x:c r="AP848" s="37" t="n">
        <x:f>IF(LEFT($AM848,7)="Invalid","",IF($AM848="Missing discount imputed as 0",IF(AND(COUNT($O848,$P848,$R848,$S848)=4,$O848&gt;0,$P848&gt;=0,$R848&gt;=0,$S848&gt;=0),0,""),IF(AND(ISNUMBER($Q848),$Q848&gt;=0,$Q848&lt;=0.5),$Q848,"")))</x:f>
        <x:v>0</x:v>
      </x:c>
      <x:c r="AQ848" s="152" t="n">
        <x:f>IF(OR($W848="",NOT(ISNUMBER($R848))),"",ROUND($R848-$W848,2))</x:f>
        <x:v>0</x:v>
      </x:c>
      <x:c r="AR848" s="152" t="n">
        <x:f>IF(OR($X848="",NOT(ISNUMBER($T848))),"",ROUND($T848-$X848,2))</x:f>
        <x:v>0</x:v>
      </x:c>
      <x:c r="AS848" s="14" t="str">
        <x:v>OK</x:v>
      </x:c>
    </x:row>
    <x:row r="849">
      <x:c r="A849" s="80" t="n">
        <x:v>849</x:v>
      </x:c>
      <x:c r="B849" s="80" t="str">
        <x:v>ORD-2025-10848</x:v>
      </x:c>
      <x:c r="C849" s="81" t="n">
        <x:v>45797</x:v>
      </x:c>
      <x:c r="D849" s="81" t="n">
        <x:v>45799</x:v>
      </x:c>
      <x:c r="E849" s="80" t="str">
        <x:v>CUST-8329</x:v>
      </x:c>
      <x:c r="F849" s="80" t="str">
        <x:v>Diya Patel</x:v>
      </x:c>
      <x:c r="G849" s="80" t="str">
        <x:v>Home Office</x:v>
      </x:c>
      <x:c r="H849" s="80" t="str">
        <x:v>East</x:v>
      </x:c>
      <x:c r="I849" s="80" t="str">
        <x:v>Odisha</x:v>
      </x:c>
      <x:c r="J849" s="80" t="str">
        <x:v>Bhubaneswar</x:v>
      </x:c>
      <x:c r="K849" s="80" t="str">
        <x:v>Furniture</x:v>
      </x:c>
      <x:c r="L849" s="80" t="str">
        <x:v>Tables</x:v>
      </x:c>
      <x:c r="M849" s="80" t="str">
        <x:v>Pro Tables 828</x:v>
      </x:c>
      <x:c r="N849" s="80" t="str">
        <x:v>Second Class</x:v>
      </x:c>
      <x:c r="O849" s="82" t="n">
        <x:v>2</x:v>
      </x:c>
      <x:c r="P849" s="83" t="n">
        <x:v>210.08</x:v>
      </x:c>
      <x:c r="Q849" s="84" t="n">
        <x:v>0.2</x:v>
      </x:c>
      <x:c r="R849" s="83" t="n">
        <x:v>336.13</x:v>
      </x:c>
      <x:c r="S849" s="83" t="n">
        <x:v>242.19</x:v>
      </x:c>
      <x:c r="T849" s="83" t="n">
        <x:v>93.94</x:v>
      </x:c>
      <x:c r="U849" s="83" t="str">
        <x:v>Paid</x:v>
      </x:c>
      <x:c r="V849" s="83" t="str">
        <x:v>Completed</x:v>
      </x:c>
      <x:c r="W849" s="151" t="n">
        <x:f>IF(OR(NOT(ISNUMBER($AP849)),COUNT($O849,$P849)&lt;2,$O849&lt;=0,$P849&lt;0),"",ROUND($O849*$P849*(1-$AP849),2))</x:f>
        <x:v>336.13</x:v>
      </x:c>
      <x:c r="X849" s="151" t="n">
        <x:f>IF(OR(NOT(ISNUMBER($W849)),NOT(ISNUMBER($S849))),"",ROUND($W849-$S849,2))</x:f>
        <x:v>93.94</x:v>
      </x:c>
      <x:c r="Y849" s="85" t="n">
        <x:f>IF(OR(NOT(ISNUMBER($W849)),NOT(ISNUMBER($X849)),$W849=0),"",ROUND($X849/$W849,4))</x:f>
        <x:v>0.2795</x:v>
      </x:c>
      <x:c r="Z849" s="82" t="n">
        <x:f>IF(OR($AH849&lt;&gt;"Valid",$AI849&lt;&gt;"Valid"),"",INT($D849-$C849))</x:f>
        <x:v>2</x:v>
      </x:c>
      <x:c r="AA849" s="86" t="str">
        <x:f>IF($AH849&lt;&gt;"Valid","",TEXT($C849,"mmmm"))</x:f>
        <x:v>May</x:v>
      </x:c>
      <x:c r="AB849" s="82" t="n">
        <x:f>IF($AH849&lt;&gt;"Valid","",YEAR($C849))</x:f>
        <x:v>2025</x:v>
      </x:c>
      <x:c r="AC849" s="80" t="str">
        <x:v>Consistent</x:v>
      </x:c>
      <x:c r="AD849" s="80" t="str">
        <x:v>Eligible</x:v>
      </x:c>
      <x:c r="AE849" s="80" t="str">
        <x:f>IF(OR($AH849&lt;&gt;"Valid",$AI849&lt;&gt;"Valid",$AJ849&lt;&gt;"Valid",LEFT($AM849,7)="Invalid",IFERROR(ABS($AQ849)&gt;0.01,FALSE),IFERROR(ABS($AR849)&gt;0.01,FALSE),COUNTIF($AS849,"*Conflicting duplicate*")&gt;0,COUNTIF($AS849,"*Completed order not paid*")&gt;0),"Invalid",IF(OR($H849="Unknown",$N849="Unknown",$AM849="Missing discount imputed as 0"),"Warning","Clean"))</x:f>
        <x:v>Clean</x:v>
      </x:c>
      <x:c r="AF849" s="80" t="str">
        <x:v>Pass</x:v>
      </x:c>
      <x:c r="AG849" s="80" t="str">
        <x:v>No text cleanup required</x:v>
      </x:c>
      <x:c r="AH849" s="12" t="str">
        <x:f>IF(C849="","Missing date",IF(ISNUMBER(C849),"Valid","Unrecognized/invalid date"))</x:f>
        <x:v>Valid</x:v>
      </x:c>
      <x:c r="AI849" s="12" t="str">
        <x:f>IF(D849="","Missing date",IF(ISNUMBER(D849),"Valid","Unrecognized/invalid date"))</x:f>
        <x:v>Valid</x:v>
      </x:c>
      <x:c r="AJ849" s="12" t="str">
        <x:v>Valid</x:v>
      </x:c>
      <x:c r="AK849" s="12" t="str">
        <x:v>Pass</x:v>
      </x:c>
      <x:c r="AL849" s="12" t="str">
        <x:v>None</x:v>
      </x:c>
      <x:c r="AM849" s="12" t="str">
        <x:v>Valid</x:v>
      </x:c>
      <x:c r="AN849" s="12" t="str">
        <x:v>Include in completed sales</x:v>
      </x:c>
      <x:c r="AO849" s="12" t="str">
        <x:v>Not a refunded record</x:v>
      </x:c>
      <x:c r="AP849" s="37" t="n">
        <x:f>IF(LEFT($AM849,7)="Invalid","",IF($AM849="Missing discount imputed as 0",IF(AND(COUNT($O849,$P849,$R849,$S849)=4,$O849&gt;0,$P849&gt;=0,$R849&gt;=0,$S849&gt;=0),0,""),IF(AND(ISNUMBER($Q849),$Q849&gt;=0,$Q849&lt;=0.5),$Q849,"")))</x:f>
        <x:v>0.2</x:v>
      </x:c>
      <x:c r="AQ849" s="152" t="n">
        <x:f>IF(OR($W849="",NOT(ISNUMBER($R849))),"",ROUND($R849-$W849,2))</x:f>
        <x:v>0</x:v>
      </x:c>
      <x:c r="AR849" s="152" t="n">
        <x:f>IF(OR($X849="",NOT(ISNUMBER($T849))),"",ROUND($T849-$X849,2))</x:f>
        <x:v>0</x:v>
      </x:c>
      <x:c r="AS849" s="14" t="str">
        <x:v>OK</x:v>
      </x:c>
    </x:row>
    <x:row r="850">
      <x:c r="A850" s="80" t="n">
        <x:v>850</x:v>
      </x:c>
      <x:c r="B850" s="80" t="str">
        <x:v>ORD-2025-10849</x:v>
      </x:c>
      <x:c r="C850" s="81" t="n">
        <x:v>45804</x:v>
      </x:c>
      <x:c r="D850" s="81" t="n">
        <x:v>45806</x:v>
      </x:c>
      <x:c r="E850" s="80" t="str">
        <x:v>CUST-4426</x:v>
      </x:c>
      <x:c r="F850" s="80" t="str">
        <x:v>Rahul Verma</x:v>
      </x:c>
      <x:c r="G850" s="80" t="str">
        <x:v>Home Office</x:v>
      </x:c>
      <x:c r="H850" s="80" t="str">
        <x:v>South</x:v>
      </x:c>
      <x:c r="I850" s="80" t="str">
        <x:v>Tamil Nadu</x:v>
      </x:c>
      <x:c r="J850" s="80" t="str">
        <x:v>Chennai</x:v>
      </x:c>
      <x:c r="K850" s="80" t="str">
        <x:v>Furniture</x:v>
      </x:c>
      <x:c r="L850" s="80" t="str">
        <x:v>Furnishings</x:v>
      </x:c>
      <x:c r="M850" s="80" t="str">
        <x:v>Elite Furnishings 480</x:v>
      </x:c>
      <x:c r="N850" s="80" t="str">
        <x:v>Second Class</x:v>
      </x:c>
      <x:c r="O850" s="82" t="n">
        <x:v>1</x:v>
      </x:c>
      <x:c r="P850" s="83" t="n">
        <x:v>1744.35</x:v>
      </x:c>
      <x:c r="Q850" s="84" t="n">
        <x:v>0.25</x:v>
      </x:c>
      <x:c r="R850" s="83" t="n">
        <x:v>1308.26</x:v>
      </x:c>
      <x:c r="S850" s="83" t="n">
        <x:v>1083.56</x:v>
      </x:c>
      <x:c r="T850" s="83" t="n">
        <x:v>224.7</x:v>
      </x:c>
      <x:c r="U850" s="83" t="str">
        <x:v>Paid</x:v>
      </x:c>
      <x:c r="V850" s="83" t="str">
        <x:v>Completed</x:v>
      </x:c>
      <x:c r="W850" s="151" t="n">
        <x:f>IF(OR(NOT(ISNUMBER($AP850)),COUNT($O850,$P850)&lt;2,$O850&lt;=0,$P850&lt;0),"",ROUND($O850*$P850*(1-$AP850),2))</x:f>
        <x:v>1308.26</x:v>
      </x:c>
      <x:c r="X850" s="151" t="n">
        <x:f>IF(OR(NOT(ISNUMBER($W850)),NOT(ISNUMBER($S850))),"",ROUND($W850-$S850,2))</x:f>
        <x:v>224.7</x:v>
      </x:c>
      <x:c r="Y850" s="85" t="n">
        <x:f>IF(OR(NOT(ISNUMBER($W850)),NOT(ISNUMBER($X850)),$W850=0),"",ROUND($X850/$W850,4))</x:f>
        <x:v>0.1718</x:v>
      </x:c>
      <x:c r="Z850" s="82" t="n">
        <x:f>IF(OR($AH850&lt;&gt;"Valid",$AI850&lt;&gt;"Valid"),"",INT($D850-$C850))</x:f>
        <x:v>2</x:v>
      </x:c>
      <x:c r="AA850" s="86" t="str">
        <x:f>IF($AH850&lt;&gt;"Valid","",TEXT($C850,"mmmm"))</x:f>
        <x:v>May</x:v>
      </x:c>
      <x:c r="AB850" s="82" t="n">
        <x:f>IF($AH850&lt;&gt;"Valid","",YEAR($C850))</x:f>
        <x:v>2025</x:v>
      </x:c>
      <x:c r="AC850" s="80" t="str">
        <x:v>Consistent</x:v>
      </x:c>
      <x:c r="AD850" s="80" t="str">
        <x:v>Eligible</x:v>
      </x:c>
      <x:c r="AE850" s="80" t="str">
        <x:f>IF(OR($AH850&lt;&gt;"Valid",$AI850&lt;&gt;"Valid",$AJ850&lt;&gt;"Valid",LEFT($AM850,7)="Invalid",IFERROR(ABS($AQ850)&gt;0.01,FALSE),IFERROR(ABS($AR850)&gt;0.01,FALSE),COUNTIF($AS850,"*Conflicting duplicate*")&gt;0,COUNTIF($AS850,"*Completed order not paid*")&gt;0),"Invalid",IF(OR($H850="Unknown",$N850="Unknown",$AM850="Missing discount imputed as 0"),"Warning","Clean"))</x:f>
        <x:v>Clean</x:v>
      </x:c>
      <x:c r="AF850" s="80" t="str">
        <x:v>Pass</x:v>
      </x:c>
      <x:c r="AG850" s="80" t="str">
        <x:v>No text cleanup required</x:v>
      </x:c>
      <x:c r="AH850" s="12" t="str">
        <x:f>IF(C850="","Missing date",IF(ISNUMBER(C850),"Valid","Unrecognized/invalid date"))</x:f>
        <x:v>Valid</x:v>
      </x:c>
      <x:c r="AI850" s="12" t="str">
        <x:f>IF(D850="","Missing date",IF(ISNUMBER(D850),"Valid","Unrecognized/invalid date"))</x:f>
        <x:v>Valid</x:v>
      </x:c>
      <x:c r="AJ850" s="12" t="str">
        <x:v>Valid</x:v>
      </x:c>
      <x:c r="AK850" s="12" t="str">
        <x:v>Pass</x:v>
      </x:c>
      <x:c r="AL850" s="12" t="str">
        <x:v>None</x:v>
      </x:c>
      <x:c r="AM850" s="12" t="str">
        <x:v>Valid</x:v>
      </x:c>
      <x:c r="AN850" s="12" t="str">
        <x:v>Include in completed sales</x:v>
      </x:c>
      <x:c r="AO850" s="12" t="str">
        <x:v>Not a refunded record</x:v>
      </x:c>
      <x:c r="AP850" s="37" t="n">
        <x:f>IF(LEFT($AM850,7)="Invalid","",IF($AM850="Missing discount imputed as 0",IF(AND(COUNT($O850,$P850,$R850,$S850)=4,$O850&gt;0,$P850&gt;=0,$R850&gt;=0,$S850&gt;=0),0,""),IF(AND(ISNUMBER($Q850),$Q850&gt;=0,$Q850&lt;=0.5),$Q850,"")))</x:f>
        <x:v>0.25</x:v>
      </x:c>
      <x:c r="AQ850" s="152" t="n">
        <x:f>IF(OR($W850="",NOT(ISNUMBER($R850))),"",ROUND($R850-$W850,2))</x:f>
        <x:v>0</x:v>
      </x:c>
      <x:c r="AR850" s="152" t="n">
        <x:f>IF(OR($X850="",NOT(ISNUMBER($T850))),"",ROUND($T850-$X850,2))</x:f>
        <x:v>0</x:v>
      </x:c>
      <x:c r="AS850" s="14" t="str">
        <x:v>OK</x:v>
      </x:c>
    </x:row>
    <x:row r="851">
      <x:c r="A851" s="80" t="n">
        <x:v>851</x:v>
      </x:c>
      <x:c r="B851" s="80" t="str">
        <x:v>ORD-2024-10850</x:v>
      </x:c>
      <x:c r="C851" s="81" t="n">
        <x:v>45357</x:v>
      </x:c>
      <x:c r="D851" s="81" t="n">
        <x:v>45363</x:v>
      </x:c>
      <x:c r="E851" s="80" t="str">
        <x:v>CUST-3360</x:v>
      </x:c>
      <x:c r="F851" s="80" t="str">
        <x:v>Isha Nair</x:v>
      </x:c>
      <x:c r="G851" s="80" t="str">
        <x:v>Home Office</x:v>
      </x:c>
      <x:c r="H851" s="80" t="str">
        <x:v>West</x:v>
      </x:c>
      <x:c r="I851" s="80" t="str">
        <x:v>Gujarat</x:v>
      </x:c>
      <x:c r="J851" s="80" t="str">
        <x:v>Ahmedabad</x:v>
      </x:c>
      <x:c r="K851" s="80" t="str">
        <x:v>Furniture</x:v>
      </x:c>
      <x:c r="L851" s="80" t="str">
        <x:v>Bookcases</x:v>
      </x:c>
      <x:c r="M851" s="80" t="str">
        <x:v>Prime Bookcases 755</x:v>
      </x:c>
      <x:c r="N851" s="80" t="str">
        <x:v>Standard Class</x:v>
      </x:c>
      <x:c r="O851" s="82" t="n">
        <x:v>3</x:v>
      </x:c>
      <x:c r="P851" s="83" t="n">
        <x:v>679.63</x:v>
      </x:c>
      <x:c r="Q851" s="84" t="n">
        <x:v>0.2</x:v>
      </x:c>
      <x:c r="R851" s="83" t="n">
        <x:v>1631.11</x:v>
      </x:c>
      <x:c r="S851" s="83" t="n">
        <x:v>898.73</x:v>
      </x:c>
      <x:c r="T851" s="83" t="n">
        <x:v>396.58</x:v>
      </x:c>
      <x:c r="U851" s="83" t="str">
        <x:v>Paid</x:v>
      </x:c>
      <x:c r="V851" s="83" t="str">
        <x:v>Completed</x:v>
      </x:c>
      <x:c r="W851" s="151" t="n">
        <x:f>IF(OR(NOT(ISNUMBER($AP851)),COUNT($O851,$P851)&lt;2,$O851&lt;=0,$P851&lt;0),"",ROUND($O851*$P851*(1-$AP851),2))</x:f>
        <x:v>1631.11</x:v>
      </x:c>
      <x:c r="X851" s="151" t="n">
        <x:f>IF(OR(NOT(ISNUMBER($W851)),NOT(ISNUMBER($S851))),"",ROUND($W851-$S851,2))</x:f>
        <x:v>732.38</x:v>
      </x:c>
      <x:c r="Y851" s="85" t="n">
        <x:f>IF(OR(NOT(ISNUMBER($W851)),NOT(ISNUMBER($X851)),$W851=0),"",ROUND($X851/$W851,4))</x:f>
        <x:v>0.449</x:v>
      </x:c>
      <x:c r="Z851" s="82" t="n">
        <x:f>IF(OR($AH851&lt;&gt;"Valid",$AI851&lt;&gt;"Valid"),"",INT($D851-$C851))</x:f>
        <x:v>6</x:v>
      </x:c>
      <x:c r="AA851" s="86" t="str">
        <x:f>IF($AH851&lt;&gt;"Valid","",TEXT($C851,"mmmm"))</x:f>
        <x:v>March</x:v>
      </x:c>
      <x:c r="AB851" s="82" t="n">
        <x:f>IF($AH851&lt;&gt;"Valid","",YEAR($C851))</x:f>
        <x:v>2024</x:v>
      </x:c>
      <x:c r="AC851" s="80" t="str">
        <x:v>Consistent</x:v>
      </x:c>
      <x:c r="AD851" s="80" t="str">
        <x:v>Excluded</x:v>
      </x:c>
      <x:c r="AE851" s="80" t="str">
        <x:f>IF(OR($AH851&lt;&gt;"Valid",$AI851&lt;&gt;"Valid",$AJ851&lt;&gt;"Valid",LEFT($AM851,7)="Invalid",IFERROR(ABS($AQ851)&gt;0.01,FALSE),IFERROR(ABS($AR851)&gt;0.01,FALSE),COUNTIF($AS851,"*Conflicting duplicate*")&gt;0,COUNTIF($AS851,"*Completed order not paid*")&gt;0),"Invalid",IF(OR($H851="Unknown",$N851="Unknown",$AM851="Missing discount imputed as 0"),"Warning","Clean"))</x:f>
        <x:v>Invalid</x:v>
      </x:c>
      <x:c r="AF851" s="80" t="str">
        <x:v>Review</x:v>
      </x:c>
      <x:c r="AG851" s="80" t="str">
        <x:v>order_status: TRIM/SUBSTITUTE whitespace cleanup</x:v>
      </x:c>
      <x:c r="AH851" s="12" t="str">
        <x:f>IF(C851="","Missing date",IF(ISNUMBER(C851),"Valid","Unrecognized/invalid date"))</x:f>
        <x:v>Valid</x:v>
      </x:c>
      <x:c r="AI851" s="12" t="str">
        <x:f>IF(D851="","Missing date",IF(ISNUMBER(D851),"Valid","Unrecognized/invalid date"))</x:f>
        <x:v>Valid</x:v>
      </x:c>
      <x:c r="AJ851" s="12" t="str">
        <x:v>Valid</x:v>
      </x:c>
      <x:c r="AK851" s="12" t="str">
        <x:v>Pass</x:v>
      </x:c>
      <x:c r="AL851" s="12" t="str">
        <x:v>None</x:v>
      </x:c>
      <x:c r="AM851" s="12" t="str">
        <x:v>Valid</x:v>
      </x:c>
      <x:c r="AN851" s="12" t="str">
        <x:v>Exclude from completed sales</x:v>
      </x:c>
      <x:c r="AO851" s="12" t="str">
        <x:v>Not a refunded record</x:v>
      </x:c>
      <x:c r="AP851" s="37" t="n">
        <x:f>IF(LEFT($AM851,7)="Invalid","",IF($AM851="Missing discount imputed as 0",IF(AND(COUNT($O851,$P851,$R851,$S851)=4,$O851&gt;0,$P851&gt;=0,$R851&gt;=0,$S851&gt;=0),0,""),IF(AND(ISNUMBER($Q851),$Q851&gt;=0,$Q851&lt;=0.5),$Q851,"")))</x:f>
        <x:v>0.2</x:v>
      </x:c>
      <x:c r="AQ851" s="152" t="n">
        <x:f>IF(OR($W851="",NOT(ISNUMBER($R851))),"",ROUND($R851-$W851,2))</x:f>
        <x:v>0</x:v>
      </x:c>
      <x:c r="AR851" s="152" t="n">
        <x:f>IF(OR($X851="",NOT(ISNUMBER($T851))),"",ROUND($T851-$X851,2))</x:f>
        <x:v>-335.8</x:v>
      </x:c>
      <x:c r="AS851" s="14" t="str">
        <x:v>Profit calculation mismatch</x:v>
      </x:c>
    </x:row>
    <x:row r="852">
      <x:c r="A852" s="80" t="n">
        <x:v>852</x:v>
      </x:c>
      <x:c r="B852" s="80" t="str">
        <x:v>ORD-2024-10851</x:v>
      </x:c>
      <x:c r="C852" s="81" t="n">
        <x:v>45473</x:v>
      </x:c>
      <x:c r="D852" s="81" t="n">
        <x:v>45476</x:v>
      </x:c>
      <x:c r="E852" s="80" t="str">
        <x:v>CUST-2623</x:v>
      </x:c>
      <x:c r="F852" s="80" t="str">
        <x:v>Priya Menon</x:v>
      </x:c>
      <x:c r="G852" s="80" t="str">
        <x:v>Home Office</x:v>
      </x:c>
      <x:c r="H852" s="80" t="str">
        <x:v>East</x:v>
      </x:c>
      <x:c r="I852" s="80" t="str">
        <x:v>West Bengal</x:v>
      </x:c>
      <x:c r="J852" s="80" t="str">
        <x:v>Kolkata</x:v>
      </x:c>
      <x:c r="K852" s="80" t="str">
        <x:v>Office Supplies</x:v>
      </x:c>
      <x:c r="L852" s="80" t="str">
        <x:v>Paper</x:v>
      </x:c>
      <x:c r="M852" s="80" t="str">
        <x:v>Prime Paper 317</x:v>
      </x:c>
      <x:c r="N852" s="80" t="str">
        <x:v>First Class</x:v>
      </x:c>
      <x:c r="O852" s="82" t="n">
        <x:v>6</x:v>
      </x:c>
      <x:c r="P852" s="83" t="n">
        <x:v>1211.01</x:v>
      </x:c>
      <x:c r="Q852" s="84" t="n">
        <x:v>0</x:v>
      </x:c>
      <x:c r="R852" s="83" t="n">
        <x:v>7266.06</x:v>
      </x:c>
      <x:c r="S852" s="83" t="n">
        <x:v>6216.89</x:v>
      </x:c>
      <x:c r="T852" s="83" t="n">
        <x:v>1049.17</x:v>
      </x:c>
      <x:c r="U852" s="83" t="str">
        <x:v>Paid</x:v>
      </x:c>
      <x:c r="V852" s="83" t="str">
        <x:v>Completed</x:v>
      </x:c>
      <x:c r="W852" s="151" t="n">
        <x:f>IF(OR(NOT(ISNUMBER($AP852)),COUNT($O852,$P852)&lt;2,$O852&lt;=0,$P852&lt;0),"",ROUND($O852*$P852*(1-$AP852),2))</x:f>
        <x:v>7266.06</x:v>
      </x:c>
      <x:c r="X852" s="151" t="n">
        <x:f>IF(OR(NOT(ISNUMBER($W852)),NOT(ISNUMBER($S852))),"",ROUND($W852-$S852,2))</x:f>
        <x:v>1049.17</x:v>
      </x:c>
      <x:c r="Y852" s="85" t="n">
        <x:f>IF(OR(NOT(ISNUMBER($W852)),NOT(ISNUMBER($X852)),$W852=0),"",ROUND($X852/$W852,4))</x:f>
        <x:v>0.1444</x:v>
      </x:c>
      <x:c r="Z852" s="82" t="n">
        <x:f>IF(OR($AH852&lt;&gt;"Valid",$AI852&lt;&gt;"Valid"),"",INT($D852-$C852))</x:f>
        <x:v>3</x:v>
      </x:c>
      <x:c r="AA852" s="86" t="str">
        <x:f>IF($AH852&lt;&gt;"Valid","",TEXT($C852,"mmmm"))</x:f>
        <x:v>June</x:v>
      </x:c>
      <x:c r="AB852" s="82" t="n">
        <x:f>IF($AH852&lt;&gt;"Valid","",YEAR($C852))</x:f>
        <x:v>2024</x:v>
      </x:c>
      <x:c r="AC852" s="80" t="str">
        <x:v>Consistent</x:v>
      </x:c>
      <x:c r="AD852" s="80" t="str">
        <x:v>Eligible</x:v>
      </x:c>
      <x:c r="AE852" s="80" t="str">
        <x:f>IF(OR($AH852&lt;&gt;"Valid",$AI852&lt;&gt;"Valid",$AJ852&lt;&gt;"Valid",LEFT($AM852,7)="Invalid",IFERROR(ABS($AQ852)&gt;0.01,FALSE),IFERROR(ABS($AR852)&gt;0.01,FALSE),COUNTIF($AS852,"*Conflicting duplicate*")&gt;0,COUNTIF($AS852,"*Completed order not paid*")&gt;0),"Invalid",IF(OR($H852="Unknown",$N852="Unknown",$AM852="Missing discount imputed as 0"),"Warning","Clean"))</x:f>
        <x:v>Clean</x:v>
      </x:c>
      <x:c r="AF852" s="80" t="str">
        <x:v>Pass</x:v>
      </x:c>
      <x:c r="AG852" s="80" t="str">
        <x:v>No text cleanup required</x:v>
      </x:c>
      <x:c r="AH852" s="12" t="str">
        <x:f>IF(C852="","Missing date",IF(ISNUMBER(C852),"Valid","Unrecognized/invalid date"))</x:f>
        <x:v>Valid</x:v>
      </x:c>
      <x:c r="AI852" s="12" t="str">
        <x:f>IF(D852="","Missing date",IF(ISNUMBER(D852),"Valid","Unrecognized/invalid date"))</x:f>
        <x:v>Valid</x:v>
      </x:c>
      <x:c r="AJ852" s="12" t="str">
        <x:v>Valid</x:v>
      </x:c>
      <x:c r="AK852" s="12" t="str">
        <x:v>Pass</x:v>
      </x:c>
      <x:c r="AL852" s="12" t="str">
        <x:v>None</x:v>
      </x:c>
      <x:c r="AM852" s="12" t="str">
        <x:v>Valid</x:v>
      </x:c>
      <x:c r="AN852" s="12" t="str">
        <x:v>Include in completed sales</x:v>
      </x:c>
      <x:c r="AO852" s="12" t="str">
        <x:v>Not a refunded record</x:v>
      </x:c>
      <x:c r="AP852" s="37" t="n">
        <x:f>IF(LEFT($AM852,7)="Invalid","",IF($AM852="Missing discount imputed as 0",IF(AND(COUNT($O852,$P852,$R852,$S852)=4,$O852&gt;0,$P852&gt;=0,$R852&gt;=0,$S852&gt;=0),0,""),IF(AND(ISNUMBER($Q852),$Q852&gt;=0,$Q852&lt;=0.5),$Q852,"")))</x:f>
        <x:v>0</x:v>
      </x:c>
      <x:c r="AQ852" s="152" t="n">
        <x:f>IF(OR($W852="",NOT(ISNUMBER($R852))),"",ROUND($R852-$W852,2))</x:f>
        <x:v>0</x:v>
      </x:c>
      <x:c r="AR852" s="152" t="n">
        <x:f>IF(OR($X852="",NOT(ISNUMBER($T852))),"",ROUND($T852-$X852,2))</x:f>
        <x:v>0</x:v>
      </x:c>
      <x:c r="AS852" s="14" t="str">
        <x:v>OK</x:v>
      </x:c>
    </x:row>
    <x:row r="853">
      <x:c r="A853" s="80" t="n">
        <x:v>853</x:v>
      </x:c>
      <x:c r="B853" s="80" t="str">
        <x:v>ORD-2024-10852</x:v>
      </x:c>
      <x:c r="C853" s="81" t="n">
        <x:v>45377</x:v>
      </x:c>
      <x:c r="D853" s="81" t="n">
        <x:v>45383</x:v>
      </x:c>
      <x:c r="E853" s="80" t="str">
        <x:v>CUST-3175</x:v>
      </x:c>
      <x:c r="F853" s="80" t="str">
        <x:v>Karan Malhotra</x:v>
      </x:c>
      <x:c r="G853" s="80" t="str">
        <x:v>Small Business</x:v>
      </x:c>
      <x:c r="H853" s="80" t="str">
        <x:v>West</x:v>
      </x:c>
      <x:c r="I853" s="80" t="str">
        <x:v>Gujarat</x:v>
      </x:c>
      <x:c r="J853" s="80" t="str">
        <x:v>Ahmedabad</x:v>
      </x:c>
      <x:c r="K853" s="80" t="str">
        <x:v>Technology</x:v>
      </x:c>
      <x:c r="L853" s="80" t="str">
        <x:v>Accessories</x:v>
      </x:c>
      <x:c r="M853" s="80" t="str">
        <x:v>Classic Accessories 933</x:v>
      </x:c>
      <x:c r="N853" s="80" t="str">
        <x:v>First Class</x:v>
      </x:c>
      <x:c r="O853" s="82" t="n">
        <x:v>2</x:v>
      </x:c>
      <x:c r="P853" s="83" t="n">
        <x:v>1161.3</x:v>
      </x:c>
      <x:c r="Q853" s="84" t="n">
        <x:v>0.2</x:v>
      </x:c>
      <x:c r="R853" s="83" t="n">
        <x:v>1858.08</x:v>
      </x:c>
      <x:c r="S853" s="83" t="n">
        <x:v>1590.75</x:v>
      </x:c>
      <x:c r="T853" s="83" t="n">
        <x:v>267.33</x:v>
      </x:c>
      <x:c r="U853" s="83" t="str">
        <x:v>Paid</x:v>
      </x:c>
      <x:c r="V853" s="83" t="str">
        <x:v>Completed</x:v>
      </x:c>
      <x:c r="W853" s="151" t="n">
        <x:f>IF(OR(NOT(ISNUMBER($AP853)),COUNT($O853,$P853)&lt;2,$O853&lt;=0,$P853&lt;0),"",ROUND($O853*$P853*(1-$AP853),2))</x:f>
        <x:v>1858.08</x:v>
      </x:c>
      <x:c r="X853" s="151" t="n">
        <x:f>IF(OR(NOT(ISNUMBER($W853)),NOT(ISNUMBER($S853))),"",ROUND($W853-$S853,2))</x:f>
        <x:v>267.33</x:v>
      </x:c>
      <x:c r="Y853" s="85" t="n">
        <x:f>IF(OR(NOT(ISNUMBER($W853)),NOT(ISNUMBER($X853)),$W853=0),"",ROUND($X853/$W853,4))</x:f>
        <x:v>0.1439</x:v>
      </x:c>
      <x:c r="Z853" s="82" t="n">
        <x:f>IF(OR($AH853&lt;&gt;"Valid",$AI853&lt;&gt;"Valid"),"",INT($D853-$C853))</x:f>
        <x:v>6</x:v>
      </x:c>
      <x:c r="AA853" s="86" t="str">
        <x:f>IF($AH853&lt;&gt;"Valid","",TEXT($C853,"mmmm"))</x:f>
        <x:v>March</x:v>
      </x:c>
      <x:c r="AB853" s="82" t="n">
        <x:f>IF($AH853&lt;&gt;"Valid","",YEAR($C853))</x:f>
        <x:v>2024</x:v>
      </x:c>
      <x:c r="AC853" s="80" t="str">
        <x:v>Consistent</x:v>
      </x:c>
      <x:c r="AD853" s="80" t="str">
        <x:v>Eligible</x:v>
      </x:c>
      <x:c r="AE853" s="80" t="str">
        <x:f>IF(OR($AH853&lt;&gt;"Valid",$AI853&lt;&gt;"Valid",$AJ853&lt;&gt;"Valid",LEFT($AM853,7)="Invalid",IFERROR(ABS($AQ853)&gt;0.01,FALSE),IFERROR(ABS($AR853)&gt;0.01,FALSE),COUNTIF($AS853,"*Conflicting duplicate*")&gt;0,COUNTIF($AS853,"*Completed order not paid*")&gt;0),"Invalid",IF(OR($H853="Unknown",$N853="Unknown",$AM853="Missing discount imputed as 0"),"Warning","Clean"))</x:f>
        <x:v>Clean</x:v>
      </x:c>
      <x:c r="AF853" s="80" t="str">
        <x:v>Pass</x:v>
      </x:c>
      <x:c r="AG853" s="80" t="str">
        <x:v>No text cleanup required</x:v>
      </x:c>
      <x:c r="AH853" s="12" t="str">
        <x:f>IF(C853="","Missing date",IF(ISNUMBER(C853),"Valid","Unrecognized/invalid date"))</x:f>
        <x:v>Valid</x:v>
      </x:c>
      <x:c r="AI853" s="12" t="str">
        <x:f>IF(D853="","Missing date",IF(ISNUMBER(D853),"Valid","Unrecognized/invalid date"))</x:f>
        <x:v>Valid</x:v>
      </x:c>
      <x:c r="AJ853" s="12" t="str">
        <x:v>Valid</x:v>
      </x:c>
      <x:c r="AK853" s="12" t="str">
        <x:v>Pass</x:v>
      </x:c>
      <x:c r="AL853" s="12" t="str">
        <x:v>None</x:v>
      </x:c>
      <x:c r="AM853" s="12" t="str">
        <x:v>Valid</x:v>
      </x:c>
      <x:c r="AN853" s="12" t="str">
        <x:v>Include in completed sales</x:v>
      </x:c>
      <x:c r="AO853" s="12" t="str">
        <x:v>Not a refunded record</x:v>
      </x:c>
      <x:c r="AP853" s="37" t="n">
        <x:f>IF(LEFT($AM853,7)="Invalid","",IF($AM853="Missing discount imputed as 0",IF(AND(COUNT($O853,$P853,$R853,$S853)=4,$O853&gt;0,$P853&gt;=0,$R853&gt;=0,$S853&gt;=0),0,""),IF(AND(ISNUMBER($Q853),$Q853&gt;=0,$Q853&lt;=0.5),$Q853,"")))</x:f>
        <x:v>0.2</x:v>
      </x:c>
      <x:c r="AQ853" s="152" t="n">
        <x:f>IF(OR($W853="",NOT(ISNUMBER($R853))),"",ROUND($R853-$W853,2))</x:f>
        <x:v>0</x:v>
      </x:c>
      <x:c r="AR853" s="152" t="n">
        <x:f>IF(OR($X853="",NOT(ISNUMBER($T853))),"",ROUND($T853-$X853,2))</x:f>
        <x:v>0</x:v>
      </x:c>
      <x:c r="AS853" s="14" t="str">
        <x:v>OK</x:v>
      </x:c>
    </x:row>
    <x:row r="854">
      <x:c r="A854" s="80" t="n">
        <x:v>854</x:v>
      </x:c>
      <x:c r="B854" s="80" t="str">
        <x:v>ORD-2024-10853</x:v>
      </x:c>
      <x:c r="C854" s="81" t="n">
        <x:v>45383</x:v>
      </x:c>
      <x:c r="D854" s="81" t="n">
        <x:v>45390</x:v>
      </x:c>
      <x:c r="E854" s="80" t="str">
        <x:v>CUST-9630</x:v>
      </x:c>
      <x:c r="F854" s="80" t="str">
        <x:v>Ananya Rao</x:v>
      </x:c>
      <x:c r="G854" s="80" t="str">
        <x:v>Consumer</x:v>
      </x:c>
      <x:c r="H854" s="80" t="str">
        <x:v>East</x:v>
      </x:c>
      <x:c r="I854" s="80" t="str">
        <x:v>Assam</x:v>
      </x:c>
      <x:c r="J854" s="80" t="str">
        <x:v>Guwahati</x:v>
      </x:c>
      <x:c r="K854" s="80" t="str">
        <x:v>Furniture</x:v>
      </x:c>
      <x:c r="L854" s="80" t="str">
        <x:v>Tables</x:v>
      </x:c>
      <x:c r="M854" s="80" t="str">
        <x:v>Smart Tables 513</x:v>
      </x:c>
      <x:c r="N854" s="80" t="str">
        <x:v>Second Class</x:v>
      </x:c>
      <x:c r="O854" s="82" t="n">
        <x:v>7</x:v>
      </x:c>
      <x:c r="P854" s="83" t="n">
        <x:v>4205.35</x:v>
      </x:c>
      <x:c r="Q854" s="84" t="n">
        <x:v>0.15</x:v>
      </x:c>
      <x:c r="R854" s="83" t="n">
        <x:v>25021.83</x:v>
      </x:c>
      <x:c r="S854" s="83" t="n">
        <x:v>15544.44</x:v>
      </x:c>
      <x:c r="T854" s="83" t="n">
        <x:v>9477.39</x:v>
      </x:c>
      <x:c r="U854" s="83" t="str">
        <x:v>Pending</x:v>
      </x:c>
      <x:c r="V854" s="83" t="str">
        <x:v>Cancelled</x:v>
      </x:c>
      <x:c r="W854" s="151" t="n">
        <x:f>IF(OR(NOT(ISNUMBER($AP854)),COUNT($O854,$P854)&lt;2,$O854&lt;=0,$P854&lt;0),"",ROUND($O854*$P854*(1-$AP854),2))</x:f>
        <x:v>25021.83</x:v>
      </x:c>
      <x:c r="X854" s="151" t="n">
        <x:f>IF(OR(NOT(ISNUMBER($W854)),NOT(ISNUMBER($S854))),"",ROUND($W854-$S854,2))</x:f>
        <x:v>9477.39</x:v>
      </x:c>
      <x:c r="Y854" s="85" t="n">
        <x:f>IF(OR(NOT(ISNUMBER($W854)),NOT(ISNUMBER($X854)),$W854=0),"",ROUND($X854/$W854,4))</x:f>
        <x:v>0.3788</x:v>
      </x:c>
      <x:c r="Z854" s="82" t="n">
        <x:f>IF(OR($AH854&lt;&gt;"Valid",$AI854&lt;&gt;"Valid"),"",INT($D854-$C854))</x:f>
        <x:v>7</x:v>
      </x:c>
      <x:c r="AA854" s="86" t="str">
        <x:f>IF($AH854&lt;&gt;"Valid","",TEXT($C854,"mmmm"))</x:f>
        <x:v>April</x:v>
      </x:c>
      <x:c r="AB854" s="82" t="n">
        <x:f>IF($AH854&lt;&gt;"Valid","",YEAR($C854))</x:f>
        <x:v>2024</x:v>
      </x:c>
      <x:c r="AC854" s="80" t="str">
        <x:v>Cancelled (excluded from completed-sales summary)</x:v>
      </x:c>
      <x:c r="AD854" s="80" t="str">
        <x:v>Excluded</x:v>
      </x:c>
      <x:c r="AE854" s="80" t="str">
        <x:f>IF(OR($AH854&lt;&gt;"Valid",$AI854&lt;&gt;"Valid",$AJ854&lt;&gt;"Valid",LEFT($AM854,7)="Invalid",IFERROR(ABS($AQ854)&gt;0.01,FALSE),IFERROR(ABS($AR854)&gt;0.01,FALSE),COUNTIF($AS854,"*Conflicting duplicate*")&gt;0,COUNTIF($AS854,"*Completed order not paid*")&gt;0),"Invalid",IF(OR($H854="Unknown",$N854="Unknown",$AM854="Missing discount imputed as 0"),"Warning","Clean"))</x:f>
        <x:v>Clean</x:v>
      </x:c>
      <x:c r="AF854" s="80" t="str">
        <x:v>Pass</x:v>
      </x:c>
      <x:c r="AG854" s="80" t="str">
        <x:v>No text cleanup required</x:v>
      </x:c>
      <x:c r="AH854" s="12" t="str">
        <x:f>IF(C854="","Missing date",IF(ISNUMBER(C854),"Valid","Unrecognized/invalid date"))</x:f>
        <x:v>Valid</x:v>
      </x:c>
      <x:c r="AI854" s="12" t="str">
        <x:f>IF(D854="","Missing date",IF(ISNUMBER(D854),"Valid","Unrecognized/invalid date"))</x:f>
        <x:v>Valid</x:v>
      </x:c>
      <x:c r="AJ854" s="12" t="str">
        <x:v>Valid</x:v>
      </x:c>
      <x:c r="AK854" s="12" t="str">
        <x:v>Pass</x:v>
      </x:c>
      <x:c r="AL854" s="12" t="str">
        <x:v>Cancelled order – excluded from completed sales</x:v>
      </x:c>
      <x:c r="AM854" s="12" t="str">
        <x:v>Valid</x:v>
      </x:c>
      <x:c r="AN854" s="12" t="str">
        <x:v>Exclude from completed sales</x:v>
      </x:c>
      <x:c r="AO854" s="12" t="str">
        <x:v>Not a refunded record</x:v>
      </x:c>
      <x:c r="AP854" s="37" t="n">
        <x:f>IF(LEFT($AM854,7)="Invalid","",IF($AM854="Missing discount imputed as 0",IF(AND(COUNT($O854,$P854,$R854,$S854)=4,$O854&gt;0,$P854&gt;=0,$R854&gt;=0,$S854&gt;=0),0,""),IF(AND(ISNUMBER($Q854),$Q854&gt;=0,$Q854&lt;=0.5),$Q854,"")))</x:f>
        <x:v>0.15</x:v>
      </x:c>
      <x:c r="AQ854" s="152" t="n">
        <x:f>IF(OR($W854="",NOT(ISNUMBER($R854))),"",ROUND($R854-$W854,2))</x:f>
        <x:v>0</x:v>
      </x:c>
      <x:c r="AR854" s="152" t="n">
        <x:f>IF(OR($X854="",NOT(ISNUMBER($T854))),"",ROUND($T854-$X854,2))</x:f>
        <x:v>0</x:v>
      </x:c>
      <x:c r="AS854" s="14" t="str">
        <x:v>OK</x:v>
      </x:c>
    </x:row>
    <x:row r="855">
      <x:c r="A855" s="80" t="n">
        <x:v>855</x:v>
      </x:c>
      <x:c r="B855" s="80" t="str">
        <x:v>ORD-2025-10854</x:v>
      </x:c>
      <x:c r="C855" s="81" t="n">
        <x:v>45793</x:v>
      </x:c>
      <x:c r="D855" s="81" t="n">
        <x:v>45799</x:v>
      </x:c>
      <x:c r="E855" s="80" t="str">
        <x:v>CUST-8274</x:v>
      </x:c>
      <x:c r="F855" s="80" t="str">
        <x:v>Arjun Bose</x:v>
      </x:c>
      <x:c r="G855" s="80" t="str">
        <x:v>Corporate</x:v>
      </x:c>
      <x:c r="H855" s="80" t="str">
        <x:v>South</x:v>
      </x:c>
      <x:c r="I855" s="80" t="str">
        <x:v>Tamil Nadu</x:v>
      </x:c>
      <x:c r="J855" s="80" t="str">
        <x:v>Chennai</x:v>
      </x:c>
      <x:c r="K855" s="80" t="str">
        <x:v>Technology</x:v>
      </x:c>
      <x:c r="L855" s="80" t="str">
        <x:v>Accessories</x:v>
      </x:c>
      <x:c r="M855" s="80" t="str">
        <x:v>Elite Accessories 708</x:v>
      </x:c>
      <x:c r="N855" s="80" t="str">
        <x:v>Same Day</x:v>
      </x:c>
      <x:c r="O855" s="82" t="n">
        <x:v>8</x:v>
      </x:c>
      <x:c r="P855" s="83" t="n">
        <x:v>579.8</x:v>
      </x:c>
      <x:c r="Q855" s="84" t="n">
        <x:v>0.2</x:v>
      </x:c>
      <x:c r="R855" s="83" t="n">
        <x:v>3710.72</x:v>
      </x:c>
      <x:c r="S855" s="83" t="n">
        <x:v>3115.29</x:v>
      </x:c>
      <x:c r="T855" s="83" t="n">
        <x:v>595.43</x:v>
      </x:c>
      <x:c r="U855" s="83" t="str">
        <x:v>Paid</x:v>
      </x:c>
      <x:c r="V855" s="83" t="str">
        <x:v>Completed</x:v>
      </x:c>
      <x:c r="W855" s="151" t="n">
        <x:f>IF(OR(NOT(ISNUMBER($AP855)),COUNT($O855,$P855)&lt;2,$O855&lt;=0,$P855&lt;0),"",ROUND($O855*$P855*(1-$AP855),2))</x:f>
        <x:v>3710.72</x:v>
      </x:c>
      <x:c r="X855" s="151" t="n">
        <x:f>IF(OR(NOT(ISNUMBER($W855)),NOT(ISNUMBER($S855))),"",ROUND($W855-$S855,2))</x:f>
        <x:v>595.43</x:v>
      </x:c>
      <x:c r="Y855" s="85" t="n">
        <x:f>IF(OR(NOT(ISNUMBER($W855)),NOT(ISNUMBER($X855)),$W855=0),"",ROUND($X855/$W855,4))</x:f>
        <x:v>0.1605</x:v>
      </x:c>
      <x:c r="Z855" s="82" t="n">
        <x:f>IF(OR($AH855&lt;&gt;"Valid",$AI855&lt;&gt;"Valid"),"",INT($D855-$C855))</x:f>
        <x:v>6</x:v>
      </x:c>
      <x:c r="AA855" s="86" t="str">
        <x:f>IF($AH855&lt;&gt;"Valid","",TEXT($C855,"mmmm"))</x:f>
        <x:v>May</x:v>
      </x:c>
      <x:c r="AB855" s="82" t="n">
        <x:f>IF($AH855&lt;&gt;"Valid","",YEAR($C855))</x:f>
        <x:v>2025</x:v>
      </x:c>
      <x:c r="AC855" s="80" t="str">
        <x:v>Consistent</x:v>
      </x:c>
      <x:c r="AD855" s="80" t="str">
        <x:v>Eligible</x:v>
      </x:c>
      <x:c r="AE855" s="80" t="str">
        <x:f>IF(OR($AH855&lt;&gt;"Valid",$AI855&lt;&gt;"Valid",$AJ855&lt;&gt;"Valid",LEFT($AM855,7)="Invalid",IFERROR(ABS($AQ855)&gt;0.01,FALSE),IFERROR(ABS($AR855)&gt;0.01,FALSE),COUNTIF($AS855,"*Conflicting duplicate*")&gt;0,COUNTIF($AS855,"*Completed order not paid*")&gt;0),"Invalid",IF(OR($H855="Unknown",$N855="Unknown",$AM855="Missing discount imputed as 0"),"Warning","Clean"))</x:f>
        <x:v>Clean</x:v>
      </x:c>
      <x:c r="AF855" s="80" t="str">
        <x:v>Pass</x:v>
      </x:c>
      <x:c r="AG855" s="80" t="str">
        <x:v>No text cleanup required</x:v>
      </x:c>
      <x:c r="AH855" s="12" t="str">
        <x:f>IF(C855="","Missing date",IF(ISNUMBER(C855),"Valid","Unrecognized/invalid date"))</x:f>
        <x:v>Valid</x:v>
      </x:c>
      <x:c r="AI855" s="12" t="str">
        <x:f>IF(D855="","Missing date",IF(ISNUMBER(D855),"Valid","Unrecognized/invalid date"))</x:f>
        <x:v>Valid</x:v>
      </x:c>
      <x:c r="AJ855" s="12" t="str">
        <x:v>Valid</x:v>
      </x:c>
      <x:c r="AK855" s="12" t="str">
        <x:v>Pass</x:v>
      </x:c>
      <x:c r="AL855" s="12" t="str">
        <x:v>None</x:v>
      </x:c>
      <x:c r="AM855" s="12" t="str">
        <x:v>Valid</x:v>
      </x:c>
      <x:c r="AN855" s="12" t="str">
        <x:v>Include in completed sales</x:v>
      </x:c>
      <x:c r="AO855" s="12" t="str">
        <x:v>Not a refunded record</x:v>
      </x:c>
      <x:c r="AP855" s="37" t="n">
        <x:f>IF(LEFT($AM855,7)="Invalid","",IF($AM855="Missing discount imputed as 0",IF(AND(COUNT($O855,$P855,$R855,$S855)=4,$O855&gt;0,$P855&gt;=0,$R855&gt;=0,$S855&gt;=0),0,""),IF(AND(ISNUMBER($Q855),$Q855&gt;=0,$Q855&lt;=0.5),$Q855,"")))</x:f>
        <x:v>0.2</x:v>
      </x:c>
      <x:c r="AQ855" s="152" t="n">
        <x:f>IF(OR($W855="",NOT(ISNUMBER($R855))),"",ROUND($R855-$W855,2))</x:f>
        <x:v>0</x:v>
      </x:c>
      <x:c r="AR855" s="152" t="n">
        <x:f>IF(OR($X855="",NOT(ISNUMBER($T855))),"",ROUND($T855-$X855,2))</x:f>
        <x:v>0</x:v>
      </x:c>
      <x:c r="AS855" s="14" t="str">
        <x:v>OK</x:v>
      </x:c>
    </x:row>
    <x:row r="856">
      <x:c r="A856" s="80" t="n">
        <x:v>856</x:v>
      </x:c>
      <x:c r="B856" s="80" t="str">
        <x:v>ORD-2025-10855</x:v>
      </x:c>
      <x:c r="C856" s="81" t="n">
        <x:v>45741</x:v>
      </x:c>
      <x:c r="D856" s="81" t="n">
        <x:v>45749</x:v>
      </x:c>
      <x:c r="E856" s="80" t="str">
        <x:v>CUST-2514</x:v>
      </x:c>
      <x:c r="F856" s="80" t="str">
        <x:v>Priya Menon</x:v>
      </x:c>
      <x:c r="G856" s="80" t="str">
        <x:v>Consumer</x:v>
      </x:c>
      <x:c r="H856" s="80" t="str">
        <x:v>South</x:v>
      </x:c>
      <x:c r="I856" s="80" t="str">
        <x:v>Karnataka</x:v>
      </x:c>
      <x:c r="J856" s="80" t="str">
        <x:v>Bengaluru</x:v>
      </x:c>
      <x:c r="K856" s="80" t="str">
        <x:v>Furniture</x:v>
      </x:c>
      <x:c r="L856" s="80" t="str">
        <x:v>Bookcases</x:v>
      </x:c>
      <x:c r="M856" s="80" t="str">
        <x:v>Max Bookcases 381</x:v>
      </x:c>
      <x:c r="N856" s="80" t="str">
        <x:v>Second Class</x:v>
      </x:c>
      <x:c r="O856" s="82" t="n">
        <x:v>4</x:v>
      </x:c>
      <x:c r="P856" s="83" t="n">
        <x:v>2233.64</x:v>
      </x:c>
      <x:c r="Q856" s="84" t="n">
        <x:v>0.05</x:v>
      </x:c>
      <x:c r="R856" s="83" t="n">
        <x:v>8487.83</x:v>
      </x:c>
      <x:c r="S856" s="83" t="n">
        <x:v>5245.72</x:v>
      </x:c>
      <x:c r="T856" s="83" t="n">
        <x:v>3242.11</x:v>
      </x:c>
      <x:c r="U856" s="83" t="str">
        <x:v>Paid</x:v>
      </x:c>
      <x:c r="V856" s="83" t="str">
        <x:v>Completed</x:v>
      </x:c>
      <x:c r="W856" s="151" t="n">
        <x:f>IF(OR(NOT(ISNUMBER($AP856)),COUNT($O856,$P856)&lt;2,$O856&lt;=0,$P856&lt;0),"",ROUND($O856*$P856*(1-$AP856),2))</x:f>
        <x:v>8487.83</x:v>
      </x:c>
      <x:c r="X856" s="151" t="n">
        <x:f>IF(OR(NOT(ISNUMBER($W856)),NOT(ISNUMBER($S856))),"",ROUND($W856-$S856,2))</x:f>
        <x:v>3242.11</x:v>
      </x:c>
      <x:c r="Y856" s="85" t="n">
        <x:f>IF(OR(NOT(ISNUMBER($W856)),NOT(ISNUMBER($X856)),$W856=0),"",ROUND($X856/$W856,4))</x:f>
        <x:v>0.382</x:v>
      </x:c>
      <x:c r="Z856" s="82" t="n">
        <x:f>IF(OR($AH856&lt;&gt;"Valid",$AI856&lt;&gt;"Valid"),"",INT($D856-$C856))</x:f>
        <x:v>8</x:v>
      </x:c>
      <x:c r="AA856" s="86" t="str">
        <x:f>IF($AH856&lt;&gt;"Valid","",TEXT($C856,"mmmm"))</x:f>
        <x:v>March</x:v>
      </x:c>
      <x:c r="AB856" s="82" t="n">
        <x:f>IF($AH856&lt;&gt;"Valid","",YEAR($C856))</x:f>
        <x:v>2025</x:v>
      </x:c>
      <x:c r="AC856" s="80" t="str">
        <x:v>Consistent</x:v>
      </x:c>
      <x:c r="AD856" s="80" t="str">
        <x:v>Eligible</x:v>
      </x:c>
      <x:c r="AE856" s="80" t="str">
        <x:f>IF(OR($AH856&lt;&gt;"Valid",$AI856&lt;&gt;"Valid",$AJ856&lt;&gt;"Valid",LEFT($AM856,7)="Invalid",IFERROR(ABS($AQ856)&gt;0.01,FALSE),IFERROR(ABS($AR856)&gt;0.01,FALSE),COUNTIF($AS856,"*Conflicting duplicate*")&gt;0,COUNTIF($AS856,"*Completed order not paid*")&gt;0),"Invalid",IF(OR($H856="Unknown",$N856="Unknown",$AM856="Missing discount imputed as 0"),"Warning","Clean"))</x:f>
        <x:v>Clean</x:v>
      </x:c>
      <x:c r="AF856" s="80" t="str">
        <x:v>Pass</x:v>
      </x:c>
      <x:c r="AG856" s="80" t="str">
        <x:v>No text cleanup required</x:v>
      </x:c>
      <x:c r="AH856" s="12" t="str">
        <x:f>IF(C856="","Missing date",IF(ISNUMBER(C856),"Valid","Unrecognized/invalid date"))</x:f>
        <x:v>Valid</x:v>
      </x:c>
      <x:c r="AI856" s="12" t="str">
        <x:f>IF(D856="","Missing date",IF(ISNUMBER(D856),"Valid","Unrecognized/invalid date"))</x:f>
        <x:v>Valid</x:v>
      </x:c>
      <x:c r="AJ856" s="12" t="str">
        <x:v>Valid</x:v>
      </x:c>
      <x:c r="AK856" s="12" t="str">
        <x:v>Pass</x:v>
      </x:c>
      <x:c r="AL856" s="12" t="str">
        <x:v>None</x:v>
      </x:c>
      <x:c r="AM856" s="12" t="str">
        <x:v>Valid</x:v>
      </x:c>
      <x:c r="AN856" s="12" t="str">
        <x:v>Include in completed sales</x:v>
      </x:c>
      <x:c r="AO856" s="12" t="str">
        <x:v>Not a refunded record</x:v>
      </x:c>
      <x:c r="AP856" s="37" t="n">
        <x:f>IF(LEFT($AM856,7)="Invalid","",IF($AM856="Missing discount imputed as 0",IF(AND(COUNT($O856,$P856,$R856,$S856)=4,$O856&gt;0,$P856&gt;=0,$R856&gt;=0,$S856&gt;=0),0,""),IF(AND(ISNUMBER($Q856),$Q856&gt;=0,$Q856&lt;=0.5),$Q856,"")))</x:f>
        <x:v>0.05</x:v>
      </x:c>
      <x:c r="AQ856" s="152" t="n">
        <x:f>IF(OR($W856="",NOT(ISNUMBER($R856))),"",ROUND($R856-$W856,2))</x:f>
        <x:v>0</x:v>
      </x:c>
      <x:c r="AR856" s="152" t="n">
        <x:f>IF(OR($X856="",NOT(ISNUMBER($T856))),"",ROUND($T856-$X856,2))</x:f>
        <x:v>0</x:v>
      </x:c>
      <x:c r="AS856" s="14" t="str">
        <x:v>OK</x:v>
      </x:c>
    </x:row>
    <x:row r="857">
      <x:c r="A857" s="80" t="n">
        <x:v>857</x:v>
      </x:c>
      <x:c r="B857" s="80" t="str">
        <x:v>ORD-2024-10856</x:v>
      </x:c>
      <x:c r="C857" s="81" t="n">
        <x:v>45498</x:v>
      </x:c>
      <x:c r="D857" s="81" t="n">
        <x:v>45506</x:v>
      </x:c>
      <x:c r="E857" s="80" t="str">
        <x:v>CUST-2752</x:v>
      </x:c>
      <x:c r="F857" s="80" t="str">
        <x:v>Rahul Verma</x:v>
      </x:c>
      <x:c r="G857" s="80" t="str">
        <x:v>Consumer</x:v>
      </x:c>
      <x:c r="H857" s="80" t="str">
        <x:v>North</x:v>
      </x:c>
      <x:c r="I857" s="80" t="str">
        <x:v>Rajasthan</x:v>
      </x:c>
      <x:c r="J857" s="80" t="str">
        <x:v>Jaipur</x:v>
      </x:c>
      <x:c r="K857" s="80" t="str">
        <x:v>Office Supplies</x:v>
      </x:c>
      <x:c r="L857" s="80" t="str">
        <x:v>Labels</x:v>
      </x:c>
      <x:c r="M857" s="80" t="str">
        <x:v>Classic Labels 215</x:v>
      </x:c>
      <x:c r="N857" s="80" t="str">
        <x:v>Second Class</x:v>
      </x:c>
      <x:c r="O857" s="82" t="n">
        <x:v>2</x:v>
      </x:c>
      <x:c r="P857" s="83" t="n">
        <x:v>2073.53</x:v>
      </x:c>
      <x:c r="Q857" s="84" t="n">
        <x:v>0.25</x:v>
      </x:c>
      <x:c r="R857" s="83" t="n">
        <x:v>3110.3</x:v>
      </x:c>
      <x:c r="S857" s="83" t="n">
        <x:v>2101.03</x:v>
      </x:c>
      <x:c r="T857" s="83" t="n">
        <x:v>1009.27</x:v>
      </x:c>
      <x:c r="U857" s="83" t="str">
        <x:v>Paid</x:v>
      </x:c>
      <x:c r="V857" s="83" t="str">
        <x:v>Completed</x:v>
      </x:c>
      <x:c r="W857" s="151" t="n">
        <x:f>IF(OR(NOT(ISNUMBER($AP857)),COUNT($O857,$P857)&lt;2,$O857&lt;=0,$P857&lt;0),"",ROUND($O857*$P857*(1-$AP857),2))</x:f>
        <x:v>3110.3</x:v>
      </x:c>
      <x:c r="X857" s="151" t="n">
        <x:f>IF(OR(NOT(ISNUMBER($W857)),NOT(ISNUMBER($S857))),"",ROUND($W857-$S857,2))</x:f>
        <x:v>1009.27</x:v>
      </x:c>
      <x:c r="Y857" s="85" t="n">
        <x:f>IF(OR(NOT(ISNUMBER($W857)),NOT(ISNUMBER($X857)),$W857=0),"",ROUND($X857/$W857,4))</x:f>
        <x:v>0.3245</x:v>
      </x:c>
      <x:c r="Z857" s="82" t="n">
        <x:f>IF(OR($AH857&lt;&gt;"Valid",$AI857&lt;&gt;"Valid"),"",INT($D857-$C857))</x:f>
        <x:v>8</x:v>
      </x:c>
      <x:c r="AA857" s="86" t="str">
        <x:f>IF($AH857&lt;&gt;"Valid","",TEXT($C857,"mmmm"))</x:f>
        <x:v>July</x:v>
      </x:c>
      <x:c r="AB857" s="82" t="n">
        <x:f>IF($AH857&lt;&gt;"Valid","",YEAR($C857))</x:f>
        <x:v>2024</x:v>
      </x:c>
      <x:c r="AC857" s="80" t="str">
        <x:v>Consistent</x:v>
      </x:c>
      <x:c r="AD857" s="80" t="str">
        <x:v>Eligible</x:v>
      </x:c>
      <x:c r="AE857" s="80" t="str">
        <x:f>IF(OR($AH857&lt;&gt;"Valid",$AI857&lt;&gt;"Valid",$AJ857&lt;&gt;"Valid",LEFT($AM857,7)="Invalid",IFERROR(ABS($AQ857)&gt;0.01,FALSE),IFERROR(ABS($AR857)&gt;0.01,FALSE),COUNTIF($AS857,"*Conflicting duplicate*")&gt;0,COUNTIF($AS857,"*Completed order not paid*")&gt;0),"Invalid",IF(OR($H857="Unknown",$N857="Unknown",$AM857="Missing discount imputed as 0"),"Warning","Clean"))</x:f>
        <x:v>Clean</x:v>
      </x:c>
      <x:c r="AF857" s="80" t="str">
        <x:v>Cleaned</x:v>
      </x:c>
      <x:c r="AG857" s="80" t="str">
        <x:v>sub_category: Case standardization</x:v>
      </x:c>
      <x:c r="AH857" s="12" t="str">
        <x:f>IF(C857="","Missing date",IF(ISNUMBER(C857),"Valid","Unrecognized/invalid date"))</x:f>
        <x:v>Valid</x:v>
      </x:c>
      <x:c r="AI857" s="12" t="str">
        <x:f>IF(D857="","Missing date",IF(ISNUMBER(D857),"Valid","Unrecognized/invalid date"))</x:f>
        <x:v>Valid</x:v>
      </x:c>
      <x:c r="AJ857" s="12" t="str">
        <x:v>Valid</x:v>
      </x:c>
      <x:c r="AK857" s="12" t="str">
        <x:v>Pass</x:v>
      </x:c>
      <x:c r="AL857" s="12" t="str">
        <x:v>None</x:v>
      </x:c>
      <x:c r="AM857" s="12" t="str">
        <x:v>Valid</x:v>
      </x:c>
      <x:c r="AN857" s="12" t="str">
        <x:v>Include in completed sales</x:v>
      </x:c>
      <x:c r="AO857" s="12" t="str">
        <x:v>Not a refunded record</x:v>
      </x:c>
      <x:c r="AP857" s="37" t="n">
        <x:f>IF(LEFT($AM857,7)="Invalid","",IF($AM857="Missing discount imputed as 0",IF(AND(COUNT($O857,$P857,$R857,$S857)=4,$O857&gt;0,$P857&gt;=0,$R857&gt;=0,$S857&gt;=0),0,""),IF(AND(ISNUMBER($Q857),$Q857&gt;=0,$Q857&lt;=0.5),$Q857,"")))</x:f>
        <x:v>0.25</x:v>
      </x:c>
      <x:c r="AQ857" s="152" t="n">
        <x:f>IF(OR($W857="",NOT(ISNUMBER($R857))),"",ROUND($R857-$W857,2))</x:f>
        <x:v>0</x:v>
      </x:c>
      <x:c r="AR857" s="152" t="n">
        <x:f>IF(OR($X857="",NOT(ISNUMBER($T857))),"",ROUND($T857-$X857,2))</x:f>
        <x:v>0</x:v>
      </x:c>
      <x:c r="AS857" s="14" t="str">
        <x:v>OK</x:v>
      </x:c>
    </x:row>
    <x:row r="858">
      <x:c r="A858" s="80" t="n">
        <x:v>858</x:v>
      </x:c>
      <x:c r="B858" s="80" t="str">
        <x:v>ORD-2024-10857</x:v>
      </x:c>
      <x:c r="C858" s="81" t="n">
        <x:v>45455</x:v>
      </x:c>
      <x:c r="D858" s="81" t="n">
        <x:v>45462</x:v>
      </x:c>
      <x:c r="E858" s="80" t="str">
        <x:v>CUST-5647</x:v>
      </x:c>
      <x:c r="F858" s="80" t="str">
        <x:v>Rohan Mehta</x:v>
      </x:c>
      <x:c r="G858" s="80" t="str">
        <x:v>Home Office</x:v>
      </x:c>
      <x:c r="H858" s="80" t="str">
        <x:v>South</x:v>
      </x:c>
      <x:c r="I858" s="80" t="str">
        <x:v>Tamil Nadu</x:v>
      </x:c>
      <x:c r="J858" s="80" t="str">
        <x:v>Chennai</x:v>
      </x:c>
      <x:c r="K858" s="80" t="str">
        <x:v>Office Supplies</x:v>
      </x:c>
      <x:c r="L858" s="80" t="str">
        <x:v>Storage</x:v>
      </x:c>
      <x:c r="M858" s="80" t="str">
        <x:v>Classic Storage 918</x:v>
      </x:c>
      <x:c r="N858" s="80" t="str">
        <x:v>Standard Class</x:v>
      </x:c>
      <x:c r="O858" s="82" t="n">
        <x:v>4</x:v>
      </x:c>
      <x:c r="P858" s="83" t="n">
        <x:v>395.1</x:v>
      </x:c>
      <x:c r="Q858" s="84" t="n">
        <x:v>-0.16</x:v>
      </x:c>
      <x:c r="R858" s="83" t="n">
        <x:v>1185.3</x:v>
      </x:c>
      <x:c r="S858" s="83" t="n">
        <x:v>966.55</x:v>
      </x:c>
      <x:c r="T858" s="83" t="n">
        <x:v>218.75</x:v>
      </x:c>
      <x:c r="U858" s="83" t="str">
        <x:v>Failed</x:v>
      </x:c>
      <x:c r="V858" s="83" t="str">
        <x:v>Cancelled</x:v>
      </x:c>
      <x:c r="W858" s="151" t="str">
        <x:f>IF(OR(NOT(ISNUMBER($AP858)),COUNT($O858,$P858)&lt;2,$O858&lt;=0,$P858&lt;0),"",ROUND($O858*$P858*(1-$AP858),2))</x:f>
      </x:c>
      <x:c r="X858" s="151" t="str">
        <x:f>IF(OR(NOT(ISNUMBER($W858)),NOT(ISNUMBER($S858))),"",ROUND($W858-$S858,2))</x:f>
      </x:c>
      <x:c r="Y858" s="85" t="str">
        <x:f>IF(OR(NOT(ISNUMBER($W858)),NOT(ISNUMBER($X858)),$W858=0),"",ROUND($X858/$W858,4))</x:f>
      </x:c>
      <x:c r="Z858" s="82" t="n">
        <x:f>IF(OR($AH858&lt;&gt;"Valid",$AI858&lt;&gt;"Valid"),"",INT($D858-$C858))</x:f>
        <x:v>7</x:v>
      </x:c>
      <x:c r="AA858" s="86" t="str">
        <x:f>IF($AH858&lt;&gt;"Valid","",TEXT($C858,"mmmm"))</x:f>
        <x:v>June</x:v>
      </x:c>
      <x:c r="AB858" s="82" t="n">
        <x:f>IF($AH858&lt;&gt;"Valid","",YEAR($C858))</x:f>
        <x:v>2024</x:v>
      </x:c>
      <x:c r="AC858" s="80" t="str">
        <x:v>Cancelled (excluded from completed-sales summary)</x:v>
      </x:c>
      <x:c r="AD858" s="80" t="str">
        <x:v>Excluded</x:v>
      </x:c>
      <x:c r="AE858" s="80" t="str">
        <x:f>IF(OR($AH858&lt;&gt;"Valid",$AI858&lt;&gt;"Valid",$AJ858&lt;&gt;"Valid",LEFT($AM858,7)="Invalid",IFERROR(ABS($AQ858)&gt;0.01,FALSE),IFERROR(ABS($AR858)&gt;0.01,FALSE),COUNTIF($AS858,"*Conflicting duplicate*")&gt;0,COUNTIF($AS858,"*Completed order not paid*")&gt;0),"Invalid",IF(OR($H858="Unknown",$N858="Unknown",$AM858="Missing discount imputed as 0"),"Warning","Clean"))</x:f>
        <x:v>Invalid</x:v>
      </x:c>
      <x:c r="AF858" s="80" t="str">
        <x:v>Review</x:v>
      </x:c>
      <x:c r="AG858" s="80" t="str">
        <x:v>No text cleanup required</x:v>
      </x:c>
      <x:c r="AH858" s="12" t="str">
        <x:f>IF(C858="","Missing date",IF(ISNUMBER(C858),"Valid","Unrecognized/invalid date"))</x:f>
        <x:v>Valid</x:v>
      </x:c>
      <x:c r="AI858" s="12" t="str">
        <x:f>IF(D858="","Missing date",IF(ISNUMBER(D858),"Valid","Unrecognized/invalid date"))</x:f>
        <x:v>Valid</x:v>
      </x:c>
      <x:c r="AJ858" s="12" t="str">
        <x:v>Valid</x:v>
      </x:c>
      <x:c r="AK858" s="12" t="str">
        <x:v>Pass</x:v>
      </x:c>
      <x:c r="AL858" s="12" t="str">
        <x:v>Cancelled order – excluded from completed sales; Failed payment – excluded from completed sales</x:v>
      </x:c>
      <x:c r="AM858" s="12" t="str">
        <x:v>Invalid discount – negative</x:v>
      </x:c>
      <x:c r="AN858" s="12" t="str">
        <x:v>Exclude from completed sales</x:v>
      </x:c>
      <x:c r="AO858" s="12" t="str">
        <x:v>Not a refunded record</x:v>
      </x:c>
      <x:c r="AP858" s="37" t="str">
        <x:f>IF(LEFT($AM858,7)="Invalid","",IF($AM858="Missing discount imputed as 0",IF(AND(COUNT($O858,$P858,$R858,$S858)=4,$O858&gt;0,$P858&gt;=0,$R858&gt;=0,$S858&gt;=0),0,""),IF(AND(ISNUMBER($Q858),$Q858&gt;=0,$Q858&lt;=0.5),$Q858,"")))</x:f>
      </x:c>
      <x:c r="AQ858" s="152" t="str">
        <x:f>IF(OR($W858="",NOT(ISNUMBER($R858))),"",ROUND($R858-$W858,2))</x:f>
      </x:c>
      <x:c r="AR858" s="152" t="str">
        <x:f>IF(OR($X858="",NOT(ISNUMBER($T858))),"",ROUND($T858-$X858,2))</x:f>
      </x:c>
      <x:c r="AS858" s="14" t="str">
        <x:v>Negative discount</x:v>
      </x:c>
    </x:row>
    <x:row r="859">
      <x:c r="A859" s="80" t="n">
        <x:v>859</x:v>
      </x:c>
      <x:c r="B859" s="80" t="str">
        <x:v>ORD-2024-10858</x:v>
      </x:c>
      <x:c r="C859" s="81" t="n">
        <x:v>45447</x:v>
      </x:c>
      <x:c r="D859" s="81" t="n">
        <x:v>45447</x:v>
      </x:c>
      <x:c r="E859" s="80" t="str">
        <x:v>CUST-8575</x:v>
      </x:c>
      <x:c r="F859" s="80" t="str">
        <x:v>Sneha Kapoor</x:v>
      </x:c>
      <x:c r="G859" s="80" t="str">
        <x:v>Home Office</x:v>
      </x:c>
      <x:c r="H859" s="80" t="str">
        <x:v>South</x:v>
      </x:c>
      <x:c r="I859" s="80" t="str">
        <x:v>Kerala</x:v>
      </x:c>
      <x:c r="J859" s="80" t="str">
        <x:v>Kochi</x:v>
      </x:c>
      <x:c r="K859" s="80" t="str">
        <x:v>Office Supplies</x:v>
      </x:c>
      <x:c r="L859" s="80" t="str">
        <x:v>Storage</x:v>
      </x:c>
      <x:c r="M859" s="80" t="str">
        <x:v>Max Storage 223</x:v>
      </x:c>
      <x:c r="N859" s="80" t="str">
        <x:v>First Class</x:v>
      </x:c>
      <x:c r="O859" s="82" t="n">
        <x:v>6</x:v>
      </x:c>
      <x:c r="P859" s="83" t="n">
        <x:v>2708.97</x:v>
      </x:c>
      <x:c r="Q859" s="84" t="n">
        <x:v>0.25</x:v>
      </x:c>
      <x:c r="R859" s="83" t="n">
        <x:v>12190.36</x:v>
      </x:c>
      <x:c r="S859" s="83" t="n">
        <x:v>10176.99</x:v>
      </x:c>
      <x:c r="T859" s="83" t="n">
        <x:v>2013.37</x:v>
      </x:c>
      <x:c r="U859" s="83" t="str">
        <x:v>Paid</x:v>
      </x:c>
      <x:c r="V859" s="83" t="str">
        <x:v>Completed</x:v>
      </x:c>
      <x:c r="W859" s="151" t="n">
        <x:f>IF(OR(NOT(ISNUMBER($AP859)),COUNT($O859,$P859)&lt;2,$O859&lt;=0,$P859&lt;0),"",ROUND($O859*$P859*(1-$AP859),2))</x:f>
        <x:v>12190.37</x:v>
      </x:c>
      <x:c r="X859" s="151" t="n">
        <x:f>IF(OR(NOT(ISNUMBER($W859)),NOT(ISNUMBER($S859))),"",ROUND($W859-$S859,2))</x:f>
        <x:v>2013.38</x:v>
      </x:c>
      <x:c r="Y859" s="85" t="n">
        <x:f>IF(OR(NOT(ISNUMBER($W859)),NOT(ISNUMBER($X859)),$W859=0),"",ROUND($X859/$W859,4))</x:f>
        <x:v>0.1652</x:v>
      </x:c>
      <x:c r="Z859" s="82" t="n">
        <x:f>IF(OR($AH859&lt;&gt;"Valid",$AI859&lt;&gt;"Valid"),"",INT($D859-$C859))</x:f>
        <x:v>0</x:v>
      </x:c>
      <x:c r="AA859" s="86" t="str">
        <x:f>IF($AH859&lt;&gt;"Valid","",TEXT($C859,"mmmm"))</x:f>
        <x:v>June</x:v>
      </x:c>
      <x:c r="AB859" s="82" t="n">
        <x:f>IF($AH859&lt;&gt;"Valid","",YEAR($C859))</x:f>
        <x:v>2024</x:v>
      </x:c>
      <x:c r="AC859" s="80" t="str">
        <x:v>Consistent</x:v>
      </x:c>
      <x:c r="AD859" s="80" t="str">
        <x:v>Eligible</x:v>
      </x:c>
      <x:c r="AE859" s="80" t="str">
        <x:f>IF(OR($AH859&lt;&gt;"Valid",$AI859&lt;&gt;"Valid",$AJ859&lt;&gt;"Valid",LEFT($AM859,7)="Invalid",IFERROR(ABS($AQ859)&gt;0.01,FALSE),IFERROR(ABS($AR859)&gt;0.01,FALSE),COUNTIF($AS859,"*Conflicting duplicate*")&gt;0,COUNTIF($AS859,"*Completed order not paid*")&gt;0),"Invalid",IF(OR($H859="Unknown",$N859="Unknown",$AM859="Missing discount imputed as 0"),"Warning","Clean"))</x:f>
        <x:v>Clean</x:v>
      </x:c>
      <x:c r="AF859" s="80" t="str">
        <x:v>Pass</x:v>
      </x:c>
      <x:c r="AG859" s="80" t="str">
        <x:v>No text cleanup required</x:v>
      </x:c>
      <x:c r="AH859" s="12" t="str">
        <x:f>IF(C859="","Missing date",IF(ISNUMBER(C859),"Valid","Unrecognized/invalid date"))</x:f>
        <x:v>Valid</x:v>
      </x:c>
      <x:c r="AI859" s="12" t="str">
        <x:f>IF(D859="","Missing date",IF(ISNUMBER(D859),"Valid","Unrecognized/invalid date"))</x:f>
        <x:v>Valid</x:v>
      </x:c>
      <x:c r="AJ859" s="12" t="str">
        <x:v>Valid</x:v>
      </x:c>
      <x:c r="AK859" s="12" t="str">
        <x:v>Pass</x:v>
      </x:c>
      <x:c r="AL859" s="12" t="str">
        <x:v>None</x:v>
      </x:c>
      <x:c r="AM859" s="12" t="str">
        <x:v>Valid</x:v>
      </x:c>
      <x:c r="AN859" s="12" t="str">
        <x:v>Include in completed sales</x:v>
      </x:c>
      <x:c r="AO859" s="12" t="str">
        <x:v>Not a refunded record</x:v>
      </x:c>
      <x:c r="AP859" s="37" t="n">
        <x:f>IF(LEFT($AM859,7)="Invalid","",IF($AM859="Missing discount imputed as 0",IF(AND(COUNT($O859,$P859,$R859,$S859)=4,$O859&gt;0,$P859&gt;=0,$R859&gt;=0,$S859&gt;=0),0,""),IF(AND(ISNUMBER($Q859),$Q859&gt;=0,$Q859&lt;=0.5),$Q859,"")))</x:f>
        <x:v>0.25</x:v>
      </x:c>
      <x:c r="AQ859" s="152" t="n">
        <x:f>IF(OR($W859="",NOT(ISNUMBER($R859))),"",ROUND($R859-$W859,2))</x:f>
        <x:v>-0.01</x:v>
      </x:c>
      <x:c r="AR859" s="152" t="n">
        <x:f>IF(OR($X859="",NOT(ISNUMBER($T859))),"",ROUND($T859-$X859,2))</x:f>
        <x:v>-0.01</x:v>
      </x:c>
      <x:c r="AS859" s="14" t="str">
        <x:v>OK</x:v>
      </x:c>
    </x:row>
    <x:row r="860">
      <x:c r="A860" s="80" t="n">
        <x:v>860</x:v>
      </x:c>
      <x:c r="B860" s="80" t="str">
        <x:v>ORD-2024-10859</x:v>
      </x:c>
      <x:c r="C860" s="81" t="n">
        <x:v>45414</x:v>
      </x:c>
      <x:c r="D860" s="81" t="n">
        <x:v>45421</x:v>
      </x:c>
      <x:c r="E860" s="80" t="str">
        <x:v>CUST-9576</x:v>
      </x:c>
      <x:c r="F860" s="80" t="str">
        <x:v>Arjun Bose</x:v>
      </x:c>
      <x:c r="G860" s="80" t="str">
        <x:v>Consumer</x:v>
      </x:c>
      <x:c r="H860" s="80" t="str">
        <x:v>East</x:v>
      </x:c>
      <x:c r="I860" s="80" t="str">
        <x:v>Odisha</x:v>
      </x:c>
      <x:c r="J860" s="80" t="str">
        <x:v>Bhubaneswar</x:v>
      </x:c>
      <x:c r="K860" s="80" t="str">
        <x:v>Technology</x:v>
      </x:c>
      <x:c r="L860" s="80" t="str">
        <x:v>Accessories</x:v>
      </x:c>
      <x:c r="M860" s="80" t="str">
        <x:v>Basic Accessories 602</x:v>
      </x:c>
      <x:c r="N860" s="80" t="str">
        <x:v>Second Class</x:v>
      </x:c>
      <x:c r="O860" s="82" t="n">
        <x:v>4</x:v>
      </x:c>
      <x:c r="P860" s="83" t="n">
        <x:v>2904.86</x:v>
      </x:c>
      <x:c r="Q860" s="84" t="n">
        <x:v>0</x:v>
      </x:c>
      <x:c r="R860" s="83" t="n">
        <x:v>11619.44</x:v>
      </x:c>
      <x:c r="S860" s="83" t="n">
        <x:v>7184.32</x:v>
      </x:c>
      <x:c r="T860" s="83" t="n">
        <x:v>4494.64</x:v>
      </x:c>
      <x:c r="U860" s="83" t="str">
        <x:v>Paid</x:v>
      </x:c>
      <x:c r="V860" s="83" t="str">
        <x:v>Completed</x:v>
      </x:c>
      <x:c r="W860" s="151" t="n">
        <x:f>IF(OR(NOT(ISNUMBER($AP860)),COUNT($O860,$P860)&lt;2,$O860&lt;=0,$P860&lt;0),"",ROUND($O860*$P860*(1-$AP860),2))</x:f>
        <x:v>11619.44</x:v>
      </x:c>
      <x:c r="X860" s="151" t="n">
        <x:f>IF(OR(NOT(ISNUMBER($W860)),NOT(ISNUMBER($S860))),"",ROUND($W860-$S860,2))</x:f>
        <x:v>4435.12</x:v>
      </x:c>
      <x:c r="Y860" s="85" t="n">
        <x:f>IF(OR(NOT(ISNUMBER($W860)),NOT(ISNUMBER($X860)),$W860=0),"",ROUND($X860/$W860,4))</x:f>
        <x:v>0.3817</x:v>
      </x:c>
      <x:c r="Z860" s="82" t="n">
        <x:f>IF(OR($AH860&lt;&gt;"Valid",$AI860&lt;&gt;"Valid"),"",INT($D860-$C860))</x:f>
        <x:v>7</x:v>
      </x:c>
      <x:c r="AA860" s="86" t="str">
        <x:f>IF($AH860&lt;&gt;"Valid","",TEXT($C860,"mmmm"))</x:f>
        <x:v>May</x:v>
      </x:c>
      <x:c r="AB860" s="82" t="n">
        <x:f>IF($AH860&lt;&gt;"Valid","",YEAR($C860))</x:f>
        <x:v>2024</x:v>
      </x:c>
      <x:c r="AC860" s="80" t="str">
        <x:v>Consistent</x:v>
      </x:c>
      <x:c r="AD860" s="80" t="str">
        <x:v>Excluded</x:v>
      </x:c>
      <x:c r="AE860" s="80" t="str">
        <x:f>IF(OR($AH860&lt;&gt;"Valid",$AI860&lt;&gt;"Valid",$AJ860&lt;&gt;"Valid",LEFT($AM860,7)="Invalid",IFERROR(ABS($AQ860)&gt;0.01,FALSE),IFERROR(ABS($AR860)&gt;0.01,FALSE),COUNTIF($AS860,"*Conflicting duplicate*")&gt;0,COUNTIF($AS860,"*Completed order not paid*")&gt;0),"Invalid",IF(OR($H860="Unknown",$N860="Unknown",$AM860="Missing discount imputed as 0"),"Warning","Clean"))</x:f>
        <x:v>Invalid</x:v>
      </x:c>
      <x:c r="AF860" s="80" t="str">
        <x:v>Review</x:v>
      </x:c>
      <x:c r="AG860" s="80" t="str">
        <x:v>No text cleanup required</x:v>
      </x:c>
      <x:c r="AH860" s="12" t="str">
        <x:f>IF(C860="","Missing date",IF(ISNUMBER(C860),"Valid","Unrecognized/invalid date"))</x:f>
        <x:v>Valid</x:v>
      </x:c>
      <x:c r="AI860" s="12" t="str">
        <x:f>IF(D860="","Missing date",IF(ISNUMBER(D860),"Valid","Unrecognized/invalid date"))</x:f>
        <x:v>Valid</x:v>
      </x:c>
      <x:c r="AJ860" s="12" t="str">
        <x:v>Valid</x:v>
      </x:c>
      <x:c r="AK860" s="12" t="str">
        <x:v>Pass</x:v>
      </x:c>
      <x:c r="AL860" s="12" t="str">
        <x:v>None</x:v>
      </x:c>
      <x:c r="AM860" s="12" t="str">
        <x:v>Valid</x:v>
      </x:c>
      <x:c r="AN860" s="12" t="str">
        <x:v>Exclude from completed sales</x:v>
      </x:c>
      <x:c r="AO860" s="12" t="str">
        <x:v>Not a refunded record</x:v>
      </x:c>
      <x:c r="AP860" s="37" t="n">
        <x:f>IF(LEFT($AM860,7)="Invalid","",IF($AM860="Missing discount imputed as 0",IF(AND(COUNT($O860,$P860,$R860,$S860)=4,$O860&gt;0,$P860&gt;=0,$R860&gt;=0,$S860&gt;=0),0,""),IF(AND(ISNUMBER($Q860),$Q860&gt;=0,$Q860&lt;=0.5),$Q860,"")))</x:f>
        <x:v>0</x:v>
      </x:c>
      <x:c r="AQ860" s="152" t="n">
        <x:f>IF(OR($W860="",NOT(ISNUMBER($R860))),"",ROUND($R860-$W860,2))</x:f>
        <x:v>0</x:v>
      </x:c>
      <x:c r="AR860" s="152" t="n">
        <x:f>IF(OR($X860="",NOT(ISNUMBER($T860))),"",ROUND($T860-$X860,2))</x:f>
        <x:v>59.52</x:v>
      </x:c>
      <x:c r="AS860" s="14" t="str">
        <x:v>Profit calculation mismatch</x:v>
      </x:c>
    </x:row>
    <x:row r="861">
      <x:c r="A861" s="80" t="n">
        <x:v>861</x:v>
      </x:c>
      <x:c r="B861" s="80" t="str">
        <x:v>ORD-2024-10860</x:v>
      </x:c>
      <x:c r="C861" s="81" t="n">
        <x:v>45592</x:v>
      </x:c>
      <x:c r="D861" s="81" t="n">
        <x:v>45597</x:v>
      </x:c>
      <x:c r="E861" s="80" t="str">
        <x:v>CUST-2395</x:v>
      </x:c>
      <x:c r="F861" s="80" t="str">
        <x:v>Aditi Sen</x:v>
      </x:c>
      <x:c r="G861" s="80" t="str">
        <x:v>Corporate</x:v>
      </x:c>
      <x:c r="H861" s="80" t="str">
        <x:v>South</x:v>
      </x:c>
      <x:c r="I861" s="80" t="str">
        <x:v>Tamil Nadu</x:v>
      </x:c>
      <x:c r="J861" s="80" t="str">
        <x:v>Chennai</x:v>
      </x:c>
      <x:c r="K861" s="80" t="str">
        <x:v>Technology</x:v>
      </x:c>
      <x:c r="L861" s="80" t="str">
        <x:v>Phones</x:v>
      </x:c>
      <x:c r="M861" s="80" t="str">
        <x:v>Elite Phones 394</x:v>
      </x:c>
      <x:c r="N861" s="80" t="str">
        <x:v>Standard Class</x:v>
      </x:c>
      <x:c r="O861" s="82" t="n">
        <x:v>6</x:v>
      </x:c>
      <x:c r="P861" s="83" t="n">
        <x:v>4399.2</x:v>
      </x:c>
      <x:c r="Q861" s="84" t="n">
        <x:v>0.05</x:v>
      </x:c>
      <x:c r="R861" s="83" t="n">
        <x:v>25075.44</x:v>
      </x:c>
      <x:c r="S861" s="83" t="n">
        <x:v>16282.74</x:v>
      </x:c>
      <x:c r="T861" s="83" t="n">
        <x:v>8792.7</x:v>
      </x:c>
      <x:c r="U861" s="83" t="str">
        <x:v>Paid</x:v>
      </x:c>
      <x:c r="V861" s="83" t="str">
        <x:v>Completed</x:v>
      </x:c>
      <x:c r="W861" s="151" t="n">
        <x:f>IF(OR(NOT(ISNUMBER($AP861)),COUNT($O861,$P861)&lt;2,$O861&lt;=0,$P861&lt;0),"",ROUND($O861*$P861*(1-$AP861),2))</x:f>
        <x:v>25075.44</x:v>
      </x:c>
      <x:c r="X861" s="151" t="n">
        <x:f>IF(OR(NOT(ISNUMBER($W861)),NOT(ISNUMBER($S861))),"",ROUND($W861-$S861,2))</x:f>
        <x:v>8792.7</x:v>
      </x:c>
      <x:c r="Y861" s="85" t="n">
        <x:f>IF(OR(NOT(ISNUMBER($W861)),NOT(ISNUMBER($X861)),$W861=0),"",ROUND($X861/$W861,4))</x:f>
        <x:v>0.3506</x:v>
      </x:c>
      <x:c r="Z861" s="82" t="n">
        <x:f>IF(OR($AH861&lt;&gt;"Valid",$AI861&lt;&gt;"Valid"),"",INT($D861-$C861))</x:f>
        <x:v>5</x:v>
      </x:c>
      <x:c r="AA861" s="86" t="str">
        <x:f>IF($AH861&lt;&gt;"Valid","",TEXT($C861,"mmmm"))</x:f>
        <x:v>October</x:v>
      </x:c>
      <x:c r="AB861" s="82" t="n">
        <x:f>IF($AH861&lt;&gt;"Valid","",YEAR($C861))</x:f>
        <x:v>2024</x:v>
      </x:c>
      <x:c r="AC861" s="80" t="str">
        <x:v>Consistent</x:v>
      </x:c>
      <x:c r="AD861" s="80" t="str">
        <x:v>Eligible</x:v>
      </x:c>
      <x:c r="AE861" s="80" t="str">
        <x:f>IF(OR($AH861&lt;&gt;"Valid",$AI861&lt;&gt;"Valid",$AJ861&lt;&gt;"Valid",LEFT($AM861,7)="Invalid",IFERROR(ABS($AQ861)&gt;0.01,FALSE),IFERROR(ABS($AR861)&gt;0.01,FALSE),COUNTIF($AS861,"*Conflicting duplicate*")&gt;0,COUNTIF($AS861,"*Completed order not paid*")&gt;0),"Invalid",IF(OR($H861="Unknown",$N861="Unknown",$AM861="Missing discount imputed as 0"),"Warning","Clean"))</x:f>
        <x:v>Clean</x:v>
      </x:c>
      <x:c r="AF861" s="80" t="str">
        <x:v>Pass</x:v>
      </x:c>
      <x:c r="AG861" s="80" t="str">
        <x:v>No text cleanup required</x:v>
      </x:c>
      <x:c r="AH861" s="12" t="str">
        <x:f>IF(C861="","Missing date",IF(ISNUMBER(C861),"Valid","Unrecognized/invalid date"))</x:f>
        <x:v>Valid</x:v>
      </x:c>
      <x:c r="AI861" s="12" t="str">
        <x:f>IF(D861="","Missing date",IF(ISNUMBER(D861),"Valid","Unrecognized/invalid date"))</x:f>
        <x:v>Valid</x:v>
      </x:c>
      <x:c r="AJ861" s="12" t="str">
        <x:v>Valid</x:v>
      </x:c>
      <x:c r="AK861" s="12" t="str">
        <x:v>Pass</x:v>
      </x:c>
      <x:c r="AL861" s="12" t="str">
        <x:v>None</x:v>
      </x:c>
      <x:c r="AM861" s="12" t="str">
        <x:v>Valid</x:v>
      </x:c>
      <x:c r="AN861" s="12" t="str">
        <x:v>Include in completed sales</x:v>
      </x:c>
      <x:c r="AO861" s="12" t="str">
        <x:v>Not a refunded record</x:v>
      </x:c>
      <x:c r="AP861" s="37" t="n">
        <x:f>IF(LEFT($AM861,7)="Invalid","",IF($AM861="Missing discount imputed as 0",IF(AND(COUNT($O861,$P861,$R861,$S861)=4,$O861&gt;0,$P861&gt;=0,$R861&gt;=0,$S861&gt;=0),0,""),IF(AND(ISNUMBER($Q861),$Q861&gt;=0,$Q861&lt;=0.5),$Q861,"")))</x:f>
        <x:v>0.05</x:v>
      </x:c>
      <x:c r="AQ861" s="152" t="n">
        <x:f>IF(OR($W861="",NOT(ISNUMBER($R861))),"",ROUND($R861-$W861,2))</x:f>
        <x:v>0</x:v>
      </x:c>
      <x:c r="AR861" s="152" t="n">
        <x:f>IF(OR($X861="",NOT(ISNUMBER($T861))),"",ROUND($T861-$X861,2))</x:f>
        <x:v>0</x:v>
      </x:c>
      <x:c r="AS861" s="14" t="str">
        <x:v>OK</x:v>
      </x:c>
    </x:row>
    <x:row r="862">
      <x:c r="A862" s="80" t="n">
        <x:v>862</x:v>
      </x:c>
      <x:c r="B862" s="80" t="str">
        <x:v>ORD-2024-10861</x:v>
      </x:c>
      <x:c r="C862" s="81" t="n">
        <x:v>45324</x:v>
      </x:c>
      <x:c r="D862" s="81" t="n">
        <x:v>45326</x:v>
      </x:c>
      <x:c r="E862" s="80" t="str">
        <x:v>CUST-8941</x:v>
      </x:c>
      <x:c r="F862" s="80" t="str">
        <x:v>Vikram Iyer</x:v>
      </x:c>
      <x:c r="G862" s="80" t="str">
        <x:v>Home Office</x:v>
      </x:c>
      <x:c r="H862" s="80" t="str">
        <x:v>North</x:v>
      </x:c>
      <x:c r="I862" s="80" t="str">
        <x:v>Uttar Pradesh</x:v>
      </x:c>
      <x:c r="J862" s="80" t="str">
        <x:v>Noida</x:v>
      </x:c>
      <x:c r="K862" s="80" t="str">
        <x:v>Office Supplies</x:v>
      </x:c>
      <x:c r="L862" s="80" t="str">
        <x:v>Storage</x:v>
      </x:c>
      <x:c r="M862" s="80" t="str">
        <x:v>Classic Storage 194</x:v>
      </x:c>
      <x:c r="N862" s="80" t="str">
        <x:v>Second Class</x:v>
      </x:c>
      <x:c r="O862" s="82" t="n">
        <x:v>1</x:v>
      </x:c>
      <x:c r="P862" s="83" t="n">
        <x:v>4397.32</x:v>
      </x:c>
      <x:c r="Q862" s="84" t="n">
        <x:v>0.05</x:v>
      </x:c>
      <x:c r="R862" s="83" t="n">
        <x:v>4177.45</x:v>
      </x:c>
      <x:c r="S862" s="83" t="n">
        <x:v>2299.5</x:v>
      </x:c>
      <x:c r="T862" s="83" t="n">
        <x:v>1877.95</x:v>
      </x:c>
      <x:c r="U862" s="83" t="str">
        <x:v>Paid</x:v>
      </x:c>
      <x:c r="V862" s="83" t="str">
        <x:v>Completed</x:v>
      </x:c>
      <x:c r="W862" s="151" t="n">
        <x:f>IF(OR(NOT(ISNUMBER($AP862)),COUNT($O862,$P862)&lt;2,$O862&lt;=0,$P862&lt;0),"",ROUND($O862*$P862*(1-$AP862),2))</x:f>
        <x:v>4177.45</x:v>
      </x:c>
      <x:c r="X862" s="151" t="n">
        <x:f>IF(OR(NOT(ISNUMBER($W862)),NOT(ISNUMBER($S862))),"",ROUND($W862-$S862,2))</x:f>
        <x:v>1877.95</x:v>
      </x:c>
      <x:c r="Y862" s="85" t="n">
        <x:f>IF(OR(NOT(ISNUMBER($W862)),NOT(ISNUMBER($X862)),$W862=0),"",ROUND($X862/$W862,4))</x:f>
        <x:v>0.4495</x:v>
      </x:c>
      <x:c r="Z862" s="82" t="n">
        <x:f>IF(OR($AH862&lt;&gt;"Valid",$AI862&lt;&gt;"Valid"),"",INT($D862-$C862))</x:f>
        <x:v>2</x:v>
      </x:c>
      <x:c r="AA862" s="86" t="str">
        <x:f>IF($AH862&lt;&gt;"Valid","",TEXT($C862,"mmmm"))</x:f>
        <x:v>February</x:v>
      </x:c>
      <x:c r="AB862" s="82" t="n">
        <x:f>IF($AH862&lt;&gt;"Valid","",YEAR($C862))</x:f>
        <x:v>2024</x:v>
      </x:c>
      <x:c r="AC862" s="80" t="str">
        <x:v>Consistent</x:v>
      </x:c>
      <x:c r="AD862" s="80" t="str">
        <x:v>Eligible</x:v>
      </x:c>
      <x:c r="AE862" s="80" t="str">
        <x:f>IF(OR($AH862&lt;&gt;"Valid",$AI862&lt;&gt;"Valid",$AJ862&lt;&gt;"Valid",LEFT($AM862,7)="Invalid",IFERROR(ABS($AQ862)&gt;0.01,FALSE),IFERROR(ABS($AR862)&gt;0.01,FALSE),COUNTIF($AS862,"*Conflicting duplicate*")&gt;0,COUNTIF($AS862,"*Completed order not paid*")&gt;0),"Invalid",IF(OR($H862="Unknown",$N862="Unknown",$AM862="Missing discount imputed as 0"),"Warning","Clean"))</x:f>
        <x:v>Clean</x:v>
      </x:c>
      <x:c r="AF862" s="80" t="str">
        <x:v>Pass</x:v>
      </x:c>
      <x:c r="AG862" s="80" t="str">
        <x:v>No text cleanup required</x:v>
      </x:c>
      <x:c r="AH862" s="12" t="str">
        <x:f>IF(C862="","Missing date",IF(ISNUMBER(C862),"Valid","Unrecognized/invalid date"))</x:f>
        <x:v>Valid</x:v>
      </x:c>
      <x:c r="AI862" s="12" t="str">
        <x:f>IF(D862="","Missing date",IF(ISNUMBER(D862),"Valid","Unrecognized/invalid date"))</x:f>
        <x:v>Valid</x:v>
      </x:c>
      <x:c r="AJ862" s="12" t="str">
        <x:v>Valid</x:v>
      </x:c>
      <x:c r="AK862" s="12" t="str">
        <x:v>Pass</x:v>
      </x:c>
      <x:c r="AL862" s="12" t="str">
        <x:v>None</x:v>
      </x:c>
      <x:c r="AM862" s="12" t="str">
        <x:v>Valid</x:v>
      </x:c>
      <x:c r="AN862" s="12" t="str">
        <x:v>Include in completed sales</x:v>
      </x:c>
      <x:c r="AO862" s="12" t="str">
        <x:v>Not a refunded record</x:v>
      </x:c>
      <x:c r="AP862" s="37" t="n">
        <x:f>IF(LEFT($AM862,7)="Invalid","",IF($AM862="Missing discount imputed as 0",IF(AND(COUNT($O862,$P862,$R862,$S862)=4,$O862&gt;0,$P862&gt;=0,$R862&gt;=0,$S862&gt;=0),0,""),IF(AND(ISNUMBER($Q862),$Q862&gt;=0,$Q862&lt;=0.5),$Q862,"")))</x:f>
        <x:v>0.05</x:v>
      </x:c>
      <x:c r="AQ862" s="152" t="n">
        <x:f>IF(OR($W862="",NOT(ISNUMBER($R862))),"",ROUND($R862-$W862,2))</x:f>
        <x:v>0</x:v>
      </x:c>
      <x:c r="AR862" s="152" t="n">
        <x:f>IF(OR($X862="",NOT(ISNUMBER($T862))),"",ROUND($T862-$X862,2))</x:f>
        <x:v>0</x:v>
      </x:c>
      <x:c r="AS862" s="14" t="str">
        <x:v>OK</x:v>
      </x:c>
    </x:row>
    <x:row r="863">
      <x:c r="A863" s="80" t="n">
        <x:v>863</x:v>
      </x:c>
      <x:c r="B863" s="80" t="str">
        <x:v>ORD-2025-10862</x:v>
      </x:c>
      <x:c r="C863" s="81" t="n">
        <x:v>45724</x:v>
      </x:c>
      <x:c r="D863" s="81" t="n">
        <x:v>45725</x:v>
      </x:c>
      <x:c r="E863" s="80" t="str">
        <x:v>CUST-9448</x:v>
      </x:c>
      <x:c r="F863" s="80" t="str">
        <x:v>Priya Menon</x:v>
      </x:c>
      <x:c r="G863" s="80" t="str">
        <x:v>Home Office</x:v>
      </x:c>
      <x:c r="H863" s="80" t="str">
        <x:v>North</x:v>
      </x:c>
      <x:c r="I863" s="80" t="str">
        <x:v>Delhi</x:v>
      </x:c>
      <x:c r="J863" s="80" t="str">
        <x:v>New Delhi</x:v>
      </x:c>
      <x:c r="K863" s="80" t="str">
        <x:v>Furniture</x:v>
      </x:c>
      <x:c r="L863" s="80" t="str">
        <x:v>Furnishings</x:v>
      </x:c>
      <x:c r="M863" s="80" t="str">
        <x:v>Smart Furnishings 892</x:v>
      </x:c>
      <x:c r="N863" s="80" t="str">
        <x:v>Same Day</x:v>
      </x:c>
      <x:c r="O863" s="82" t="n">
        <x:v>4</x:v>
      </x:c>
      <x:c r="P863" s="83" t="n">
        <x:v>3405.68</x:v>
      </x:c>
      <x:c r="Q863" s="84" t="n">
        <x:v>0.2</x:v>
      </x:c>
      <x:c r="R863" s="83" t="n">
        <x:v>10898.18</x:v>
      </x:c>
      <x:c r="S863" s="83" t="n">
        <x:v>6231.41</x:v>
      </x:c>
      <x:c r="T863" s="83" t="n">
        <x:v>4666.77</x:v>
      </x:c>
      <x:c r="U863" s="83" t="str">
        <x:v>Paid</x:v>
      </x:c>
      <x:c r="V863" s="83" t="str">
        <x:v>Completed</x:v>
      </x:c>
      <x:c r="W863" s="151" t="n">
        <x:f>IF(OR(NOT(ISNUMBER($AP863)),COUNT($O863,$P863)&lt;2,$O863&lt;=0,$P863&lt;0),"",ROUND($O863*$P863*(1-$AP863),2))</x:f>
        <x:v>10898.18</x:v>
      </x:c>
      <x:c r="X863" s="151" t="n">
        <x:f>IF(OR(NOT(ISNUMBER($W863)),NOT(ISNUMBER($S863))),"",ROUND($W863-$S863,2))</x:f>
        <x:v>4666.77</x:v>
      </x:c>
      <x:c r="Y863" s="85" t="n">
        <x:f>IF(OR(NOT(ISNUMBER($W863)),NOT(ISNUMBER($X863)),$W863=0),"",ROUND($X863/$W863,4))</x:f>
        <x:v>0.4282</x:v>
      </x:c>
      <x:c r="Z863" s="82" t="n">
        <x:f>IF(OR($AH863&lt;&gt;"Valid",$AI863&lt;&gt;"Valid"),"",INT($D863-$C863))</x:f>
        <x:v>1</x:v>
      </x:c>
      <x:c r="AA863" s="86" t="str">
        <x:f>IF($AH863&lt;&gt;"Valid","",TEXT($C863,"mmmm"))</x:f>
        <x:v>March</x:v>
      </x:c>
      <x:c r="AB863" s="82" t="n">
        <x:f>IF($AH863&lt;&gt;"Valid","",YEAR($C863))</x:f>
        <x:v>2025</x:v>
      </x:c>
      <x:c r="AC863" s="80" t="str">
        <x:v>Consistent</x:v>
      </x:c>
      <x:c r="AD863" s="80" t="str">
        <x:v>Eligible</x:v>
      </x:c>
      <x:c r="AE863" s="80" t="str">
        <x:f>IF(OR($AH863&lt;&gt;"Valid",$AI863&lt;&gt;"Valid",$AJ863&lt;&gt;"Valid",LEFT($AM863,7)="Invalid",IFERROR(ABS($AQ863)&gt;0.01,FALSE),IFERROR(ABS($AR863)&gt;0.01,FALSE),COUNTIF($AS863,"*Conflicting duplicate*")&gt;0,COUNTIF($AS863,"*Completed order not paid*")&gt;0),"Invalid",IF(OR($H863="Unknown",$N863="Unknown",$AM863="Missing discount imputed as 0"),"Warning","Clean"))</x:f>
        <x:v>Clean</x:v>
      </x:c>
      <x:c r="AF863" s="80" t="str">
        <x:v>Pass</x:v>
      </x:c>
      <x:c r="AG863" s="80" t="str">
        <x:v>No text cleanup required</x:v>
      </x:c>
      <x:c r="AH863" s="12" t="str">
        <x:f>IF(C863="","Missing date",IF(ISNUMBER(C863),"Valid","Unrecognized/invalid date"))</x:f>
        <x:v>Valid</x:v>
      </x:c>
      <x:c r="AI863" s="12" t="str">
        <x:f>IF(D863="","Missing date",IF(ISNUMBER(D863),"Valid","Unrecognized/invalid date"))</x:f>
        <x:v>Valid</x:v>
      </x:c>
      <x:c r="AJ863" s="12" t="str">
        <x:v>Valid</x:v>
      </x:c>
      <x:c r="AK863" s="12" t="str">
        <x:v>Pass</x:v>
      </x:c>
      <x:c r="AL863" s="12" t="str">
        <x:v>None</x:v>
      </x:c>
      <x:c r="AM863" s="12" t="str">
        <x:v>Valid</x:v>
      </x:c>
      <x:c r="AN863" s="12" t="str">
        <x:v>Include in completed sales</x:v>
      </x:c>
      <x:c r="AO863" s="12" t="str">
        <x:v>Not a refunded record</x:v>
      </x:c>
      <x:c r="AP863" s="37" t="n">
        <x:f>IF(LEFT($AM863,7)="Invalid","",IF($AM863="Missing discount imputed as 0",IF(AND(COUNT($O863,$P863,$R863,$S863)=4,$O863&gt;0,$P863&gt;=0,$R863&gt;=0,$S863&gt;=0),0,""),IF(AND(ISNUMBER($Q863),$Q863&gt;=0,$Q863&lt;=0.5),$Q863,"")))</x:f>
        <x:v>0.2</x:v>
      </x:c>
      <x:c r="AQ863" s="152" t="n">
        <x:f>IF(OR($W863="",NOT(ISNUMBER($R863))),"",ROUND($R863-$W863,2))</x:f>
        <x:v>0</x:v>
      </x:c>
      <x:c r="AR863" s="152" t="n">
        <x:f>IF(OR($X863="",NOT(ISNUMBER($T863))),"",ROUND($T863-$X863,2))</x:f>
        <x:v>0</x:v>
      </x:c>
      <x:c r="AS863" s="14" t="str">
        <x:v>OK</x:v>
      </x:c>
    </x:row>
    <x:row r="864">
      <x:c r="A864" s="80" t="n">
        <x:v>864</x:v>
      </x:c>
      <x:c r="B864" s="80" t="str">
        <x:v>ORD-2025-10863</x:v>
      </x:c>
      <x:c r="C864" s="81" t="n">
        <x:v>45742</x:v>
      </x:c>
      <x:c r="D864" s="81" t="n">
        <x:v>45747</x:v>
      </x:c>
      <x:c r="E864" s="80" t="str">
        <x:v>CUST-8354</x:v>
      </x:c>
      <x:c r="F864" s="80" t="str">
        <x:v>Priya Menon</x:v>
      </x:c>
      <x:c r="G864" s="80" t="str">
        <x:v>Small Business</x:v>
      </x:c>
      <x:c r="H864" s="80" t="str">
        <x:v>East</x:v>
      </x:c>
      <x:c r="I864" s="80" t="str">
        <x:v>Jharkhand</x:v>
      </x:c>
      <x:c r="J864" s="80" t="str">
        <x:v>Ranchi</x:v>
      </x:c>
      <x:c r="K864" s="80" t="str">
        <x:v>Office Supplies</x:v>
      </x:c>
      <x:c r="L864" s="80" t="str">
        <x:v>Binders</x:v>
      </x:c>
      <x:c r="M864" s="80" t="str">
        <x:v>Pro Binders 488</x:v>
      </x:c>
      <x:c r="N864" s="80" t="str">
        <x:v>First Class</x:v>
      </x:c>
      <x:c r="O864" s="82" t="n">
        <x:v>5</x:v>
      </x:c>
      <x:c r="P864" s="83" t="n">
        <x:v>1395.14</x:v>
      </x:c>
      <x:c r="Q864" s="84" t="n">
        <x:v>0</x:v>
      </x:c>
      <x:c r="R864" s="83" t="n">
        <x:v>6975.7</x:v>
      </x:c>
      <x:c r="S864" s="83" t="n">
        <x:v>4797.88</x:v>
      </x:c>
      <x:c r="T864" s="83" t="n">
        <x:v>2177.82</x:v>
      </x:c>
      <x:c r="U864" s="83" t="str">
        <x:v>Paid</x:v>
      </x:c>
      <x:c r="V864" s="83" t="str">
        <x:v>Cancelled</x:v>
      </x:c>
      <x:c r="W864" s="151" t="n">
        <x:f>IF(OR(NOT(ISNUMBER($AP864)),COUNT($O864,$P864)&lt;2,$O864&lt;=0,$P864&lt;0),"",ROUND($O864*$P864*(1-$AP864),2))</x:f>
        <x:v>6975.7</x:v>
      </x:c>
      <x:c r="X864" s="151" t="n">
        <x:f>IF(OR(NOT(ISNUMBER($W864)),NOT(ISNUMBER($S864))),"",ROUND($W864-$S864,2))</x:f>
        <x:v>2177.82</x:v>
      </x:c>
      <x:c r="Y864" s="85" t="n">
        <x:f>IF(OR(NOT(ISNUMBER($W864)),NOT(ISNUMBER($X864)),$W864=0),"",ROUND($X864/$W864,4))</x:f>
        <x:v>0.3122</x:v>
      </x:c>
      <x:c r="Z864" s="82" t="n">
        <x:f>IF(OR($AH864&lt;&gt;"Valid",$AI864&lt;&gt;"Valid"),"",INT($D864-$C864))</x:f>
        <x:v>5</x:v>
      </x:c>
      <x:c r="AA864" s="86" t="str">
        <x:f>IF($AH864&lt;&gt;"Valid","",TEXT($C864,"mmmm"))</x:f>
        <x:v>March</x:v>
      </x:c>
      <x:c r="AB864" s="82" t="n">
        <x:f>IF($AH864&lt;&gt;"Valid","",YEAR($C864))</x:f>
        <x:v>2025</x:v>
      </x:c>
      <x:c r="AC864" s="80" t="str">
        <x:v>Cancelled (excluded from completed-sales summary)</x:v>
      </x:c>
      <x:c r="AD864" s="80" t="str">
        <x:v>Excluded</x:v>
      </x:c>
      <x:c r="AE864" s="80" t="str">
        <x:f>IF(OR($AH864&lt;&gt;"Valid",$AI864&lt;&gt;"Valid",$AJ864&lt;&gt;"Valid",LEFT($AM864,7)="Invalid",IFERROR(ABS($AQ864)&gt;0.01,FALSE),IFERROR(ABS($AR864)&gt;0.01,FALSE),COUNTIF($AS864,"*Conflicting duplicate*")&gt;0,COUNTIF($AS864,"*Completed order not paid*")&gt;0),"Invalid",IF(OR($H864="Unknown",$N864="Unknown",$AM864="Missing discount imputed as 0"),"Warning","Clean"))</x:f>
        <x:v>Clean</x:v>
      </x:c>
      <x:c r="AF864" s="80" t="str">
        <x:v>Pass</x:v>
      </x:c>
      <x:c r="AG864" s="80" t="str">
        <x:v>No text cleanup required</x:v>
      </x:c>
      <x:c r="AH864" s="12" t="str">
        <x:f>IF(C864="","Missing date",IF(ISNUMBER(C864),"Valid","Unrecognized/invalid date"))</x:f>
        <x:v>Valid</x:v>
      </x:c>
      <x:c r="AI864" s="12" t="str">
        <x:f>IF(D864="","Missing date",IF(ISNUMBER(D864),"Valid","Unrecognized/invalid date"))</x:f>
        <x:v>Valid</x:v>
      </x:c>
      <x:c r="AJ864" s="12" t="str">
        <x:v>Valid</x:v>
      </x:c>
      <x:c r="AK864" s="12" t="str">
        <x:v>Pass</x:v>
      </x:c>
      <x:c r="AL864" s="12" t="str">
        <x:v>Cancelled order – excluded from completed sales</x:v>
      </x:c>
      <x:c r="AM864" s="12" t="str">
        <x:v>Valid</x:v>
      </x:c>
      <x:c r="AN864" s="12" t="str">
        <x:v>Exclude from completed sales</x:v>
      </x:c>
      <x:c r="AO864" s="12" t="str">
        <x:v>Not a refunded record</x:v>
      </x:c>
      <x:c r="AP864" s="37" t="n">
        <x:f>IF(LEFT($AM864,7)="Invalid","",IF($AM864="Missing discount imputed as 0",IF(AND(COUNT($O864,$P864,$R864,$S864)=4,$O864&gt;0,$P864&gt;=0,$R864&gt;=0,$S864&gt;=0),0,""),IF(AND(ISNUMBER($Q864),$Q864&gt;=0,$Q864&lt;=0.5),$Q864,"")))</x:f>
        <x:v>0</x:v>
      </x:c>
      <x:c r="AQ864" s="152" t="n">
        <x:f>IF(OR($W864="",NOT(ISNUMBER($R864))),"",ROUND($R864-$W864,2))</x:f>
        <x:v>0</x:v>
      </x:c>
      <x:c r="AR864" s="152" t="n">
        <x:f>IF(OR($X864="",NOT(ISNUMBER($T864))),"",ROUND($T864-$X864,2))</x:f>
        <x:v>0</x:v>
      </x:c>
      <x:c r="AS864" s="14" t="str">
        <x:v>OK</x:v>
      </x:c>
    </x:row>
    <x:row r="865">
      <x:c r="A865" s="80" t="n">
        <x:v>865</x:v>
      </x:c>
      <x:c r="B865" s="80" t="str">
        <x:v>ORD-2025-10864</x:v>
      </x:c>
      <x:c r="C865" s="81" t="n">
        <x:v>45906</x:v>
      </x:c>
      <x:c r="D865" s="81" t="n">
        <x:v>45908</x:v>
      </x:c>
      <x:c r="E865" s="80" t="str">
        <x:v>CUST-2200</x:v>
      </x:c>
      <x:c r="F865" s="80" t="str">
        <x:v>Aarav Sharma</x:v>
      </x:c>
      <x:c r="G865" s="80" t="str">
        <x:v>Home Office</x:v>
      </x:c>
      <x:c r="H865" s="80" t="str">
        <x:v>West</x:v>
      </x:c>
      <x:c r="I865" s="80" t="str">
        <x:v>Madhya Pradesh</x:v>
      </x:c>
      <x:c r="J865" s="80" t="str">
        <x:v>Indore</x:v>
      </x:c>
      <x:c r="K865" s="80" t="str">
        <x:v>Furniture</x:v>
      </x:c>
      <x:c r="L865" s="80" t="str">
        <x:v>Furnishings</x:v>
      </x:c>
      <x:c r="M865" s="80" t="str">
        <x:v>Prime Furnishings 679</x:v>
      </x:c>
      <x:c r="N865" s="80" t="str">
        <x:v>Same Day</x:v>
      </x:c>
      <x:c r="O865" s="82" t="n">
        <x:v>3</x:v>
      </x:c>
      <x:c r="P865" s="83" t="n">
        <x:v>2937.23</x:v>
      </x:c>
      <x:c r="Q865" s="84" t="n">
        <x:v>0</x:v>
      </x:c>
      <x:c r="R865" s="83" t="n">
        <x:v>8811.69</x:v>
      </x:c>
      <x:c r="S865" s="83" t="n">
        <x:v>6765.91</x:v>
      </x:c>
      <x:c r="T865" s="83" t="n">
        <x:v>2045.78</x:v>
      </x:c>
      <x:c r="U865" s="83" t="str">
        <x:v>Paid</x:v>
      </x:c>
      <x:c r="V865" s="83" t="str">
        <x:v>Completed</x:v>
      </x:c>
      <x:c r="W865" s="151" t="n">
        <x:f>IF(OR(NOT(ISNUMBER($AP865)),COUNT($O865,$P865)&lt;2,$O865&lt;=0,$P865&lt;0),"",ROUND($O865*$P865*(1-$AP865),2))</x:f>
        <x:v>8811.69</x:v>
      </x:c>
      <x:c r="X865" s="151" t="n">
        <x:f>IF(OR(NOT(ISNUMBER($W865)),NOT(ISNUMBER($S865))),"",ROUND($W865-$S865,2))</x:f>
        <x:v>2045.78</x:v>
      </x:c>
      <x:c r="Y865" s="85" t="n">
        <x:f>IF(OR(NOT(ISNUMBER($W865)),NOT(ISNUMBER($X865)),$W865=0),"",ROUND($X865/$W865,4))</x:f>
        <x:v>0.2322</x:v>
      </x:c>
      <x:c r="Z865" s="82" t="n">
        <x:f>IF(OR($AH865&lt;&gt;"Valid",$AI865&lt;&gt;"Valid"),"",INT($D865-$C865))</x:f>
        <x:v>2</x:v>
      </x:c>
      <x:c r="AA865" s="86" t="str">
        <x:f>IF($AH865&lt;&gt;"Valid","",TEXT($C865,"mmmm"))</x:f>
        <x:v>September</x:v>
      </x:c>
      <x:c r="AB865" s="82" t="n">
        <x:f>IF($AH865&lt;&gt;"Valid","",YEAR($C865))</x:f>
        <x:v>2025</x:v>
      </x:c>
      <x:c r="AC865" s="80" t="str">
        <x:v>Consistent</x:v>
      </x:c>
      <x:c r="AD865" s="80" t="str">
        <x:v>Eligible</x:v>
      </x:c>
      <x:c r="AE865" s="80" t="str">
        <x:f>IF(OR($AH865&lt;&gt;"Valid",$AI865&lt;&gt;"Valid",$AJ865&lt;&gt;"Valid",LEFT($AM865,7)="Invalid",IFERROR(ABS($AQ865)&gt;0.01,FALSE),IFERROR(ABS($AR865)&gt;0.01,FALSE),COUNTIF($AS865,"*Conflicting duplicate*")&gt;0,COUNTIF($AS865,"*Completed order not paid*")&gt;0),"Invalid",IF(OR($H865="Unknown",$N865="Unknown",$AM865="Missing discount imputed as 0"),"Warning","Clean"))</x:f>
        <x:v>Clean</x:v>
      </x:c>
      <x:c r="AF865" s="80" t="str">
        <x:v>Pass</x:v>
      </x:c>
      <x:c r="AG865" s="80" t="str">
        <x:v>No text cleanup required</x:v>
      </x:c>
      <x:c r="AH865" s="12" t="str">
        <x:f>IF(C865="","Missing date",IF(ISNUMBER(C865),"Valid","Unrecognized/invalid date"))</x:f>
        <x:v>Valid</x:v>
      </x:c>
      <x:c r="AI865" s="12" t="str">
        <x:f>IF(D865="","Missing date",IF(ISNUMBER(D865),"Valid","Unrecognized/invalid date"))</x:f>
        <x:v>Valid</x:v>
      </x:c>
      <x:c r="AJ865" s="12" t="str">
        <x:v>Valid</x:v>
      </x:c>
      <x:c r="AK865" s="12" t="str">
        <x:v>Pass</x:v>
      </x:c>
      <x:c r="AL865" s="12" t="str">
        <x:v>None</x:v>
      </x:c>
      <x:c r="AM865" s="12" t="str">
        <x:v>Valid</x:v>
      </x:c>
      <x:c r="AN865" s="12" t="str">
        <x:v>Include in completed sales</x:v>
      </x:c>
      <x:c r="AO865" s="12" t="str">
        <x:v>Not a refunded record</x:v>
      </x:c>
      <x:c r="AP865" s="37" t="n">
        <x:f>IF(LEFT($AM865,7)="Invalid","",IF($AM865="Missing discount imputed as 0",IF(AND(COUNT($O865,$P865,$R865,$S865)=4,$O865&gt;0,$P865&gt;=0,$R865&gt;=0,$S865&gt;=0),0,""),IF(AND(ISNUMBER($Q865),$Q865&gt;=0,$Q865&lt;=0.5),$Q865,"")))</x:f>
        <x:v>0</x:v>
      </x:c>
      <x:c r="AQ865" s="152" t="n">
        <x:f>IF(OR($W865="",NOT(ISNUMBER($R865))),"",ROUND($R865-$W865,2))</x:f>
        <x:v>0</x:v>
      </x:c>
      <x:c r="AR865" s="152" t="n">
        <x:f>IF(OR($X865="",NOT(ISNUMBER($T865))),"",ROUND($T865-$X865,2))</x:f>
        <x:v>0</x:v>
      </x:c>
      <x:c r="AS865" s="14" t="str">
        <x:v>OK</x:v>
      </x:c>
    </x:row>
    <x:row r="866">
      <x:c r="A866" s="80" t="n">
        <x:v>866</x:v>
      </x:c>
      <x:c r="B866" s="80" t="str">
        <x:v>ORD-2025-10865</x:v>
      </x:c>
      <x:c r="C866" s="81" t="n">
        <x:v>45902</x:v>
      </x:c>
      <x:c r="D866" s="81" t="n">
        <x:v>45905</x:v>
      </x:c>
      <x:c r="E866" s="80" t="str">
        <x:v>CUST-1178</x:v>
      </x:c>
      <x:c r="F866" s="80" t="str">
        <x:v>Vikram Iyer</x:v>
      </x:c>
      <x:c r="G866" s="80" t="str">
        <x:v>Consumer</x:v>
      </x:c>
      <x:c r="H866" s="80" t="str">
        <x:v>South</x:v>
      </x:c>
      <x:c r="I866" s="80" t="str">
        <x:v>Tamil Nadu</x:v>
      </x:c>
      <x:c r="J866" s="80" t="str">
        <x:v>Chennai</x:v>
      </x:c>
      <x:c r="K866" s="80" t="str">
        <x:v>Technology</x:v>
      </x:c>
      <x:c r="L866" s="80" t="str">
        <x:v>Phones</x:v>
      </x:c>
      <x:c r="M866" s="80" t="str">
        <x:v>Smart Phones 158</x:v>
      </x:c>
      <x:c r="N866" s="80" t="str">
        <x:v>First Class</x:v>
      </x:c>
      <x:c r="O866" s="82" t="n">
        <x:v>5</x:v>
      </x:c>
      <x:c r="P866" s="83" t="n">
        <x:v>3406.87</x:v>
      </x:c>
      <x:c r="Q866" s="84" t="n">
        <x:v>0</x:v>
      </x:c>
      <x:c r="R866" s="83" t="n">
        <x:v>17034.35</x:v>
      </x:c>
      <x:c r="S866" s="83" t="n">
        <x:v>14631.36</x:v>
      </x:c>
      <x:c r="T866" s="83" t="n">
        <x:v>2402.99</x:v>
      </x:c>
      <x:c r="U866" s="83" t="str">
        <x:v>Paid</x:v>
      </x:c>
      <x:c r="V866" s="83" t="str">
        <x:v>Completed</x:v>
      </x:c>
      <x:c r="W866" s="151" t="n">
        <x:f>IF(OR(NOT(ISNUMBER($AP866)),COUNT($O866,$P866)&lt;2,$O866&lt;=0,$P866&lt;0),"",ROUND($O866*$P866*(1-$AP866),2))</x:f>
        <x:v>17034.35</x:v>
      </x:c>
      <x:c r="X866" s="151" t="n">
        <x:f>IF(OR(NOT(ISNUMBER($W866)),NOT(ISNUMBER($S866))),"",ROUND($W866-$S866,2))</x:f>
        <x:v>2402.99</x:v>
      </x:c>
      <x:c r="Y866" s="85" t="n">
        <x:f>IF(OR(NOT(ISNUMBER($W866)),NOT(ISNUMBER($X866)),$W866=0),"",ROUND($X866/$W866,4))</x:f>
        <x:v>0.1411</x:v>
      </x:c>
      <x:c r="Z866" s="82" t="n">
        <x:f>IF(OR($AH866&lt;&gt;"Valid",$AI866&lt;&gt;"Valid"),"",INT($D866-$C866))</x:f>
        <x:v>3</x:v>
      </x:c>
      <x:c r="AA866" s="86" t="str">
        <x:f>IF($AH866&lt;&gt;"Valid","",TEXT($C866,"mmmm"))</x:f>
        <x:v>September</x:v>
      </x:c>
      <x:c r="AB866" s="82" t="n">
        <x:f>IF($AH866&lt;&gt;"Valid","",YEAR($C866))</x:f>
        <x:v>2025</x:v>
      </x:c>
      <x:c r="AC866" s="80" t="str">
        <x:v>Consistent</x:v>
      </x:c>
      <x:c r="AD866" s="80" t="str">
        <x:v>Eligible</x:v>
      </x:c>
      <x:c r="AE866" s="80" t="str">
        <x:f>IF(OR($AH866&lt;&gt;"Valid",$AI866&lt;&gt;"Valid",$AJ866&lt;&gt;"Valid",LEFT($AM866,7)="Invalid",IFERROR(ABS($AQ866)&gt;0.01,FALSE),IFERROR(ABS($AR866)&gt;0.01,FALSE),COUNTIF($AS866,"*Conflicting duplicate*")&gt;0,COUNTIF($AS866,"*Completed order not paid*")&gt;0),"Invalid",IF(OR($H866="Unknown",$N866="Unknown",$AM866="Missing discount imputed as 0"),"Warning","Clean"))</x:f>
        <x:v>Clean</x:v>
      </x:c>
      <x:c r="AF866" s="80" t="str">
        <x:v>Pass</x:v>
      </x:c>
      <x:c r="AG866" s="80" t="str">
        <x:v>No text cleanup required</x:v>
      </x:c>
      <x:c r="AH866" s="12" t="str">
        <x:f>IF(C866="","Missing date",IF(ISNUMBER(C866),"Valid","Unrecognized/invalid date"))</x:f>
        <x:v>Valid</x:v>
      </x:c>
      <x:c r="AI866" s="12" t="str">
        <x:f>IF(D866="","Missing date",IF(ISNUMBER(D866),"Valid","Unrecognized/invalid date"))</x:f>
        <x:v>Valid</x:v>
      </x:c>
      <x:c r="AJ866" s="12" t="str">
        <x:v>Valid</x:v>
      </x:c>
      <x:c r="AK866" s="12" t="str">
        <x:v>Pass</x:v>
      </x:c>
      <x:c r="AL866" s="12" t="str">
        <x:v>None</x:v>
      </x:c>
      <x:c r="AM866" s="12" t="str">
        <x:v>Valid</x:v>
      </x:c>
      <x:c r="AN866" s="12" t="str">
        <x:v>Include in completed sales</x:v>
      </x:c>
      <x:c r="AO866" s="12" t="str">
        <x:v>Not a refunded record</x:v>
      </x:c>
      <x:c r="AP866" s="37" t="n">
        <x:f>IF(LEFT($AM866,7)="Invalid","",IF($AM866="Missing discount imputed as 0",IF(AND(COUNT($O866,$P866,$R866,$S866)=4,$O866&gt;0,$P866&gt;=0,$R866&gt;=0,$S866&gt;=0),0,""),IF(AND(ISNUMBER($Q866),$Q866&gt;=0,$Q866&lt;=0.5),$Q866,"")))</x:f>
        <x:v>0</x:v>
      </x:c>
      <x:c r="AQ866" s="152" t="n">
        <x:f>IF(OR($W866="",NOT(ISNUMBER($R866))),"",ROUND($R866-$W866,2))</x:f>
        <x:v>0</x:v>
      </x:c>
      <x:c r="AR866" s="152" t="n">
        <x:f>IF(OR($X866="",NOT(ISNUMBER($T866))),"",ROUND($T866-$X866,2))</x:f>
        <x:v>0</x:v>
      </x:c>
      <x:c r="AS866" s="14" t="str">
        <x:v>OK</x:v>
      </x:c>
    </x:row>
    <x:row r="867">
      <x:c r="A867" s="80" t="n">
        <x:v>867</x:v>
      </x:c>
      <x:c r="B867" s="80" t="str">
        <x:v>ORD-2025-10866</x:v>
      </x:c>
      <x:c r="C867" s="81" t="n">
        <x:v>45694</x:v>
      </x:c>
      <x:c r="D867" s="81" t="n">
        <x:v>45702</x:v>
      </x:c>
      <x:c r="E867" s="80" t="str">
        <x:v>CUST-8099</x:v>
      </x:c>
      <x:c r="F867" s="80" t="str">
        <x:v>Kabir Singh</x:v>
      </x:c>
      <x:c r="G867" s="80" t="str">
        <x:v>Consumer</x:v>
      </x:c>
      <x:c r="H867" s="80" t="str">
        <x:v>West</x:v>
      </x:c>
      <x:c r="I867" s="80" t="str">
        <x:v>Maharashtra</x:v>
      </x:c>
      <x:c r="J867" s="80" t="str">
        <x:v>Mumbai</x:v>
      </x:c>
      <x:c r="K867" s="80" t="str">
        <x:v>Office Supplies</x:v>
      </x:c>
      <x:c r="L867" s="80" t="str">
        <x:v>Labels</x:v>
      </x:c>
      <x:c r="M867" s="80" t="str">
        <x:v>Classic Labels 218</x:v>
      </x:c>
      <x:c r="N867" s="80" t="str">
        <x:v>Second Class</x:v>
      </x:c>
      <x:c r="O867" s="82" t="n">
        <x:v>2</x:v>
      </x:c>
      <x:c r="P867" s="83" t="n">
        <x:v>3992.04</x:v>
      </x:c>
      <x:c r="Q867" s="84" t="n">
        <x:v>0</x:v>
      </x:c>
      <x:c r="R867" s="83" t="n">
        <x:v>7984.08</x:v>
      </x:c>
      <x:c r="S867" s="83" t="n">
        <x:v>5658.05</x:v>
      </x:c>
      <x:c r="T867" s="83" t="n">
        <x:v>2326.03</x:v>
      </x:c>
      <x:c r="U867" s="83" t="str">
        <x:v>Paid</x:v>
      </x:c>
      <x:c r="V867" s="83" t="str">
        <x:v>Completed</x:v>
      </x:c>
      <x:c r="W867" s="151" t="n">
        <x:f>IF(OR(NOT(ISNUMBER($AP867)),COUNT($O867,$P867)&lt;2,$O867&lt;=0,$P867&lt;0),"",ROUND($O867*$P867*(1-$AP867),2))</x:f>
        <x:v>7984.08</x:v>
      </x:c>
      <x:c r="X867" s="151" t="n">
        <x:f>IF(OR(NOT(ISNUMBER($W867)),NOT(ISNUMBER($S867))),"",ROUND($W867-$S867,2))</x:f>
        <x:v>2326.03</x:v>
      </x:c>
      <x:c r="Y867" s="85" t="n">
        <x:f>IF(OR(NOT(ISNUMBER($W867)),NOT(ISNUMBER($X867)),$W867=0),"",ROUND($X867/$W867,4))</x:f>
        <x:v>0.2913</x:v>
      </x:c>
      <x:c r="Z867" s="82" t="n">
        <x:f>IF(OR($AH867&lt;&gt;"Valid",$AI867&lt;&gt;"Valid"),"",INT($D867-$C867))</x:f>
        <x:v>8</x:v>
      </x:c>
      <x:c r="AA867" s="86" t="str">
        <x:f>IF($AH867&lt;&gt;"Valid","",TEXT($C867,"mmmm"))</x:f>
        <x:v>February</x:v>
      </x:c>
      <x:c r="AB867" s="82" t="n">
        <x:f>IF($AH867&lt;&gt;"Valid","",YEAR($C867))</x:f>
        <x:v>2025</x:v>
      </x:c>
      <x:c r="AC867" s="80" t="str">
        <x:v>Consistent</x:v>
      </x:c>
      <x:c r="AD867" s="80" t="str">
        <x:v>Eligible</x:v>
      </x:c>
      <x:c r="AE867" s="80" t="str">
        <x:f>IF(OR($AH867&lt;&gt;"Valid",$AI867&lt;&gt;"Valid",$AJ867&lt;&gt;"Valid",LEFT($AM867,7)="Invalid",IFERROR(ABS($AQ867)&gt;0.01,FALSE),IFERROR(ABS($AR867)&gt;0.01,FALSE),COUNTIF($AS867,"*Conflicting duplicate*")&gt;0,COUNTIF($AS867,"*Completed order not paid*")&gt;0),"Invalid",IF(OR($H867="Unknown",$N867="Unknown",$AM867="Missing discount imputed as 0"),"Warning","Clean"))</x:f>
        <x:v>Clean</x:v>
      </x:c>
      <x:c r="AF867" s="80" t="str">
        <x:v>Pass</x:v>
      </x:c>
      <x:c r="AG867" s="80" t="str">
        <x:v>No text cleanup required</x:v>
      </x:c>
      <x:c r="AH867" s="12" t="str">
        <x:f>IF(C867="","Missing date",IF(ISNUMBER(C867),"Valid","Unrecognized/invalid date"))</x:f>
        <x:v>Valid</x:v>
      </x:c>
      <x:c r="AI867" s="12" t="str">
        <x:f>IF(D867="","Missing date",IF(ISNUMBER(D867),"Valid","Unrecognized/invalid date"))</x:f>
        <x:v>Valid</x:v>
      </x:c>
      <x:c r="AJ867" s="12" t="str">
        <x:v>Valid</x:v>
      </x:c>
      <x:c r="AK867" s="12" t="str">
        <x:v>Pass</x:v>
      </x:c>
      <x:c r="AL867" s="12" t="str">
        <x:v>None</x:v>
      </x:c>
      <x:c r="AM867" s="12" t="str">
        <x:v>Valid</x:v>
      </x:c>
      <x:c r="AN867" s="12" t="str">
        <x:v>Include in completed sales</x:v>
      </x:c>
      <x:c r="AO867" s="12" t="str">
        <x:v>Not a refunded record</x:v>
      </x:c>
      <x:c r="AP867" s="37" t="n">
        <x:f>IF(LEFT($AM867,7)="Invalid","",IF($AM867="Missing discount imputed as 0",IF(AND(COUNT($O867,$P867,$R867,$S867)=4,$O867&gt;0,$P867&gt;=0,$R867&gt;=0,$S867&gt;=0),0,""),IF(AND(ISNUMBER($Q867),$Q867&gt;=0,$Q867&lt;=0.5),$Q867,"")))</x:f>
        <x:v>0</x:v>
      </x:c>
      <x:c r="AQ867" s="152" t="n">
        <x:f>IF(OR($W867="",NOT(ISNUMBER($R867))),"",ROUND($R867-$W867,2))</x:f>
        <x:v>0</x:v>
      </x:c>
      <x:c r="AR867" s="152" t="n">
        <x:f>IF(OR($X867="",NOT(ISNUMBER($T867))),"",ROUND($T867-$X867,2))</x:f>
        <x:v>0</x:v>
      </x:c>
      <x:c r="AS867" s="14" t="str">
        <x:v>OK</x:v>
      </x:c>
    </x:row>
    <x:row r="868">
      <x:c r="A868" s="80" t="n">
        <x:v>868</x:v>
      </x:c>
      <x:c r="B868" s="80" t="str">
        <x:v>ORD-2025-10867</x:v>
      </x:c>
      <x:c r="C868" s="81" t="n">
        <x:v>45714</x:v>
      </x:c>
      <x:c r="D868" s="81" t="n">
        <x:v>45722</x:v>
      </x:c>
      <x:c r="E868" s="80" t="str">
        <x:v>CUST-7596</x:v>
      </x:c>
      <x:c r="F868" s="80" t="str">
        <x:v>Priya Menon</x:v>
      </x:c>
      <x:c r="G868" s="80" t="str">
        <x:v>Consumer</x:v>
      </x:c>
      <x:c r="H868" s="80" t="str">
        <x:v>East</x:v>
      </x:c>
      <x:c r="I868" s="80" t="str">
        <x:v>Bihar</x:v>
      </x:c>
      <x:c r="J868" s="80" t="str">
        <x:v>Patna</x:v>
      </x:c>
      <x:c r="K868" s="80" t="str">
        <x:v>Furniture</x:v>
      </x:c>
      <x:c r="L868" s="80" t="str">
        <x:v>Bookcases</x:v>
      </x:c>
      <x:c r="M868" s="80" t="str">
        <x:v>Smart Bookcases 552</x:v>
      </x:c>
      <x:c r="N868" s="80" t="str">
        <x:v>First Class</x:v>
      </x:c>
      <x:c r="O868" s="82" t="n">
        <x:v>9</x:v>
      </x:c>
      <x:c r="P868" s="83" t="n">
        <x:v>3043.37</x:v>
      </x:c>
      <x:c r="Q868" s="84" t="n">
        <x:v>0.2</x:v>
      </x:c>
      <x:c r="R868" s="83" t="n">
        <x:v>21912.26</x:v>
      </x:c>
      <x:c r="S868" s="83" t="n">
        <x:v>16367.78</x:v>
      </x:c>
      <x:c r="T868" s="83" t="n">
        <x:v>5544.48</x:v>
      </x:c>
      <x:c r="U868" s="83" t="str">
        <x:v>Pending</x:v>
      </x:c>
      <x:c r="V868" s="83" t="str">
        <x:v>Cancelled</x:v>
      </x:c>
      <x:c r="W868" s="151" t="n">
        <x:f>IF(OR(NOT(ISNUMBER($AP868)),COUNT($O868,$P868)&lt;2,$O868&lt;=0,$P868&lt;0),"",ROUND($O868*$P868*(1-$AP868),2))</x:f>
        <x:v>21912.26</x:v>
      </x:c>
      <x:c r="X868" s="151" t="n">
        <x:f>IF(OR(NOT(ISNUMBER($W868)),NOT(ISNUMBER($S868))),"",ROUND($W868-$S868,2))</x:f>
        <x:v>5544.48</x:v>
      </x:c>
      <x:c r="Y868" s="85" t="n">
        <x:f>IF(OR(NOT(ISNUMBER($W868)),NOT(ISNUMBER($X868)),$W868=0),"",ROUND($X868/$W868,4))</x:f>
        <x:v>0.253</x:v>
      </x:c>
      <x:c r="Z868" s="82" t="n">
        <x:f>IF(OR($AH868&lt;&gt;"Valid",$AI868&lt;&gt;"Valid"),"",INT($D868-$C868))</x:f>
        <x:v>8</x:v>
      </x:c>
      <x:c r="AA868" s="86" t="str">
        <x:f>IF($AH868&lt;&gt;"Valid","",TEXT($C868,"mmmm"))</x:f>
        <x:v>February</x:v>
      </x:c>
      <x:c r="AB868" s="82" t="n">
        <x:f>IF($AH868&lt;&gt;"Valid","",YEAR($C868))</x:f>
        <x:v>2025</x:v>
      </x:c>
      <x:c r="AC868" s="80" t="str">
        <x:v>Cancelled (excluded from completed-sales summary)</x:v>
      </x:c>
      <x:c r="AD868" s="80" t="str">
        <x:v>Excluded</x:v>
      </x:c>
      <x:c r="AE868" s="80" t="str">
        <x:f>IF(OR($AH868&lt;&gt;"Valid",$AI868&lt;&gt;"Valid",$AJ868&lt;&gt;"Valid",LEFT($AM868,7)="Invalid",IFERROR(ABS($AQ868)&gt;0.01,FALSE),IFERROR(ABS($AR868)&gt;0.01,FALSE),COUNTIF($AS868,"*Conflicting duplicate*")&gt;0,COUNTIF($AS868,"*Completed order not paid*")&gt;0),"Invalid",IF(OR($H868="Unknown",$N868="Unknown",$AM868="Missing discount imputed as 0"),"Warning","Clean"))</x:f>
        <x:v>Clean</x:v>
      </x:c>
      <x:c r="AF868" s="80" t="str">
        <x:v>Pass</x:v>
      </x:c>
      <x:c r="AG868" s="80" t="str">
        <x:v>No text cleanup required</x:v>
      </x:c>
      <x:c r="AH868" s="12" t="str">
        <x:f>IF(C868="","Missing date",IF(ISNUMBER(C868),"Valid","Unrecognized/invalid date"))</x:f>
        <x:v>Valid</x:v>
      </x:c>
      <x:c r="AI868" s="12" t="str">
        <x:f>IF(D868="","Missing date",IF(ISNUMBER(D868),"Valid","Unrecognized/invalid date"))</x:f>
        <x:v>Valid</x:v>
      </x:c>
      <x:c r="AJ868" s="12" t="str">
        <x:v>Valid</x:v>
      </x:c>
      <x:c r="AK868" s="12" t="str">
        <x:v>Pass</x:v>
      </x:c>
      <x:c r="AL868" s="12" t="str">
        <x:v>Cancelled order – excluded from completed sales</x:v>
      </x:c>
      <x:c r="AM868" s="12" t="str">
        <x:v>Valid</x:v>
      </x:c>
      <x:c r="AN868" s="12" t="str">
        <x:v>Exclude from completed sales</x:v>
      </x:c>
      <x:c r="AO868" s="12" t="str">
        <x:v>Not a refunded record</x:v>
      </x:c>
      <x:c r="AP868" s="37" t="n">
        <x:f>IF(LEFT($AM868,7)="Invalid","",IF($AM868="Missing discount imputed as 0",IF(AND(COUNT($O868,$P868,$R868,$S868)=4,$O868&gt;0,$P868&gt;=0,$R868&gt;=0,$S868&gt;=0),0,""),IF(AND(ISNUMBER($Q868),$Q868&gt;=0,$Q868&lt;=0.5),$Q868,"")))</x:f>
        <x:v>0.2</x:v>
      </x:c>
      <x:c r="AQ868" s="152" t="n">
        <x:f>IF(OR($W868="",NOT(ISNUMBER($R868))),"",ROUND($R868-$W868,2))</x:f>
        <x:v>0</x:v>
      </x:c>
      <x:c r="AR868" s="152" t="n">
        <x:f>IF(OR($X868="",NOT(ISNUMBER($T868))),"",ROUND($T868-$X868,2))</x:f>
        <x:v>0</x:v>
      </x:c>
      <x:c r="AS868" s="14" t="str">
        <x:v>OK</x:v>
      </x:c>
    </x:row>
    <x:row r="869">
      <x:c r="A869" s="80" t="n">
        <x:v>869</x:v>
      </x:c>
      <x:c r="B869" s="80" t="str">
        <x:v>ORD-2024-10868</x:v>
      </x:c>
      <x:c r="C869" s="81" t="n">
        <x:v>45617</x:v>
      </x:c>
      <x:c r="D869" s="81" t="n">
        <x:v>45618</x:v>
      </x:c>
      <x:c r="E869" s="80" t="str">
        <x:v>CUST-2328</x:v>
      </x:c>
      <x:c r="F869" s="80" t="str">
        <x:v>Rahul Verma</x:v>
      </x:c>
      <x:c r="G869" s="80" t="str">
        <x:v>Home Office</x:v>
      </x:c>
      <x:c r="H869" s="80" t="str">
        <x:v>South</x:v>
      </x:c>
      <x:c r="I869" s="80" t="str">
        <x:v>Andhra Pradesh</x:v>
      </x:c>
      <x:c r="J869" s="80" t="str">
        <x:v>Vijayawada</x:v>
      </x:c>
      <x:c r="K869" s="80" t="str">
        <x:v>Technology</x:v>
      </x:c>
      <x:c r="L869" s="80" t="str">
        <x:v>Accessories</x:v>
      </x:c>
      <x:c r="M869" s="80" t="str">
        <x:v>Eco Accessories 389</x:v>
      </x:c>
      <x:c r="N869" s="80" t="str">
        <x:v>Same Day</x:v>
      </x:c>
      <x:c r="O869" s="82" t="n">
        <x:v>6</x:v>
      </x:c>
      <x:c r="P869" s="83" t="n">
        <x:v>1043.49</x:v>
      </x:c>
      <x:c r="Q869" s="84" t="n">
        <x:v>0.25</x:v>
      </x:c>
      <x:c r="R869" s="83" t="n">
        <x:v>4695.7</x:v>
      </x:c>
      <x:c r="S869" s="83" t="n">
        <x:v>3871.69</x:v>
      </x:c>
      <x:c r="T869" s="83" t="n">
        <x:v>824.01</x:v>
      </x:c>
      <x:c r="U869" s="83" t="str">
        <x:v>Failed</x:v>
      </x:c>
      <x:c r="V869" s="83" t="str">
        <x:v>Cancelled</x:v>
      </x:c>
      <x:c r="W869" s="151" t="n">
        <x:f>IF(OR(NOT(ISNUMBER($AP869)),COUNT($O869,$P869)&lt;2,$O869&lt;=0,$P869&lt;0),"",ROUND($O869*$P869*(1-$AP869),2))</x:f>
        <x:v>4695.71</x:v>
      </x:c>
      <x:c r="X869" s="151" t="n">
        <x:f>IF(OR(NOT(ISNUMBER($W869)),NOT(ISNUMBER($S869))),"",ROUND($W869-$S869,2))</x:f>
        <x:v>824.02</x:v>
      </x:c>
      <x:c r="Y869" s="85" t="n">
        <x:f>IF(OR(NOT(ISNUMBER($W869)),NOT(ISNUMBER($X869)),$W869=0),"",ROUND($X869/$W869,4))</x:f>
        <x:v>0.1755</x:v>
      </x:c>
      <x:c r="Z869" s="82" t="n">
        <x:f>IF(OR($AH869&lt;&gt;"Valid",$AI869&lt;&gt;"Valid"),"",INT($D869-$C869))</x:f>
        <x:v>1</x:v>
      </x:c>
      <x:c r="AA869" s="86" t="str">
        <x:f>IF($AH869&lt;&gt;"Valid","",TEXT($C869,"mmmm"))</x:f>
        <x:v>November</x:v>
      </x:c>
      <x:c r="AB869" s="82" t="n">
        <x:f>IF($AH869&lt;&gt;"Valid","",YEAR($C869))</x:f>
        <x:v>2024</x:v>
      </x:c>
      <x:c r="AC869" s="80" t="str">
        <x:v>Cancelled (excluded from completed-sales summary)</x:v>
      </x:c>
      <x:c r="AD869" s="80" t="str">
        <x:v>Excluded</x:v>
      </x:c>
      <x:c r="AE869" s="80" t="str">
        <x:f>IF(OR($AH869&lt;&gt;"Valid",$AI869&lt;&gt;"Valid",$AJ869&lt;&gt;"Valid",LEFT($AM869,7)="Invalid",IFERROR(ABS($AQ869)&gt;0.01,FALSE),IFERROR(ABS($AR869)&gt;0.01,FALSE),COUNTIF($AS869,"*Conflicting duplicate*")&gt;0,COUNTIF($AS869,"*Completed order not paid*")&gt;0),"Invalid",IF(OR($H869="Unknown",$N869="Unknown",$AM869="Missing discount imputed as 0"),"Warning","Clean"))</x:f>
        <x:v>Clean</x:v>
      </x:c>
      <x:c r="AF869" s="80" t="str">
        <x:v>Pass</x:v>
      </x:c>
      <x:c r="AG869" s="80" t="str">
        <x:v>No text cleanup required</x:v>
      </x:c>
      <x:c r="AH869" s="12" t="str">
        <x:f>IF(C869="","Missing date",IF(ISNUMBER(C869),"Valid","Unrecognized/invalid date"))</x:f>
        <x:v>Valid</x:v>
      </x:c>
      <x:c r="AI869" s="12" t="str">
        <x:f>IF(D869="","Missing date",IF(ISNUMBER(D869),"Valid","Unrecognized/invalid date"))</x:f>
        <x:v>Valid</x:v>
      </x:c>
      <x:c r="AJ869" s="12" t="str">
        <x:v>Valid</x:v>
      </x:c>
      <x:c r="AK869" s="12" t="str">
        <x:v>Pass</x:v>
      </x:c>
      <x:c r="AL869" s="12" t="str">
        <x:v>Cancelled order – excluded from completed sales; Failed payment – excluded from completed sales</x:v>
      </x:c>
      <x:c r="AM869" s="12" t="str">
        <x:v>Valid</x:v>
      </x:c>
      <x:c r="AN869" s="12" t="str">
        <x:v>Exclude from completed sales</x:v>
      </x:c>
      <x:c r="AO869" s="12" t="str">
        <x:v>Not a refunded record</x:v>
      </x:c>
      <x:c r="AP869" s="37" t="n">
        <x:f>IF(LEFT($AM869,7)="Invalid","",IF($AM869="Missing discount imputed as 0",IF(AND(COUNT($O869,$P869,$R869,$S869)=4,$O869&gt;0,$P869&gt;=0,$R869&gt;=0,$S869&gt;=0),0,""),IF(AND(ISNUMBER($Q869),$Q869&gt;=0,$Q869&lt;=0.5),$Q869,"")))</x:f>
        <x:v>0.25</x:v>
      </x:c>
      <x:c r="AQ869" s="152" t="n">
        <x:f>IF(OR($W869="",NOT(ISNUMBER($R869))),"",ROUND($R869-$W869,2))</x:f>
        <x:v>-0.01</x:v>
      </x:c>
      <x:c r="AR869" s="152" t="n">
        <x:f>IF(OR($X869="",NOT(ISNUMBER($T869))),"",ROUND($T869-$X869,2))</x:f>
        <x:v>-0.01</x:v>
      </x:c>
      <x:c r="AS869" s="14" t="str">
        <x:v>OK</x:v>
      </x:c>
    </x:row>
    <x:row r="870">
      <x:c r="A870" s="80" t="n">
        <x:v>870</x:v>
      </x:c>
      <x:c r="B870" s="80" t="str">
        <x:v>ORD-2025-10869</x:v>
      </x:c>
      <x:c r="C870" s="81" t="n">
        <x:v>45758</x:v>
      </x:c>
      <x:c r="D870" s="81" t="n">
        <x:v>45762</x:v>
      </x:c>
      <x:c r="E870" s="80" t="str">
        <x:v>CUST-8483</x:v>
      </x:c>
      <x:c r="F870" s="80" t="str">
        <x:v>Vikram Iyer</x:v>
      </x:c>
      <x:c r="G870" s="80" t="str">
        <x:v>Home Office</x:v>
      </x:c>
      <x:c r="H870" s="80" t="str">
        <x:v>South</x:v>
      </x:c>
      <x:c r="I870" s="80" t="str">
        <x:v>Karnataka</x:v>
      </x:c>
      <x:c r="J870" s="80" t="str">
        <x:v>Bengaluru</x:v>
      </x:c>
      <x:c r="K870" s="80" t="str">
        <x:v>Office Supplies</x:v>
      </x:c>
      <x:c r="L870" s="80" t="str">
        <x:v>Storage</x:v>
      </x:c>
      <x:c r="M870" s="80" t="str">
        <x:v>Elite Storage 187</x:v>
      </x:c>
      <x:c r="N870" s="80" t="str">
        <x:v>Same Day</x:v>
      </x:c>
      <x:c r="O870" s="82" t="n">
        <x:v>9</x:v>
      </x:c>
      <x:c r="P870" s="83" t="n">
        <x:v>224.94</x:v>
      </x:c>
      <x:c r="Q870" s="84" t="n">
        <x:v>0.05</x:v>
      </x:c>
      <x:c r="R870" s="83" t="n">
        <x:v>1923.24</x:v>
      </x:c>
      <x:c r="S870" s="83" t="n">
        <x:v>1093.66</x:v>
      </x:c>
      <x:c r="T870" s="83" t="n">
        <x:v>829.58</x:v>
      </x:c>
      <x:c r="U870" s="83" t="str">
        <x:v>Paid</x:v>
      </x:c>
      <x:c r="V870" s="83" t="str">
        <x:v>Completed</x:v>
      </x:c>
      <x:c r="W870" s="151" t="n">
        <x:f>IF(OR(NOT(ISNUMBER($AP870)),COUNT($O870,$P870)&lt;2,$O870&lt;=0,$P870&lt;0),"",ROUND($O870*$P870*(1-$AP870),2))</x:f>
        <x:v>1923.24</x:v>
      </x:c>
      <x:c r="X870" s="151" t="n">
        <x:f>IF(OR(NOT(ISNUMBER($W870)),NOT(ISNUMBER($S870))),"",ROUND($W870-$S870,2))</x:f>
        <x:v>829.58</x:v>
      </x:c>
      <x:c r="Y870" s="85" t="n">
        <x:f>IF(OR(NOT(ISNUMBER($W870)),NOT(ISNUMBER($X870)),$W870=0),"",ROUND($X870/$W870,4))</x:f>
        <x:v>0.4313</x:v>
      </x:c>
      <x:c r="Z870" s="82" t="n">
        <x:f>IF(OR($AH870&lt;&gt;"Valid",$AI870&lt;&gt;"Valid"),"",INT($D870-$C870))</x:f>
        <x:v>4</x:v>
      </x:c>
      <x:c r="AA870" s="86" t="str">
        <x:f>IF($AH870&lt;&gt;"Valid","",TEXT($C870,"mmmm"))</x:f>
        <x:v>April</x:v>
      </x:c>
      <x:c r="AB870" s="82" t="n">
        <x:f>IF($AH870&lt;&gt;"Valid","",YEAR($C870))</x:f>
        <x:v>2025</x:v>
      </x:c>
      <x:c r="AC870" s="80" t="str">
        <x:v>Consistent</x:v>
      </x:c>
      <x:c r="AD870" s="80" t="str">
        <x:v>Eligible</x:v>
      </x:c>
      <x:c r="AE870" s="80" t="str">
        <x:f>IF(OR($AH870&lt;&gt;"Valid",$AI870&lt;&gt;"Valid",$AJ870&lt;&gt;"Valid",LEFT($AM870,7)="Invalid",IFERROR(ABS($AQ870)&gt;0.01,FALSE),IFERROR(ABS($AR870)&gt;0.01,FALSE),COUNTIF($AS870,"*Conflicting duplicate*")&gt;0,COUNTIF($AS870,"*Completed order not paid*")&gt;0),"Invalid",IF(OR($H870="Unknown",$N870="Unknown",$AM870="Missing discount imputed as 0"),"Warning","Clean"))</x:f>
        <x:v>Clean</x:v>
      </x:c>
      <x:c r="AF870" s="80" t="str">
        <x:v>Pass</x:v>
      </x:c>
      <x:c r="AG870" s="80" t="str">
        <x:v>No text cleanup required</x:v>
      </x:c>
      <x:c r="AH870" s="12" t="str">
        <x:f>IF(C870="","Missing date",IF(ISNUMBER(C870),"Valid","Unrecognized/invalid date"))</x:f>
        <x:v>Valid</x:v>
      </x:c>
      <x:c r="AI870" s="12" t="str">
        <x:f>IF(D870="","Missing date",IF(ISNUMBER(D870),"Valid","Unrecognized/invalid date"))</x:f>
        <x:v>Valid</x:v>
      </x:c>
      <x:c r="AJ870" s="12" t="str">
        <x:v>Valid</x:v>
      </x:c>
      <x:c r="AK870" s="12" t="str">
        <x:v>Pass</x:v>
      </x:c>
      <x:c r="AL870" s="12" t="str">
        <x:v>None</x:v>
      </x:c>
      <x:c r="AM870" s="12" t="str">
        <x:v>Valid</x:v>
      </x:c>
      <x:c r="AN870" s="12" t="str">
        <x:v>Include in completed sales</x:v>
      </x:c>
      <x:c r="AO870" s="12" t="str">
        <x:v>Not a refunded record</x:v>
      </x:c>
      <x:c r="AP870" s="37" t="n">
        <x:f>IF(LEFT($AM870,7)="Invalid","",IF($AM870="Missing discount imputed as 0",IF(AND(COUNT($O870,$P870,$R870,$S870)=4,$O870&gt;0,$P870&gt;=0,$R870&gt;=0,$S870&gt;=0),0,""),IF(AND(ISNUMBER($Q870),$Q870&gt;=0,$Q870&lt;=0.5),$Q870,"")))</x:f>
        <x:v>0.05</x:v>
      </x:c>
      <x:c r="AQ870" s="152" t="n">
        <x:f>IF(OR($W870="",NOT(ISNUMBER($R870))),"",ROUND($R870-$W870,2))</x:f>
        <x:v>0</x:v>
      </x:c>
      <x:c r="AR870" s="152" t="n">
        <x:f>IF(OR($X870="",NOT(ISNUMBER($T870))),"",ROUND($T870-$X870,2))</x:f>
        <x:v>0</x:v>
      </x:c>
      <x:c r="AS870" s="14" t="str">
        <x:v>OK</x:v>
      </x:c>
    </x:row>
    <x:row r="871">
      <x:c r="A871" s="80" t="n">
        <x:v>871</x:v>
      </x:c>
      <x:c r="B871" s="80" t="str">
        <x:v>ORD-2025-10870</x:v>
      </x:c>
      <x:c r="C871" s="81" t="n">
        <x:v>45722</x:v>
      </x:c>
      <x:c r="D871" s="81" t="n">
        <x:v>45723</x:v>
      </x:c>
      <x:c r="E871" s="80" t="str">
        <x:v>CUST-2388</x:v>
      </x:c>
      <x:c r="F871" s="80" t="str">
        <x:v>Rohan Mehta</x:v>
      </x:c>
      <x:c r="G871" s="80" t="str">
        <x:v>Home Office</x:v>
      </x:c>
      <x:c r="H871" s="80" t="str">
        <x:v>Unknown</x:v>
      </x:c>
      <x:c r="I871" s="80" t="str">
        <x:v>Delhi</x:v>
      </x:c>
      <x:c r="J871" s="80" t="str">
        <x:v>New Delhi</x:v>
      </x:c>
      <x:c r="K871" s="80" t="str">
        <x:v>Furniture</x:v>
      </x:c>
      <x:c r="L871" s="80" t="str">
        <x:v>Chairs</x:v>
      </x:c>
      <x:c r="M871" s="80" t="str">
        <x:v>Max Chairs 487</x:v>
      </x:c>
      <x:c r="N871" s="80" t="str">
        <x:v>Same Day</x:v>
      </x:c>
      <x:c r="O871" s="82" t="n">
        <x:v>6</x:v>
      </x:c>
      <x:c r="P871" s="83" t="n">
        <x:v>796.65</x:v>
      </x:c>
      <x:c r="Q871" s="84" t="n">
        <x:v>0.1</x:v>
      </x:c>
      <x:c r="R871" s="83" t="n">
        <x:v>4301.91</x:v>
      </x:c>
      <x:c r="S871" s="83" t="n">
        <x:v>2374.4</x:v>
      </x:c>
      <x:c r="T871" s="83" t="n">
        <x:v>1927.51</x:v>
      </x:c>
      <x:c r="U871" s="83" t="str">
        <x:v>Paid</x:v>
      </x:c>
      <x:c r="V871" s="83" t="str">
        <x:v>Completed</x:v>
      </x:c>
      <x:c r="W871" s="151" t="n">
        <x:f>IF(OR(NOT(ISNUMBER($AP871)),COUNT($O871,$P871)&lt;2,$O871&lt;=0,$P871&lt;0),"",ROUND($O871*$P871*(1-$AP871),2))</x:f>
        <x:v>4301.91</x:v>
      </x:c>
      <x:c r="X871" s="151" t="n">
        <x:f>IF(OR(NOT(ISNUMBER($W871)),NOT(ISNUMBER($S871))),"",ROUND($W871-$S871,2))</x:f>
        <x:v>1927.51</x:v>
      </x:c>
      <x:c r="Y871" s="85" t="n">
        <x:f>IF(OR(NOT(ISNUMBER($W871)),NOT(ISNUMBER($X871)),$W871=0),"",ROUND($X871/$W871,4))</x:f>
        <x:v>0.4481</x:v>
      </x:c>
      <x:c r="Z871" s="82" t="n">
        <x:f>IF(OR($AH871&lt;&gt;"Valid",$AI871&lt;&gt;"Valid"),"",INT($D871-$C871))</x:f>
        <x:v>1</x:v>
      </x:c>
      <x:c r="AA871" s="86" t="str">
        <x:f>IF($AH871&lt;&gt;"Valid","",TEXT($C871,"mmmm"))</x:f>
        <x:v>March</x:v>
      </x:c>
      <x:c r="AB871" s="82" t="n">
        <x:f>IF($AH871&lt;&gt;"Valid","",YEAR($C871))</x:f>
        <x:v>2025</x:v>
      </x:c>
      <x:c r="AC871" s="80" t="str">
        <x:v>Consistent</x:v>
      </x:c>
      <x:c r="AD871" s="80" t="str">
        <x:v>Eligible</x:v>
      </x:c>
      <x:c r="AE871" s="80" t="str">
        <x:f>IF(OR($AH871&lt;&gt;"Valid",$AI871&lt;&gt;"Valid",$AJ871&lt;&gt;"Valid",LEFT($AM871,7)="Invalid",IFERROR(ABS($AQ871)&gt;0.01,FALSE),IFERROR(ABS($AR871)&gt;0.01,FALSE),COUNTIF($AS871,"*Conflicting duplicate*")&gt;0,COUNTIF($AS871,"*Completed order not paid*")&gt;0),"Invalid",IF(OR($H871="Unknown",$N871="Unknown",$AM871="Missing discount imputed as 0"),"Warning","Clean"))</x:f>
        <x:v>Warning</x:v>
      </x:c>
      <x:c r="AF871" s="80" t="str">
        <x:v>Cleaned</x:v>
      </x:c>
      <x:c r="AG871" s="80" t="str">
        <x:v>region: Missing value filled as Unknown</x:v>
      </x:c>
      <x:c r="AH871" s="12" t="str">
        <x:f>IF(C871="","Missing date",IF(ISNUMBER(C871),"Valid","Unrecognized/invalid date"))</x:f>
        <x:v>Valid</x:v>
      </x:c>
      <x:c r="AI871" s="12" t="str">
        <x:f>IF(D871="","Missing date",IF(ISNUMBER(D871),"Valid","Unrecognized/invalid date"))</x:f>
        <x:v>Valid</x:v>
      </x:c>
      <x:c r="AJ871" s="12" t="str">
        <x:v>Valid</x:v>
      </x:c>
      <x:c r="AK871" s="12" t="str">
        <x:v>Pass</x:v>
      </x:c>
      <x:c r="AL871" s="12" t="str">
        <x:v>Missing region filled as Unknown</x:v>
      </x:c>
      <x:c r="AM871" s="12" t="str">
        <x:v>Valid</x:v>
      </x:c>
      <x:c r="AN871" s="12" t="str">
        <x:v>Include in completed sales</x:v>
      </x:c>
      <x:c r="AO871" s="12" t="str">
        <x:v>Not a refunded record</x:v>
      </x:c>
      <x:c r="AP871" s="37" t="n">
        <x:f>IF(LEFT($AM871,7)="Invalid","",IF($AM871="Missing discount imputed as 0",IF(AND(COUNT($O871,$P871,$R871,$S871)=4,$O871&gt;0,$P871&gt;=0,$R871&gt;=0,$S871&gt;=0),0,""),IF(AND(ISNUMBER($Q871),$Q871&gt;=0,$Q871&lt;=0.5),$Q871,"")))</x:f>
        <x:v>0.1</x:v>
      </x:c>
      <x:c r="AQ871" s="152" t="n">
        <x:f>IF(OR($W871="",NOT(ISNUMBER($R871))),"",ROUND($R871-$W871,2))</x:f>
        <x:v>0</x:v>
      </x:c>
      <x:c r="AR871" s="152" t="n">
        <x:f>IF(OR($X871="",NOT(ISNUMBER($T871))),"",ROUND($T871-$X871,2))</x:f>
        <x:v>0</x:v>
      </x:c>
      <x:c r="AS871" s="14" t="str">
        <x:v>OK</x:v>
      </x:c>
    </x:row>
    <x:row r="872">
      <x:c r="A872" s="80" t="n">
        <x:v>872</x:v>
      </x:c>
      <x:c r="B872" s="80" t="str">
        <x:v>ORD-2025-10871</x:v>
      </x:c>
      <x:c r="C872" s="81" t="n">
        <x:v>45814</x:v>
      </x:c>
      <x:c r="D872" s="81" t="n">
        <x:v>45815</x:v>
      </x:c>
      <x:c r="E872" s="80" t="str">
        <x:v>CUST-7054</x:v>
      </x:c>
      <x:c r="F872" s="80" t="str">
        <x:v>Vikram Iyer</x:v>
      </x:c>
      <x:c r="G872" s="80" t="str">
        <x:v>Corporate</x:v>
      </x:c>
      <x:c r="H872" s="80" t="str">
        <x:v>West</x:v>
      </x:c>
      <x:c r="I872" s="80" t="str">
        <x:v>Goa</x:v>
      </x:c>
      <x:c r="J872" s="80" t="str">
        <x:v>Panaji</x:v>
      </x:c>
      <x:c r="K872" s="80" t="str">
        <x:v>Furniture</x:v>
      </x:c>
      <x:c r="L872" s="80" t="str">
        <x:v>Tables</x:v>
      </x:c>
      <x:c r="M872" s="80" t="str">
        <x:v>Max Tables 281</x:v>
      </x:c>
      <x:c r="N872" s="80" t="str">
        <x:v>Standard Class</x:v>
      </x:c>
      <x:c r="O872" s="82" t="n">
        <x:v>9</x:v>
      </x:c>
      <x:c r="P872" s="83" t="n">
        <x:v>2932.92</x:v>
      </x:c>
      <x:c r="Q872" s="84" t="n">
        <x:v>0.15</x:v>
      </x:c>
      <x:c r="R872" s="83" t="n">
        <x:v>22436.84</x:v>
      </x:c>
      <x:c r="S872" s="83" t="n">
        <x:v>17454.67</x:v>
      </x:c>
      <x:c r="T872" s="83" t="n">
        <x:v>4982.17</x:v>
      </x:c>
      <x:c r="U872" s="83" t="str">
        <x:v>Paid</x:v>
      </x:c>
      <x:c r="V872" s="83" t="str">
        <x:v>Cancelled</x:v>
      </x:c>
      <x:c r="W872" s="151" t="n">
        <x:f>IF(OR(NOT(ISNUMBER($AP872)),COUNT($O872,$P872)&lt;2,$O872&lt;=0,$P872&lt;0),"",ROUND($O872*$P872*(1-$AP872),2))</x:f>
        <x:v>22436.84</x:v>
      </x:c>
      <x:c r="X872" s="151" t="n">
        <x:f>IF(OR(NOT(ISNUMBER($W872)),NOT(ISNUMBER($S872))),"",ROUND($W872-$S872,2))</x:f>
        <x:v>4982.17</x:v>
      </x:c>
      <x:c r="Y872" s="85" t="n">
        <x:f>IF(OR(NOT(ISNUMBER($W872)),NOT(ISNUMBER($X872)),$W872=0),"",ROUND($X872/$W872,4))</x:f>
        <x:v>0.2221</x:v>
      </x:c>
      <x:c r="Z872" s="82" t="n">
        <x:f>IF(OR($AH872&lt;&gt;"Valid",$AI872&lt;&gt;"Valid"),"",INT($D872-$C872))</x:f>
        <x:v>1</x:v>
      </x:c>
      <x:c r="AA872" s="86" t="str">
        <x:f>IF($AH872&lt;&gt;"Valid","",TEXT($C872,"mmmm"))</x:f>
        <x:v>June</x:v>
      </x:c>
      <x:c r="AB872" s="82" t="n">
        <x:f>IF($AH872&lt;&gt;"Valid","",YEAR($C872))</x:f>
        <x:v>2025</x:v>
      </x:c>
      <x:c r="AC872" s="80" t="str">
        <x:v>Cancelled (excluded from completed-sales summary)</x:v>
      </x:c>
      <x:c r="AD872" s="80" t="str">
        <x:v>Excluded</x:v>
      </x:c>
      <x:c r="AE872" s="80" t="str">
        <x:f>IF(OR($AH872&lt;&gt;"Valid",$AI872&lt;&gt;"Valid",$AJ872&lt;&gt;"Valid",LEFT($AM872,7)="Invalid",IFERROR(ABS($AQ872)&gt;0.01,FALSE),IFERROR(ABS($AR872)&gt;0.01,FALSE),COUNTIF($AS872,"*Conflicting duplicate*")&gt;0,COUNTIF($AS872,"*Completed order not paid*")&gt;0),"Invalid",IF(OR($H872="Unknown",$N872="Unknown",$AM872="Missing discount imputed as 0"),"Warning","Clean"))</x:f>
        <x:v>Clean</x:v>
      </x:c>
      <x:c r="AF872" s="80" t="str">
        <x:v>Pass</x:v>
      </x:c>
      <x:c r="AG872" s="80" t="str">
        <x:v>No text cleanup required</x:v>
      </x:c>
      <x:c r="AH872" s="12" t="str">
        <x:f>IF(C872="","Missing date",IF(ISNUMBER(C872),"Valid","Unrecognized/invalid date"))</x:f>
        <x:v>Valid</x:v>
      </x:c>
      <x:c r="AI872" s="12" t="str">
        <x:f>IF(D872="","Missing date",IF(ISNUMBER(D872),"Valid","Unrecognized/invalid date"))</x:f>
        <x:v>Valid</x:v>
      </x:c>
      <x:c r="AJ872" s="12" t="str">
        <x:v>Valid</x:v>
      </x:c>
      <x:c r="AK872" s="12" t="str">
        <x:v>Pass</x:v>
      </x:c>
      <x:c r="AL872" s="12" t="str">
        <x:v>Cancelled order – excluded from completed sales</x:v>
      </x:c>
      <x:c r="AM872" s="12" t="str">
        <x:v>Valid</x:v>
      </x:c>
      <x:c r="AN872" s="12" t="str">
        <x:v>Exclude from completed sales</x:v>
      </x:c>
      <x:c r="AO872" s="12" t="str">
        <x:v>Not a refunded record</x:v>
      </x:c>
      <x:c r="AP872" s="37" t="n">
        <x:f>IF(LEFT($AM872,7)="Invalid","",IF($AM872="Missing discount imputed as 0",IF(AND(COUNT($O872,$P872,$R872,$S872)=4,$O872&gt;0,$P872&gt;=0,$R872&gt;=0,$S872&gt;=0),0,""),IF(AND(ISNUMBER($Q872),$Q872&gt;=0,$Q872&lt;=0.5),$Q872,"")))</x:f>
        <x:v>0.15</x:v>
      </x:c>
      <x:c r="AQ872" s="152" t="n">
        <x:f>IF(OR($W872="",NOT(ISNUMBER($R872))),"",ROUND($R872-$W872,2))</x:f>
        <x:v>0</x:v>
      </x:c>
      <x:c r="AR872" s="152" t="n">
        <x:f>IF(OR($X872="",NOT(ISNUMBER($T872))),"",ROUND($T872-$X872,2))</x:f>
        <x:v>0</x:v>
      </x:c>
      <x:c r="AS872" s="14" t="str">
        <x:v>OK</x:v>
      </x:c>
    </x:row>
    <x:row r="873">
      <x:c r="A873" s="80" t="n">
        <x:v>873</x:v>
      </x:c>
      <x:c r="B873" s="80" t="str">
        <x:v>ORD-2024-10872</x:v>
      </x:c>
      <x:c r="C873" s="81" t="n">
        <x:v>45342</x:v>
      </x:c>
      <x:c r="D873" s="81" t="n">
        <x:v>45344</x:v>
      </x:c>
      <x:c r="E873" s="80" t="str">
        <x:v>CUST-4375</x:v>
      </x:c>
      <x:c r="F873" s="80" t="str">
        <x:v>Neha Gupta</x:v>
      </x:c>
      <x:c r="G873" s="80" t="str">
        <x:v>Small Business</x:v>
      </x:c>
      <x:c r="H873" s="80" t="str">
        <x:v>South</x:v>
      </x:c>
      <x:c r="I873" s="80" t="str">
        <x:v>Telangana</x:v>
      </x:c>
      <x:c r="J873" s="80" t="str">
        <x:v>Hyderabad</x:v>
      </x:c>
      <x:c r="K873" s="80" t="str">
        <x:v>Technology</x:v>
      </x:c>
      <x:c r="L873" s="80" t="str">
        <x:v>Accessories</x:v>
      </x:c>
      <x:c r="M873" s="80" t="str">
        <x:v>Pro Accessories 325</x:v>
      </x:c>
      <x:c r="N873" s="80" t="str">
        <x:v>First Class</x:v>
      </x:c>
      <x:c r="O873" s="82" t="n">
        <x:v>9</x:v>
      </x:c>
      <x:c r="P873" s="83" t="n">
        <x:v>2186.23</x:v>
      </x:c>
      <x:c r="Q873" s="84" t="n">
        <x:v>0</x:v>
      </x:c>
      <x:c r="R873" s="83" t="n">
        <x:v>19676.07</x:v>
      </x:c>
      <x:c r="S873" s="83" t="n">
        <x:v>12458.62</x:v>
      </x:c>
      <x:c r="T873" s="83" t="n">
        <x:v>7217.45</x:v>
      </x:c>
      <x:c r="U873" s="83" t="str">
        <x:v>Refunded</x:v>
      </x:c>
      <x:c r="V873" s="83" t="str">
        <x:v>Cancelled</x:v>
      </x:c>
      <x:c r="W873" s="151" t="n">
        <x:f>IF(OR(NOT(ISNUMBER($AP873)),COUNT($O873,$P873)&lt;2,$O873&lt;=0,$P873&lt;0),"",ROUND($O873*$P873*(1-$AP873),2))</x:f>
        <x:v>19676.07</x:v>
      </x:c>
      <x:c r="X873" s="151" t="n">
        <x:f>IF(OR(NOT(ISNUMBER($W873)),NOT(ISNUMBER($S873))),"",ROUND($W873-$S873,2))</x:f>
        <x:v>7217.45</x:v>
      </x:c>
      <x:c r="Y873" s="85" t="n">
        <x:f>IF(OR(NOT(ISNUMBER($W873)),NOT(ISNUMBER($X873)),$W873=0),"",ROUND($X873/$W873,4))</x:f>
        <x:v>0.3668</x:v>
      </x:c>
      <x:c r="Z873" s="82" t="n">
        <x:f>IF(OR($AH873&lt;&gt;"Valid",$AI873&lt;&gt;"Valid"),"",INT($D873-$C873))</x:f>
        <x:v>2</x:v>
      </x:c>
      <x:c r="AA873" s="86" t="str">
        <x:f>IF($AH873&lt;&gt;"Valid","",TEXT($C873,"mmmm"))</x:f>
        <x:v>February</x:v>
      </x:c>
      <x:c r="AB873" s="82" t="n">
        <x:f>IF($AH873&lt;&gt;"Valid","",YEAR($C873))</x:f>
        <x:v>2024</x:v>
      </x:c>
      <x:c r="AC873" s="80" t="str">
        <x:v>Cancelled (excluded from completed-sales summary)</x:v>
      </x:c>
      <x:c r="AD873" s="80" t="str">
        <x:v>Excluded</x:v>
      </x:c>
      <x:c r="AE873" s="80" t="str">
        <x:f>IF(OR($AH873&lt;&gt;"Valid",$AI873&lt;&gt;"Valid",$AJ873&lt;&gt;"Valid",LEFT($AM873,7)="Invalid",IFERROR(ABS($AQ873)&gt;0.01,FALSE),IFERROR(ABS($AR873)&gt;0.01,FALSE),COUNTIF($AS873,"*Conflicting duplicate*")&gt;0,COUNTIF($AS873,"*Completed order not paid*")&gt;0),"Invalid",IF(OR($H873="Unknown",$N873="Unknown",$AM873="Missing discount imputed as 0"),"Warning","Clean"))</x:f>
        <x:v>Clean</x:v>
      </x:c>
      <x:c r="AF873" s="80" t="str">
        <x:v>Pass</x:v>
      </x:c>
      <x:c r="AG873" s="80" t="str">
        <x:v>No text cleanup required</x:v>
      </x:c>
      <x:c r="AH873" s="12" t="str">
        <x:f>IF(C873="","Missing date",IF(ISNUMBER(C873),"Valid","Unrecognized/invalid date"))</x:f>
        <x:v>Valid</x:v>
      </x:c>
      <x:c r="AI873" s="12" t="str">
        <x:f>IF(D873="","Missing date",IF(ISNUMBER(D873),"Valid","Unrecognized/invalid date"))</x:f>
        <x:v>Valid</x:v>
      </x:c>
      <x:c r="AJ873" s="12" t="str">
        <x:v>Valid</x:v>
      </x:c>
      <x:c r="AK873" s="12" t="str">
        <x:v>Pass</x:v>
      </x:c>
      <x:c r="AL873" s="12" t="str">
        <x:v>Cancelled order – excluded from completed sales; Refunded payment – separately summarized</x:v>
      </x:c>
      <x:c r="AM873" s="12" t="str">
        <x:v>Valid</x:v>
      </x:c>
      <x:c r="AN873" s="12" t="str">
        <x:v>Exclude from completed sales</x:v>
      </x:c>
      <x:c r="AO873" s="12" t="str">
        <x:v>Include in refunded summary</x:v>
      </x:c>
      <x:c r="AP873" s="37" t="n">
        <x:f>IF(LEFT($AM873,7)="Invalid","",IF($AM873="Missing discount imputed as 0",IF(AND(COUNT($O873,$P873,$R873,$S873)=4,$O873&gt;0,$P873&gt;=0,$R873&gt;=0,$S873&gt;=0),0,""),IF(AND(ISNUMBER($Q873),$Q873&gt;=0,$Q873&lt;=0.5),$Q873,"")))</x:f>
        <x:v>0</x:v>
      </x:c>
      <x:c r="AQ873" s="152" t="n">
        <x:f>IF(OR($W873="",NOT(ISNUMBER($R873))),"",ROUND($R873-$W873,2))</x:f>
        <x:v>0</x:v>
      </x:c>
      <x:c r="AR873" s="152" t="n">
        <x:f>IF(OR($X873="",NOT(ISNUMBER($T873))),"",ROUND($T873-$X873,2))</x:f>
        <x:v>0</x:v>
      </x:c>
      <x:c r="AS873" s="14" t="str">
        <x:v>OK</x:v>
      </x:c>
    </x:row>
    <x:row r="874">
      <x:c r="A874" s="80" t="n">
        <x:v>874</x:v>
      </x:c>
      <x:c r="B874" s="80" t="str">
        <x:v>ORD-2024-10873</x:v>
      </x:c>
      <x:c r="C874" s="81" t="n">
        <x:v>45597</x:v>
      </x:c>
      <x:c r="D874" s="81" t="n">
        <x:v>45598</x:v>
      </x:c>
      <x:c r="E874" s="80" t="str">
        <x:v>CUST-6262</x:v>
      </x:c>
      <x:c r="F874" s="80" t="str">
        <x:v>Karan Malhotra</x:v>
      </x:c>
      <x:c r="G874" s="80" t="str">
        <x:v>Corporate</x:v>
      </x:c>
      <x:c r="H874" s="80" t="str">
        <x:v>East</x:v>
      </x:c>
      <x:c r="I874" s="80" t="str">
        <x:v>West Bengal</x:v>
      </x:c>
      <x:c r="J874" s="80" t="str">
        <x:v>Kolkata</x:v>
      </x:c>
      <x:c r="K874" s="80" t="str">
        <x:v>Furniture</x:v>
      </x:c>
      <x:c r="L874" s="80" t="str">
        <x:v>Furnishings</x:v>
      </x:c>
      <x:c r="M874" s="80" t="str">
        <x:v>Prime Furnishings 178</x:v>
      </x:c>
      <x:c r="N874" s="80" t="str">
        <x:v>Standard Class</x:v>
      </x:c>
      <x:c r="O874" s="82" t="n">
        <x:v>5</x:v>
      </x:c>
      <x:c r="P874" s="83" t="n">
        <x:v>2212.02</x:v>
      </x:c>
      <x:c r="Q874" s="84" t="n">
        <x:v>0.2</x:v>
      </x:c>
      <x:c r="R874" s="83" t="n">
        <x:v>8848.08</x:v>
      </x:c>
      <x:c r="S874" s="83" t="n">
        <x:v>5691.56</x:v>
      </x:c>
      <x:c r="T874" s="83" t="n">
        <x:v>3156.52</x:v>
      </x:c>
      <x:c r="U874" s="83" t="str">
        <x:v>Paid</x:v>
      </x:c>
      <x:c r="V874" s="83" t="str">
        <x:v>Completed</x:v>
      </x:c>
      <x:c r="W874" s="151" t="n">
        <x:f>IF(OR(NOT(ISNUMBER($AP874)),COUNT($O874,$P874)&lt;2,$O874&lt;=0,$P874&lt;0),"",ROUND($O874*$P874*(1-$AP874),2))</x:f>
        <x:v>8848.08</x:v>
      </x:c>
      <x:c r="X874" s="151" t="n">
        <x:f>IF(OR(NOT(ISNUMBER($W874)),NOT(ISNUMBER($S874))),"",ROUND($W874-$S874,2))</x:f>
        <x:v>3156.52</x:v>
      </x:c>
      <x:c r="Y874" s="85" t="n">
        <x:f>IF(OR(NOT(ISNUMBER($W874)),NOT(ISNUMBER($X874)),$W874=0),"",ROUND($X874/$W874,4))</x:f>
        <x:v>0.3567</x:v>
      </x:c>
      <x:c r="Z874" s="82" t="n">
        <x:f>IF(OR($AH874&lt;&gt;"Valid",$AI874&lt;&gt;"Valid"),"",INT($D874-$C874))</x:f>
        <x:v>1</x:v>
      </x:c>
      <x:c r="AA874" s="86" t="str">
        <x:f>IF($AH874&lt;&gt;"Valid","",TEXT($C874,"mmmm"))</x:f>
        <x:v>November</x:v>
      </x:c>
      <x:c r="AB874" s="82" t="n">
        <x:f>IF($AH874&lt;&gt;"Valid","",YEAR($C874))</x:f>
        <x:v>2024</x:v>
      </x:c>
      <x:c r="AC874" s="80" t="str">
        <x:v>Consistent</x:v>
      </x:c>
      <x:c r="AD874" s="80" t="str">
        <x:v>Eligible</x:v>
      </x:c>
      <x:c r="AE874" s="80" t="str">
        <x:f>IF(OR($AH874&lt;&gt;"Valid",$AI874&lt;&gt;"Valid",$AJ874&lt;&gt;"Valid",LEFT($AM874,7)="Invalid",IFERROR(ABS($AQ874)&gt;0.01,FALSE),IFERROR(ABS($AR874)&gt;0.01,FALSE),COUNTIF($AS874,"*Conflicting duplicate*")&gt;0,COUNTIF($AS874,"*Completed order not paid*")&gt;0),"Invalid",IF(OR($H874="Unknown",$N874="Unknown",$AM874="Missing discount imputed as 0"),"Warning","Clean"))</x:f>
        <x:v>Clean</x:v>
      </x:c>
      <x:c r="AF874" s="80" t="str">
        <x:v>Pass</x:v>
      </x:c>
      <x:c r="AG874" s="80" t="str">
        <x:v>No text cleanup required</x:v>
      </x:c>
      <x:c r="AH874" s="12" t="str">
        <x:f>IF(C874="","Missing date",IF(ISNUMBER(C874),"Valid","Unrecognized/invalid date"))</x:f>
        <x:v>Valid</x:v>
      </x:c>
      <x:c r="AI874" s="12" t="str">
        <x:f>IF(D874="","Missing date",IF(ISNUMBER(D874),"Valid","Unrecognized/invalid date"))</x:f>
        <x:v>Valid</x:v>
      </x:c>
      <x:c r="AJ874" s="12" t="str">
        <x:v>Valid</x:v>
      </x:c>
      <x:c r="AK874" s="12" t="str">
        <x:v>Pass</x:v>
      </x:c>
      <x:c r="AL874" s="12" t="str">
        <x:v>None</x:v>
      </x:c>
      <x:c r="AM874" s="12" t="str">
        <x:v>Valid</x:v>
      </x:c>
      <x:c r="AN874" s="12" t="str">
        <x:v>Include in completed sales</x:v>
      </x:c>
      <x:c r="AO874" s="12" t="str">
        <x:v>Not a refunded record</x:v>
      </x:c>
      <x:c r="AP874" s="37" t="n">
        <x:f>IF(LEFT($AM874,7)="Invalid","",IF($AM874="Missing discount imputed as 0",IF(AND(COUNT($O874,$P874,$R874,$S874)=4,$O874&gt;0,$P874&gt;=0,$R874&gt;=0,$S874&gt;=0),0,""),IF(AND(ISNUMBER($Q874),$Q874&gt;=0,$Q874&lt;=0.5),$Q874,"")))</x:f>
        <x:v>0.2</x:v>
      </x:c>
      <x:c r="AQ874" s="152" t="n">
        <x:f>IF(OR($W874="",NOT(ISNUMBER($R874))),"",ROUND($R874-$W874,2))</x:f>
        <x:v>0</x:v>
      </x:c>
      <x:c r="AR874" s="152" t="n">
        <x:f>IF(OR($X874="",NOT(ISNUMBER($T874))),"",ROUND($T874-$X874,2))</x:f>
        <x:v>0</x:v>
      </x:c>
      <x:c r="AS874" s="14" t="str">
        <x:v>OK</x:v>
      </x:c>
    </x:row>
    <x:row r="875">
      <x:c r="A875" s="80" t="n">
        <x:v>875</x:v>
      </x:c>
      <x:c r="B875" s="80" t="str">
        <x:v>ORD-2025-10874</x:v>
      </x:c>
      <x:c r="C875" s="81" t="n">
        <x:v>45689</x:v>
      </x:c>
      <x:c r="D875" s="81" t="n">
        <x:v>45696</x:v>
      </x:c>
      <x:c r="E875" s="80" t="str">
        <x:v>CUST-8160</x:v>
      </x:c>
      <x:c r="F875" s="80" t="str">
        <x:v>Aditi Sen</x:v>
      </x:c>
      <x:c r="G875" s="80" t="str">
        <x:v>Home Office</x:v>
      </x:c>
      <x:c r="H875" s="80" t="str">
        <x:v>West</x:v>
      </x:c>
      <x:c r="I875" s="80" t="str">
        <x:v>Gujarat</x:v>
      </x:c>
      <x:c r="J875" s="80" t="str">
        <x:v>Ahmedabad</x:v>
      </x:c>
      <x:c r="K875" s="80" t="str">
        <x:v>Office Supplies</x:v>
      </x:c>
      <x:c r="L875" s="80" t="str">
        <x:v>Storage</x:v>
      </x:c>
      <x:c r="M875" s="80" t="str">
        <x:v>Elite Storage 144</x:v>
      </x:c>
      <x:c r="N875" s="80" t="str">
        <x:v>Second Class</x:v>
      </x:c>
      <x:c r="O875" s="82" t="n">
        <x:v>8</x:v>
      </x:c>
      <x:c r="P875" s="83" t="n">
        <x:v>623.31</x:v>
      </x:c>
      <x:c r="Q875" s="84" t="n">
        <x:v>0.1</x:v>
      </x:c>
      <x:c r="R875" s="83" t="n">
        <x:v>4487.83</x:v>
      </x:c>
      <x:c r="S875" s="83" t="n">
        <x:v>2633.78</x:v>
      </x:c>
      <x:c r="T875" s="83" t="n">
        <x:v>1854.05</x:v>
      </x:c>
      <x:c r="U875" s="83" t="str">
        <x:v>Paid</x:v>
      </x:c>
      <x:c r="V875" s="83" t="str">
        <x:v>Completed</x:v>
      </x:c>
      <x:c r="W875" s="151" t="n">
        <x:f>IF(OR(NOT(ISNUMBER($AP875)),COUNT($O875,$P875)&lt;2,$O875&lt;=0,$P875&lt;0),"",ROUND($O875*$P875*(1-$AP875),2))</x:f>
        <x:v>4487.83</x:v>
      </x:c>
      <x:c r="X875" s="151" t="n">
        <x:f>IF(OR(NOT(ISNUMBER($W875)),NOT(ISNUMBER($S875))),"",ROUND($W875-$S875,2))</x:f>
        <x:v>1854.05</x:v>
      </x:c>
      <x:c r="Y875" s="85" t="n">
        <x:f>IF(OR(NOT(ISNUMBER($W875)),NOT(ISNUMBER($X875)),$W875=0),"",ROUND($X875/$W875,4))</x:f>
        <x:v>0.4131</x:v>
      </x:c>
      <x:c r="Z875" s="82" t="n">
        <x:f>IF(OR($AH875&lt;&gt;"Valid",$AI875&lt;&gt;"Valid"),"",INT($D875-$C875))</x:f>
        <x:v>7</x:v>
      </x:c>
      <x:c r="AA875" s="86" t="str">
        <x:f>IF($AH875&lt;&gt;"Valid","",TEXT($C875,"mmmm"))</x:f>
        <x:v>February</x:v>
      </x:c>
      <x:c r="AB875" s="82" t="n">
        <x:f>IF($AH875&lt;&gt;"Valid","",YEAR($C875))</x:f>
        <x:v>2025</x:v>
      </x:c>
      <x:c r="AC875" s="80" t="str">
        <x:v>Consistent</x:v>
      </x:c>
      <x:c r="AD875" s="80" t="str">
        <x:v>Eligible</x:v>
      </x:c>
      <x:c r="AE875" s="80" t="str">
        <x:f>IF(OR($AH875&lt;&gt;"Valid",$AI875&lt;&gt;"Valid",$AJ875&lt;&gt;"Valid",LEFT($AM875,7)="Invalid",IFERROR(ABS($AQ875)&gt;0.01,FALSE),IFERROR(ABS($AR875)&gt;0.01,FALSE),COUNTIF($AS875,"*Conflicting duplicate*")&gt;0,COUNTIF($AS875,"*Completed order not paid*")&gt;0),"Invalid",IF(OR($H875="Unknown",$N875="Unknown",$AM875="Missing discount imputed as 0"),"Warning","Clean"))</x:f>
        <x:v>Clean</x:v>
      </x:c>
      <x:c r="AF875" s="80" t="str">
        <x:v>Pass</x:v>
      </x:c>
      <x:c r="AG875" s="80" t="str">
        <x:v>No text cleanup required</x:v>
      </x:c>
      <x:c r="AH875" s="12" t="str">
        <x:f>IF(C875="","Missing date",IF(ISNUMBER(C875),"Valid","Unrecognized/invalid date"))</x:f>
        <x:v>Valid</x:v>
      </x:c>
      <x:c r="AI875" s="12" t="str">
        <x:f>IF(D875="","Missing date",IF(ISNUMBER(D875),"Valid","Unrecognized/invalid date"))</x:f>
        <x:v>Valid</x:v>
      </x:c>
      <x:c r="AJ875" s="12" t="str">
        <x:v>Valid</x:v>
      </x:c>
      <x:c r="AK875" s="12" t="str">
        <x:v>Pass</x:v>
      </x:c>
      <x:c r="AL875" s="12" t="str">
        <x:v>None</x:v>
      </x:c>
      <x:c r="AM875" s="12" t="str">
        <x:v>Valid</x:v>
      </x:c>
      <x:c r="AN875" s="12" t="str">
        <x:v>Include in completed sales</x:v>
      </x:c>
      <x:c r="AO875" s="12" t="str">
        <x:v>Not a refunded record</x:v>
      </x:c>
      <x:c r="AP875" s="37" t="n">
        <x:f>IF(LEFT($AM875,7)="Invalid","",IF($AM875="Missing discount imputed as 0",IF(AND(COUNT($O875,$P875,$R875,$S875)=4,$O875&gt;0,$P875&gt;=0,$R875&gt;=0,$S875&gt;=0),0,""),IF(AND(ISNUMBER($Q875),$Q875&gt;=0,$Q875&lt;=0.5),$Q875,"")))</x:f>
        <x:v>0.1</x:v>
      </x:c>
      <x:c r="AQ875" s="152" t="n">
        <x:f>IF(OR($W875="",NOT(ISNUMBER($R875))),"",ROUND($R875-$W875,2))</x:f>
        <x:v>0</x:v>
      </x:c>
      <x:c r="AR875" s="152" t="n">
        <x:f>IF(OR($X875="",NOT(ISNUMBER($T875))),"",ROUND($T875-$X875,2))</x:f>
        <x:v>0</x:v>
      </x:c>
      <x:c r="AS875" s="14" t="str">
        <x:v>OK</x:v>
      </x:c>
    </x:row>
    <x:row r="876">
      <x:c r="A876" s="80" t="n">
        <x:v>876</x:v>
      </x:c>
      <x:c r="B876" s="80" t="str">
        <x:v>ORD-2025-10875</x:v>
      </x:c>
      <x:c r="C876" s="81" t="n">
        <x:v>45853</x:v>
      </x:c>
      <x:c r="D876" s="81" t="n">
        <x:v>45854</x:v>
      </x:c>
      <x:c r="E876" s="80" t="str">
        <x:v>CUST-8770</x:v>
      </x:c>
      <x:c r="F876" s="80" t="str">
        <x:v>Vikram Iyer</x:v>
      </x:c>
      <x:c r="G876" s="80" t="str">
        <x:v>Small Business</x:v>
      </x:c>
      <x:c r="H876" s="80" t="str">
        <x:v>West</x:v>
      </x:c>
      <x:c r="I876" s="80" t="str">
        <x:v>Maharashtra</x:v>
      </x:c>
      <x:c r="J876" s="80" t="str">
        <x:v>Mumbai</x:v>
      </x:c>
      <x:c r="K876" s="80" t="str">
        <x:v>Office Supplies</x:v>
      </x:c>
      <x:c r="L876" s="80" t="str">
        <x:v>Paper</x:v>
      </x:c>
      <x:c r="M876" s="80" t="str">
        <x:v>Elite Paper 309</x:v>
      </x:c>
      <x:c r="N876" s="80" t="str">
        <x:v>Standard Class</x:v>
      </x:c>
      <x:c r="O876" s="82" t="n">
        <x:v>8</x:v>
      </x:c>
      <x:c r="P876" s="83" t="n">
        <x:v>3924.88</x:v>
      </x:c>
      <x:c r="Q876" s="84" t="n">
        <x:v>0.05</x:v>
      </x:c>
      <x:c r="R876" s="83" t="n">
        <x:v>29829.09</x:v>
      </x:c>
      <x:c r="S876" s="83" t="n">
        <x:v>20710.18</x:v>
      </x:c>
      <x:c r="T876" s="83" t="n">
        <x:v>9118.91</x:v>
      </x:c>
      <x:c r="U876" s="83" t="str">
        <x:v>Paid</x:v>
      </x:c>
      <x:c r="V876" s="83" t="str">
        <x:v>Completed</x:v>
      </x:c>
      <x:c r="W876" s="151" t="n">
        <x:f>IF(OR(NOT(ISNUMBER($AP876)),COUNT($O876,$P876)&lt;2,$O876&lt;=0,$P876&lt;0),"",ROUND($O876*$P876*(1-$AP876),2))</x:f>
        <x:v>29829.09</x:v>
      </x:c>
      <x:c r="X876" s="151" t="n">
        <x:f>IF(OR(NOT(ISNUMBER($W876)),NOT(ISNUMBER($S876))),"",ROUND($W876-$S876,2))</x:f>
        <x:v>9118.91</x:v>
      </x:c>
      <x:c r="Y876" s="85" t="n">
        <x:f>IF(OR(NOT(ISNUMBER($W876)),NOT(ISNUMBER($X876)),$W876=0),"",ROUND($X876/$W876,4))</x:f>
        <x:v>0.3057</x:v>
      </x:c>
      <x:c r="Z876" s="82" t="n">
        <x:f>IF(OR($AH876&lt;&gt;"Valid",$AI876&lt;&gt;"Valid"),"",INT($D876-$C876))</x:f>
        <x:v>1</x:v>
      </x:c>
      <x:c r="AA876" s="86" t="str">
        <x:f>IF($AH876&lt;&gt;"Valid","",TEXT($C876,"mmmm"))</x:f>
        <x:v>July</x:v>
      </x:c>
      <x:c r="AB876" s="82" t="n">
        <x:f>IF($AH876&lt;&gt;"Valid","",YEAR($C876))</x:f>
        <x:v>2025</x:v>
      </x:c>
      <x:c r="AC876" s="80" t="str">
        <x:v>Consistent</x:v>
      </x:c>
      <x:c r="AD876" s="80" t="str">
        <x:v>Eligible</x:v>
      </x:c>
      <x:c r="AE876" s="80" t="str">
        <x:f>IF(OR($AH876&lt;&gt;"Valid",$AI876&lt;&gt;"Valid",$AJ876&lt;&gt;"Valid",LEFT($AM876,7)="Invalid",IFERROR(ABS($AQ876)&gt;0.01,FALSE),IFERROR(ABS($AR876)&gt;0.01,FALSE),COUNTIF($AS876,"*Conflicting duplicate*")&gt;0,COUNTIF($AS876,"*Completed order not paid*")&gt;0),"Invalid",IF(OR($H876="Unknown",$N876="Unknown",$AM876="Missing discount imputed as 0"),"Warning","Clean"))</x:f>
        <x:v>Clean</x:v>
      </x:c>
      <x:c r="AF876" s="80" t="str">
        <x:v>Pass</x:v>
      </x:c>
      <x:c r="AG876" s="80" t="str">
        <x:v>No text cleanup required</x:v>
      </x:c>
      <x:c r="AH876" s="12" t="str">
        <x:f>IF(C876="","Missing date",IF(ISNUMBER(C876),"Valid","Unrecognized/invalid date"))</x:f>
        <x:v>Valid</x:v>
      </x:c>
      <x:c r="AI876" s="12" t="str">
        <x:f>IF(D876="","Missing date",IF(ISNUMBER(D876),"Valid","Unrecognized/invalid date"))</x:f>
        <x:v>Valid</x:v>
      </x:c>
      <x:c r="AJ876" s="12" t="str">
        <x:v>Valid</x:v>
      </x:c>
      <x:c r="AK876" s="12" t="str">
        <x:v>Pass</x:v>
      </x:c>
      <x:c r="AL876" s="12" t="str">
        <x:v>None</x:v>
      </x:c>
      <x:c r="AM876" s="12" t="str">
        <x:v>Valid</x:v>
      </x:c>
      <x:c r="AN876" s="12" t="str">
        <x:v>Include in completed sales</x:v>
      </x:c>
      <x:c r="AO876" s="12" t="str">
        <x:v>Not a refunded record</x:v>
      </x:c>
      <x:c r="AP876" s="37" t="n">
        <x:f>IF(LEFT($AM876,7)="Invalid","",IF($AM876="Missing discount imputed as 0",IF(AND(COUNT($O876,$P876,$R876,$S876)=4,$O876&gt;0,$P876&gt;=0,$R876&gt;=0,$S876&gt;=0),0,""),IF(AND(ISNUMBER($Q876),$Q876&gt;=0,$Q876&lt;=0.5),$Q876,"")))</x:f>
        <x:v>0.05</x:v>
      </x:c>
      <x:c r="AQ876" s="152" t="n">
        <x:f>IF(OR($W876="",NOT(ISNUMBER($R876))),"",ROUND($R876-$W876,2))</x:f>
        <x:v>0</x:v>
      </x:c>
      <x:c r="AR876" s="152" t="n">
        <x:f>IF(OR($X876="",NOT(ISNUMBER($T876))),"",ROUND($T876-$X876,2))</x:f>
        <x:v>0</x:v>
      </x:c>
      <x:c r="AS876" s="14" t="str">
        <x:v>OK</x:v>
      </x:c>
    </x:row>
    <x:row r="877">
      <x:c r="A877" s="80" t="n">
        <x:v>877</x:v>
      </x:c>
      <x:c r="B877" s="80" t="str">
        <x:v>ORD-2024-10876</x:v>
      </x:c>
      <x:c r="C877" s="81" t="n">
        <x:v>45514</x:v>
      </x:c>
      <x:c r="D877" s="81" t="n">
        <x:v>45515</x:v>
      </x:c>
      <x:c r="E877" s="80" t="str">
        <x:v>CUST-6928</x:v>
      </x:c>
      <x:c r="F877" s="80" t="str">
        <x:v>Mira Das</x:v>
      </x:c>
      <x:c r="G877" s="80" t="str">
        <x:v>Corporate</x:v>
      </x:c>
      <x:c r="H877" s="80" t="str">
        <x:v>West</x:v>
      </x:c>
      <x:c r="I877" s="80" t="str">
        <x:v>Maharashtra</x:v>
      </x:c>
      <x:c r="J877" s="80" t="str">
        <x:v>Mumbai</x:v>
      </x:c>
      <x:c r="K877" s="80" t="str">
        <x:v>Technology</x:v>
      </x:c>
      <x:c r="L877" s="80" t="str">
        <x:v>Copiers</x:v>
      </x:c>
      <x:c r="M877" s="80" t="str">
        <x:v>Elite Copiers 752</x:v>
      </x:c>
      <x:c r="N877" s="80" t="str">
        <x:v>First Class</x:v>
      </x:c>
      <x:c r="O877" s="82" t="n">
        <x:v>7</x:v>
      </x:c>
      <x:c r="P877" s="83" t="n">
        <x:v>3852.62</x:v>
      </x:c>
      <x:c r="Q877" s="84" t="n">
        <x:v>0.2</x:v>
      </x:c>
      <x:c r="R877" s="83" t="n">
        <x:v>21574.67</x:v>
      </x:c>
      <x:c r="S877" s="83" t="n">
        <x:v>14672.83</x:v>
      </x:c>
      <x:c r="T877" s="83" t="n">
        <x:v>6901.84</x:v>
      </x:c>
      <x:c r="U877" s="83" t="str">
        <x:v>Paid</x:v>
      </x:c>
      <x:c r="V877" s="83" t="str">
        <x:v>Completed</x:v>
      </x:c>
      <x:c r="W877" s="151" t="n">
        <x:f>IF(OR(NOT(ISNUMBER($AP877)),COUNT($O877,$P877)&lt;2,$O877&lt;=0,$P877&lt;0),"",ROUND($O877*$P877*(1-$AP877),2))</x:f>
        <x:v>21574.67</x:v>
      </x:c>
      <x:c r="X877" s="151" t="n">
        <x:f>IF(OR(NOT(ISNUMBER($W877)),NOT(ISNUMBER($S877))),"",ROUND($W877-$S877,2))</x:f>
        <x:v>6901.84</x:v>
      </x:c>
      <x:c r="Y877" s="85" t="n">
        <x:f>IF(OR(NOT(ISNUMBER($W877)),NOT(ISNUMBER($X877)),$W877=0),"",ROUND($X877/$W877,4))</x:f>
        <x:v>0.3199</x:v>
      </x:c>
      <x:c r="Z877" s="82" t="n">
        <x:f>IF(OR($AH877&lt;&gt;"Valid",$AI877&lt;&gt;"Valid"),"",INT($D877-$C877))</x:f>
        <x:v>1</x:v>
      </x:c>
      <x:c r="AA877" s="86" t="str">
        <x:f>IF($AH877&lt;&gt;"Valid","",TEXT($C877,"mmmm"))</x:f>
        <x:v>August</x:v>
      </x:c>
      <x:c r="AB877" s="82" t="n">
        <x:f>IF($AH877&lt;&gt;"Valid","",YEAR($C877))</x:f>
        <x:v>2024</x:v>
      </x:c>
      <x:c r="AC877" s="80" t="str">
        <x:v>Consistent</x:v>
      </x:c>
      <x:c r="AD877" s="80" t="str">
        <x:v>Eligible</x:v>
      </x:c>
      <x:c r="AE877" s="80" t="str">
        <x:f>IF(OR($AH877&lt;&gt;"Valid",$AI877&lt;&gt;"Valid",$AJ877&lt;&gt;"Valid",LEFT($AM877,7)="Invalid",IFERROR(ABS($AQ877)&gt;0.01,FALSE),IFERROR(ABS($AR877)&gt;0.01,FALSE),COUNTIF($AS877,"*Conflicting duplicate*")&gt;0,COUNTIF($AS877,"*Completed order not paid*")&gt;0),"Invalid",IF(OR($H877="Unknown",$N877="Unknown",$AM877="Missing discount imputed as 0"),"Warning","Clean"))</x:f>
        <x:v>Clean</x:v>
      </x:c>
      <x:c r="AF877" s="80" t="str">
        <x:v>Pass</x:v>
      </x:c>
      <x:c r="AG877" s="80" t="str">
        <x:v>No text cleanup required</x:v>
      </x:c>
      <x:c r="AH877" s="12" t="str">
        <x:f>IF(C877="","Missing date",IF(ISNUMBER(C877),"Valid","Unrecognized/invalid date"))</x:f>
        <x:v>Valid</x:v>
      </x:c>
      <x:c r="AI877" s="12" t="str">
        <x:f>IF(D877="","Missing date",IF(ISNUMBER(D877),"Valid","Unrecognized/invalid date"))</x:f>
        <x:v>Valid</x:v>
      </x:c>
      <x:c r="AJ877" s="12" t="str">
        <x:v>Valid</x:v>
      </x:c>
      <x:c r="AK877" s="12" t="str">
        <x:v>Pass</x:v>
      </x:c>
      <x:c r="AL877" s="12" t="str">
        <x:v>None</x:v>
      </x:c>
      <x:c r="AM877" s="12" t="str">
        <x:v>Valid</x:v>
      </x:c>
      <x:c r="AN877" s="12" t="str">
        <x:v>Include in completed sales</x:v>
      </x:c>
      <x:c r="AO877" s="12" t="str">
        <x:v>Not a refunded record</x:v>
      </x:c>
      <x:c r="AP877" s="37" t="n">
        <x:f>IF(LEFT($AM877,7)="Invalid","",IF($AM877="Missing discount imputed as 0",IF(AND(COUNT($O877,$P877,$R877,$S877)=4,$O877&gt;0,$P877&gt;=0,$R877&gt;=0,$S877&gt;=0),0,""),IF(AND(ISNUMBER($Q877),$Q877&gt;=0,$Q877&lt;=0.5),$Q877,"")))</x:f>
        <x:v>0.2</x:v>
      </x:c>
      <x:c r="AQ877" s="152" t="n">
        <x:f>IF(OR($W877="",NOT(ISNUMBER($R877))),"",ROUND($R877-$W877,2))</x:f>
        <x:v>0</x:v>
      </x:c>
      <x:c r="AR877" s="152" t="n">
        <x:f>IF(OR($X877="",NOT(ISNUMBER($T877))),"",ROUND($T877-$X877,2))</x:f>
        <x:v>0</x:v>
      </x:c>
      <x:c r="AS877" s="14" t="str">
        <x:v>OK</x:v>
      </x:c>
    </x:row>
    <x:row r="878">
      <x:c r="A878" s="80" t="n">
        <x:v>878</x:v>
      </x:c>
      <x:c r="B878" s="80" t="str">
        <x:v>ORD-2024-10877</x:v>
      </x:c>
      <x:c r="C878" s="81" t="n">
        <x:v>45614</x:v>
      </x:c>
      <x:c r="D878" s="81" t="n">
        <x:v>45616</x:v>
      </x:c>
      <x:c r="E878" s="80" t="str">
        <x:v>CUST-9044</x:v>
      </x:c>
      <x:c r="F878" s="80" t="str">
        <x:v>Priya Menon</x:v>
      </x:c>
      <x:c r="G878" s="80" t="str">
        <x:v>Consumer</x:v>
      </x:c>
      <x:c r="H878" s="80" t="str">
        <x:v>West</x:v>
      </x:c>
      <x:c r="I878" s="80" t="str">
        <x:v>Rajasthan</x:v>
      </x:c>
      <x:c r="J878" s="80" t="str">
        <x:v>Udaipur</x:v>
      </x:c>
      <x:c r="K878" s="80" t="str">
        <x:v>Furniture</x:v>
      </x:c>
      <x:c r="L878" s="80" t="str">
        <x:v>Chairs</x:v>
      </x:c>
      <x:c r="M878" s="80" t="str">
        <x:v>Pro Chairs 316</x:v>
      </x:c>
      <x:c r="N878" s="80" t="str">
        <x:v>First Class</x:v>
      </x:c>
      <x:c r="O878" s="82" t="n">
        <x:v>6</x:v>
      </x:c>
      <x:c r="P878" s="83" t="n">
        <x:v>3790.22</x:v>
      </x:c>
      <x:c r="Q878" s="84" t="n">
        <x:v>0</x:v>
      </x:c>
      <x:c r="R878" s="83" t="n">
        <x:v>22741.32</x:v>
      </x:c>
      <x:c r="S878" s="83" t="n">
        <x:v>16388.57</x:v>
      </x:c>
      <x:c r="T878" s="83" t="n">
        <x:v>6352.75</x:v>
      </x:c>
      <x:c r="U878" s="83" t="str">
        <x:v>Paid</x:v>
      </x:c>
      <x:c r="V878" s="83" t="str">
        <x:v>Completed</x:v>
      </x:c>
      <x:c r="W878" s="151" t="n">
        <x:f>IF(OR(NOT(ISNUMBER($AP878)),COUNT($O878,$P878)&lt;2,$O878&lt;=0,$P878&lt;0),"",ROUND($O878*$P878*(1-$AP878),2))</x:f>
        <x:v>22741.32</x:v>
      </x:c>
      <x:c r="X878" s="151" t="n">
        <x:f>IF(OR(NOT(ISNUMBER($W878)),NOT(ISNUMBER($S878))),"",ROUND($W878-$S878,2))</x:f>
        <x:v>6352.75</x:v>
      </x:c>
      <x:c r="Y878" s="85" t="n">
        <x:f>IF(OR(NOT(ISNUMBER($W878)),NOT(ISNUMBER($X878)),$W878=0),"",ROUND($X878/$W878,4))</x:f>
        <x:v>0.2793</x:v>
      </x:c>
      <x:c r="Z878" s="82" t="n">
        <x:f>IF(OR($AH878&lt;&gt;"Valid",$AI878&lt;&gt;"Valid"),"",INT($D878-$C878))</x:f>
        <x:v>2</x:v>
      </x:c>
      <x:c r="AA878" s="86" t="str">
        <x:f>IF($AH878&lt;&gt;"Valid","",TEXT($C878,"mmmm"))</x:f>
        <x:v>November</x:v>
      </x:c>
      <x:c r="AB878" s="82" t="n">
        <x:f>IF($AH878&lt;&gt;"Valid","",YEAR($C878))</x:f>
        <x:v>2024</x:v>
      </x:c>
      <x:c r="AC878" s="80" t="str">
        <x:v>Consistent</x:v>
      </x:c>
      <x:c r="AD878" s="80" t="str">
        <x:v>Eligible</x:v>
      </x:c>
      <x:c r="AE878" s="80" t="str">
        <x:f>IF(OR($AH878&lt;&gt;"Valid",$AI878&lt;&gt;"Valid",$AJ878&lt;&gt;"Valid",LEFT($AM878,7)="Invalid",IFERROR(ABS($AQ878)&gt;0.01,FALSE),IFERROR(ABS($AR878)&gt;0.01,FALSE),COUNTIF($AS878,"*Conflicting duplicate*")&gt;0,COUNTIF($AS878,"*Completed order not paid*")&gt;0),"Invalid",IF(OR($H878="Unknown",$N878="Unknown",$AM878="Missing discount imputed as 0"),"Warning","Clean"))</x:f>
        <x:v>Clean</x:v>
      </x:c>
      <x:c r="AF878" s="80" t="str">
        <x:v>Pass</x:v>
      </x:c>
      <x:c r="AG878" s="80" t="str">
        <x:v>No text cleanup required</x:v>
      </x:c>
      <x:c r="AH878" s="12" t="str">
        <x:f>IF(C878="","Missing date",IF(ISNUMBER(C878),"Valid","Unrecognized/invalid date"))</x:f>
        <x:v>Valid</x:v>
      </x:c>
      <x:c r="AI878" s="12" t="str">
        <x:f>IF(D878="","Missing date",IF(ISNUMBER(D878),"Valid","Unrecognized/invalid date"))</x:f>
        <x:v>Valid</x:v>
      </x:c>
      <x:c r="AJ878" s="12" t="str">
        <x:v>Valid</x:v>
      </x:c>
      <x:c r="AK878" s="12" t="str">
        <x:v>Pass</x:v>
      </x:c>
      <x:c r="AL878" s="12" t="str">
        <x:v>None</x:v>
      </x:c>
      <x:c r="AM878" s="12" t="str">
        <x:v>Valid</x:v>
      </x:c>
      <x:c r="AN878" s="12" t="str">
        <x:v>Include in completed sales</x:v>
      </x:c>
      <x:c r="AO878" s="12" t="str">
        <x:v>Not a refunded record</x:v>
      </x:c>
      <x:c r="AP878" s="37" t="n">
        <x:f>IF(LEFT($AM878,7)="Invalid","",IF($AM878="Missing discount imputed as 0",IF(AND(COUNT($O878,$P878,$R878,$S878)=4,$O878&gt;0,$P878&gt;=0,$R878&gt;=0,$S878&gt;=0),0,""),IF(AND(ISNUMBER($Q878),$Q878&gt;=0,$Q878&lt;=0.5),$Q878,"")))</x:f>
        <x:v>0</x:v>
      </x:c>
      <x:c r="AQ878" s="152" t="n">
        <x:f>IF(OR($W878="",NOT(ISNUMBER($R878))),"",ROUND($R878-$W878,2))</x:f>
        <x:v>0</x:v>
      </x:c>
      <x:c r="AR878" s="152" t="n">
        <x:f>IF(OR($X878="",NOT(ISNUMBER($T878))),"",ROUND($T878-$X878,2))</x:f>
        <x:v>0</x:v>
      </x:c>
      <x:c r="AS878" s="14" t="str">
        <x:v>OK</x:v>
      </x:c>
    </x:row>
    <x:row r="879">
      <x:c r="A879" s="80" t="n">
        <x:v>879</x:v>
      </x:c>
      <x:c r="B879" s="80" t="str">
        <x:v>ORD-2025-10878</x:v>
      </x:c>
      <x:c r="C879" s="81" t="n">
        <x:v>45895</x:v>
      </x:c>
      <x:c r="D879" s="81" t="n">
        <x:v>45903</x:v>
      </x:c>
      <x:c r="E879" s="80" t="str">
        <x:v>CUST-7146</x:v>
      </x:c>
      <x:c r="F879" s="80" t="str">
        <x:v>Aarav Sharma</x:v>
      </x:c>
      <x:c r="G879" s="80" t="str">
        <x:v>Consumer</x:v>
      </x:c>
      <x:c r="H879" s="80" t="str">
        <x:v>West</x:v>
      </x:c>
      <x:c r="I879" s="80" t="str">
        <x:v>Rajasthan</x:v>
      </x:c>
      <x:c r="J879" s="80" t="str">
        <x:v>Udaipur</x:v>
      </x:c>
      <x:c r="K879" s="80" t="str">
        <x:v>Office Supplies</x:v>
      </x:c>
      <x:c r="L879" s="80" t="str">
        <x:v>Storage</x:v>
      </x:c>
      <x:c r="M879" s="80" t="str">
        <x:v>Max Storage 438</x:v>
      </x:c>
      <x:c r="N879" s="80" t="str">
        <x:v>Second Class</x:v>
      </x:c>
      <x:c r="O879" s="82" t="n">
        <x:v>6</x:v>
      </x:c>
      <x:c r="P879" s="83" t="n">
        <x:v>674.36</x:v>
      </x:c>
      <x:c r="Q879" s="84" t="n">
        <x:v>0.1</x:v>
      </x:c>
      <x:c r="R879" s="83" t="n">
        <x:v>3641.54</x:v>
      </x:c>
      <x:c r="S879" s="83" t="n">
        <x:v>2690.37</x:v>
      </x:c>
      <x:c r="T879" s="83" t="n">
        <x:v>951.17</x:v>
      </x:c>
      <x:c r="U879" s="83" t="str">
        <x:v>Paid</x:v>
      </x:c>
      <x:c r="V879" s="83" t="str">
        <x:v>Completed</x:v>
      </x:c>
      <x:c r="W879" s="151" t="n">
        <x:f>IF(OR(NOT(ISNUMBER($AP879)),COUNT($O879,$P879)&lt;2,$O879&lt;=0,$P879&lt;0),"",ROUND($O879*$P879*(1-$AP879),2))</x:f>
        <x:v>3641.54</x:v>
      </x:c>
      <x:c r="X879" s="151" t="n">
        <x:f>IF(OR(NOT(ISNUMBER($W879)),NOT(ISNUMBER($S879))),"",ROUND($W879-$S879,2))</x:f>
        <x:v>951.17</x:v>
      </x:c>
      <x:c r="Y879" s="85" t="n">
        <x:f>IF(OR(NOT(ISNUMBER($W879)),NOT(ISNUMBER($X879)),$W879=0),"",ROUND($X879/$W879,4))</x:f>
        <x:v>0.2612</x:v>
      </x:c>
      <x:c r="Z879" s="82" t="n">
        <x:f>IF(OR($AH879&lt;&gt;"Valid",$AI879&lt;&gt;"Valid"),"",INT($D879-$C879))</x:f>
        <x:v>8</x:v>
      </x:c>
      <x:c r="AA879" s="86" t="str">
        <x:f>IF($AH879&lt;&gt;"Valid","",TEXT($C879,"mmmm"))</x:f>
        <x:v>August</x:v>
      </x:c>
      <x:c r="AB879" s="82" t="n">
        <x:f>IF($AH879&lt;&gt;"Valid","",YEAR($C879))</x:f>
        <x:v>2025</x:v>
      </x:c>
      <x:c r="AC879" s="80" t="str">
        <x:v>Consistent</x:v>
      </x:c>
      <x:c r="AD879" s="80" t="str">
        <x:v>Eligible</x:v>
      </x:c>
      <x:c r="AE879" s="80" t="str">
        <x:f>IF(OR($AH879&lt;&gt;"Valid",$AI879&lt;&gt;"Valid",$AJ879&lt;&gt;"Valid",LEFT($AM879,7)="Invalid",IFERROR(ABS($AQ879)&gt;0.01,FALSE),IFERROR(ABS($AR879)&gt;0.01,FALSE),COUNTIF($AS879,"*Conflicting duplicate*")&gt;0,COUNTIF($AS879,"*Completed order not paid*")&gt;0),"Invalid",IF(OR($H879="Unknown",$N879="Unknown",$AM879="Missing discount imputed as 0"),"Warning","Clean"))</x:f>
        <x:v>Clean</x:v>
      </x:c>
      <x:c r="AF879" s="80" t="str">
        <x:v>Pass</x:v>
      </x:c>
      <x:c r="AG879" s="80" t="str">
        <x:v>No text cleanup required</x:v>
      </x:c>
      <x:c r="AH879" s="12" t="str">
        <x:f>IF(C879="","Missing date",IF(ISNUMBER(C879),"Valid","Unrecognized/invalid date"))</x:f>
        <x:v>Valid</x:v>
      </x:c>
      <x:c r="AI879" s="12" t="str">
        <x:f>IF(D879="","Missing date",IF(ISNUMBER(D879),"Valid","Unrecognized/invalid date"))</x:f>
        <x:v>Valid</x:v>
      </x:c>
      <x:c r="AJ879" s="12" t="str">
        <x:v>Valid</x:v>
      </x:c>
      <x:c r="AK879" s="12" t="str">
        <x:v>Pass</x:v>
      </x:c>
      <x:c r="AL879" s="12" t="str">
        <x:v>None</x:v>
      </x:c>
      <x:c r="AM879" s="12" t="str">
        <x:v>Valid</x:v>
      </x:c>
      <x:c r="AN879" s="12" t="str">
        <x:v>Include in completed sales</x:v>
      </x:c>
      <x:c r="AO879" s="12" t="str">
        <x:v>Not a refunded record</x:v>
      </x:c>
      <x:c r="AP879" s="37" t="n">
        <x:f>IF(LEFT($AM879,7)="Invalid","",IF($AM879="Missing discount imputed as 0",IF(AND(COUNT($O879,$P879,$R879,$S879)=4,$O879&gt;0,$P879&gt;=0,$R879&gt;=0,$S879&gt;=0),0,""),IF(AND(ISNUMBER($Q879),$Q879&gt;=0,$Q879&lt;=0.5),$Q879,"")))</x:f>
        <x:v>0.1</x:v>
      </x:c>
      <x:c r="AQ879" s="152" t="n">
        <x:f>IF(OR($W879="",NOT(ISNUMBER($R879))),"",ROUND($R879-$W879,2))</x:f>
        <x:v>0</x:v>
      </x:c>
      <x:c r="AR879" s="152" t="n">
        <x:f>IF(OR($X879="",NOT(ISNUMBER($T879))),"",ROUND($T879-$X879,2))</x:f>
        <x:v>0</x:v>
      </x:c>
      <x:c r="AS879" s="14" t="str">
        <x:v>OK</x:v>
      </x:c>
    </x:row>
    <x:row r="880">
      <x:c r="A880" s="80" t="n">
        <x:v>880</x:v>
      </x:c>
      <x:c r="B880" s="80" t="str">
        <x:v>ORD-2024-10879</x:v>
      </x:c>
      <x:c r="C880" s="81" t="n">
        <x:v>45313</x:v>
      </x:c>
      <x:c r="D880" s="81" t="n">
        <x:v>45313</x:v>
      </x:c>
      <x:c r="E880" s="80" t="str">
        <x:v>CUST-8534</x:v>
      </x:c>
      <x:c r="F880" s="80" t="str">
        <x:v>Karan Malhotra</x:v>
      </x:c>
      <x:c r="G880" s="80" t="str">
        <x:v>Corporate</x:v>
      </x:c>
      <x:c r="H880" s="80" t="str">
        <x:v>East</x:v>
      </x:c>
      <x:c r="I880" s="80" t="str">
        <x:v>West Bengal</x:v>
      </x:c>
      <x:c r="J880" s="80" t="str">
        <x:v>Kolkata</x:v>
      </x:c>
      <x:c r="K880" s="80" t="str">
        <x:v>Office Supplies</x:v>
      </x:c>
      <x:c r="L880" s="80" t="str">
        <x:v>Paper</x:v>
      </x:c>
      <x:c r="M880" s="80" t="str">
        <x:v>Basic Paper 904</x:v>
      </x:c>
      <x:c r="N880" s="80" t="str">
        <x:v>First Class</x:v>
      </x:c>
      <x:c r="O880" s="82" t="n">
        <x:v>8</x:v>
      </x:c>
      <x:c r="P880" s="83" t="n">
        <x:v>1557.21</x:v>
      </x:c>
      <x:c r="Q880" s="84" t="n">
        <x:v>0.05</x:v>
      </x:c>
      <x:c r="R880" s="83" t="n">
        <x:v>11834.8</x:v>
      </x:c>
      <x:c r="S880" s="83" t="n">
        <x:v>9322.36</x:v>
      </x:c>
      <x:c r="T880" s="83" t="n">
        <x:v>2512.44</x:v>
      </x:c>
      <x:c r="U880" s="83" t="str">
        <x:v>Paid</x:v>
      </x:c>
      <x:c r="V880" s="83" t="str">
        <x:v>Completed</x:v>
      </x:c>
      <x:c r="W880" s="151" t="n">
        <x:f>IF(OR(NOT(ISNUMBER($AP880)),COUNT($O880,$P880)&lt;2,$O880&lt;=0,$P880&lt;0),"",ROUND($O880*$P880*(1-$AP880),2))</x:f>
        <x:v>11834.8</x:v>
      </x:c>
      <x:c r="X880" s="151" t="n">
        <x:f>IF(OR(NOT(ISNUMBER($W880)),NOT(ISNUMBER($S880))),"",ROUND($W880-$S880,2))</x:f>
        <x:v>2512.44</x:v>
      </x:c>
      <x:c r="Y880" s="85" t="n">
        <x:f>IF(OR(NOT(ISNUMBER($W880)),NOT(ISNUMBER($X880)),$W880=0),"",ROUND($X880/$W880,4))</x:f>
        <x:v>0.2123</x:v>
      </x:c>
      <x:c r="Z880" s="82" t="n">
        <x:f>IF(OR($AH880&lt;&gt;"Valid",$AI880&lt;&gt;"Valid"),"",INT($D880-$C880))</x:f>
        <x:v>0</x:v>
      </x:c>
      <x:c r="AA880" s="86" t="str">
        <x:f>IF($AH880&lt;&gt;"Valid","",TEXT($C880,"mmmm"))</x:f>
        <x:v>January</x:v>
      </x:c>
      <x:c r="AB880" s="82" t="n">
        <x:f>IF($AH880&lt;&gt;"Valid","",YEAR($C880))</x:f>
        <x:v>2024</x:v>
      </x:c>
      <x:c r="AC880" s="80" t="str">
        <x:v>Consistent</x:v>
      </x:c>
      <x:c r="AD880" s="80" t="str">
        <x:v>Eligible</x:v>
      </x:c>
      <x:c r="AE880" s="80" t="str">
        <x:f>IF(OR($AH880&lt;&gt;"Valid",$AI880&lt;&gt;"Valid",$AJ880&lt;&gt;"Valid",LEFT($AM880,7)="Invalid",IFERROR(ABS($AQ880)&gt;0.01,FALSE),IFERROR(ABS($AR880)&gt;0.01,FALSE),COUNTIF($AS880,"*Conflicting duplicate*")&gt;0,COUNTIF($AS880,"*Completed order not paid*")&gt;0),"Invalid",IF(OR($H880="Unknown",$N880="Unknown",$AM880="Missing discount imputed as 0"),"Warning","Clean"))</x:f>
        <x:v>Clean</x:v>
      </x:c>
      <x:c r="AF880" s="80" t="str">
        <x:v>Pass</x:v>
      </x:c>
      <x:c r="AG880" s="80" t="str">
        <x:v>No text cleanup required</x:v>
      </x:c>
      <x:c r="AH880" s="12" t="str">
        <x:f>IF(C880="","Missing date",IF(ISNUMBER(C880),"Valid","Unrecognized/invalid date"))</x:f>
        <x:v>Valid</x:v>
      </x:c>
      <x:c r="AI880" s="12" t="str">
        <x:f>IF(D880="","Missing date",IF(ISNUMBER(D880),"Valid","Unrecognized/invalid date"))</x:f>
        <x:v>Valid</x:v>
      </x:c>
      <x:c r="AJ880" s="12" t="str">
        <x:v>Valid</x:v>
      </x:c>
      <x:c r="AK880" s="12" t="str">
        <x:v>Pass</x:v>
      </x:c>
      <x:c r="AL880" s="12" t="str">
        <x:v>None</x:v>
      </x:c>
      <x:c r="AM880" s="12" t="str">
        <x:v>Valid</x:v>
      </x:c>
      <x:c r="AN880" s="12" t="str">
        <x:v>Include in completed sales</x:v>
      </x:c>
      <x:c r="AO880" s="12" t="str">
        <x:v>Not a refunded record</x:v>
      </x:c>
      <x:c r="AP880" s="37" t="n">
        <x:f>IF(LEFT($AM880,7)="Invalid","",IF($AM880="Missing discount imputed as 0",IF(AND(COUNT($O880,$P880,$R880,$S880)=4,$O880&gt;0,$P880&gt;=0,$R880&gt;=0,$S880&gt;=0),0,""),IF(AND(ISNUMBER($Q880),$Q880&gt;=0,$Q880&lt;=0.5),$Q880,"")))</x:f>
        <x:v>0.05</x:v>
      </x:c>
      <x:c r="AQ880" s="152" t="n">
        <x:f>IF(OR($W880="",NOT(ISNUMBER($R880))),"",ROUND($R880-$W880,2))</x:f>
        <x:v>0</x:v>
      </x:c>
      <x:c r="AR880" s="152" t="n">
        <x:f>IF(OR($X880="",NOT(ISNUMBER($T880))),"",ROUND($T880-$X880,2))</x:f>
        <x:v>0</x:v>
      </x:c>
      <x:c r="AS880" s="14" t="str">
        <x:v>OK</x:v>
      </x:c>
    </x:row>
    <x:row r="881">
      <x:c r="A881" s="80" t="n">
        <x:v>881</x:v>
      </x:c>
      <x:c r="B881" s="80" t="str">
        <x:v>ORD-2025-10880</x:v>
      </x:c>
      <x:c r="C881" s="81" t="n">
        <x:v>45896</x:v>
      </x:c>
      <x:c r="D881" s="81" t="n">
        <x:v>45897</x:v>
      </x:c>
      <x:c r="E881" s="80" t="str">
        <x:v>CUST-4486</x:v>
      </x:c>
      <x:c r="F881" s="80" t="str">
        <x:v>Ananya Rao</x:v>
      </x:c>
      <x:c r="G881" s="80" t="str">
        <x:v>Home Office</x:v>
      </x:c>
      <x:c r="H881" s="80" t="str">
        <x:v>North</x:v>
      </x:c>
      <x:c r="I881" s="80" t="str">
        <x:v>Uttar Pradesh</x:v>
      </x:c>
      <x:c r="J881" s="80" t="str">
        <x:v>Noida</x:v>
      </x:c>
      <x:c r="K881" s="80" t="str">
        <x:v>Office Supplies</x:v>
      </x:c>
      <x:c r="L881" s="80" t="str">
        <x:v>Art</x:v>
      </x:c>
      <x:c r="M881" s="80" t="str">
        <x:v>Smart Art 990</x:v>
      </x:c>
      <x:c r="N881" s="80" t="str">
        <x:v>Standard Class</x:v>
      </x:c>
      <x:c r="O881" s="82" t="n">
        <x:v>6</x:v>
      </x:c>
      <x:c r="P881" s="83" t="n">
        <x:v>1182.03</x:v>
      </x:c>
      <x:c r="Q881" s="84" t="n">
        <x:v>0.15</x:v>
      </x:c>
      <x:c r="R881" s="83" t="n">
        <x:v>6028.35</x:v>
      </x:c>
      <x:c r="S881" s="83" t="n">
        <x:v>4433.63</x:v>
      </x:c>
      <x:c r="T881" s="83" t="n">
        <x:v>1594.72</x:v>
      </x:c>
      <x:c r="U881" s="83" t="str">
        <x:v>Paid</x:v>
      </x:c>
      <x:c r="V881" s="83" t="str">
        <x:v>Completed</x:v>
      </x:c>
      <x:c r="W881" s="151" t="n">
        <x:f>IF(OR(NOT(ISNUMBER($AP881)),COUNT($O881,$P881)&lt;2,$O881&lt;=0,$P881&lt;0),"",ROUND($O881*$P881*(1-$AP881),2))</x:f>
        <x:v>6028.35</x:v>
      </x:c>
      <x:c r="X881" s="151" t="n">
        <x:f>IF(OR(NOT(ISNUMBER($W881)),NOT(ISNUMBER($S881))),"",ROUND($W881-$S881,2))</x:f>
        <x:v>1594.72</x:v>
      </x:c>
      <x:c r="Y881" s="85" t="n">
        <x:f>IF(OR(NOT(ISNUMBER($W881)),NOT(ISNUMBER($X881)),$W881=0),"",ROUND($X881/$W881,4))</x:f>
        <x:v>0.2645</x:v>
      </x:c>
      <x:c r="Z881" s="82" t="n">
        <x:f>IF(OR($AH881&lt;&gt;"Valid",$AI881&lt;&gt;"Valid"),"",INT($D881-$C881))</x:f>
        <x:v>1</x:v>
      </x:c>
      <x:c r="AA881" s="86" t="str">
        <x:f>IF($AH881&lt;&gt;"Valid","",TEXT($C881,"mmmm"))</x:f>
        <x:v>August</x:v>
      </x:c>
      <x:c r="AB881" s="82" t="n">
        <x:f>IF($AH881&lt;&gt;"Valid","",YEAR($C881))</x:f>
        <x:v>2025</x:v>
      </x:c>
      <x:c r="AC881" s="80" t="str">
        <x:v>Consistent</x:v>
      </x:c>
      <x:c r="AD881" s="80" t="str">
        <x:v>Eligible</x:v>
      </x:c>
      <x:c r="AE881" s="80" t="str">
        <x:f>IF(OR($AH881&lt;&gt;"Valid",$AI881&lt;&gt;"Valid",$AJ881&lt;&gt;"Valid",LEFT($AM881,7)="Invalid",IFERROR(ABS($AQ881)&gt;0.01,FALSE),IFERROR(ABS($AR881)&gt;0.01,FALSE),COUNTIF($AS881,"*Conflicting duplicate*")&gt;0,COUNTIF($AS881,"*Completed order not paid*")&gt;0),"Invalid",IF(OR($H881="Unknown",$N881="Unknown",$AM881="Missing discount imputed as 0"),"Warning","Clean"))</x:f>
        <x:v>Clean</x:v>
      </x:c>
      <x:c r="AF881" s="80" t="str">
        <x:v>Pass</x:v>
      </x:c>
      <x:c r="AG881" s="80" t="str">
        <x:v>No text cleanup required</x:v>
      </x:c>
      <x:c r="AH881" s="12" t="str">
        <x:f>IF(C881="","Missing date",IF(ISNUMBER(C881),"Valid","Unrecognized/invalid date"))</x:f>
        <x:v>Valid</x:v>
      </x:c>
      <x:c r="AI881" s="12" t="str">
        <x:f>IF(D881="","Missing date",IF(ISNUMBER(D881),"Valid","Unrecognized/invalid date"))</x:f>
        <x:v>Valid</x:v>
      </x:c>
      <x:c r="AJ881" s="12" t="str">
        <x:v>Valid</x:v>
      </x:c>
      <x:c r="AK881" s="12" t="str">
        <x:v>Pass</x:v>
      </x:c>
      <x:c r="AL881" s="12" t="str">
        <x:v>None</x:v>
      </x:c>
      <x:c r="AM881" s="12" t="str">
        <x:v>Valid</x:v>
      </x:c>
      <x:c r="AN881" s="12" t="str">
        <x:v>Include in completed sales</x:v>
      </x:c>
      <x:c r="AO881" s="12" t="str">
        <x:v>Not a refunded record</x:v>
      </x:c>
      <x:c r="AP881" s="37" t="n">
        <x:f>IF(LEFT($AM881,7)="Invalid","",IF($AM881="Missing discount imputed as 0",IF(AND(COUNT($O881,$P881,$R881,$S881)=4,$O881&gt;0,$P881&gt;=0,$R881&gt;=0,$S881&gt;=0),0,""),IF(AND(ISNUMBER($Q881),$Q881&gt;=0,$Q881&lt;=0.5),$Q881,"")))</x:f>
        <x:v>0.15</x:v>
      </x:c>
      <x:c r="AQ881" s="152" t="n">
        <x:f>IF(OR($W881="",NOT(ISNUMBER($R881))),"",ROUND($R881-$W881,2))</x:f>
        <x:v>0</x:v>
      </x:c>
      <x:c r="AR881" s="152" t="n">
        <x:f>IF(OR($X881="",NOT(ISNUMBER($T881))),"",ROUND($T881-$X881,2))</x:f>
        <x:v>0</x:v>
      </x:c>
      <x:c r="AS881" s="14" t="str">
        <x:v>OK</x:v>
      </x:c>
    </x:row>
    <x:row r="882">
      <x:c r="A882" s="80" t="n">
        <x:v>882</x:v>
      </x:c>
      <x:c r="B882" s="80" t="str">
        <x:v>ORD-2024-10881</x:v>
      </x:c>
      <x:c r="C882" s="81" t="n">
        <x:v>45359</x:v>
      </x:c>
      <x:c r="D882" s="81" t="n">
        <x:v>45366</x:v>
      </x:c>
      <x:c r="E882" s="80" t="str">
        <x:v>CUST-5287</x:v>
      </x:c>
      <x:c r="F882" s="80" t="str">
        <x:v>Aarav Sharma</x:v>
      </x:c>
      <x:c r="G882" s="80" t="str">
        <x:v>Small Business</x:v>
      </x:c>
      <x:c r="H882" s="80" t="str">
        <x:v>Unknown</x:v>
      </x:c>
      <x:c r="I882" s="80" t="str">
        <x:v>Punjab</x:v>
      </x:c>
      <x:c r="J882" s="80" t="str">
        <x:v>Ludhiana</x:v>
      </x:c>
      <x:c r="K882" s="80" t="str">
        <x:v>Furniture</x:v>
      </x:c>
      <x:c r="L882" s="80" t="str">
        <x:v>Chairs</x:v>
      </x:c>
      <x:c r="M882" s="80" t="str">
        <x:v>Basic Chairs 327</x:v>
      </x:c>
      <x:c r="N882" s="80" t="str">
        <x:v>First Class</x:v>
      </x:c>
      <x:c r="O882" s="82" t="n">
        <x:v>5</x:v>
      </x:c>
      <x:c r="P882" s="83" t="n">
        <x:v>3234.77</x:v>
      </x:c>
      <x:c r="Q882" s="84" t="n">
        <x:v>0</x:v>
      </x:c>
      <x:c r="R882" s="83" t="n">
        <x:v>16173.85</x:v>
      </x:c>
      <x:c r="S882" s="83" t="n">
        <x:v>13636.34</x:v>
      </x:c>
      <x:c r="T882" s="83" t="n">
        <x:v>2537.51</x:v>
      </x:c>
      <x:c r="U882" s="83" t="str">
        <x:v>Paid</x:v>
      </x:c>
      <x:c r="V882" s="83" t="str">
        <x:v>Completed</x:v>
      </x:c>
      <x:c r="W882" s="151" t="n">
        <x:f>IF(OR(NOT(ISNUMBER($AP882)),COUNT($O882,$P882)&lt;2,$O882&lt;=0,$P882&lt;0),"",ROUND($O882*$P882*(1-$AP882),2))</x:f>
        <x:v>16173.85</x:v>
      </x:c>
      <x:c r="X882" s="151" t="n">
        <x:f>IF(OR(NOT(ISNUMBER($W882)),NOT(ISNUMBER($S882))),"",ROUND($W882-$S882,2))</x:f>
        <x:v>2537.51</x:v>
      </x:c>
      <x:c r="Y882" s="85" t="n">
        <x:f>IF(OR(NOT(ISNUMBER($W882)),NOT(ISNUMBER($X882)),$W882=0),"",ROUND($X882/$W882,4))</x:f>
        <x:v>0.1569</x:v>
      </x:c>
      <x:c r="Z882" s="82" t="n">
        <x:f>IF(OR($AH882&lt;&gt;"Valid",$AI882&lt;&gt;"Valid"),"",INT($D882-$C882))</x:f>
        <x:v>7</x:v>
      </x:c>
      <x:c r="AA882" s="86" t="str">
        <x:f>IF($AH882&lt;&gt;"Valid","",TEXT($C882,"mmmm"))</x:f>
        <x:v>March</x:v>
      </x:c>
      <x:c r="AB882" s="82" t="n">
        <x:f>IF($AH882&lt;&gt;"Valid","",YEAR($C882))</x:f>
        <x:v>2024</x:v>
      </x:c>
      <x:c r="AC882" s="80" t="str">
        <x:v>Consistent</x:v>
      </x:c>
      <x:c r="AD882" s="80" t="str">
        <x:v>Eligible</x:v>
      </x:c>
      <x:c r="AE882" s="80" t="str">
        <x:f>IF(OR($AH882&lt;&gt;"Valid",$AI882&lt;&gt;"Valid",$AJ882&lt;&gt;"Valid",LEFT($AM882,7)="Invalid",IFERROR(ABS($AQ882)&gt;0.01,FALSE),IFERROR(ABS($AR882)&gt;0.01,FALSE),COUNTIF($AS882,"*Conflicting duplicate*")&gt;0,COUNTIF($AS882,"*Completed order not paid*")&gt;0),"Invalid",IF(OR($H882="Unknown",$N882="Unknown",$AM882="Missing discount imputed as 0"),"Warning","Clean"))</x:f>
        <x:v>Warning</x:v>
      </x:c>
      <x:c r="AF882" s="80" t="str">
        <x:v>Cleaned</x:v>
      </x:c>
      <x:c r="AG882" s="80" t="str">
        <x:v>region: Missing value filled as Unknown</x:v>
      </x:c>
      <x:c r="AH882" s="12" t="str">
        <x:f>IF(C882="","Missing date",IF(ISNUMBER(C882),"Valid","Unrecognized/invalid date"))</x:f>
        <x:v>Valid</x:v>
      </x:c>
      <x:c r="AI882" s="12" t="str">
        <x:f>IF(D882="","Missing date",IF(ISNUMBER(D882),"Valid","Unrecognized/invalid date"))</x:f>
        <x:v>Valid</x:v>
      </x:c>
      <x:c r="AJ882" s="12" t="str">
        <x:v>Valid</x:v>
      </x:c>
      <x:c r="AK882" s="12" t="str">
        <x:v>Pass</x:v>
      </x:c>
      <x:c r="AL882" s="12" t="str">
        <x:v>Missing region filled as Unknown</x:v>
      </x:c>
      <x:c r="AM882" s="12" t="str">
        <x:v>Valid</x:v>
      </x:c>
      <x:c r="AN882" s="12" t="str">
        <x:v>Include in completed sales</x:v>
      </x:c>
      <x:c r="AO882" s="12" t="str">
        <x:v>Not a refunded record</x:v>
      </x:c>
      <x:c r="AP882" s="37" t="n">
        <x:f>IF(LEFT($AM882,7)="Invalid","",IF($AM882="Missing discount imputed as 0",IF(AND(COUNT($O882,$P882,$R882,$S882)=4,$O882&gt;0,$P882&gt;=0,$R882&gt;=0,$S882&gt;=0),0,""),IF(AND(ISNUMBER($Q882),$Q882&gt;=0,$Q882&lt;=0.5),$Q882,"")))</x:f>
        <x:v>0</x:v>
      </x:c>
      <x:c r="AQ882" s="152" t="n">
        <x:f>IF(OR($W882="",NOT(ISNUMBER($R882))),"",ROUND($R882-$W882,2))</x:f>
        <x:v>0</x:v>
      </x:c>
      <x:c r="AR882" s="152" t="n">
        <x:f>IF(OR($X882="",NOT(ISNUMBER($T882))),"",ROUND($T882-$X882,2))</x:f>
        <x:v>0</x:v>
      </x:c>
      <x:c r="AS882" s="14" t="str">
        <x:v>OK</x:v>
      </x:c>
    </x:row>
    <x:row r="883">
      <x:c r="A883" s="80" t="n">
        <x:v>883</x:v>
      </x:c>
      <x:c r="B883" s="80" t="str">
        <x:v>ORD-2024-10882</x:v>
      </x:c>
      <x:c r="C883" s="81" t="n">
        <x:v>45627</x:v>
      </x:c>
      <x:c r="D883" s="81" t="n">
        <x:v>45631</x:v>
      </x:c>
      <x:c r="E883" s="80" t="str">
        <x:v>CUST-3445</x:v>
      </x:c>
      <x:c r="F883" s="80" t="str">
        <x:v>Ananya Rao</x:v>
      </x:c>
      <x:c r="G883" s="80" t="str">
        <x:v>Small Business</x:v>
      </x:c>
      <x:c r="H883" s="80" t="str">
        <x:v>South</x:v>
      </x:c>
      <x:c r="I883" s="80" t="str">
        <x:v>Andhra Pradesh</x:v>
      </x:c>
      <x:c r="J883" s="80" t="str">
        <x:v>Vijayawada</x:v>
      </x:c>
      <x:c r="K883" s="80" t="str">
        <x:v>Technology</x:v>
      </x:c>
      <x:c r="L883" s="80" t="str">
        <x:v>Copiers</x:v>
      </x:c>
      <x:c r="M883" s="80" t="str">
        <x:v>Eco Copiers 987</x:v>
      </x:c>
      <x:c r="N883" s="80" t="str">
        <x:v>Second Class</x:v>
      </x:c>
      <x:c r="O883" s="82" t="n">
        <x:v>9</x:v>
      </x:c>
      <x:c r="P883" s="83" t="n">
        <x:v>3726.75</x:v>
      </x:c>
      <x:c r="Q883" s="84" t="n">
        <x:v>0.25</x:v>
      </x:c>
      <x:c r="R883" s="83" t="n">
        <x:v>25155.56</x:v>
      </x:c>
      <x:c r="S883" s="83" t="n">
        <x:v>17592.69</x:v>
      </x:c>
      <x:c r="T883" s="83" t="n">
        <x:v>7562.87</x:v>
      </x:c>
      <x:c r="U883" s="83" t="str">
        <x:v>Paid</x:v>
      </x:c>
      <x:c r="V883" s="83" t="str">
        <x:v>Completed</x:v>
      </x:c>
      <x:c r="W883" s="151" t="n">
        <x:f>IF(OR(NOT(ISNUMBER($AP883)),COUNT($O883,$P883)&lt;2,$O883&lt;=0,$P883&lt;0),"",ROUND($O883*$P883*(1-$AP883),2))</x:f>
        <x:v>25155.56</x:v>
      </x:c>
      <x:c r="X883" s="151" t="n">
        <x:f>IF(OR(NOT(ISNUMBER($W883)),NOT(ISNUMBER($S883))),"",ROUND($W883-$S883,2))</x:f>
        <x:v>7562.87</x:v>
      </x:c>
      <x:c r="Y883" s="85" t="n">
        <x:f>IF(OR(NOT(ISNUMBER($W883)),NOT(ISNUMBER($X883)),$W883=0),"",ROUND($X883/$W883,4))</x:f>
        <x:v>0.3006</x:v>
      </x:c>
      <x:c r="Z883" s="82" t="n">
        <x:f>IF(OR($AH883&lt;&gt;"Valid",$AI883&lt;&gt;"Valid"),"",INT($D883-$C883))</x:f>
        <x:v>4</x:v>
      </x:c>
      <x:c r="AA883" s="86" t="str">
        <x:f>IF($AH883&lt;&gt;"Valid","",TEXT($C883,"mmmm"))</x:f>
        <x:v>December</x:v>
      </x:c>
      <x:c r="AB883" s="82" t="n">
        <x:f>IF($AH883&lt;&gt;"Valid","",YEAR($C883))</x:f>
        <x:v>2024</x:v>
      </x:c>
      <x:c r="AC883" s="80" t="str">
        <x:v>Consistent</x:v>
      </x:c>
      <x:c r="AD883" s="80" t="str">
        <x:v>Eligible</x:v>
      </x:c>
      <x:c r="AE883" s="80" t="str">
        <x:f>IF(OR($AH883&lt;&gt;"Valid",$AI883&lt;&gt;"Valid",$AJ883&lt;&gt;"Valid",LEFT($AM883,7)="Invalid",IFERROR(ABS($AQ883)&gt;0.01,FALSE),IFERROR(ABS($AR883)&gt;0.01,FALSE),COUNTIF($AS883,"*Conflicting duplicate*")&gt;0,COUNTIF($AS883,"*Completed order not paid*")&gt;0),"Invalid",IF(OR($H883="Unknown",$N883="Unknown",$AM883="Missing discount imputed as 0"),"Warning","Clean"))</x:f>
        <x:v>Clean</x:v>
      </x:c>
      <x:c r="AF883" s="80" t="str">
        <x:v>Pass</x:v>
      </x:c>
      <x:c r="AG883" s="80" t="str">
        <x:v>No text cleanup required</x:v>
      </x:c>
      <x:c r="AH883" s="12" t="str">
        <x:f>IF(C883="","Missing date",IF(ISNUMBER(C883),"Valid","Unrecognized/invalid date"))</x:f>
        <x:v>Valid</x:v>
      </x:c>
      <x:c r="AI883" s="12" t="str">
        <x:f>IF(D883="","Missing date",IF(ISNUMBER(D883),"Valid","Unrecognized/invalid date"))</x:f>
        <x:v>Valid</x:v>
      </x:c>
      <x:c r="AJ883" s="12" t="str">
        <x:v>Valid</x:v>
      </x:c>
      <x:c r="AK883" s="12" t="str">
        <x:v>Pass</x:v>
      </x:c>
      <x:c r="AL883" s="12" t="str">
        <x:v>None</x:v>
      </x:c>
      <x:c r="AM883" s="12" t="str">
        <x:v>Valid</x:v>
      </x:c>
      <x:c r="AN883" s="12" t="str">
        <x:v>Include in completed sales</x:v>
      </x:c>
      <x:c r="AO883" s="12" t="str">
        <x:v>Not a refunded record</x:v>
      </x:c>
      <x:c r="AP883" s="37" t="n">
        <x:f>IF(LEFT($AM883,7)="Invalid","",IF($AM883="Missing discount imputed as 0",IF(AND(COUNT($O883,$P883,$R883,$S883)=4,$O883&gt;0,$P883&gt;=0,$R883&gt;=0,$S883&gt;=0),0,""),IF(AND(ISNUMBER($Q883),$Q883&gt;=0,$Q883&lt;=0.5),$Q883,"")))</x:f>
        <x:v>0.25</x:v>
      </x:c>
      <x:c r="AQ883" s="152" t="n">
        <x:f>IF(OR($W883="",NOT(ISNUMBER($R883))),"",ROUND($R883-$W883,2))</x:f>
        <x:v>0</x:v>
      </x:c>
      <x:c r="AR883" s="152" t="n">
        <x:f>IF(OR($X883="",NOT(ISNUMBER($T883))),"",ROUND($T883-$X883,2))</x:f>
        <x:v>0</x:v>
      </x:c>
      <x:c r="AS883" s="14" t="str">
        <x:v>OK</x:v>
      </x:c>
    </x:row>
    <x:row r="884">
      <x:c r="A884" s="80" t="n">
        <x:v>884</x:v>
      </x:c>
      <x:c r="B884" s="80" t="str">
        <x:v>ORD-2025-10883</x:v>
      </x:c>
      <x:c r="C884" s="81" t="n">
        <x:v>45690</x:v>
      </x:c>
      <x:c r="D884" s="81" t="n">
        <x:v>45698</x:v>
      </x:c>
      <x:c r="E884" s="80" t="str">
        <x:v>CUST-4983</x:v>
      </x:c>
      <x:c r="F884" s="80" t="str">
        <x:v>Sneha Kapoor</x:v>
      </x:c>
      <x:c r="G884" s="80" t="str">
        <x:v>Corporate</x:v>
      </x:c>
      <x:c r="H884" s="80" t="str">
        <x:v>East</x:v>
      </x:c>
      <x:c r="I884" s="80" t="str">
        <x:v>Bihar</x:v>
      </x:c>
      <x:c r="J884" s="80" t="str">
        <x:v>Patna</x:v>
      </x:c>
      <x:c r="K884" s="80" t="str">
        <x:v>Technology</x:v>
      </x:c>
      <x:c r="L884" s="80" t="str">
        <x:v>Accessories</x:v>
      </x:c>
      <x:c r="M884" s="80" t="str">
        <x:v>Basic Accessories 607</x:v>
      </x:c>
      <x:c r="N884" s="80" t="str">
        <x:v>Standard Class</x:v>
      </x:c>
      <x:c r="O884" s="82" t="n">
        <x:v>4</x:v>
      </x:c>
      <x:c r="P884" s="83" t="n">
        <x:v>1912.45</x:v>
      </x:c>
      <x:c r="Q884" s="84" t="n">
        <x:v>0</x:v>
      </x:c>
      <x:c r="R884" s="83" t="n">
        <x:v>7649.8</x:v>
      </x:c>
      <x:c r="S884" s="83" t="n">
        <x:v>4894.53</x:v>
      </x:c>
      <x:c r="T884" s="83" t="n">
        <x:v>2755.27</x:v>
      </x:c>
      <x:c r="U884" s="83" t="str">
        <x:v>Pending</x:v>
      </x:c>
      <x:c r="V884" s="83" t="str">
        <x:v>Returned</x:v>
      </x:c>
      <x:c r="W884" s="151" t="n">
        <x:f>IF(OR(NOT(ISNUMBER($AP884)),COUNT($O884,$P884)&lt;2,$O884&lt;=0,$P884&lt;0),"",ROUND($O884*$P884*(1-$AP884),2))</x:f>
        <x:v>7649.8</x:v>
      </x:c>
      <x:c r="X884" s="151" t="n">
        <x:f>IF(OR(NOT(ISNUMBER($W884)),NOT(ISNUMBER($S884))),"",ROUND($W884-$S884,2))</x:f>
        <x:v>2755.27</x:v>
      </x:c>
      <x:c r="Y884" s="85" t="n">
        <x:f>IF(OR(NOT(ISNUMBER($W884)),NOT(ISNUMBER($X884)),$W884=0),"",ROUND($X884/$W884,4))</x:f>
        <x:v>0.3602</x:v>
      </x:c>
      <x:c r="Z884" s="82" t="n">
        <x:f>IF(OR($AH884&lt;&gt;"Valid",$AI884&lt;&gt;"Valid"),"",INT($D884-$C884))</x:f>
        <x:v>8</x:v>
      </x:c>
      <x:c r="AA884" s="86" t="str">
        <x:f>IF($AH884&lt;&gt;"Valid","",TEXT($C884,"mmmm"))</x:f>
        <x:v>February</x:v>
      </x:c>
      <x:c r="AB884" s="82" t="n">
        <x:f>IF($AH884&lt;&gt;"Valid","",YEAR($C884))</x:f>
        <x:v>2025</x:v>
      </x:c>
      <x:c r="AC884" s="80" t="str">
        <x:v>Consistent</x:v>
      </x:c>
      <x:c r="AD884" s="80" t="str">
        <x:v>Excluded</x:v>
      </x:c>
      <x:c r="AE884" s="80" t="str">
        <x:f>IF(OR($AH884&lt;&gt;"Valid",$AI884&lt;&gt;"Valid",$AJ884&lt;&gt;"Valid",LEFT($AM884,7)="Invalid",IFERROR(ABS($AQ884)&gt;0.01,FALSE),IFERROR(ABS($AR884)&gt;0.01,FALSE),COUNTIF($AS884,"*Conflicting duplicate*")&gt;0,COUNTIF($AS884,"*Completed order not paid*")&gt;0),"Invalid",IF(OR($H884="Unknown",$N884="Unknown",$AM884="Missing discount imputed as 0"),"Warning","Clean"))</x:f>
        <x:v>Clean</x:v>
      </x:c>
      <x:c r="AF884" s="80" t="str">
        <x:v>Pass</x:v>
      </x:c>
      <x:c r="AG884" s="80" t="str">
        <x:v>No text cleanup required</x:v>
      </x:c>
      <x:c r="AH884" s="12" t="str">
        <x:f>IF(C884="","Missing date",IF(ISNUMBER(C884),"Valid","Unrecognized/invalid date"))</x:f>
        <x:v>Valid</x:v>
      </x:c>
      <x:c r="AI884" s="12" t="str">
        <x:f>IF(D884="","Missing date",IF(ISNUMBER(D884),"Valid","Unrecognized/invalid date"))</x:f>
        <x:v>Valid</x:v>
      </x:c>
      <x:c r="AJ884" s="12" t="str">
        <x:v>Valid</x:v>
      </x:c>
      <x:c r="AK884" s="12" t="str">
        <x:v>Pass</x:v>
      </x:c>
      <x:c r="AL884" s="12" t="str">
        <x:v>None</x:v>
      </x:c>
      <x:c r="AM884" s="12" t="str">
        <x:v>Valid</x:v>
      </x:c>
      <x:c r="AN884" s="12" t="str">
        <x:v>Exclude from completed sales</x:v>
      </x:c>
      <x:c r="AO884" s="12" t="str">
        <x:v>Not a refunded record</x:v>
      </x:c>
      <x:c r="AP884" s="37" t="n">
        <x:f>IF(LEFT($AM884,7)="Invalid","",IF($AM884="Missing discount imputed as 0",IF(AND(COUNT($O884,$P884,$R884,$S884)=4,$O884&gt;0,$P884&gt;=0,$R884&gt;=0,$S884&gt;=0),0,""),IF(AND(ISNUMBER($Q884),$Q884&gt;=0,$Q884&lt;=0.5),$Q884,"")))</x:f>
        <x:v>0</x:v>
      </x:c>
      <x:c r="AQ884" s="152" t="n">
        <x:f>IF(OR($W884="",NOT(ISNUMBER($R884))),"",ROUND($R884-$W884,2))</x:f>
        <x:v>0</x:v>
      </x:c>
      <x:c r="AR884" s="152" t="n">
        <x:f>IF(OR($X884="",NOT(ISNUMBER($T884))),"",ROUND($T884-$X884,2))</x:f>
        <x:v>0</x:v>
      </x:c>
      <x:c r="AS884" s="14" t="str">
        <x:v>OK</x:v>
      </x:c>
    </x:row>
    <x:row r="885">
      <x:c r="A885" s="80" t="n">
        <x:v>885</x:v>
      </x:c>
      <x:c r="B885" s="80" t="str">
        <x:v>ORD-2025-10884</x:v>
      </x:c>
      <x:c r="C885" s="81" t="n">
        <x:v>45775</x:v>
      </x:c>
      <x:c r="D885" s="81" t="n">
        <x:v>45778</x:v>
      </x:c>
      <x:c r="E885" s="80" t="str">
        <x:v>CUST-2597</x:v>
      </x:c>
      <x:c r="F885" s="80" t="str">
        <x:v>Aarav Sharma</x:v>
      </x:c>
      <x:c r="G885" s="80" t="str">
        <x:v>Small Business</x:v>
      </x:c>
      <x:c r="H885" s="80" t="str">
        <x:v>West</x:v>
      </x:c>
      <x:c r="I885" s="80" t="str">
        <x:v>Goa</x:v>
      </x:c>
      <x:c r="J885" s="80" t="str">
        <x:v>Panaji</x:v>
      </x:c>
      <x:c r="K885" s="80" t="str">
        <x:v>Office Supplies</x:v>
      </x:c>
      <x:c r="L885" s="80" t="str">
        <x:v>Storage</x:v>
      </x:c>
      <x:c r="M885" s="80" t="str">
        <x:v>Classic Storage 211</x:v>
      </x:c>
      <x:c r="N885" s="80" t="str">
        <x:v>Same Day</x:v>
      </x:c>
      <x:c r="O885" s="82" t="n">
        <x:v>1</x:v>
      </x:c>
      <x:c r="P885" s="83" t="n">
        <x:v>1620.87</x:v>
      </x:c>
      <x:c r="Q885" s="84" t="n">
        <x:v>0</x:v>
      </x:c>
      <x:c r="R885" s="83" t="n">
        <x:v>1620.87</x:v>
      </x:c>
      <x:c r="S885" s="83" t="n">
        <x:v>1103.61</x:v>
      </x:c>
      <x:c r="T885" s="83" t="n">
        <x:v>517.26</x:v>
      </x:c>
      <x:c r="U885" s="83" t="str">
        <x:v>Paid</x:v>
      </x:c>
      <x:c r="V885" s="83" t="str">
        <x:v>Completed</x:v>
      </x:c>
      <x:c r="W885" s="151" t="n">
        <x:f>IF(OR(NOT(ISNUMBER($AP885)),COUNT($O885,$P885)&lt;2,$O885&lt;=0,$P885&lt;0),"",ROUND($O885*$P885*(1-$AP885),2))</x:f>
        <x:v>1620.87</x:v>
      </x:c>
      <x:c r="X885" s="151" t="n">
        <x:f>IF(OR(NOT(ISNUMBER($W885)),NOT(ISNUMBER($S885))),"",ROUND($W885-$S885,2))</x:f>
        <x:v>517.26</x:v>
      </x:c>
      <x:c r="Y885" s="85" t="n">
        <x:f>IF(OR(NOT(ISNUMBER($W885)),NOT(ISNUMBER($X885)),$W885=0),"",ROUND($X885/$W885,4))</x:f>
        <x:v>0.3191</x:v>
      </x:c>
      <x:c r="Z885" s="82" t="n">
        <x:f>IF(OR($AH885&lt;&gt;"Valid",$AI885&lt;&gt;"Valid"),"",INT($D885-$C885))</x:f>
        <x:v>3</x:v>
      </x:c>
      <x:c r="AA885" s="86" t="str">
        <x:f>IF($AH885&lt;&gt;"Valid","",TEXT($C885,"mmmm"))</x:f>
        <x:v>April</x:v>
      </x:c>
      <x:c r="AB885" s="82" t="n">
        <x:f>IF($AH885&lt;&gt;"Valid","",YEAR($C885))</x:f>
        <x:v>2025</x:v>
      </x:c>
      <x:c r="AC885" s="80" t="str">
        <x:v>Consistent</x:v>
      </x:c>
      <x:c r="AD885" s="80" t="str">
        <x:v>Eligible</x:v>
      </x:c>
      <x:c r="AE885" s="80" t="str">
        <x:f>IF(OR($AH885&lt;&gt;"Valid",$AI885&lt;&gt;"Valid",$AJ885&lt;&gt;"Valid",LEFT($AM885,7)="Invalid",IFERROR(ABS($AQ885)&gt;0.01,FALSE),IFERROR(ABS($AR885)&gt;0.01,FALSE),COUNTIF($AS885,"*Conflicting duplicate*")&gt;0,COUNTIF($AS885,"*Completed order not paid*")&gt;0),"Invalid",IF(OR($H885="Unknown",$N885="Unknown",$AM885="Missing discount imputed as 0"),"Warning","Clean"))</x:f>
        <x:v>Clean</x:v>
      </x:c>
      <x:c r="AF885" s="80" t="str">
        <x:v>Pass</x:v>
      </x:c>
      <x:c r="AG885" s="80" t="str">
        <x:v>No text cleanup required</x:v>
      </x:c>
      <x:c r="AH885" s="12" t="str">
        <x:f>IF(C885="","Missing date",IF(ISNUMBER(C885),"Valid","Unrecognized/invalid date"))</x:f>
        <x:v>Valid</x:v>
      </x:c>
      <x:c r="AI885" s="12" t="str">
        <x:f>IF(D885="","Missing date",IF(ISNUMBER(D885),"Valid","Unrecognized/invalid date"))</x:f>
        <x:v>Valid</x:v>
      </x:c>
      <x:c r="AJ885" s="12" t="str">
        <x:v>Valid</x:v>
      </x:c>
      <x:c r="AK885" s="12" t="str">
        <x:v>Pass</x:v>
      </x:c>
      <x:c r="AL885" s="12" t="str">
        <x:v>None</x:v>
      </x:c>
      <x:c r="AM885" s="12" t="str">
        <x:v>Valid</x:v>
      </x:c>
      <x:c r="AN885" s="12" t="str">
        <x:v>Include in completed sales</x:v>
      </x:c>
      <x:c r="AO885" s="12" t="str">
        <x:v>Not a refunded record</x:v>
      </x:c>
      <x:c r="AP885" s="37" t="n">
        <x:f>IF(LEFT($AM885,7)="Invalid","",IF($AM885="Missing discount imputed as 0",IF(AND(COUNT($O885,$P885,$R885,$S885)=4,$O885&gt;0,$P885&gt;=0,$R885&gt;=0,$S885&gt;=0),0,""),IF(AND(ISNUMBER($Q885),$Q885&gt;=0,$Q885&lt;=0.5),$Q885,"")))</x:f>
        <x:v>0</x:v>
      </x:c>
      <x:c r="AQ885" s="152" t="n">
        <x:f>IF(OR($W885="",NOT(ISNUMBER($R885))),"",ROUND($R885-$W885,2))</x:f>
        <x:v>0</x:v>
      </x:c>
      <x:c r="AR885" s="152" t="n">
        <x:f>IF(OR($X885="",NOT(ISNUMBER($T885))),"",ROUND($T885-$X885,2))</x:f>
        <x:v>0</x:v>
      </x:c>
      <x:c r="AS885" s="14" t="str">
        <x:v>OK</x:v>
      </x:c>
    </x:row>
    <x:row r="886">
      <x:c r="A886" s="80" t="n">
        <x:v>886</x:v>
      </x:c>
      <x:c r="B886" s="80" t="str">
        <x:v>ORD-2025-10885</x:v>
      </x:c>
      <x:c r="C886" s="81" t="n">
        <x:v>45675</x:v>
      </x:c>
      <x:c r="D886" s="81" t="n">
        <x:v>45682</x:v>
      </x:c>
      <x:c r="E886" s="80" t="str">
        <x:v>CUST-7505</x:v>
      </x:c>
      <x:c r="F886" s="80" t="str">
        <x:v>Neha Gupta</x:v>
      </x:c>
      <x:c r="G886" s="80" t="str">
        <x:v>Home Office</x:v>
      </x:c>
      <x:c r="H886" s="80" t="str">
        <x:v>South</x:v>
      </x:c>
      <x:c r="I886" s="80" t="str">
        <x:v>Karnataka</x:v>
      </x:c>
      <x:c r="J886" s="80" t="str">
        <x:v>Bengaluru</x:v>
      </x:c>
      <x:c r="K886" s="80" t="str">
        <x:v>Office Supplies</x:v>
      </x:c>
      <x:c r="L886" s="80" t="str">
        <x:v>Storage</x:v>
      </x:c>
      <x:c r="M886" s="80" t="str">
        <x:v>Eco Storage 783</x:v>
      </x:c>
      <x:c r="N886" s="80" t="str">
        <x:v>Same Day</x:v>
      </x:c>
      <x:c r="O886" s="82" t="n">
        <x:v>2</x:v>
      </x:c>
      <x:c r="P886" s="83" t="n">
        <x:v>2098.54</x:v>
      </x:c>
      <x:c r="Q886" s="84" t="n">
        <x:v>0.15</x:v>
      </x:c>
      <x:c r="R886" s="83" t="n">
        <x:v>3567.52</x:v>
      </x:c>
      <x:c r="S886" s="83" t="n">
        <x:v>2411.8</x:v>
      </x:c>
      <x:c r="T886" s="83" t="n">
        <x:v>1155.72</x:v>
      </x:c>
      <x:c r="U886" s="83" t="str">
        <x:v>Paid</x:v>
      </x:c>
      <x:c r="V886" s="83" t="str">
        <x:v>Completed</x:v>
      </x:c>
      <x:c r="W886" s="151" t="n">
        <x:f>IF(OR(NOT(ISNUMBER($AP886)),COUNT($O886,$P886)&lt;2,$O886&lt;=0,$P886&lt;0),"",ROUND($O886*$P886*(1-$AP886),2))</x:f>
        <x:v>3567.52</x:v>
      </x:c>
      <x:c r="X886" s="151" t="n">
        <x:f>IF(OR(NOT(ISNUMBER($W886)),NOT(ISNUMBER($S886))),"",ROUND($W886-$S886,2))</x:f>
        <x:v>1155.72</x:v>
      </x:c>
      <x:c r="Y886" s="85" t="n">
        <x:f>IF(OR(NOT(ISNUMBER($W886)),NOT(ISNUMBER($X886)),$W886=0),"",ROUND($X886/$W886,4))</x:f>
        <x:v>0.324</x:v>
      </x:c>
      <x:c r="Z886" s="82" t="n">
        <x:f>IF(OR($AH886&lt;&gt;"Valid",$AI886&lt;&gt;"Valid"),"",INT($D886-$C886))</x:f>
        <x:v>7</x:v>
      </x:c>
      <x:c r="AA886" s="86" t="str">
        <x:f>IF($AH886&lt;&gt;"Valid","",TEXT($C886,"mmmm"))</x:f>
        <x:v>January</x:v>
      </x:c>
      <x:c r="AB886" s="82" t="n">
        <x:f>IF($AH886&lt;&gt;"Valid","",YEAR($C886))</x:f>
        <x:v>2025</x:v>
      </x:c>
      <x:c r="AC886" s="80" t="str">
        <x:v>Consistent</x:v>
      </x:c>
      <x:c r="AD886" s="80" t="str">
        <x:v>Eligible</x:v>
      </x:c>
      <x:c r="AE886" s="80" t="str">
        <x:f>IF(OR($AH886&lt;&gt;"Valid",$AI886&lt;&gt;"Valid",$AJ886&lt;&gt;"Valid",LEFT($AM886,7)="Invalid",IFERROR(ABS($AQ886)&gt;0.01,FALSE),IFERROR(ABS($AR886)&gt;0.01,FALSE),COUNTIF($AS886,"*Conflicting duplicate*")&gt;0,COUNTIF($AS886,"*Completed order not paid*")&gt;0),"Invalid",IF(OR($H886="Unknown",$N886="Unknown",$AM886="Missing discount imputed as 0"),"Warning","Clean"))</x:f>
        <x:v>Clean</x:v>
      </x:c>
      <x:c r="AF886" s="80" t="str">
        <x:v>Pass</x:v>
      </x:c>
      <x:c r="AG886" s="80" t="str">
        <x:v>No text cleanup required</x:v>
      </x:c>
      <x:c r="AH886" s="12" t="str">
        <x:f>IF(C886="","Missing date",IF(ISNUMBER(C886),"Valid","Unrecognized/invalid date"))</x:f>
        <x:v>Valid</x:v>
      </x:c>
      <x:c r="AI886" s="12" t="str">
        <x:f>IF(D886="","Missing date",IF(ISNUMBER(D886),"Valid","Unrecognized/invalid date"))</x:f>
        <x:v>Valid</x:v>
      </x:c>
      <x:c r="AJ886" s="12" t="str">
        <x:v>Valid</x:v>
      </x:c>
      <x:c r="AK886" s="12" t="str">
        <x:v>Pass</x:v>
      </x:c>
      <x:c r="AL886" s="12" t="str">
        <x:v>None</x:v>
      </x:c>
      <x:c r="AM886" s="12" t="str">
        <x:v>Valid</x:v>
      </x:c>
      <x:c r="AN886" s="12" t="str">
        <x:v>Include in completed sales</x:v>
      </x:c>
      <x:c r="AO886" s="12" t="str">
        <x:v>Not a refunded record</x:v>
      </x:c>
      <x:c r="AP886" s="37" t="n">
        <x:f>IF(LEFT($AM886,7)="Invalid","",IF($AM886="Missing discount imputed as 0",IF(AND(COUNT($O886,$P886,$R886,$S886)=4,$O886&gt;0,$P886&gt;=0,$R886&gt;=0,$S886&gt;=0),0,""),IF(AND(ISNUMBER($Q886),$Q886&gt;=0,$Q886&lt;=0.5),$Q886,"")))</x:f>
        <x:v>0.15</x:v>
      </x:c>
      <x:c r="AQ886" s="152" t="n">
        <x:f>IF(OR($W886="",NOT(ISNUMBER($R886))),"",ROUND($R886-$W886,2))</x:f>
        <x:v>0</x:v>
      </x:c>
      <x:c r="AR886" s="152" t="n">
        <x:f>IF(OR($X886="",NOT(ISNUMBER($T886))),"",ROUND($T886-$X886,2))</x:f>
        <x:v>0</x:v>
      </x:c>
      <x:c r="AS886" s="14" t="str">
        <x:v>OK</x:v>
      </x:c>
    </x:row>
    <x:row r="887">
      <x:c r="A887" s="80" t="n">
        <x:v>887</x:v>
      </x:c>
      <x:c r="B887" s="80" t="str">
        <x:v>ORD-2024-10886</x:v>
      </x:c>
      <x:c r="C887" s="81" t="n">
        <x:v>45296</x:v>
      </x:c>
      <x:c r="D887" s="81" t="n">
        <x:v>45296</x:v>
      </x:c>
      <x:c r="E887" s="80" t="str">
        <x:v>CUST-3446</x:v>
      </x:c>
      <x:c r="F887" s="80" t="str">
        <x:v>Diya Patel</x:v>
      </x:c>
      <x:c r="G887" s="80" t="str">
        <x:v>Consumer</x:v>
      </x:c>
      <x:c r="H887" s="80" t="str">
        <x:v>North</x:v>
      </x:c>
      <x:c r="I887" s="80" t="str">
        <x:v>Rajasthan</x:v>
      </x:c>
      <x:c r="J887" s="80" t="str">
        <x:v>Jaipur</x:v>
      </x:c>
      <x:c r="K887" s="80" t="str">
        <x:v>Furniture</x:v>
      </x:c>
      <x:c r="L887" s="80" t="str">
        <x:v>Tables</x:v>
      </x:c>
      <x:c r="M887" s="80" t="str">
        <x:v>Pro Tables 866</x:v>
      </x:c>
      <x:c r="N887" s="80" t="str">
        <x:v>Standard Class</x:v>
      </x:c>
      <x:c r="O887" s="82" t="n">
        <x:v>1</x:v>
      </x:c>
      <x:c r="P887" s="83" t="n">
        <x:v>2167.08</x:v>
      </x:c>
      <x:c r="Q887" s="84" t="n">
        <x:v>0.25</x:v>
      </x:c>
      <x:c r="R887" s="83" t="n">
        <x:v>1625.31</x:v>
      </x:c>
      <x:c r="S887" s="83" t="n">
        <x:v>1157.89</x:v>
      </x:c>
      <x:c r="T887" s="83" t="n">
        <x:v>467.42</x:v>
      </x:c>
      <x:c r="U887" s="83" t="str">
        <x:v>Paid</x:v>
      </x:c>
      <x:c r="V887" s="83" t="str">
        <x:v>Completed</x:v>
      </x:c>
      <x:c r="W887" s="151" t="n">
        <x:f>IF(OR(NOT(ISNUMBER($AP887)),COUNT($O887,$P887)&lt;2,$O887&lt;=0,$P887&lt;0),"",ROUND($O887*$P887*(1-$AP887),2))</x:f>
        <x:v>1625.31</x:v>
      </x:c>
      <x:c r="X887" s="151" t="n">
        <x:f>IF(OR(NOT(ISNUMBER($W887)),NOT(ISNUMBER($S887))),"",ROUND($W887-$S887,2))</x:f>
        <x:v>467.42</x:v>
      </x:c>
      <x:c r="Y887" s="85" t="n">
        <x:f>IF(OR(NOT(ISNUMBER($W887)),NOT(ISNUMBER($X887)),$W887=0),"",ROUND($X887/$W887,4))</x:f>
        <x:v>0.2876</x:v>
      </x:c>
      <x:c r="Z887" s="82" t="n">
        <x:f>IF(OR($AH887&lt;&gt;"Valid",$AI887&lt;&gt;"Valid"),"",INT($D887-$C887))</x:f>
        <x:v>0</x:v>
      </x:c>
      <x:c r="AA887" s="86" t="str">
        <x:f>IF($AH887&lt;&gt;"Valid","",TEXT($C887,"mmmm"))</x:f>
        <x:v>January</x:v>
      </x:c>
      <x:c r="AB887" s="82" t="n">
        <x:f>IF($AH887&lt;&gt;"Valid","",YEAR($C887))</x:f>
        <x:v>2024</x:v>
      </x:c>
      <x:c r="AC887" s="80" t="str">
        <x:v>Consistent</x:v>
      </x:c>
      <x:c r="AD887" s="80" t="str">
        <x:v>Eligible</x:v>
      </x:c>
      <x:c r="AE887" s="80" t="str">
        <x:f>IF(OR($AH887&lt;&gt;"Valid",$AI887&lt;&gt;"Valid",$AJ887&lt;&gt;"Valid",LEFT($AM887,7)="Invalid",IFERROR(ABS($AQ887)&gt;0.01,FALSE),IFERROR(ABS($AR887)&gt;0.01,FALSE),COUNTIF($AS887,"*Conflicting duplicate*")&gt;0,COUNTIF($AS887,"*Completed order not paid*")&gt;0),"Invalid",IF(OR($H887="Unknown",$N887="Unknown",$AM887="Missing discount imputed as 0"),"Warning","Clean"))</x:f>
        <x:v>Clean</x:v>
      </x:c>
      <x:c r="AF887" s="80" t="str">
        <x:v>Pass</x:v>
      </x:c>
      <x:c r="AG887" s="80" t="str">
        <x:v>No text cleanup required</x:v>
      </x:c>
      <x:c r="AH887" s="12" t="str">
        <x:f>IF(C887="","Missing date",IF(ISNUMBER(C887),"Valid","Unrecognized/invalid date"))</x:f>
        <x:v>Valid</x:v>
      </x:c>
      <x:c r="AI887" s="12" t="str">
        <x:f>IF(D887="","Missing date",IF(ISNUMBER(D887),"Valid","Unrecognized/invalid date"))</x:f>
        <x:v>Valid</x:v>
      </x:c>
      <x:c r="AJ887" s="12" t="str">
        <x:v>Valid</x:v>
      </x:c>
      <x:c r="AK887" s="12" t="str">
        <x:v>Pass</x:v>
      </x:c>
      <x:c r="AL887" s="12" t="str">
        <x:v>None</x:v>
      </x:c>
      <x:c r="AM887" s="12" t="str">
        <x:v>Valid</x:v>
      </x:c>
      <x:c r="AN887" s="12" t="str">
        <x:v>Include in completed sales</x:v>
      </x:c>
      <x:c r="AO887" s="12" t="str">
        <x:v>Not a refunded record</x:v>
      </x:c>
      <x:c r="AP887" s="37" t="n">
        <x:f>IF(LEFT($AM887,7)="Invalid","",IF($AM887="Missing discount imputed as 0",IF(AND(COUNT($O887,$P887,$R887,$S887)=4,$O887&gt;0,$P887&gt;=0,$R887&gt;=0,$S887&gt;=0),0,""),IF(AND(ISNUMBER($Q887),$Q887&gt;=0,$Q887&lt;=0.5),$Q887,"")))</x:f>
        <x:v>0.25</x:v>
      </x:c>
      <x:c r="AQ887" s="152" t="n">
        <x:f>IF(OR($W887="",NOT(ISNUMBER($R887))),"",ROUND($R887-$W887,2))</x:f>
        <x:v>0</x:v>
      </x:c>
      <x:c r="AR887" s="152" t="n">
        <x:f>IF(OR($X887="",NOT(ISNUMBER($T887))),"",ROUND($T887-$X887,2))</x:f>
        <x:v>0</x:v>
      </x:c>
      <x:c r="AS887" s="14" t="str">
        <x:v>OK</x:v>
      </x:c>
    </x:row>
    <x:row r="888">
      <x:c r="A888" s="80" t="n">
        <x:v>888</x:v>
      </x:c>
      <x:c r="B888" s="80" t="str">
        <x:v>ORD-2025-10887</x:v>
      </x:c>
      <x:c r="C888" s="81" t="n">
        <x:v>45773</x:v>
      </x:c>
      <x:c r="D888" s="81" t="n">
        <x:v>45780</x:v>
      </x:c>
      <x:c r="E888" s="80" t="str">
        <x:v>CUST-3549</x:v>
      </x:c>
      <x:c r="F888" s="80" t="str">
        <x:v>Arjun Bose</x:v>
      </x:c>
      <x:c r="G888" s="80" t="str">
        <x:v>Home Office</x:v>
      </x:c>
      <x:c r="H888" s="80" t="str">
        <x:v>South</x:v>
      </x:c>
      <x:c r="I888" s="80" t="str">
        <x:v>Tamil Nadu</x:v>
      </x:c>
      <x:c r="J888" s="80" t="str">
        <x:v>Chennai</x:v>
      </x:c>
      <x:c r="K888" s="80" t="str">
        <x:v>Technology</x:v>
      </x:c>
      <x:c r="L888" s="80" t="str">
        <x:v>Accessories</x:v>
      </x:c>
      <x:c r="M888" s="80" t="str">
        <x:v>Max Accessories 541</x:v>
      </x:c>
      <x:c r="N888" s="80" t="str">
        <x:v>First Class</x:v>
      </x:c>
      <x:c r="O888" s="82" t="n">
        <x:v>7</x:v>
      </x:c>
      <x:c r="P888" s="83" t="n">
        <x:v>3989.9</x:v>
      </x:c>
      <x:c r="Q888" s="84" t="n">
        <x:v>0.15</x:v>
      </x:c>
      <x:c r="R888" s="83" t="n">
        <x:v>23739.9</x:v>
      </x:c>
      <x:c r="S888" s="83" t="n">
        <x:v>17716.52</x:v>
      </x:c>
      <x:c r="T888" s="83" t="n">
        <x:v>6023.38</x:v>
      </x:c>
      <x:c r="U888" s="83" t="str">
        <x:v>Paid</x:v>
      </x:c>
      <x:c r="V888" s="83" t="str">
        <x:v>Cancelled</x:v>
      </x:c>
      <x:c r="W888" s="151" t="n">
        <x:f>IF(OR(NOT(ISNUMBER($AP888)),COUNT($O888,$P888)&lt;2,$O888&lt;=0,$P888&lt;0),"",ROUND($O888*$P888*(1-$AP888),2))</x:f>
        <x:v>23739.91</x:v>
      </x:c>
      <x:c r="X888" s="151" t="n">
        <x:f>IF(OR(NOT(ISNUMBER($W888)),NOT(ISNUMBER($S888))),"",ROUND($W888-$S888,2))</x:f>
        <x:v>6023.39</x:v>
      </x:c>
      <x:c r="Y888" s="85" t="n">
        <x:f>IF(OR(NOT(ISNUMBER($W888)),NOT(ISNUMBER($X888)),$W888=0),"",ROUND($X888/$W888,4))</x:f>
        <x:v>0.2537</x:v>
      </x:c>
      <x:c r="Z888" s="82" t="n">
        <x:f>IF(OR($AH888&lt;&gt;"Valid",$AI888&lt;&gt;"Valid"),"",INT($D888-$C888))</x:f>
        <x:v>7</x:v>
      </x:c>
      <x:c r="AA888" s="86" t="str">
        <x:f>IF($AH888&lt;&gt;"Valid","",TEXT($C888,"mmmm"))</x:f>
        <x:v>April</x:v>
      </x:c>
      <x:c r="AB888" s="82" t="n">
        <x:f>IF($AH888&lt;&gt;"Valid","",YEAR($C888))</x:f>
        <x:v>2025</x:v>
      </x:c>
      <x:c r="AC888" s="80" t="str">
        <x:v>Cancelled (excluded from completed-sales summary)</x:v>
      </x:c>
      <x:c r="AD888" s="80" t="str">
        <x:v>Excluded</x:v>
      </x:c>
      <x:c r="AE888" s="80" t="str">
        <x:f>IF(OR($AH888&lt;&gt;"Valid",$AI888&lt;&gt;"Valid",$AJ888&lt;&gt;"Valid",LEFT($AM888,7)="Invalid",IFERROR(ABS($AQ888)&gt;0.01,FALSE),IFERROR(ABS($AR888)&gt;0.01,FALSE),COUNTIF($AS888,"*Conflicting duplicate*")&gt;0,COUNTIF($AS888,"*Completed order not paid*")&gt;0),"Invalid",IF(OR($H888="Unknown",$N888="Unknown",$AM888="Missing discount imputed as 0"),"Warning","Clean"))</x:f>
        <x:v>Clean</x:v>
      </x:c>
      <x:c r="AF888" s="80" t="str">
        <x:v>Pass</x:v>
      </x:c>
      <x:c r="AG888" s="80" t="str">
        <x:v>No text cleanup required</x:v>
      </x:c>
      <x:c r="AH888" s="12" t="str">
        <x:f>IF(C888="","Missing date",IF(ISNUMBER(C888),"Valid","Unrecognized/invalid date"))</x:f>
        <x:v>Valid</x:v>
      </x:c>
      <x:c r="AI888" s="12" t="str">
        <x:f>IF(D888="","Missing date",IF(ISNUMBER(D888),"Valid","Unrecognized/invalid date"))</x:f>
        <x:v>Valid</x:v>
      </x:c>
      <x:c r="AJ888" s="12" t="str">
        <x:v>Valid</x:v>
      </x:c>
      <x:c r="AK888" s="12" t="str">
        <x:v>Pass</x:v>
      </x:c>
      <x:c r="AL888" s="12" t="str">
        <x:v>Cancelled order – excluded from completed sales</x:v>
      </x:c>
      <x:c r="AM888" s="12" t="str">
        <x:v>Valid</x:v>
      </x:c>
      <x:c r="AN888" s="12" t="str">
        <x:v>Exclude from completed sales</x:v>
      </x:c>
      <x:c r="AO888" s="12" t="str">
        <x:v>Not a refunded record</x:v>
      </x:c>
      <x:c r="AP888" s="37" t="n">
        <x:f>IF(LEFT($AM888,7)="Invalid","",IF($AM888="Missing discount imputed as 0",IF(AND(COUNT($O888,$P888,$R888,$S888)=4,$O888&gt;0,$P888&gt;=0,$R888&gt;=0,$S888&gt;=0),0,""),IF(AND(ISNUMBER($Q888),$Q888&gt;=0,$Q888&lt;=0.5),$Q888,"")))</x:f>
        <x:v>0.15</x:v>
      </x:c>
      <x:c r="AQ888" s="152" t="n">
        <x:f>IF(OR($W888="",NOT(ISNUMBER($R888))),"",ROUND($R888-$W888,2))</x:f>
        <x:v>-0.01</x:v>
      </x:c>
      <x:c r="AR888" s="152" t="n">
        <x:f>IF(OR($X888="",NOT(ISNUMBER($T888))),"",ROUND($T888-$X888,2))</x:f>
        <x:v>-0.01</x:v>
      </x:c>
      <x:c r="AS888" s="14" t="str">
        <x:v>OK</x:v>
      </x:c>
    </x:row>
    <x:row r="889">
      <x:c r="A889" s="80" t="n">
        <x:v>889</x:v>
      </x:c>
      <x:c r="B889" s="80" t="str">
        <x:v>ORD-2024-10888</x:v>
      </x:c>
      <x:c r="C889" s="81" t="n">
        <x:v>45455</x:v>
      </x:c>
      <x:c r="D889" s="81" t="n">
        <x:v>45461</x:v>
      </x:c>
      <x:c r="E889" s="80" t="str">
        <x:v>CUST-2795</x:v>
      </x:c>
      <x:c r="F889" s="80" t="str">
        <x:v>Aarav Sharma</x:v>
      </x:c>
      <x:c r="G889" s="80" t="str">
        <x:v>Small Business</x:v>
      </x:c>
      <x:c r="H889" s="80" t="str">
        <x:v>South</x:v>
      </x:c>
      <x:c r="I889" s="80" t="str">
        <x:v>Andhra Pradesh</x:v>
      </x:c>
      <x:c r="J889" s="80" t="str">
        <x:v>Vijayawada</x:v>
      </x:c>
      <x:c r="K889" s="80" t="str">
        <x:v>Office Supplies</x:v>
      </x:c>
      <x:c r="L889" s="80" t="str">
        <x:v>Art</x:v>
      </x:c>
      <x:c r="M889" s="80" t="str">
        <x:v>Prime Art 596</x:v>
      </x:c>
      <x:c r="N889" s="80" t="str">
        <x:v>Standard Class</x:v>
      </x:c>
      <x:c r="O889" s="82" t="n">
        <x:v>4</x:v>
      </x:c>
      <x:c r="P889" s="83" t="n">
        <x:v>4176.13</x:v>
      </x:c>
      <x:c r="Q889" s="84" t="n">
        <x:v>0</x:v>
      </x:c>
      <x:c r="R889" s="83" t="n">
        <x:v>16704.52</x:v>
      </x:c>
      <x:c r="S889" s="83" t="n">
        <x:v>10158.28</x:v>
      </x:c>
      <x:c r="T889" s="83" t="n">
        <x:v>6546.24</x:v>
      </x:c>
      <x:c r="U889" s="83" t="str">
        <x:v>Paid</x:v>
      </x:c>
      <x:c r="V889" s="83" t="str">
        <x:v>Completed</x:v>
      </x:c>
      <x:c r="W889" s="151" t="n">
        <x:f>IF(OR(NOT(ISNUMBER($AP889)),COUNT($O889,$P889)&lt;2,$O889&lt;=0,$P889&lt;0),"",ROUND($O889*$P889*(1-$AP889),2))</x:f>
        <x:v>16704.52</x:v>
      </x:c>
      <x:c r="X889" s="151" t="n">
        <x:f>IF(OR(NOT(ISNUMBER($W889)),NOT(ISNUMBER($S889))),"",ROUND($W889-$S889,2))</x:f>
        <x:v>6546.24</x:v>
      </x:c>
      <x:c r="Y889" s="85" t="n">
        <x:f>IF(OR(NOT(ISNUMBER($W889)),NOT(ISNUMBER($X889)),$W889=0),"",ROUND($X889/$W889,4))</x:f>
        <x:v>0.3919</x:v>
      </x:c>
      <x:c r="Z889" s="82" t="n">
        <x:f>IF(OR($AH889&lt;&gt;"Valid",$AI889&lt;&gt;"Valid"),"",INT($D889-$C889))</x:f>
        <x:v>6</x:v>
      </x:c>
      <x:c r="AA889" s="86" t="str">
        <x:f>IF($AH889&lt;&gt;"Valid","",TEXT($C889,"mmmm"))</x:f>
        <x:v>June</x:v>
      </x:c>
      <x:c r="AB889" s="82" t="n">
        <x:f>IF($AH889&lt;&gt;"Valid","",YEAR($C889))</x:f>
        <x:v>2024</x:v>
      </x:c>
      <x:c r="AC889" s="80" t="str">
        <x:v>Consistent</x:v>
      </x:c>
      <x:c r="AD889" s="80" t="str">
        <x:v>Eligible</x:v>
      </x:c>
      <x:c r="AE889" s="80" t="str">
        <x:f>IF(OR($AH889&lt;&gt;"Valid",$AI889&lt;&gt;"Valid",$AJ889&lt;&gt;"Valid",LEFT($AM889,7)="Invalid",IFERROR(ABS($AQ889)&gt;0.01,FALSE),IFERROR(ABS($AR889)&gt;0.01,FALSE),COUNTIF($AS889,"*Conflicting duplicate*")&gt;0,COUNTIF($AS889,"*Completed order not paid*")&gt;0),"Invalid",IF(OR($H889="Unknown",$N889="Unknown",$AM889="Missing discount imputed as 0"),"Warning","Clean"))</x:f>
        <x:v>Clean</x:v>
      </x:c>
      <x:c r="AF889" s="80" t="str">
        <x:v>Pass</x:v>
      </x:c>
      <x:c r="AG889" s="80" t="str">
        <x:v>No text cleanup required</x:v>
      </x:c>
      <x:c r="AH889" s="12" t="str">
        <x:f>IF(C889="","Missing date",IF(ISNUMBER(C889),"Valid","Unrecognized/invalid date"))</x:f>
        <x:v>Valid</x:v>
      </x:c>
      <x:c r="AI889" s="12" t="str">
        <x:f>IF(D889="","Missing date",IF(ISNUMBER(D889),"Valid","Unrecognized/invalid date"))</x:f>
        <x:v>Valid</x:v>
      </x:c>
      <x:c r="AJ889" s="12" t="str">
        <x:v>Valid</x:v>
      </x:c>
      <x:c r="AK889" s="12" t="str">
        <x:v>Pass</x:v>
      </x:c>
      <x:c r="AL889" s="12" t="str">
        <x:v>None</x:v>
      </x:c>
      <x:c r="AM889" s="12" t="str">
        <x:v>Valid</x:v>
      </x:c>
      <x:c r="AN889" s="12" t="str">
        <x:v>Include in completed sales</x:v>
      </x:c>
      <x:c r="AO889" s="12" t="str">
        <x:v>Not a refunded record</x:v>
      </x:c>
      <x:c r="AP889" s="37" t="n">
        <x:f>IF(LEFT($AM889,7)="Invalid","",IF($AM889="Missing discount imputed as 0",IF(AND(COUNT($O889,$P889,$R889,$S889)=4,$O889&gt;0,$P889&gt;=0,$R889&gt;=0,$S889&gt;=0),0,""),IF(AND(ISNUMBER($Q889),$Q889&gt;=0,$Q889&lt;=0.5),$Q889,"")))</x:f>
        <x:v>0</x:v>
      </x:c>
      <x:c r="AQ889" s="152" t="n">
        <x:f>IF(OR($W889="",NOT(ISNUMBER($R889))),"",ROUND($R889-$W889,2))</x:f>
        <x:v>0</x:v>
      </x:c>
      <x:c r="AR889" s="152" t="n">
        <x:f>IF(OR($X889="",NOT(ISNUMBER($T889))),"",ROUND($T889-$X889,2))</x:f>
        <x:v>0</x:v>
      </x:c>
      <x:c r="AS889" s="14" t="str">
        <x:v>OK</x:v>
      </x:c>
    </x:row>
    <x:row r="890">
      <x:c r="A890" s="80" t="n">
        <x:v>890</x:v>
      </x:c>
      <x:c r="B890" s="80" t="str">
        <x:v>ORD-2025-10889</x:v>
      </x:c>
      <x:c r="C890" s="81" t="n">
        <x:v>45875</x:v>
      </x:c>
      <x:c r="D890" s="81" t="n">
        <x:v>45876</x:v>
      </x:c>
      <x:c r="E890" s="80" t="str">
        <x:v>CUST-1081</x:v>
      </x:c>
      <x:c r="F890" s="80" t="str">
        <x:v>Rahul Verma</x:v>
      </x:c>
      <x:c r="G890" s="80" t="str">
        <x:v>Small Business</x:v>
      </x:c>
      <x:c r="H890" s="80" t="str">
        <x:v>West</x:v>
      </x:c>
      <x:c r="I890" s="80" t="str">
        <x:v>Maharashtra</x:v>
      </x:c>
      <x:c r="J890" s="80" t="str">
        <x:v>Mumbai</x:v>
      </x:c>
      <x:c r="K890" s="80" t="str">
        <x:v>Office Supplies</x:v>
      </x:c>
      <x:c r="L890" s="80" t="str">
        <x:v>Art</x:v>
      </x:c>
      <x:c r="M890" s="80" t="str">
        <x:v>Pro Art 620</x:v>
      </x:c>
      <x:c r="N890" s="80" t="str">
        <x:v>Standard Class</x:v>
      </x:c>
      <x:c r="O890" s="82" t="n">
        <x:v>4</x:v>
      </x:c>
      <x:c r="P890" s="83" t="n">
        <x:v>3523.64</x:v>
      </x:c>
      <x:c r="Q890" s="84" t="n">
        <x:v>0.1</x:v>
      </x:c>
      <x:c r="R890" s="83" t="n">
        <x:v>12685.1</x:v>
      </x:c>
      <x:c r="S890" s="83" t="n">
        <x:v>10779.56</x:v>
      </x:c>
      <x:c r="T890" s="83" t="n">
        <x:v>1905.54</x:v>
      </x:c>
      <x:c r="U890" s="83" t="str">
        <x:v>Refunded</x:v>
      </x:c>
      <x:c r="V890" s="83" t="str">
        <x:v>Cancelled</x:v>
      </x:c>
      <x:c r="W890" s="151" t="n">
        <x:f>IF(OR(NOT(ISNUMBER($AP890)),COUNT($O890,$P890)&lt;2,$O890&lt;=0,$P890&lt;0),"",ROUND($O890*$P890*(1-$AP890),2))</x:f>
        <x:v>12685.1</x:v>
      </x:c>
      <x:c r="X890" s="151" t="n">
        <x:f>IF(OR(NOT(ISNUMBER($W890)),NOT(ISNUMBER($S890))),"",ROUND($W890-$S890,2))</x:f>
        <x:v>1905.54</x:v>
      </x:c>
      <x:c r="Y890" s="85" t="n">
        <x:f>IF(OR(NOT(ISNUMBER($W890)),NOT(ISNUMBER($X890)),$W890=0),"",ROUND($X890/$W890,4))</x:f>
        <x:v>0.1502</x:v>
      </x:c>
      <x:c r="Z890" s="82" t="n">
        <x:f>IF(OR($AH890&lt;&gt;"Valid",$AI890&lt;&gt;"Valid"),"",INT($D890-$C890))</x:f>
        <x:v>1</x:v>
      </x:c>
      <x:c r="AA890" s="86" t="str">
        <x:f>IF($AH890&lt;&gt;"Valid","",TEXT($C890,"mmmm"))</x:f>
        <x:v>August</x:v>
      </x:c>
      <x:c r="AB890" s="82" t="n">
        <x:f>IF($AH890&lt;&gt;"Valid","",YEAR($C890))</x:f>
        <x:v>2025</x:v>
      </x:c>
      <x:c r="AC890" s="80" t="str">
        <x:v>Cancelled (excluded from completed-sales summary)</x:v>
      </x:c>
      <x:c r="AD890" s="80" t="str">
        <x:v>Excluded</x:v>
      </x:c>
      <x:c r="AE890" s="80" t="str">
        <x:f>IF(OR($AH890&lt;&gt;"Valid",$AI890&lt;&gt;"Valid",$AJ890&lt;&gt;"Valid",LEFT($AM890,7)="Invalid",IFERROR(ABS($AQ890)&gt;0.01,FALSE),IFERROR(ABS($AR890)&gt;0.01,FALSE),COUNTIF($AS890,"*Conflicting duplicate*")&gt;0,COUNTIF($AS890,"*Completed order not paid*")&gt;0),"Invalid",IF(OR($H890="Unknown",$N890="Unknown",$AM890="Missing discount imputed as 0"),"Warning","Clean"))</x:f>
        <x:v>Clean</x:v>
      </x:c>
      <x:c r="AF890" s="80" t="str">
        <x:v>Pass</x:v>
      </x:c>
      <x:c r="AG890" s="80" t="str">
        <x:v>No text cleanup required</x:v>
      </x:c>
      <x:c r="AH890" s="12" t="str">
        <x:f>IF(C890="","Missing date",IF(ISNUMBER(C890),"Valid","Unrecognized/invalid date"))</x:f>
        <x:v>Valid</x:v>
      </x:c>
      <x:c r="AI890" s="12" t="str">
        <x:f>IF(D890="","Missing date",IF(ISNUMBER(D890),"Valid","Unrecognized/invalid date"))</x:f>
        <x:v>Valid</x:v>
      </x:c>
      <x:c r="AJ890" s="12" t="str">
        <x:v>Valid</x:v>
      </x:c>
      <x:c r="AK890" s="12" t="str">
        <x:v>Pass</x:v>
      </x:c>
      <x:c r="AL890" s="12" t="str">
        <x:v>Cancelled order – excluded from completed sales; Refunded payment – separately summarized</x:v>
      </x:c>
      <x:c r="AM890" s="12" t="str">
        <x:v>Valid</x:v>
      </x:c>
      <x:c r="AN890" s="12" t="str">
        <x:v>Exclude from completed sales</x:v>
      </x:c>
      <x:c r="AO890" s="12" t="str">
        <x:v>Include in refunded summary</x:v>
      </x:c>
      <x:c r="AP890" s="37" t="n">
        <x:f>IF(LEFT($AM890,7)="Invalid","",IF($AM890="Missing discount imputed as 0",IF(AND(COUNT($O890,$P890,$R890,$S890)=4,$O890&gt;0,$P890&gt;=0,$R890&gt;=0,$S890&gt;=0),0,""),IF(AND(ISNUMBER($Q890),$Q890&gt;=0,$Q890&lt;=0.5),$Q890,"")))</x:f>
        <x:v>0.1</x:v>
      </x:c>
      <x:c r="AQ890" s="152" t="n">
        <x:f>IF(OR($W890="",NOT(ISNUMBER($R890))),"",ROUND($R890-$W890,2))</x:f>
        <x:v>0</x:v>
      </x:c>
      <x:c r="AR890" s="152" t="n">
        <x:f>IF(OR($X890="",NOT(ISNUMBER($T890))),"",ROUND($T890-$X890,2))</x:f>
        <x:v>0</x:v>
      </x:c>
      <x:c r="AS890" s="14" t="str">
        <x:v>OK</x:v>
      </x:c>
    </x:row>
    <x:row r="891">
      <x:c r="A891" s="80" t="n">
        <x:v>891</x:v>
      </x:c>
      <x:c r="B891" s="80" t="str">
        <x:v>ORD-2025-10890</x:v>
      </x:c>
      <x:c r="C891" s="81" t="n">
        <x:v>45726</x:v>
      </x:c>
      <x:c r="D891" s="81" t="n">
        <x:v>45727</x:v>
      </x:c>
      <x:c r="E891" s="80" t="str">
        <x:v>CUST-8467</x:v>
      </x:c>
      <x:c r="F891" s="80" t="str">
        <x:v>Aditi Sen</x:v>
      </x:c>
      <x:c r="G891" s="80" t="str">
        <x:v>Home Office</x:v>
      </x:c>
      <x:c r="H891" s="80" t="str">
        <x:v>West</x:v>
      </x:c>
      <x:c r="I891" s="80" t="str">
        <x:v>Madhya Pradesh</x:v>
      </x:c>
      <x:c r="J891" s="80" t="str">
        <x:v>Indore</x:v>
      </x:c>
      <x:c r="K891" s="80" t="str">
        <x:v>Office Supplies</x:v>
      </x:c>
      <x:c r="L891" s="80" t="str">
        <x:v>Storage</x:v>
      </x:c>
      <x:c r="M891" s="80" t="str">
        <x:v>Prime Storage 806</x:v>
      </x:c>
      <x:c r="N891" s="80" t="str">
        <x:v>First Class</x:v>
      </x:c>
      <x:c r="O891" s="82" t="n">
        <x:v>2</x:v>
      </x:c>
      <x:c r="P891" s="83" t="n">
        <x:v>3922.08</x:v>
      </x:c>
      <x:c r="Q891" s="84" t="n">
        <x:v>0.25</x:v>
      </x:c>
      <x:c r="R891" s="83" t="n">
        <x:v>5883.12</x:v>
      </x:c>
      <x:c r="S891" s="83" t="n">
        <x:v>4647.91</x:v>
      </x:c>
      <x:c r="T891" s="83" t="n">
        <x:v>1235.21</x:v>
      </x:c>
      <x:c r="U891" s="83" t="str">
        <x:v>Paid</x:v>
      </x:c>
      <x:c r="V891" s="83" t="str">
        <x:v>Returned</x:v>
      </x:c>
      <x:c r="W891" s="151" t="n">
        <x:f>IF(OR(NOT(ISNUMBER($AP891)),COUNT($O891,$P891)&lt;2,$O891&lt;=0,$P891&lt;0),"",ROUND($O891*$P891*(1-$AP891),2))</x:f>
        <x:v>5883.12</x:v>
      </x:c>
      <x:c r="X891" s="151" t="n">
        <x:f>IF(OR(NOT(ISNUMBER($W891)),NOT(ISNUMBER($S891))),"",ROUND($W891-$S891,2))</x:f>
        <x:v>1235.21</x:v>
      </x:c>
      <x:c r="Y891" s="85" t="n">
        <x:f>IF(OR(NOT(ISNUMBER($W891)),NOT(ISNUMBER($X891)),$W891=0),"",ROUND($X891/$W891,4))</x:f>
        <x:v>0.21</x:v>
      </x:c>
      <x:c r="Z891" s="82" t="n">
        <x:f>IF(OR($AH891&lt;&gt;"Valid",$AI891&lt;&gt;"Valid"),"",INT($D891-$C891))</x:f>
        <x:v>1</x:v>
      </x:c>
      <x:c r="AA891" s="86" t="str">
        <x:f>IF($AH891&lt;&gt;"Valid","",TEXT($C891,"mmmm"))</x:f>
        <x:v>March</x:v>
      </x:c>
      <x:c r="AB891" s="82" t="n">
        <x:f>IF($AH891&lt;&gt;"Valid","",YEAR($C891))</x:f>
        <x:v>2025</x:v>
      </x:c>
      <x:c r="AC891" s="80" t="str">
        <x:v>Consistent</x:v>
      </x:c>
      <x:c r="AD891" s="80" t="str">
        <x:v>Excluded</x:v>
      </x:c>
      <x:c r="AE891" s="80" t="str">
        <x:f>IF(OR($AH891&lt;&gt;"Valid",$AI891&lt;&gt;"Valid",$AJ891&lt;&gt;"Valid",LEFT($AM891,7)="Invalid",IFERROR(ABS($AQ891)&gt;0.01,FALSE),IFERROR(ABS($AR891)&gt;0.01,FALSE),COUNTIF($AS891,"*Conflicting duplicate*")&gt;0,COUNTIF($AS891,"*Completed order not paid*")&gt;0),"Invalid",IF(OR($H891="Unknown",$N891="Unknown",$AM891="Missing discount imputed as 0"),"Warning","Clean"))</x:f>
        <x:v>Clean</x:v>
      </x:c>
      <x:c r="AF891" s="80" t="str">
        <x:v>Pass</x:v>
      </x:c>
      <x:c r="AG891" s="80" t="str">
        <x:v>No text cleanup required</x:v>
      </x:c>
      <x:c r="AH891" s="12" t="str">
        <x:f>IF(C891="","Missing date",IF(ISNUMBER(C891),"Valid","Unrecognized/invalid date"))</x:f>
        <x:v>Valid</x:v>
      </x:c>
      <x:c r="AI891" s="12" t="str">
        <x:f>IF(D891="","Missing date",IF(ISNUMBER(D891),"Valid","Unrecognized/invalid date"))</x:f>
        <x:v>Valid</x:v>
      </x:c>
      <x:c r="AJ891" s="12" t="str">
        <x:v>Valid</x:v>
      </x:c>
      <x:c r="AK891" s="12" t="str">
        <x:v>Pass</x:v>
      </x:c>
      <x:c r="AL891" s="12" t="str">
        <x:v>None</x:v>
      </x:c>
      <x:c r="AM891" s="12" t="str">
        <x:v>Valid</x:v>
      </x:c>
      <x:c r="AN891" s="12" t="str">
        <x:v>Exclude from completed sales</x:v>
      </x:c>
      <x:c r="AO891" s="12" t="str">
        <x:v>Not a refunded record</x:v>
      </x:c>
      <x:c r="AP891" s="37" t="n">
        <x:f>IF(LEFT($AM891,7)="Invalid","",IF($AM891="Missing discount imputed as 0",IF(AND(COUNT($O891,$P891,$R891,$S891)=4,$O891&gt;0,$P891&gt;=0,$R891&gt;=0,$S891&gt;=0),0,""),IF(AND(ISNUMBER($Q891),$Q891&gt;=0,$Q891&lt;=0.5),$Q891,"")))</x:f>
        <x:v>0.25</x:v>
      </x:c>
      <x:c r="AQ891" s="152" t="n">
        <x:f>IF(OR($W891="",NOT(ISNUMBER($R891))),"",ROUND($R891-$W891,2))</x:f>
        <x:v>0</x:v>
      </x:c>
      <x:c r="AR891" s="152" t="n">
        <x:f>IF(OR($X891="",NOT(ISNUMBER($T891))),"",ROUND($T891-$X891,2))</x:f>
        <x:v>0</x:v>
      </x:c>
      <x:c r="AS891" s="14" t="str">
        <x:v>OK</x:v>
      </x:c>
    </x:row>
    <x:row r="892">
      <x:c r="A892" s="80" t="n">
        <x:v>892</x:v>
      </x:c>
      <x:c r="B892" s="80" t="str">
        <x:v>ORD-2024-10891</x:v>
      </x:c>
      <x:c r="C892" s="81" t="n">
        <x:v>45427</x:v>
      </x:c>
      <x:c r="D892" s="81" t="n">
        <x:v>45433</x:v>
      </x:c>
      <x:c r="E892" s="80" t="str">
        <x:v>CUST-3992</x:v>
      </x:c>
      <x:c r="F892" s="80" t="str">
        <x:v>Karan Malhotra</x:v>
      </x:c>
      <x:c r="G892" s="80" t="str">
        <x:v>Consumer</x:v>
      </x:c>
      <x:c r="H892" s="80" t="str">
        <x:v>West</x:v>
      </x:c>
      <x:c r="I892" s="80" t="str">
        <x:v>Goa</x:v>
      </x:c>
      <x:c r="J892" s="80" t="str">
        <x:v>Panaji</x:v>
      </x:c>
      <x:c r="K892" s="80" t="str">
        <x:v>Office Supplies</x:v>
      </x:c>
      <x:c r="L892" s="80" t="str">
        <x:v>Storage</x:v>
      </x:c>
      <x:c r="M892" s="80" t="str">
        <x:v>Smart Storage 288</x:v>
      </x:c>
      <x:c r="N892" s="80" t="str">
        <x:v>Standard Class</x:v>
      </x:c>
      <x:c r="O892" s="82" t="n">
        <x:v>6</x:v>
      </x:c>
      <x:c r="P892" s="83" t="n">
        <x:v>2909.56</x:v>
      </x:c>
      <x:c r="Q892" s="84" t="n">
        <x:v>0.2</x:v>
      </x:c>
      <x:c r="R892" s="83" t="n">
        <x:v>13965.89</x:v>
      </x:c>
      <x:c r="S892" s="83" t="n">
        <x:v>11646.12</x:v>
      </x:c>
      <x:c r="T892" s="83" t="n">
        <x:v>2319.77</x:v>
      </x:c>
      <x:c r="U892" s="83" t="str">
        <x:v>Paid</x:v>
      </x:c>
      <x:c r="V892" s="83" t="str">
        <x:v>Completed</x:v>
      </x:c>
      <x:c r="W892" s="151" t="n">
        <x:f>IF(OR(NOT(ISNUMBER($AP892)),COUNT($O892,$P892)&lt;2,$O892&lt;=0,$P892&lt;0),"",ROUND($O892*$P892*(1-$AP892),2))</x:f>
        <x:v>13965.89</x:v>
      </x:c>
      <x:c r="X892" s="151" t="n">
        <x:f>IF(OR(NOT(ISNUMBER($W892)),NOT(ISNUMBER($S892))),"",ROUND($W892-$S892,2))</x:f>
        <x:v>2319.77</x:v>
      </x:c>
      <x:c r="Y892" s="85" t="n">
        <x:f>IF(OR(NOT(ISNUMBER($W892)),NOT(ISNUMBER($X892)),$W892=0),"",ROUND($X892/$W892,4))</x:f>
        <x:v>0.1661</x:v>
      </x:c>
      <x:c r="Z892" s="82" t="n">
        <x:f>IF(OR($AH892&lt;&gt;"Valid",$AI892&lt;&gt;"Valid"),"",INT($D892-$C892))</x:f>
        <x:v>6</x:v>
      </x:c>
      <x:c r="AA892" s="86" t="str">
        <x:f>IF($AH892&lt;&gt;"Valid","",TEXT($C892,"mmmm"))</x:f>
        <x:v>May</x:v>
      </x:c>
      <x:c r="AB892" s="82" t="n">
        <x:f>IF($AH892&lt;&gt;"Valid","",YEAR($C892))</x:f>
        <x:v>2024</x:v>
      </x:c>
      <x:c r="AC892" s="80" t="str">
        <x:v>Consistent</x:v>
      </x:c>
      <x:c r="AD892" s="80" t="str">
        <x:v>Eligible</x:v>
      </x:c>
      <x:c r="AE892" s="80" t="str">
        <x:f>IF(OR($AH892&lt;&gt;"Valid",$AI892&lt;&gt;"Valid",$AJ892&lt;&gt;"Valid",LEFT($AM892,7)="Invalid",IFERROR(ABS($AQ892)&gt;0.01,FALSE),IFERROR(ABS($AR892)&gt;0.01,FALSE),COUNTIF($AS892,"*Conflicting duplicate*")&gt;0,COUNTIF($AS892,"*Completed order not paid*")&gt;0),"Invalid",IF(OR($H892="Unknown",$N892="Unknown",$AM892="Missing discount imputed as 0"),"Warning","Clean"))</x:f>
        <x:v>Clean</x:v>
      </x:c>
      <x:c r="AF892" s="80" t="str">
        <x:v>Pass</x:v>
      </x:c>
      <x:c r="AG892" s="80" t="str">
        <x:v>No text cleanup required</x:v>
      </x:c>
      <x:c r="AH892" s="12" t="str">
        <x:f>IF(C892="","Missing date",IF(ISNUMBER(C892),"Valid","Unrecognized/invalid date"))</x:f>
        <x:v>Valid</x:v>
      </x:c>
      <x:c r="AI892" s="12" t="str">
        <x:f>IF(D892="","Missing date",IF(ISNUMBER(D892),"Valid","Unrecognized/invalid date"))</x:f>
        <x:v>Valid</x:v>
      </x:c>
      <x:c r="AJ892" s="12" t="str">
        <x:v>Valid</x:v>
      </x:c>
      <x:c r="AK892" s="12" t="str">
        <x:v>Pass</x:v>
      </x:c>
      <x:c r="AL892" s="12" t="str">
        <x:v>None</x:v>
      </x:c>
      <x:c r="AM892" s="12" t="str">
        <x:v>Valid</x:v>
      </x:c>
      <x:c r="AN892" s="12" t="str">
        <x:v>Include in completed sales</x:v>
      </x:c>
      <x:c r="AO892" s="12" t="str">
        <x:v>Not a refunded record</x:v>
      </x:c>
      <x:c r="AP892" s="37" t="n">
        <x:f>IF(LEFT($AM892,7)="Invalid","",IF($AM892="Missing discount imputed as 0",IF(AND(COUNT($O892,$P892,$R892,$S892)=4,$O892&gt;0,$P892&gt;=0,$R892&gt;=0,$S892&gt;=0),0,""),IF(AND(ISNUMBER($Q892),$Q892&gt;=0,$Q892&lt;=0.5),$Q892,"")))</x:f>
        <x:v>0.2</x:v>
      </x:c>
      <x:c r="AQ892" s="152" t="n">
        <x:f>IF(OR($W892="",NOT(ISNUMBER($R892))),"",ROUND($R892-$W892,2))</x:f>
        <x:v>0</x:v>
      </x:c>
      <x:c r="AR892" s="152" t="n">
        <x:f>IF(OR($X892="",NOT(ISNUMBER($T892))),"",ROUND($T892-$X892,2))</x:f>
        <x:v>0</x:v>
      </x:c>
      <x:c r="AS892" s="14" t="str">
        <x:v>OK</x:v>
      </x:c>
    </x:row>
    <x:row r="893">
      <x:c r="A893" s="80" t="n">
        <x:v>893</x:v>
      </x:c>
      <x:c r="B893" s="80" t="str">
        <x:v>ORD-2024-10892</x:v>
      </x:c>
      <x:c r="C893" s="81" t="n">
        <x:v>45573</x:v>
      </x:c>
      <x:c r="D893" s="81" t="n">
        <x:v>45574</x:v>
      </x:c>
      <x:c r="E893" s="80" t="str">
        <x:v>CUST-6647</x:v>
      </x:c>
      <x:c r="F893" s="80" t="str">
        <x:v>Kabir Singh</x:v>
      </x:c>
      <x:c r="G893" s="80" t="str">
        <x:v>Corporate</x:v>
      </x:c>
      <x:c r="H893" s="80" t="str">
        <x:v>South</x:v>
      </x:c>
      <x:c r="I893" s="80" t="str">
        <x:v>Tamil Nadu</x:v>
      </x:c>
      <x:c r="J893" s="80" t="str">
        <x:v>Chennai</x:v>
      </x:c>
      <x:c r="K893" s="80" t="str">
        <x:v>Technology</x:v>
      </x:c>
      <x:c r="L893" s="80" t="str">
        <x:v>Machines</x:v>
      </x:c>
      <x:c r="M893" s="80" t="str">
        <x:v>Elite Machines 281</x:v>
      </x:c>
      <x:c r="N893" s="80" t="str">
        <x:v>Same Day</x:v>
      </x:c>
      <x:c r="O893" s="82" t="n">
        <x:v>5</x:v>
      </x:c>
      <x:c r="P893" s="83" t="n">
        <x:v>2407.97</x:v>
      </x:c>
      <x:c r="Q893" s="84" t="n">
        <x:v>0.1</x:v>
      </x:c>
      <x:c r="R893" s="83" t="n">
        <x:v>10835.86</x:v>
      </x:c>
      <x:c r="S893" s="83" t="n">
        <x:v>6419.92</x:v>
      </x:c>
      <x:c r="T893" s="83" t="n">
        <x:v>4415.94</x:v>
      </x:c>
      <x:c r="U893" s="83" t="str">
        <x:v>Failed</x:v>
      </x:c>
      <x:c r="V893" s="83" t="str">
        <x:v>Cancelled</x:v>
      </x:c>
      <x:c r="W893" s="151" t="n">
        <x:f>IF(OR(NOT(ISNUMBER($AP893)),COUNT($O893,$P893)&lt;2,$O893&lt;=0,$P893&lt;0),"",ROUND($O893*$P893*(1-$AP893),2))</x:f>
        <x:v>10835.87</x:v>
      </x:c>
      <x:c r="X893" s="151" t="n">
        <x:f>IF(OR(NOT(ISNUMBER($W893)),NOT(ISNUMBER($S893))),"",ROUND($W893-$S893,2))</x:f>
        <x:v>4415.95</x:v>
      </x:c>
      <x:c r="Y893" s="85" t="n">
        <x:f>IF(OR(NOT(ISNUMBER($W893)),NOT(ISNUMBER($X893)),$W893=0),"",ROUND($X893/$W893,4))</x:f>
        <x:v>0.4075</x:v>
      </x:c>
      <x:c r="Z893" s="82" t="n">
        <x:f>IF(OR($AH893&lt;&gt;"Valid",$AI893&lt;&gt;"Valid"),"",INT($D893-$C893))</x:f>
        <x:v>1</x:v>
      </x:c>
      <x:c r="AA893" s="86" t="str">
        <x:f>IF($AH893&lt;&gt;"Valid","",TEXT($C893,"mmmm"))</x:f>
        <x:v>October</x:v>
      </x:c>
      <x:c r="AB893" s="82" t="n">
        <x:f>IF($AH893&lt;&gt;"Valid","",YEAR($C893))</x:f>
        <x:v>2024</x:v>
      </x:c>
      <x:c r="AC893" s="80" t="str">
        <x:v>Cancelled (excluded from completed-sales summary)</x:v>
      </x:c>
      <x:c r="AD893" s="80" t="str">
        <x:v>Excluded</x:v>
      </x:c>
      <x:c r="AE893" s="80" t="str">
        <x:f>IF(OR($AH893&lt;&gt;"Valid",$AI893&lt;&gt;"Valid",$AJ893&lt;&gt;"Valid",LEFT($AM893,7)="Invalid",IFERROR(ABS($AQ893)&gt;0.01,FALSE),IFERROR(ABS($AR893)&gt;0.01,FALSE),COUNTIF($AS893,"*Conflicting duplicate*")&gt;0,COUNTIF($AS893,"*Completed order not paid*")&gt;0),"Invalid",IF(OR($H893="Unknown",$N893="Unknown",$AM893="Missing discount imputed as 0"),"Warning","Clean"))</x:f>
        <x:v>Clean</x:v>
      </x:c>
      <x:c r="AF893" s="80" t="str">
        <x:v>Pass</x:v>
      </x:c>
      <x:c r="AG893" s="80" t="str">
        <x:v>No text cleanup required</x:v>
      </x:c>
      <x:c r="AH893" s="12" t="str">
        <x:f>IF(C893="","Missing date",IF(ISNUMBER(C893),"Valid","Unrecognized/invalid date"))</x:f>
        <x:v>Valid</x:v>
      </x:c>
      <x:c r="AI893" s="12" t="str">
        <x:f>IF(D893="","Missing date",IF(ISNUMBER(D893),"Valid","Unrecognized/invalid date"))</x:f>
        <x:v>Valid</x:v>
      </x:c>
      <x:c r="AJ893" s="12" t="str">
        <x:v>Valid</x:v>
      </x:c>
      <x:c r="AK893" s="12" t="str">
        <x:v>Pass</x:v>
      </x:c>
      <x:c r="AL893" s="12" t="str">
        <x:v>Cancelled order – excluded from completed sales; Failed payment – excluded from completed sales</x:v>
      </x:c>
      <x:c r="AM893" s="12" t="str">
        <x:v>Valid</x:v>
      </x:c>
      <x:c r="AN893" s="12" t="str">
        <x:v>Exclude from completed sales</x:v>
      </x:c>
      <x:c r="AO893" s="12" t="str">
        <x:v>Not a refunded record</x:v>
      </x:c>
      <x:c r="AP893" s="37" t="n">
        <x:f>IF(LEFT($AM893,7)="Invalid","",IF($AM893="Missing discount imputed as 0",IF(AND(COUNT($O893,$P893,$R893,$S893)=4,$O893&gt;0,$P893&gt;=0,$R893&gt;=0,$S893&gt;=0),0,""),IF(AND(ISNUMBER($Q893),$Q893&gt;=0,$Q893&lt;=0.5),$Q893,"")))</x:f>
        <x:v>0.1</x:v>
      </x:c>
      <x:c r="AQ893" s="152" t="n">
        <x:f>IF(OR($W893="",NOT(ISNUMBER($R893))),"",ROUND($R893-$W893,2))</x:f>
        <x:v>-0.01</x:v>
      </x:c>
      <x:c r="AR893" s="152" t="n">
        <x:f>IF(OR($X893="",NOT(ISNUMBER($T893))),"",ROUND($T893-$X893,2))</x:f>
        <x:v>-0.01</x:v>
      </x:c>
      <x:c r="AS893" s="14" t="str">
        <x:v>OK</x:v>
      </x:c>
    </x:row>
    <x:row r="894">
      <x:c r="A894" s="80" t="n">
        <x:v>894</x:v>
      </x:c>
      <x:c r="B894" s="80" t="str">
        <x:v>ORD-2025-10893</x:v>
      </x:c>
      <x:c r="C894" s="81" t="n">
        <x:v>45759</x:v>
      </x:c>
      <x:c r="D894" s="81" t="n">
        <x:v>45765</x:v>
      </x:c>
      <x:c r="E894" s="80" t="str">
        <x:v>CUST-5087</x:v>
      </x:c>
      <x:c r="F894" s="80" t="str">
        <x:v>Isha Nair</x:v>
      </x:c>
      <x:c r="G894" s="80" t="str">
        <x:v>Small Business</x:v>
      </x:c>
      <x:c r="H894" s="80" t="str">
        <x:v>East</x:v>
      </x:c>
      <x:c r="I894" s="80" t="str">
        <x:v>Jharkhand</x:v>
      </x:c>
      <x:c r="J894" s="80" t="str">
        <x:v>Ranchi</x:v>
      </x:c>
      <x:c r="K894" s="80" t="str">
        <x:v>Technology</x:v>
      </x:c>
      <x:c r="L894" s="80" t="str">
        <x:v>Copiers</x:v>
      </x:c>
      <x:c r="M894" s="80" t="str">
        <x:v>Elite Copiers 221</x:v>
      </x:c>
      <x:c r="N894" s="80" t="str">
        <x:v>Same Day</x:v>
      </x:c>
      <x:c r="O894" s="82" t="n">
        <x:v>1</x:v>
      </x:c>
      <x:c r="P894" s="83" t="n">
        <x:v>726.89</x:v>
      </x:c>
      <x:c r="Q894" s="84" t="n">
        <x:v>0.2</x:v>
      </x:c>
      <x:c r="R894" s="83" t="n">
        <x:v>581.51</x:v>
      </x:c>
      <x:c r="S894" s="83" t="n">
        <x:v>423.86</x:v>
      </x:c>
      <x:c r="T894" s="83" t="n">
        <x:v>157.65</x:v>
      </x:c>
      <x:c r="U894" s="83" t="str">
        <x:v>Paid</x:v>
      </x:c>
      <x:c r="V894" s="83" t="str">
        <x:v>Completed</x:v>
      </x:c>
      <x:c r="W894" s="151" t="n">
        <x:f>IF(OR(NOT(ISNUMBER($AP894)),COUNT($O894,$P894)&lt;2,$O894&lt;=0,$P894&lt;0),"",ROUND($O894*$P894*(1-$AP894),2))</x:f>
        <x:v>581.51</x:v>
      </x:c>
      <x:c r="X894" s="151" t="n">
        <x:f>IF(OR(NOT(ISNUMBER($W894)),NOT(ISNUMBER($S894))),"",ROUND($W894-$S894,2))</x:f>
        <x:v>157.65</x:v>
      </x:c>
      <x:c r="Y894" s="85" t="n">
        <x:f>IF(OR(NOT(ISNUMBER($W894)),NOT(ISNUMBER($X894)),$W894=0),"",ROUND($X894/$W894,4))</x:f>
        <x:v>0.2711</x:v>
      </x:c>
      <x:c r="Z894" s="82" t="n">
        <x:f>IF(OR($AH894&lt;&gt;"Valid",$AI894&lt;&gt;"Valid"),"",INT($D894-$C894))</x:f>
        <x:v>6</x:v>
      </x:c>
      <x:c r="AA894" s="86" t="str">
        <x:f>IF($AH894&lt;&gt;"Valid","",TEXT($C894,"mmmm"))</x:f>
        <x:v>April</x:v>
      </x:c>
      <x:c r="AB894" s="82" t="n">
        <x:f>IF($AH894&lt;&gt;"Valid","",YEAR($C894))</x:f>
        <x:v>2025</x:v>
      </x:c>
      <x:c r="AC894" s="80" t="str">
        <x:v>Consistent</x:v>
      </x:c>
      <x:c r="AD894" s="80" t="str">
        <x:v>Eligible</x:v>
      </x:c>
      <x:c r="AE894" s="80" t="str">
        <x:f>IF(OR($AH894&lt;&gt;"Valid",$AI894&lt;&gt;"Valid",$AJ894&lt;&gt;"Valid",LEFT($AM894,7)="Invalid",IFERROR(ABS($AQ894)&gt;0.01,FALSE),IFERROR(ABS($AR894)&gt;0.01,FALSE),COUNTIF($AS894,"*Conflicting duplicate*")&gt;0,COUNTIF($AS894,"*Completed order not paid*")&gt;0),"Invalid",IF(OR($H894="Unknown",$N894="Unknown",$AM894="Missing discount imputed as 0"),"Warning","Clean"))</x:f>
        <x:v>Clean</x:v>
      </x:c>
      <x:c r="AF894" s="80" t="str">
        <x:v>Pass</x:v>
      </x:c>
      <x:c r="AG894" s="80" t="str">
        <x:v>No text cleanup required</x:v>
      </x:c>
      <x:c r="AH894" s="12" t="str">
        <x:f>IF(C894="","Missing date",IF(ISNUMBER(C894),"Valid","Unrecognized/invalid date"))</x:f>
        <x:v>Valid</x:v>
      </x:c>
      <x:c r="AI894" s="12" t="str">
        <x:f>IF(D894="","Missing date",IF(ISNUMBER(D894),"Valid","Unrecognized/invalid date"))</x:f>
        <x:v>Valid</x:v>
      </x:c>
      <x:c r="AJ894" s="12" t="str">
        <x:v>Valid</x:v>
      </x:c>
      <x:c r="AK894" s="12" t="str">
        <x:v>Pass</x:v>
      </x:c>
      <x:c r="AL894" s="12" t="str">
        <x:v>None</x:v>
      </x:c>
      <x:c r="AM894" s="12" t="str">
        <x:v>Valid</x:v>
      </x:c>
      <x:c r="AN894" s="12" t="str">
        <x:v>Include in completed sales</x:v>
      </x:c>
      <x:c r="AO894" s="12" t="str">
        <x:v>Not a refunded record</x:v>
      </x:c>
      <x:c r="AP894" s="37" t="n">
        <x:f>IF(LEFT($AM894,7)="Invalid","",IF($AM894="Missing discount imputed as 0",IF(AND(COUNT($O894,$P894,$R894,$S894)=4,$O894&gt;0,$P894&gt;=0,$R894&gt;=0,$S894&gt;=0),0,""),IF(AND(ISNUMBER($Q894),$Q894&gt;=0,$Q894&lt;=0.5),$Q894,"")))</x:f>
        <x:v>0.2</x:v>
      </x:c>
      <x:c r="AQ894" s="152" t="n">
        <x:f>IF(OR($W894="",NOT(ISNUMBER($R894))),"",ROUND($R894-$W894,2))</x:f>
        <x:v>0</x:v>
      </x:c>
      <x:c r="AR894" s="152" t="n">
        <x:f>IF(OR($X894="",NOT(ISNUMBER($T894))),"",ROUND($T894-$X894,2))</x:f>
        <x:v>0</x:v>
      </x:c>
      <x:c r="AS894" s="14" t="str">
        <x:v>OK</x:v>
      </x:c>
    </x:row>
    <x:row r="895">
      <x:c r="A895" s="80" t="n">
        <x:v>895</x:v>
      </x:c>
      <x:c r="B895" s="80" t="str">
        <x:v>ORD-2024-10894</x:v>
      </x:c>
      <x:c r="C895" s="81" t="n">
        <x:v>45449</x:v>
      </x:c>
      <x:c r="D895" s="81" t="n">
        <x:v>45451</x:v>
      </x:c>
      <x:c r="E895" s="80" t="str">
        <x:v>CUST-9297</x:v>
      </x:c>
      <x:c r="F895" s="80" t="str">
        <x:v>Aarav Sharma</x:v>
      </x:c>
      <x:c r="G895" s="80" t="str">
        <x:v>Corporate</x:v>
      </x:c>
      <x:c r="H895" s="80" t="str">
        <x:v>South</x:v>
      </x:c>
      <x:c r="I895" s="80" t="str">
        <x:v>Karnataka</x:v>
      </x:c>
      <x:c r="J895" s="80" t="str">
        <x:v>Bengaluru</x:v>
      </x:c>
      <x:c r="K895" s="80" t="str">
        <x:v>Furniture</x:v>
      </x:c>
      <x:c r="L895" s="80" t="str">
        <x:v>Tables</x:v>
      </x:c>
      <x:c r="M895" s="80" t="str">
        <x:v>Max Tables 291</x:v>
      </x:c>
      <x:c r="N895" s="80" t="str">
        <x:v>Second Class</x:v>
      </x:c>
      <x:c r="O895" s="82" t="n">
        <x:v>3</x:v>
      </x:c>
      <x:c r="P895" s="83" t="n">
        <x:v>395.49</x:v>
      </x:c>
      <x:c r="Q895" s="84" t="n">
        <x:v>0.05</x:v>
      </x:c>
      <x:c r="R895" s="83" t="n">
        <x:v>1127.15</x:v>
      </x:c>
      <x:c r="S895" s="83" t="n">
        <x:v>845.62</x:v>
      </x:c>
      <x:c r="T895" s="83" t="n">
        <x:v>281.53</x:v>
      </x:c>
      <x:c r="U895" s="83" t="str">
        <x:v>Paid</x:v>
      </x:c>
      <x:c r="V895" s="83" t="str">
        <x:v>Returned</x:v>
      </x:c>
      <x:c r="W895" s="151" t="n">
        <x:f>IF(OR(NOT(ISNUMBER($AP895)),COUNT($O895,$P895)&lt;2,$O895&lt;=0,$P895&lt;0),"",ROUND($O895*$P895*(1-$AP895),2))</x:f>
        <x:v>1127.15</x:v>
      </x:c>
      <x:c r="X895" s="151" t="n">
        <x:f>IF(OR(NOT(ISNUMBER($W895)),NOT(ISNUMBER($S895))),"",ROUND($W895-$S895,2))</x:f>
        <x:v>281.53</x:v>
      </x:c>
      <x:c r="Y895" s="85" t="n">
        <x:f>IF(OR(NOT(ISNUMBER($W895)),NOT(ISNUMBER($X895)),$W895=0),"",ROUND($X895/$W895,4))</x:f>
        <x:v>0.2498</x:v>
      </x:c>
      <x:c r="Z895" s="82" t="n">
        <x:f>IF(OR($AH895&lt;&gt;"Valid",$AI895&lt;&gt;"Valid"),"",INT($D895-$C895))</x:f>
        <x:v>2</x:v>
      </x:c>
      <x:c r="AA895" s="86" t="str">
        <x:f>IF($AH895&lt;&gt;"Valid","",TEXT($C895,"mmmm"))</x:f>
        <x:v>June</x:v>
      </x:c>
      <x:c r="AB895" s="82" t="n">
        <x:f>IF($AH895&lt;&gt;"Valid","",YEAR($C895))</x:f>
        <x:v>2024</x:v>
      </x:c>
      <x:c r="AC895" s="80" t="str">
        <x:v>Consistent</x:v>
      </x:c>
      <x:c r="AD895" s="80" t="str">
        <x:v>Excluded</x:v>
      </x:c>
      <x:c r="AE895" s="80" t="str">
        <x:f>IF(OR($AH895&lt;&gt;"Valid",$AI895&lt;&gt;"Valid",$AJ895&lt;&gt;"Valid",LEFT($AM895,7)="Invalid",IFERROR(ABS($AQ895)&gt;0.01,FALSE),IFERROR(ABS($AR895)&gt;0.01,FALSE),COUNTIF($AS895,"*Conflicting duplicate*")&gt;0,COUNTIF($AS895,"*Completed order not paid*")&gt;0),"Invalid",IF(OR($H895="Unknown",$N895="Unknown",$AM895="Missing discount imputed as 0"),"Warning","Clean"))</x:f>
        <x:v>Clean</x:v>
      </x:c>
      <x:c r="AF895" s="80" t="str">
        <x:v>Pass</x:v>
      </x:c>
      <x:c r="AG895" s="80" t="str">
        <x:v>No text cleanup required</x:v>
      </x:c>
      <x:c r="AH895" s="12" t="str">
        <x:f>IF(C895="","Missing date",IF(ISNUMBER(C895),"Valid","Unrecognized/invalid date"))</x:f>
        <x:v>Valid</x:v>
      </x:c>
      <x:c r="AI895" s="12" t="str">
        <x:f>IF(D895="","Missing date",IF(ISNUMBER(D895),"Valid","Unrecognized/invalid date"))</x:f>
        <x:v>Valid</x:v>
      </x:c>
      <x:c r="AJ895" s="12" t="str">
        <x:v>Valid</x:v>
      </x:c>
      <x:c r="AK895" s="12" t="str">
        <x:v>Pass</x:v>
      </x:c>
      <x:c r="AL895" s="12" t="str">
        <x:v>None</x:v>
      </x:c>
      <x:c r="AM895" s="12" t="str">
        <x:v>Valid</x:v>
      </x:c>
      <x:c r="AN895" s="12" t="str">
        <x:v>Exclude from completed sales</x:v>
      </x:c>
      <x:c r="AO895" s="12" t="str">
        <x:v>Not a refunded record</x:v>
      </x:c>
      <x:c r="AP895" s="37" t="n">
        <x:f>IF(LEFT($AM895,7)="Invalid","",IF($AM895="Missing discount imputed as 0",IF(AND(COUNT($O895,$P895,$R895,$S895)=4,$O895&gt;0,$P895&gt;=0,$R895&gt;=0,$S895&gt;=0),0,""),IF(AND(ISNUMBER($Q895),$Q895&gt;=0,$Q895&lt;=0.5),$Q895,"")))</x:f>
        <x:v>0.05</x:v>
      </x:c>
      <x:c r="AQ895" s="152" t="n">
        <x:f>IF(OR($W895="",NOT(ISNUMBER($R895))),"",ROUND($R895-$W895,2))</x:f>
        <x:v>0</x:v>
      </x:c>
      <x:c r="AR895" s="152" t="n">
        <x:f>IF(OR($X895="",NOT(ISNUMBER($T895))),"",ROUND($T895-$X895,2))</x:f>
        <x:v>0</x:v>
      </x:c>
      <x:c r="AS895" s="14" t="str">
        <x:v>OK</x:v>
      </x:c>
    </x:row>
    <x:row r="896">
      <x:c r="A896" s="80" t="n">
        <x:v>896</x:v>
      </x:c>
      <x:c r="B896" s="80" t="str">
        <x:v>ORD-2024-10895</x:v>
      </x:c>
      <x:c r="C896" s="81" t="n">
        <x:v>45344</x:v>
      </x:c>
      <x:c r="D896" s="81" t="n">
        <x:v>45351</x:v>
      </x:c>
      <x:c r="E896" s="80" t="str">
        <x:v>CUST-7996</x:v>
      </x:c>
      <x:c r="F896" s="80" t="str">
        <x:v>Isha Nair</x:v>
      </x:c>
      <x:c r="G896" s="80" t="str">
        <x:v>Home Office</x:v>
      </x:c>
      <x:c r="H896" s="80" t="str">
        <x:v>South</x:v>
      </x:c>
      <x:c r="I896" s="80" t="str">
        <x:v>Telangana</x:v>
      </x:c>
      <x:c r="J896" s="80" t="str">
        <x:v>Hyderabad</x:v>
      </x:c>
      <x:c r="K896" s="80" t="str">
        <x:v>Furniture</x:v>
      </x:c>
      <x:c r="L896" s="80" t="str">
        <x:v>Tables</x:v>
      </x:c>
      <x:c r="M896" s="80" t="str">
        <x:v>Classic Tables 638</x:v>
      </x:c>
      <x:c r="N896" s="80" t="str">
        <x:v>First Class</x:v>
      </x:c>
      <x:c r="O896" s="82" t="n">
        <x:v>6</x:v>
      </x:c>
      <x:c r="P896" s="83" t="n">
        <x:v>4254.05</x:v>
      </x:c>
      <x:c r="Q896" s="84" t="n">
        <x:v>0</x:v>
      </x:c>
      <x:c r="R896" s="83" t="n">
        <x:v>25524.3</x:v>
      </x:c>
      <x:c r="S896" s="83" t="n">
        <x:v>16711.93</x:v>
      </x:c>
      <x:c r="T896" s="83" t="n">
        <x:v>8812.37</x:v>
      </x:c>
      <x:c r="U896" s="83" t="str">
        <x:v>Paid</x:v>
      </x:c>
      <x:c r="V896" s="83" t="str">
        <x:v>Completed</x:v>
      </x:c>
      <x:c r="W896" s="151" t="n">
        <x:f>IF(OR(NOT(ISNUMBER($AP896)),COUNT($O896,$P896)&lt;2,$O896&lt;=0,$P896&lt;0),"",ROUND($O896*$P896*(1-$AP896),2))</x:f>
        <x:v>25524.3</x:v>
      </x:c>
      <x:c r="X896" s="151" t="n">
        <x:f>IF(OR(NOT(ISNUMBER($W896)),NOT(ISNUMBER($S896))),"",ROUND($W896-$S896,2))</x:f>
        <x:v>8812.37</x:v>
      </x:c>
      <x:c r="Y896" s="85" t="n">
        <x:f>IF(OR(NOT(ISNUMBER($W896)),NOT(ISNUMBER($X896)),$W896=0),"",ROUND($X896/$W896,4))</x:f>
        <x:v>0.3453</x:v>
      </x:c>
      <x:c r="Z896" s="82" t="n">
        <x:f>IF(OR($AH896&lt;&gt;"Valid",$AI896&lt;&gt;"Valid"),"",INT($D896-$C896))</x:f>
        <x:v>7</x:v>
      </x:c>
      <x:c r="AA896" s="86" t="str">
        <x:f>IF($AH896&lt;&gt;"Valid","",TEXT($C896,"mmmm"))</x:f>
        <x:v>February</x:v>
      </x:c>
      <x:c r="AB896" s="82" t="n">
        <x:f>IF($AH896&lt;&gt;"Valid","",YEAR($C896))</x:f>
        <x:v>2024</x:v>
      </x:c>
      <x:c r="AC896" s="80" t="str">
        <x:v>Consistent</x:v>
      </x:c>
      <x:c r="AD896" s="80" t="str">
        <x:v>Eligible</x:v>
      </x:c>
      <x:c r="AE896" s="80" t="str">
        <x:f>IF(OR($AH896&lt;&gt;"Valid",$AI896&lt;&gt;"Valid",$AJ896&lt;&gt;"Valid",LEFT($AM896,7)="Invalid",IFERROR(ABS($AQ896)&gt;0.01,FALSE),IFERROR(ABS($AR896)&gt;0.01,FALSE),COUNTIF($AS896,"*Conflicting duplicate*")&gt;0,COUNTIF($AS896,"*Completed order not paid*")&gt;0),"Invalid",IF(OR($H896="Unknown",$N896="Unknown",$AM896="Missing discount imputed as 0"),"Warning","Clean"))</x:f>
        <x:v>Clean</x:v>
      </x:c>
      <x:c r="AF896" s="80" t="str">
        <x:v>Pass</x:v>
      </x:c>
      <x:c r="AG896" s="80" t="str">
        <x:v>No text cleanup required</x:v>
      </x:c>
      <x:c r="AH896" s="12" t="str">
        <x:f>IF(C896="","Missing date",IF(ISNUMBER(C896),"Valid","Unrecognized/invalid date"))</x:f>
        <x:v>Valid</x:v>
      </x:c>
      <x:c r="AI896" s="12" t="str">
        <x:f>IF(D896="","Missing date",IF(ISNUMBER(D896),"Valid","Unrecognized/invalid date"))</x:f>
        <x:v>Valid</x:v>
      </x:c>
      <x:c r="AJ896" s="12" t="str">
        <x:v>Valid</x:v>
      </x:c>
      <x:c r="AK896" s="12" t="str">
        <x:v>Pass</x:v>
      </x:c>
      <x:c r="AL896" s="12" t="str">
        <x:v>None</x:v>
      </x:c>
      <x:c r="AM896" s="12" t="str">
        <x:v>Valid</x:v>
      </x:c>
      <x:c r="AN896" s="12" t="str">
        <x:v>Include in completed sales</x:v>
      </x:c>
      <x:c r="AO896" s="12" t="str">
        <x:v>Not a refunded record</x:v>
      </x:c>
      <x:c r="AP896" s="37" t="n">
        <x:f>IF(LEFT($AM896,7)="Invalid","",IF($AM896="Missing discount imputed as 0",IF(AND(COUNT($O896,$P896,$R896,$S896)=4,$O896&gt;0,$P896&gt;=0,$R896&gt;=0,$S896&gt;=0),0,""),IF(AND(ISNUMBER($Q896),$Q896&gt;=0,$Q896&lt;=0.5),$Q896,"")))</x:f>
        <x:v>0</x:v>
      </x:c>
      <x:c r="AQ896" s="152" t="n">
        <x:f>IF(OR($W896="",NOT(ISNUMBER($R896))),"",ROUND($R896-$W896,2))</x:f>
        <x:v>0</x:v>
      </x:c>
      <x:c r="AR896" s="152" t="n">
        <x:f>IF(OR($X896="",NOT(ISNUMBER($T896))),"",ROUND($T896-$X896,2))</x:f>
        <x:v>0</x:v>
      </x:c>
      <x:c r="AS896" s="14" t="str">
        <x:v>OK</x:v>
      </x:c>
    </x:row>
    <x:row r="897">
      <x:c r="A897" s="80" t="n">
        <x:v>897</x:v>
      </x:c>
      <x:c r="B897" s="80" t="str">
        <x:v>ORD-2024-10896</x:v>
      </x:c>
      <x:c r="C897" s="81" t="n">
        <x:v>45601</x:v>
      </x:c>
      <x:c r="D897" s="81" t="n">
        <x:v>45606</x:v>
      </x:c>
      <x:c r="E897" s="80" t="str">
        <x:v>CUST-4117</x:v>
      </x:c>
      <x:c r="F897" s="80" t="str">
        <x:v>Arjun Bose</x:v>
      </x:c>
      <x:c r="G897" s="80" t="str">
        <x:v>Consumer</x:v>
      </x:c>
      <x:c r="H897" s="80" t="str">
        <x:v>South</x:v>
      </x:c>
      <x:c r="I897" s="80" t="str">
        <x:v>Kerala</x:v>
      </x:c>
      <x:c r="J897" s="80" t="str">
        <x:v>Kochi</x:v>
      </x:c>
      <x:c r="K897" s="80" t="str">
        <x:v>Furniture</x:v>
      </x:c>
      <x:c r="L897" s="80" t="str">
        <x:v>Chairs</x:v>
      </x:c>
      <x:c r="M897" s="80" t="str">
        <x:v>Basic Chairs 212</x:v>
      </x:c>
      <x:c r="N897" s="80" t="str">
        <x:v>Same Day</x:v>
      </x:c>
      <x:c r="O897" s="82" t="n">
        <x:v>4</x:v>
      </x:c>
      <x:c r="P897" s="83" t="n">
        <x:v>711.18</x:v>
      </x:c>
      <x:c r="Q897" s="84" t="n">
        <x:v>0.15</x:v>
      </x:c>
      <x:c r="R897" s="83" t="n">
        <x:v>2418.01</x:v>
      </x:c>
      <x:c r="S897" s="83" t="n">
        <x:v>1441.89</x:v>
      </x:c>
      <x:c r="T897" s="83" t="n">
        <x:v>976.12</x:v>
      </x:c>
      <x:c r="U897" s="83" t="str">
        <x:v>Pending</x:v>
      </x:c>
      <x:c r="V897" s="83" t="str">
        <x:v>Returned</x:v>
      </x:c>
      <x:c r="W897" s="151" t="n">
        <x:f>IF(OR(NOT(ISNUMBER($AP897)),COUNT($O897,$P897)&lt;2,$O897&lt;=0,$P897&lt;0),"",ROUND($O897*$P897*(1-$AP897),2))</x:f>
        <x:v>2418.01</x:v>
      </x:c>
      <x:c r="X897" s="151" t="n">
        <x:f>IF(OR(NOT(ISNUMBER($W897)),NOT(ISNUMBER($S897))),"",ROUND($W897-$S897,2))</x:f>
        <x:v>976.12</x:v>
      </x:c>
      <x:c r="Y897" s="85" t="n">
        <x:f>IF(OR(NOT(ISNUMBER($W897)),NOT(ISNUMBER($X897)),$W897=0),"",ROUND($X897/$W897,4))</x:f>
        <x:v>0.4037</x:v>
      </x:c>
      <x:c r="Z897" s="82" t="n">
        <x:f>IF(OR($AH897&lt;&gt;"Valid",$AI897&lt;&gt;"Valid"),"",INT($D897-$C897))</x:f>
        <x:v>5</x:v>
      </x:c>
      <x:c r="AA897" s="86" t="str">
        <x:f>IF($AH897&lt;&gt;"Valid","",TEXT($C897,"mmmm"))</x:f>
        <x:v>November</x:v>
      </x:c>
      <x:c r="AB897" s="82" t="n">
        <x:f>IF($AH897&lt;&gt;"Valid","",YEAR($C897))</x:f>
        <x:v>2024</x:v>
      </x:c>
      <x:c r="AC897" s="80" t="str">
        <x:v>Consistent</x:v>
      </x:c>
      <x:c r="AD897" s="80" t="str">
        <x:v>Excluded</x:v>
      </x:c>
      <x:c r="AE897" s="80" t="str">
        <x:f>IF(OR($AH897&lt;&gt;"Valid",$AI897&lt;&gt;"Valid",$AJ897&lt;&gt;"Valid",LEFT($AM897,7)="Invalid",IFERROR(ABS($AQ897)&gt;0.01,FALSE),IFERROR(ABS($AR897)&gt;0.01,FALSE),COUNTIF($AS897,"*Conflicting duplicate*")&gt;0,COUNTIF($AS897,"*Completed order not paid*")&gt;0),"Invalid",IF(OR($H897="Unknown",$N897="Unknown",$AM897="Missing discount imputed as 0"),"Warning","Clean"))</x:f>
        <x:v>Clean</x:v>
      </x:c>
      <x:c r="AF897" s="80" t="str">
        <x:v>Pass</x:v>
      </x:c>
      <x:c r="AG897" s="80" t="str">
        <x:v>No text cleanup required</x:v>
      </x:c>
      <x:c r="AH897" s="12" t="str">
        <x:f>IF(C897="","Missing date",IF(ISNUMBER(C897),"Valid","Unrecognized/invalid date"))</x:f>
        <x:v>Valid</x:v>
      </x:c>
      <x:c r="AI897" s="12" t="str">
        <x:f>IF(D897="","Missing date",IF(ISNUMBER(D897),"Valid","Unrecognized/invalid date"))</x:f>
        <x:v>Valid</x:v>
      </x:c>
      <x:c r="AJ897" s="12" t="str">
        <x:v>Valid</x:v>
      </x:c>
      <x:c r="AK897" s="12" t="str">
        <x:v>Pass</x:v>
      </x:c>
      <x:c r="AL897" s="12" t="str">
        <x:v>None</x:v>
      </x:c>
      <x:c r="AM897" s="12" t="str">
        <x:v>Valid</x:v>
      </x:c>
      <x:c r="AN897" s="12" t="str">
        <x:v>Exclude from completed sales</x:v>
      </x:c>
      <x:c r="AO897" s="12" t="str">
        <x:v>Not a refunded record</x:v>
      </x:c>
      <x:c r="AP897" s="37" t="n">
        <x:f>IF(LEFT($AM897,7)="Invalid","",IF($AM897="Missing discount imputed as 0",IF(AND(COUNT($O897,$P897,$R897,$S897)=4,$O897&gt;0,$P897&gt;=0,$R897&gt;=0,$S897&gt;=0),0,""),IF(AND(ISNUMBER($Q897),$Q897&gt;=0,$Q897&lt;=0.5),$Q897,"")))</x:f>
        <x:v>0.15</x:v>
      </x:c>
      <x:c r="AQ897" s="152" t="n">
        <x:f>IF(OR($W897="",NOT(ISNUMBER($R897))),"",ROUND($R897-$W897,2))</x:f>
        <x:v>0</x:v>
      </x:c>
      <x:c r="AR897" s="152" t="n">
        <x:f>IF(OR($X897="",NOT(ISNUMBER($T897))),"",ROUND($T897-$X897,2))</x:f>
        <x:v>0</x:v>
      </x:c>
      <x:c r="AS897" s="14" t="str">
        <x:v>OK</x:v>
      </x:c>
    </x:row>
    <x:row r="898">
      <x:c r="A898" s="80" t="n">
        <x:v>898</x:v>
      </x:c>
      <x:c r="B898" s="80" t="str">
        <x:v>ORD-2024-10897</x:v>
      </x:c>
      <x:c r="C898" s="81" t="n">
        <x:v>45650</x:v>
      </x:c>
      <x:c r="D898" s="81" t="n">
        <x:v>45651</x:v>
      </x:c>
      <x:c r="E898" s="80" t="str">
        <x:v>CUST-4848</x:v>
      </x:c>
      <x:c r="F898" s="80" t="str">
        <x:v>Ananya Rao</x:v>
      </x:c>
      <x:c r="G898" s="80" t="str">
        <x:v>Small Business</x:v>
      </x:c>
      <x:c r="H898" s="80" t="str">
        <x:v>South</x:v>
      </x:c>
      <x:c r="I898" s="80" t="str">
        <x:v>Tamil Nadu</x:v>
      </x:c>
      <x:c r="J898" s="80" t="str">
        <x:v>Chennai</x:v>
      </x:c>
      <x:c r="K898" s="80" t="str">
        <x:v>Technology</x:v>
      </x:c>
      <x:c r="L898" s="80" t="str">
        <x:v>Copiers</x:v>
      </x:c>
      <x:c r="M898" s="80" t="str">
        <x:v>Max Copiers 121</x:v>
      </x:c>
      <x:c r="N898" s="80" t="str">
        <x:v>Second Class</x:v>
      </x:c>
      <x:c r="O898" s="82" t="n">
        <x:v>1</x:v>
      </x:c>
      <x:c r="P898" s="83" t="n">
        <x:v>3693.03</x:v>
      </x:c>
      <x:c r="Q898" s="84" t="n">
        <x:v>0.05</x:v>
      </x:c>
      <x:c r="R898" s="83" t="n">
        <x:v>3508.38</x:v>
      </x:c>
      <x:c r="S898" s="83" t="n">
        <x:v>2828.06</x:v>
      </x:c>
      <x:c r="T898" s="83" t="n">
        <x:v>680.32</x:v>
      </x:c>
      <x:c r="U898" s="83" t="str">
        <x:v>Failed</x:v>
      </x:c>
      <x:c r="V898" s="83" t="str">
        <x:v>Returned</x:v>
      </x:c>
      <x:c r="W898" s="151" t="n">
        <x:f>IF(OR(NOT(ISNUMBER($AP898)),COUNT($O898,$P898)&lt;2,$O898&lt;=0,$P898&lt;0),"",ROUND($O898*$P898*(1-$AP898),2))</x:f>
        <x:v>3508.38</x:v>
      </x:c>
      <x:c r="X898" s="151" t="n">
        <x:f>IF(OR(NOT(ISNUMBER($W898)),NOT(ISNUMBER($S898))),"",ROUND($W898-$S898,2))</x:f>
        <x:v>680.32</x:v>
      </x:c>
      <x:c r="Y898" s="85" t="n">
        <x:f>IF(OR(NOT(ISNUMBER($W898)),NOT(ISNUMBER($X898)),$W898=0),"",ROUND($X898/$W898,4))</x:f>
        <x:v>0.1939</x:v>
      </x:c>
      <x:c r="Z898" s="82" t="n">
        <x:f>IF(OR($AH898&lt;&gt;"Valid",$AI898&lt;&gt;"Valid"),"",INT($D898-$C898))</x:f>
        <x:v>1</x:v>
      </x:c>
      <x:c r="AA898" s="86" t="str">
        <x:f>IF($AH898&lt;&gt;"Valid","",TEXT($C898,"mmmm"))</x:f>
        <x:v>December</x:v>
      </x:c>
      <x:c r="AB898" s="82" t="n">
        <x:f>IF($AH898&lt;&gt;"Valid","",YEAR($C898))</x:f>
        <x:v>2024</x:v>
      </x:c>
      <x:c r="AC898" s="80" t="str">
        <x:v>Failed payment (excluded from completed-sales summary)</x:v>
      </x:c>
      <x:c r="AD898" s="80" t="str">
        <x:v>Excluded</x:v>
      </x:c>
      <x:c r="AE898" s="80" t="str">
        <x:f>IF(OR($AH898&lt;&gt;"Valid",$AI898&lt;&gt;"Valid",$AJ898&lt;&gt;"Valid",LEFT($AM898,7)="Invalid",IFERROR(ABS($AQ898)&gt;0.01,FALSE),IFERROR(ABS($AR898)&gt;0.01,FALSE),COUNTIF($AS898,"*Conflicting duplicate*")&gt;0,COUNTIF($AS898,"*Completed order not paid*")&gt;0),"Invalid",IF(OR($H898="Unknown",$N898="Unknown",$AM898="Missing discount imputed as 0"),"Warning","Clean"))</x:f>
        <x:v>Clean</x:v>
      </x:c>
      <x:c r="AF898" s="80" t="str">
        <x:v>Pass</x:v>
      </x:c>
      <x:c r="AG898" s="80" t="str">
        <x:v>No text cleanup required</x:v>
      </x:c>
      <x:c r="AH898" s="12" t="str">
        <x:f>IF(C898="","Missing date",IF(ISNUMBER(C898),"Valid","Unrecognized/invalid date"))</x:f>
        <x:v>Valid</x:v>
      </x:c>
      <x:c r="AI898" s="12" t="str">
        <x:f>IF(D898="","Missing date",IF(ISNUMBER(D898),"Valid","Unrecognized/invalid date"))</x:f>
        <x:v>Valid</x:v>
      </x:c>
      <x:c r="AJ898" s="12" t="str">
        <x:v>Valid</x:v>
      </x:c>
      <x:c r="AK898" s="12" t="str">
        <x:v>Pass</x:v>
      </x:c>
      <x:c r="AL898" s="12" t="str">
        <x:v>Failed payment – excluded from completed sales</x:v>
      </x:c>
      <x:c r="AM898" s="12" t="str">
        <x:v>Valid</x:v>
      </x:c>
      <x:c r="AN898" s="12" t="str">
        <x:v>Exclude from completed sales</x:v>
      </x:c>
      <x:c r="AO898" s="12" t="str">
        <x:v>Not a refunded record</x:v>
      </x:c>
      <x:c r="AP898" s="37" t="n">
        <x:f>IF(LEFT($AM898,7)="Invalid","",IF($AM898="Missing discount imputed as 0",IF(AND(COUNT($O898,$P898,$R898,$S898)=4,$O898&gt;0,$P898&gt;=0,$R898&gt;=0,$S898&gt;=0),0,""),IF(AND(ISNUMBER($Q898),$Q898&gt;=0,$Q898&lt;=0.5),$Q898,"")))</x:f>
        <x:v>0.05</x:v>
      </x:c>
      <x:c r="AQ898" s="152" t="n">
        <x:f>IF(OR($W898="",NOT(ISNUMBER($R898))),"",ROUND($R898-$W898,2))</x:f>
        <x:v>0</x:v>
      </x:c>
      <x:c r="AR898" s="152" t="n">
        <x:f>IF(OR($X898="",NOT(ISNUMBER($T898))),"",ROUND($T898-$X898,2))</x:f>
        <x:v>0</x:v>
      </x:c>
      <x:c r="AS898" s="14" t="str">
        <x:v>OK</x:v>
      </x:c>
    </x:row>
    <x:row r="899">
      <x:c r="A899" s="80" t="n">
        <x:v>899</x:v>
      </x:c>
      <x:c r="B899" s="80" t="str">
        <x:v>ORD-2025-10898</x:v>
      </x:c>
      <x:c r="C899" s="81" t="n">
        <x:v>45776</x:v>
      </x:c>
      <x:c r="D899" s="81" t="n">
        <x:v>45780</x:v>
      </x:c>
      <x:c r="E899" s="80" t="str">
        <x:v>CUST-2897</x:v>
      </x:c>
      <x:c r="F899" s="80" t="str">
        <x:v>Rohan Mehta</x:v>
      </x:c>
      <x:c r="G899" s="80" t="str">
        <x:v>Corporate</x:v>
      </x:c>
      <x:c r="H899" s="80" t="str">
        <x:v>North</x:v>
      </x:c>
      <x:c r="I899" s="80" t="str">
        <x:v>Haryana</x:v>
      </x:c>
      <x:c r="J899" s="80" t="str">
        <x:v>Gurugram</x:v>
      </x:c>
      <x:c r="K899" s="80" t="str">
        <x:v>Office Supplies</x:v>
      </x:c>
      <x:c r="L899" s="80" t="str">
        <x:v>Paper</x:v>
      </x:c>
      <x:c r="M899" s="80" t="str">
        <x:v>Eco Paper 747</x:v>
      </x:c>
      <x:c r="N899" s="80" t="str">
        <x:v>First Class</x:v>
      </x:c>
      <x:c r="O899" s="82" t="n">
        <x:v>4</x:v>
      </x:c>
      <x:c r="P899" s="83" t="n">
        <x:v>1786.65</x:v>
      </x:c>
      <x:c r="Q899" s="84" t="n">
        <x:v>0.05</x:v>
      </x:c>
      <x:c r="R899" s="83" t="n">
        <x:v>6789.27</x:v>
      </x:c>
      <x:c r="S899" s="83" t="n">
        <x:v>5626.43</x:v>
      </x:c>
      <x:c r="T899" s="83" t="n">
        <x:v>1162.84</x:v>
      </x:c>
      <x:c r="U899" s="83" t="str">
        <x:v>Paid</x:v>
      </x:c>
      <x:c r="V899" s="83" t="str">
        <x:v>Completed</x:v>
      </x:c>
      <x:c r="W899" s="151" t="n">
        <x:f>IF(OR(NOT(ISNUMBER($AP899)),COUNT($O899,$P899)&lt;2,$O899&lt;=0,$P899&lt;0),"",ROUND($O899*$P899*(1-$AP899),2))</x:f>
        <x:v>6789.27</x:v>
      </x:c>
      <x:c r="X899" s="151" t="n">
        <x:f>IF(OR(NOT(ISNUMBER($W899)),NOT(ISNUMBER($S899))),"",ROUND($W899-$S899,2))</x:f>
        <x:v>1162.84</x:v>
      </x:c>
      <x:c r="Y899" s="85" t="n">
        <x:f>IF(OR(NOT(ISNUMBER($W899)),NOT(ISNUMBER($X899)),$W899=0),"",ROUND($X899/$W899,4))</x:f>
        <x:v>0.1713</x:v>
      </x:c>
      <x:c r="Z899" s="82" t="n">
        <x:f>IF(OR($AH899&lt;&gt;"Valid",$AI899&lt;&gt;"Valid"),"",INT($D899-$C899))</x:f>
        <x:v>4</x:v>
      </x:c>
      <x:c r="AA899" s="86" t="str">
        <x:f>IF($AH899&lt;&gt;"Valid","",TEXT($C899,"mmmm"))</x:f>
        <x:v>April</x:v>
      </x:c>
      <x:c r="AB899" s="82" t="n">
        <x:f>IF($AH899&lt;&gt;"Valid","",YEAR($C899))</x:f>
        <x:v>2025</x:v>
      </x:c>
      <x:c r="AC899" s="80" t="str">
        <x:v>Consistent</x:v>
      </x:c>
      <x:c r="AD899" s="80" t="str">
        <x:v>Eligible</x:v>
      </x:c>
      <x:c r="AE899" s="80" t="str">
        <x:f>IF(OR($AH899&lt;&gt;"Valid",$AI899&lt;&gt;"Valid",$AJ899&lt;&gt;"Valid",LEFT($AM899,7)="Invalid",IFERROR(ABS($AQ899)&gt;0.01,FALSE),IFERROR(ABS($AR899)&gt;0.01,FALSE),COUNTIF($AS899,"*Conflicting duplicate*")&gt;0,COUNTIF($AS899,"*Completed order not paid*")&gt;0),"Invalid",IF(OR($H899="Unknown",$N899="Unknown",$AM899="Missing discount imputed as 0"),"Warning","Clean"))</x:f>
        <x:v>Clean</x:v>
      </x:c>
      <x:c r="AF899" s="80" t="str">
        <x:v>Pass</x:v>
      </x:c>
      <x:c r="AG899" s="80" t="str">
        <x:v>No text cleanup required</x:v>
      </x:c>
      <x:c r="AH899" s="12" t="str">
        <x:f>IF(C899="","Missing date",IF(ISNUMBER(C899),"Valid","Unrecognized/invalid date"))</x:f>
        <x:v>Valid</x:v>
      </x:c>
      <x:c r="AI899" s="12" t="str">
        <x:f>IF(D899="","Missing date",IF(ISNUMBER(D899),"Valid","Unrecognized/invalid date"))</x:f>
        <x:v>Valid</x:v>
      </x:c>
      <x:c r="AJ899" s="12" t="str">
        <x:v>Valid</x:v>
      </x:c>
      <x:c r="AK899" s="12" t="str">
        <x:v>Pass</x:v>
      </x:c>
      <x:c r="AL899" s="12" t="str">
        <x:v>None</x:v>
      </x:c>
      <x:c r="AM899" s="12" t="str">
        <x:v>Valid</x:v>
      </x:c>
      <x:c r="AN899" s="12" t="str">
        <x:v>Include in completed sales</x:v>
      </x:c>
      <x:c r="AO899" s="12" t="str">
        <x:v>Not a refunded record</x:v>
      </x:c>
      <x:c r="AP899" s="37" t="n">
        <x:f>IF(LEFT($AM899,7)="Invalid","",IF($AM899="Missing discount imputed as 0",IF(AND(COUNT($O899,$P899,$R899,$S899)=4,$O899&gt;0,$P899&gt;=0,$R899&gt;=0,$S899&gt;=0),0,""),IF(AND(ISNUMBER($Q899),$Q899&gt;=0,$Q899&lt;=0.5),$Q899,"")))</x:f>
        <x:v>0.05</x:v>
      </x:c>
      <x:c r="AQ899" s="152" t="n">
        <x:f>IF(OR($W899="",NOT(ISNUMBER($R899))),"",ROUND($R899-$W899,2))</x:f>
        <x:v>0</x:v>
      </x:c>
      <x:c r="AR899" s="152" t="n">
        <x:f>IF(OR($X899="",NOT(ISNUMBER($T899))),"",ROUND($T899-$X899,2))</x:f>
        <x:v>0</x:v>
      </x:c>
      <x:c r="AS899" s="14" t="str">
        <x:v>OK</x:v>
      </x:c>
    </x:row>
    <x:row r="900">
      <x:c r="A900" s="80" t="n">
        <x:v>900</x:v>
      </x:c>
      <x:c r="B900" s="80" t="str">
        <x:v>ORD-2024-10899</x:v>
      </x:c>
      <x:c r="C900" s="81" t="n">
        <x:v>45445</x:v>
      </x:c>
      <x:c r="D900" s="81" t="n">
        <x:v>45451</x:v>
      </x:c>
      <x:c r="E900" s="80" t="str">
        <x:v>CUST-6046</x:v>
      </x:c>
      <x:c r="F900" s="80" t="str">
        <x:v>Vikram Iyer</x:v>
      </x:c>
      <x:c r="G900" s="80" t="str">
        <x:v>Consumer</x:v>
      </x:c>
      <x:c r="H900" s="80" t="str">
        <x:v>North</x:v>
      </x:c>
      <x:c r="I900" s="80" t="str">
        <x:v>Delhi</x:v>
      </x:c>
      <x:c r="J900" s="80" t="str">
        <x:v>New Delhi</x:v>
      </x:c>
      <x:c r="K900" s="80" t="str">
        <x:v>Furniture</x:v>
      </x:c>
      <x:c r="L900" s="80" t="str">
        <x:v>Tables</x:v>
      </x:c>
      <x:c r="M900" s="80" t="str">
        <x:v>Classic Tables 535</x:v>
      </x:c>
      <x:c r="N900" s="80" t="str">
        <x:v>First Class</x:v>
      </x:c>
      <x:c r="O900" s="82" t="n">
        <x:v>4</x:v>
      </x:c>
      <x:c r="P900" s="83" t="n">
        <x:v>1536.7</x:v>
      </x:c>
      <x:c r="Q900" s="84" t="n">
        <x:v>0.2</x:v>
      </x:c>
      <x:c r="R900" s="83" t="n">
        <x:v>4917.44</x:v>
      </x:c>
      <x:c r="S900" s="83" t="n">
        <x:v>3846.77</x:v>
      </x:c>
      <x:c r="T900" s="83" t="n">
        <x:v>1070.67</x:v>
      </x:c>
      <x:c r="U900" s="83" t="str">
        <x:v>Paid</x:v>
      </x:c>
      <x:c r="V900" s="83" t="str">
        <x:v>Completed</x:v>
      </x:c>
      <x:c r="W900" s="151" t="n">
        <x:f>IF(OR(NOT(ISNUMBER($AP900)),COUNT($O900,$P900)&lt;2,$O900&lt;=0,$P900&lt;0),"",ROUND($O900*$P900*(1-$AP900),2))</x:f>
        <x:v>4917.44</x:v>
      </x:c>
      <x:c r="X900" s="151" t="n">
        <x:f>IF(OR(NOT(ISNUMBER($W900)),NOT(ISNUMBER($S900))),"",ROUND($W900-$S900,2))</x:f>
        <x:v>1070.67</x:v>
      </x:c>
      <x:c r="Y900" s="85" t="n">
        <x:f>IF(OR(NOT(ISNUMBER($W900)),NOT(ISNUMBER($X900)),$W900=0),"",ROUND($X900/$W900,4))</x:f>
        <x:v>0.2177</x:v>
      </x:c>
      <x:c r="Z900" s="82" t="n">
        <x:f>IF(OR($AH900&lt;&gt;"Valid",$AI900&lt;&gt;"Valid"),"",INT($D900-$C900))</x:f>
        <x:v>6</x:v>
      </x:c>
      <x:c r="AA900" s="86" t="str">
        <x:f>IF($AH900&lt;&gt;"Valid","",TEXT($C900,"mmmm"))</x:f>
        <x:v>June</x:v>
      </x:c>
      <x:c r="AB900" s="82" t="n">
        <x:f>IF($AH900&lt;&gt;"Valid","",YEAR($C900))</x:f>
        <x:v>2024</x:v>
      </x:c>
      <x:c r="AC900" s="80" t="str">
        <x:v>Consistent</x:v>
      </x:c>
      <x:c r="AD900" s="80" t="str">
        <x:v>Eligible</x:v>
      </x:c>
      <x:c r="AE900" s="80" t="str">
        <x:f>IF(OR($AH900&lt;&gt;"Valid",$AI900&lt;&gt;"Valid",$AJ900&lt;&gt;"Valid",LEFT($AM900,7)="Invalid",IFERROR(ABS($AQ900)&gt;0.01,FALSE),IFERROR(ABS($AR900)&gt;0.01,FALSE),COUNTIF($AS900,"*Conflicting duplicate*")&gt;0,COUNTIF($AS900,"*Completed order not paid*")&gt;0),"Invalid",IF(OR($H900="Unknown",$N900="Unknown",$AM900="Missing discount imputed as 0"),"Warning","Clean"))</x:f>
        <x:v>Clean</x:v>
      </x:c>
      <x:c r="AF900" s="80" t="str">
        <x:v>Pass</x:v>
      </x:c>
      <x:c r="AG900" s="80" t="str">
        <x:v>No text cleanup required</x:v>
      </x:c>
      <x:c r="AH900" s="12" t="str">
        <x:f>IF(C900="","Missing date",IF(ISNUMBER(C900),"Valid","Unrecognized/invalid date"))</x:f>
        <x:v>Valid</x:v>
      </x:c>
      <x:c r="AI900" s="12" t="str">
        <x:f>IF(D900="","Missing date",IF(ISNUMBER(D900),"Valid","Unrecognized/invalid date"))</x:f>
        <x:v>Valid</x:v>
      </x:c>
      <x:c r="AJ900" s="12" t="str">
        <x:v>Valid</x:v>
      </x:c>
      <x:c r="AK900" s="12" t="str">
        <x:v>Pass</x:v>
      </x:c>
      <x:c r="AL900" s="12" t="str">
        <x:v>None</x:v>
      </x:c>
      <x:c r="AM900" s="12" t="str">
        <x:v>Valid</x:v>
      </x:c>
      <x:c r="AN900" s="12" t="str">
        <x:v>Include in completed sales</x:v>
      </x:c>
      <x:c r="AO900" s="12" t="str">
        <x:v>Not a refunded record</x:v>
      </x:c>
      <x:c r="AP900" s="37" t="n">
        <x:f>IF(LEFT($AM900,7)="Invalid","",IF($AM900="Missing discount imputed as 0",IF(AND(COUNT($O900,$P900,$R900,$S900)=4,$O900&gt;0,$P900&gt;=0,$R900&gt;=0,$S900&gt;=0),0,""),IF(AND(ISNUMBER($Q900),$Q900&gt;=0,$Q900&lt;=0.5),$Q900,"")))</x:f>
        <x:v>0.2</x:v>
      </x:c>
      <x:c r="AQ900" s="152" t="n">
        <x:f>IF(OR($W900="",NOT(ISNUMBER($R900))),"",ROUND($R900-$W900,2))</x:f>
        <x:v>0</x:v>
      </x:c>
      <x:c r="AR900" s="152" t="n">
        <x:f>IF(OR($X900="",NOT(ISNUMBER($T900))),"",ROUND($T900-$X900,2))</x:f>
        <x:v>0</x:v>
      </x:c>
      <x:c r="AS900" s="14" t="str">
        <x:v>OK</x:v>
      </x:c>
    </x:row>
    <x:row r="901">
      <x:c r="A901" s="80" t="n">
        <x:v>901</x:v>
      </x:c>
      <x:c r="B901" s="80" t="str">
        <x:v>ORD-2025-10900</x:v>
      </x:c>
      <x:c r="C901" s="81" t="n">
        <x:v>45804</x:v>
      </x:c>
      <x:c r="D901" s="81" t="n">
        <x:v>45811</x:v>
      </x:c>
      <x:c r="E901" s="80" t="str">
        <x:v>CUST-3789</x:v>
      </x:c>
      <x:c r="F901" s="80" t="str">
        <x:v>Karan Malhotra</x:v>
      </x:c>
      <x:c r="G901" s="80" t="str">
        <x:v>Consumer</x:v>
      </x:c>
      <x:c r="H901" s="80" t="str">
        <x:v>North</x:v>
      </x:c>
      <x:c r="I901" s="80" t="str">
        <x:v>Punjab</x:v>
      </x:c>
      <x:c r="J901" s="80" t="str">
        <x:v>Ludhiana</x:v>
      </x:c>
      <x:c r="K901" s="80" t="str">
        <x:v>Furniture</x:v>
      </x:c>
      <x:c r="L901" s="80" t="str">
        <x:v>Chairs</x:v>
      </x:c>
      <x:c r="M901" s="80" t="str">
        <x:v>Elite Chairs 971</x:v>
      </x:c>
      <x:c r="N901" s="80" t="str">
        <x:v>First Class</x:v>
      </x:c>
      <x:c r="O901" s="82" t="n">
        <x:v>5</x:v>
      </x:c>
      <x:c r="P901" s="83" t="n">
        <x:v>881.08</x:v>
      </x:c>
      <x:c r="Q901" s="84" t="n">
        <x:v>0.25</x:v>
      </x:c>
      <x:c r="R901" s="83" t="n">
        <x:v>3304.05</x:v>
      </x:c>
      <x:c r="S901" s="83" t="n">
        <x:v>2279.41</x:v>
      </x:c>
      <x:c r="T901" s="83" t="n">
        <x:v>1024.64</x:v>
      </x:c>
      <x:c r="U901" s="83" t="str">
        <x:v>Failed</x:v>
      </x:c>
      <x:c r="V901" s="83" t="str">
        <x:v>Cancelled</x:v>
      </x:c>
      <x:c r="W901" s="151" t="n">
        <x:f>IF(OR(NOT(ISNUMBER($AP901)),COUNT($O901,$P901)&lt;2,$O901&lt;=0,$P901&lt;0),"",ROUND($O901*$P901*(1-$AP901),2))</x:f>
        <x:v>3304.05</x:v>
      </x:c>
      <x:c r="X901" s="151" t="n">
        <x:f>IF(OR(NOT(ISNUMBER($W901)),NOT(ISNUMBER($S901))),"",ROUND($W901-$S901,2))</x:f>
        <x:v>1024.64</x:v>
      </x:c>
      <x:c r="Y901" s="85" t="n">
        <x:f>IF(OR(NOT(ISNUMBER($W901)),NOT(ISNUMBER($X901)),$W901=0),"",ROUND($X901/$W901,4))</x:f>
        <x:v>0.3101</x:v>
      </x:c>
      <x:c r="Z901" s="82" t="n">
        <x:f>IF(OR($AH901&lt;&gt;"Valid",$AI901&lt;&gt;"Valid"),"",INT($D901-$C901))</x:f>
        <x:v>7</x:v>
      </x:c>
      <x:c r="AA901" s="86" t="str">
        <x:f>IF($AH901&lt;&gt;"Valid","",TEXT($C901,"mmmm"))</x:f>
        <x:v>May</x:v>
      </x:c>
      <x:c r="AB901" s="82" t="n">
        <x:f>IF($AH901&lt;&gt;"Valid","",YEAR($C901))</x:f>
        <x:v>2025</x:v>
      </x:c>
      <x:c r="AC901" s="80" t="str">
        <x:v>Cancelled (excluded from completed-sales summary)</x:v>
      </x:c>
      <x:c r="AD901" s="80" t="str">
        <x:v>Excluded</x:v>
      </x:c>
      <x:c r="AE901" s="80" t="str">
        <x:f>IF(OR($AH901&lt;&gt;"Valid",$AI901&lt;&gt;"Valid",$AJ901&lt;&gt;"Valid",LEFT($AM901,7)="Invalid",IFERROR(ABS($AQ901)&gt;0.01,FALSE),IFERROR(ABS($AR901)&gt;0.01,FALSE),COUNTIF($AS901,"*Conflicting duplicate*")&gt;0,COUNTIF($AS901,"*Completed order not paid*")&gt;0),"Invalid",IF(OR($H901="Unknown",$N901="Unknown",$AM901="Missing discount imputed as 0"),"Warning","Clean"))</x:f>
        <x:v>Clean</x:v>
      </x:c>
      <x:c r="AF901" s="80" t="str">
        <x:v>Pass</x:v>
      </x:c>
      <x:c r="AG901" s="80" t="str">
        <x:v>No text cleanup required</x:v>
      </x:c>
      <x:c r="AH901" s="12" t="str">
        <x:f>IF(C901="","Missing date",IF(ISNUMBER(C901),"Valid","Unrecognized/invalid date"))</x:f>
        <x:v>Valid</x:v>
      </x:c>
      <x:c r="AI901" s="12" t="str">
        <x:f>IF(D901="","Missing date",IF(ISNUMBER(D901),"Valid","Unrecognized/invalid date"))</x:f>
        <x:v>Valid</x:v>
      </x:c>
      <x:c r="AJ901" s="12" t="str">
        <x:v>Valid</x:v>
      </x:c>
      <x:c r="AK901" s="12" t="str">
        <x:v>Pass</x:v>
      </x:c>
      <x:c r="AL901" s="12" t="str">
        <x:v>Cancelled order – excluded from completed sales; Failed payment – excluded from completed sales</x:v>
      </x:c>
      <x:c r="AM901" s="12" t="str">
        <x:v>Valid</x:v>
      </x:c>
      <x:c r="AN901" s="12" t="str">
        <x:v>Exclude from completed sales</x:v>
      </x:c>
      <x:c r="AO901" s="12" t="str">
        <x:v>Not a refunded record</x:v>
      </x:c>
      <x:c r="AP901" s="37" t="n">
        <x:f>IF(LEFT($AM901,7)="Invalid","",IF($AM901="Missing discount imputed as 0",IF(AND(COUNT($O901,$P901,$R901,$S901)=4,$O901&gt;0,$P901&gt;=0,$R901&gt;=0,$S901&gt;=0),0,""),IF(AND(ISNUMBER($Q901),$Q901&gt;=0,$Q901&lt;=0.5),$Q901,"")))</x:f>
        <x:v>0.25</x:v>
      </x:c>
      <x:c r="AQ901" s="152" t="n">
        <x:f>IF(OR($W901="",NOT(ISNUMBER($R901))),"",ROUND($R901-$W901,2))</x:f>
        <x:v>0</x:v>
      </x:c>
      <x:c r="AR901" s="152" t="n">
        <x:f>IF(OR($X901="",NOT(ISNUMBER($T901))),"",ROUND($T901-$X901,2))</x:f>
        <x:v>0</x:v>
      </x:c>
      <x:c r="AS901" s="14" t="str">
        <x:v>OK</x:v>
      </x:c>
    </x:row>
    <x:row r="902">
      <x:c r="A902" s="80" t="n">
        <x:v>922</x:v>
      </x:c>
      <x:c r="B902" s="80" t="str">
        <x:v>ORD-2024-10332</x:v>
      </x:c>
      <x:c r="C902" s="81" t="n">
        <x:v>45630</x:v>
      </x:c>
      <x:c r="D902" s="81" t="n">
        <x:v>45632</x:v>
      </x:c>
      <x:c r="E902" s="80" t="str">
        <x:v>CUST-9346</x:v>
      </x:c>
      <x:c r="F902" s="80" t="str">
        <x:v>Sneha Kapoor</x:v>
      </x:c>
      <x:c r="G902" s="80" t="str">
        <x:v>Home Office</x:v>
      </x:c>
      <x:c r="H902" s="80" t="str">
        <x:v>East</x:v>
      </x:c>
      <x:c r="I902" s="80" t="str">
        <x:v>Odisha</x:v>
      </x:c>
      <x:c r="J902" s="80" t="str">
        <x:v>Bhubaneswar</x:v>
      </x:c>
      <x:c r="K902" s="80" t="str">
        <x:v>Office Supplies</x:v>
      </x:c>
      <x:c r="L902" s="80" t="str">
        <x:v>Binders</x:v>
      </x:c>
      <x:c r="M902" s="80" t="str">
        <x:v>Smart Binders 939</x:v>
      </x:c>
      <x:c r="N902" s="80" t="str">
        <x:v>Second Class</x:v>
      </x:c>
      <x:c r="O902" s="82" t="n">
        <x:v>4</x:v>
      </x:c>
      <x:c r="P902" s="83" t="n">
        <x:v>2685.66</x:v>
      </x:c>
      <x:c r="Q902" s="84" t="n">
        <x:v>0</x:v>
      </x:c>
      <x:c r="R902" s="83" t="n">
        <x:v>10989.89</x:v>
      </x:c>
      <x:c r="S902" s="83" t="n">
        <x:v>6477.37</x:v>
      </x:c>
      <x:c r="T902" s="83" t="n">
        <x:v>4265.27</x:v>
      </x:c>
      <x:c r="U902" s="83" t="str">
        <x:v>Paid</x:v>
      </x:c>
      <x:c r="V902" s="83" t="str">
        <x:v>Completed</x:v>
      </x:c>
      <x:c r="W902" s="151" t="n">
        <x:f>IF(OR(NOT(ISNUMBER($AP902)),COUNT($O902,$P902)&lt;2,$O902&lt;=0,$P902&lt;0),"",ROUND($O902*$P902*(1-$AP902),2))</x:f>
        <x:v>10742.64</x:v>
      </x:c>
      <x:c r="X902" s="151" t="n">
        <x:f>IF(OR(NOT(ISNUMBER($W902)),NOT(ISNUMBER($S902))),"",ROUND($W902-$S902,2))</x:f>
        <x:v>4265.27</x:v>
      </x:c>
      <x:c r="Y902" s="85" t="n">
        <x:f>IF(OR(NOT(ISNUMBER($W902)),NOT(ISNUMBER($X902)),$W902=0),"",ROUND($X902/$W902,4))</x:f>
        <x:v>0.397</x:v>
      </x:c>
      <x:c r="Z902" s="82" t="n">
        <x:f>IF(OR($AH902&lt;&gt;"Valid",$AI902&lt;&gt;"Valid"),"",INT($D902-$C902))</x:f>
        <x:v>2</x:v>
      </x:c>
      <x:c r="AA902" s="86" t="str">
        <x:f>IF($AH902&lt;&gt;"Valid","",TEXT($C902,"mmmm"))</x:f>
        <x:v>December</x:v>
      </x:c>
      <x:c r="AB902" s="82" t="n">
        <x:f>IF($AH902&lt;&gt;"Valid","",YEAR($C902))</x:f>
        <x:v>2024</x:v>
      </x:c>
      <x:c r="AC902" s="80" t="str">
        <x:v>Consistent</x:v>
      </x:c>
      <x:c r="AD902" s="80" t="str">
        <x:v>Excluded</x:v>
      </x:c>
      <x:c r="AE902" s="80" t="str">
        <x:f>IF(OR($AH902&lt;&gt;"Valid",$AI902&lt;&gt;"Valid",$AJ902&lt;&gt;"Valid",LEFT($AM902,7)="Invalid",IFERROR(ABS($AQ902)&gt;0.01,FALSE),IFERROR(ABS($AR902)&gt;0.01,FALSE),COUNTIF($AS902,"*Conflicting duplicate*")&gt;0,COUNTIF($AS902,"*Completed order not paid*")&gt;0),"Invalid",IF(OR($H902="Unknown",$N902="Unknown",$AM902="Missing discount imputed as 0"),"Warning","Clean"))</x:f>
        <x:v>Invalid</x:v>
      </x:c>
      <x:c r="AF902" s="80" t="str">
        <x:v>Review</x:v>
      </x:c>
      <x:c r="AG902" s="80" t="str">
        <x:v>No text cleanup required</x:v>
      </x:c>
      <x:c r="AH902" s="12" t="str">
        <x:f>IF(C902="","Missing date",IF(ISNUMBER(C902),"Valid","Unrecognized/invalid date"))</x:f>
        <x:v>Valid</x:v>
      </x:c>
      <x:c r="AI902" s="12" t="str">
        <x:f>IF(D902="","Missing date",IF(ISNUMBER(D902),"Valid","Unrecognized/invalid date"))</x:f>
        <x:v>Valid</x:v>
      </x:c>
      <x:c r="AJ902" s="12" t="str">
        <x:v>Valid</x:v>
      </x:c>
      <x:c r="AK902" s="12" t="str">
        <x:v>Pass</x:v>
      </x:c>
      <x:c r="AL902" s="12" t="str">
        <x:v>None</x:v>
      </x:c>
      <x:c r="AM902" s="12" t="str">
        <x:v>Valid</x:v>
      </x:c>
      <x:c r="AN902" s="12" t="str">
        <x:v>Exclude from completed sales</x:v>
      </x:c>
      <x:c r="AO902" s="12" t="str">
        <x:v>Not a refunded record</x:v>
      </x:c>
      <x:c r="AP902" s="37" t="n">
        <x:f>IF(LEFT($AM902,7)="Invalid","",IF($AM902="Missing discount imputed as 0",IF(AND(COUNT($O902,$P902,$R902,$S902)=4,$O902&gt;0,$P902&gt;=0,$R902&gt;=0,$S902&gt;=0),0,""),IF(AND(ISNUMBER($Q902),$Q902&gt;=0,$Q902&lt;=0.5),$Q902,"")))</x:f>
        <x:v>0</x:v>
      </x:c>
      <x:c r="AQ902" s="152" t="n">
        <x:f>IF(OR($W902="",NOT(ISNUMBER($R902))),"",ROUND($R902-$W902,2))</x:f>
        <x:v>247.25</x:v>
      </x:c>
      <x:c r="AR902" s="152" t="n">
        <x:f>IF(OR($X902="",NOT(ISNUMBER($T902))),"",ROUND($T902-$X902,2))</x:f>
        <x:v>0</x:v>
      </x:c>
      <x:c r="AS902" s="14" t="str">
        <x:v>Sales calculation mismatch; Profit calculation mismatch; Conflicting duplicate order ID</x:v>
      </x:c>
    </x:row>
    <x:row r="903">
      <x:c r="A903" s="80" t="n">
        <x:v>923</x:v>
      </x:c>
      <x:c r="B903" s="80" t="str">
        <x:v>ORD-2025-10091</x:v>
      </x:c>
      <x:c r="C903" s="81" t="n">
        <x:v>45893</x:v>
      </x:c>
      <x:c r="D903" s="81" t="n">
        <x:v>45898</x:v>
      </x:c>
      <x:c r="E903" s="80" t="str">
        <x:v>CUST-5909</x:v>
      </x:c>
      <x:c r="F903" s="80" t="str">
        <x:v>Aarav Sharma</x:v>
      </x:c>
      <x:c r="G903" s="80" t="str">
        <x:v>Small Business</x:v>
      </x:c>
      <x:c r="H903" s="80" t="str">
        <x:v>East</x:v>
      </x:c>
      <x:c r="I903" s="80" t="str">
        <x:v>Bihar</x:v>
      </x:c>
      <x:c r="J903" s="80" t="str">
        <x:v>Patna</x:v>
      </x:c>
      <x:c r="K903" s="80" t="str">
        <x:v>Technology</x:v>
      </x:c>
      <x:c r="L903" s="80" t="str">
        <x:v>Copiers</x:v>
      </x:c>
      <x:c r="M903" s="80" t="str">
        <x:v>Smart Copiers 556</x:v>
      </x:c>
      <x:c r="N903" s="80" t="str">
        <x:v>First Class</x:v>
      </x:c>
      <x:c r="O903" s="82" t="n">
        <x:v>3</x:v>
      </x:c>
      <x:c r="P903" s="83" t="n">
        <x:v>3703.96</x:v>
      </x:c>
      <x:c r="Q903" s="84" t="n">
        <x:v>0.15</x:v>
      </x:c>
      <x:c r="R903" s="83" t="n">
        <x:v>9549.44</x:v>
      </x:c>
      <x:c r="S903" s="83" t="n">
        <x:v>5586.28</x:v>
      </x:c>
      <x:c r="T903" s="83" t="n">
        <x:v>3858.82</x:v>
      </x:c>
      <x:c r="U903" s="83" t="str">
        <x:v>Paid</x:v>
      </x:c>
      <x:c r="V903" s="83" t="str">
        <x:v>Returned</x:v>
      </x:c>
      <x:c r="W903" s="151" t="n">
        <x:f>IF(OR(NOT(ISNUMBER($AP903)),COUNT($O903,$P903)&lt;2,$O903&lt;=0,$P903&lt;0),"",ROUND($O903*$P903*(1-$AP903),2))</x:f>
        <x:v>9445.1</x:v>
      </x:c>
      <x:c r="X903" s="151" t="n">
        <x:f>IF(OR(NOT(ISNUMBER($W903)),NOT(ISNUMBER($S903))),"",ROUND($W903-$S903,2))</x:f>
        <x:v>3858.82</x:v>
      </x:c>
      <x:c r="Y903" s="85" t="n">
        <x:f>IF(OR(NOT(ISNUMBER($W903)),NOT(ISNUMBER($X903)),$W903=0),"",ROUND($X903/$W903,4))</x:f>
        <x:v>0.4086</x:v>
      </x:c>
      <x:c r="Z903" s="82" t="n">
        <x:f>IF(OR($AH903&lt;&gt;"Valid",$AI903&lt;&gt;"Valid"),"",INT($D903-$C903))</x:f>
        <x:v>5</x:v>
      </x:c>
      <x:c r="AA903" s="86" t="str">
        <x:f>IF($AH903&lt;&gt;"Valid","",TEXT($C903,"mmmm"))</x:f>
        <x:v>August</x:v>
      </x:c>
      <x:c r="AB903" s="82" t="n">
        <x:f>IF($AH903&lt;&gt;"Valid","",YEAR($C903))</x:f>
        <x:v>2025</x:v>
      </x:c>
      <x:c r="AC903" s="80" t="str">
        <x:v>Consistent</x:v>
      </x:c>
      <x:c r="AD903" s="80" t="str">
        <x:v>Excluded</x:v>
      </x:c>
      <x:c r="AE903" s="80" t="str">
        <x:f>IF(OR($AH903&lt;&gt;"Valid",$AI903&lt;&gt;"Valid",$AJ903&lt;&gt;"Valid",LEFT($AM903,7)="Invalid",IFERROR(ABS($AQ903)&gt;0.01,FALSE),IFERROR(ABS($AR903)&gt;0.01,FALSE),COUNTIF($AS903,"*Conflicting duplicate*")&gt;0,COUNTIF($AS903,"*Completed order not paid*")&gt;0),"Invalid",IF(OR($H903="Unknown",$N903="Unknown",$AM903="Missing discount imputed as 0"),"Warning","Clean"))</x:f>
        <x:v>Invalid</x:v>
      </x:c>
      <x:c r="AF903" s="80" t="str">
        <x:v>Review</x:v>
      </x:c>
      <x:c r="AG903" s="80" t="str">
        <x:v>No text cleanup required</x:v>
      </x:c>
      <x:c r="AH903" s="12" t="str">
        <x:f>IF(C903="","Missing date",IF(ISNUMBER(C903),"Valid","Unrecognized/invalid date"))</x:f>
        <x:v>Valid</x:v>
      </x:c>
      <x:c r="AI903" s="12" t="str">
        <x:f>IF(D903="","Missing date",IF(ISNUMBER(D903),"Valid","Unrecognized/invalid date"))</x:f>
        <x:v>Valid</x:v>
      </x:c>
      <x:c r="AJ903" s="12" t="str">
        <x:v>Valid</x:v>
      </x:c>
      <x:c r="AK903" s="12" t="str">
        <x:v>Pass</x:v>
      </x:c>
      <x:c r="AL903" s="12" t="str">
        <x:v>None</x:v>
      </x:c>
      <x:c r="AM903" s="12" t="str">
        <x:v>Valid</x:v>
      </x:c>
      <x:c r="AN903" s="12" t="str">
        <x:v>Exclude from completed sales</x:v>
      </x:c>
      <x:c r="AO903" s="12" t="str">
        <x:v>Not a refunded record</x:v>
      </x:c>
      <x:c r="AP903" s="37" t="n">
        <x:f>IF(LEFT($AM903,7)="Invalid","",IF($AM903="Missing discount imputed as 0",IF(AND(COUNT($O903,$P903,$R903,$S903)=4,$O903&gt;0,$P903&gt;=0,$R903&gt;=0,$S903&gt;=0),0,""),IF(AND(ISNUMBER($Q903),$Q903&gt;=0,$Q903&lt;=0.5),$Q903,"")))</x:f>
        <x:v>0.15</x:v>
      </x:c>
      <x:c r="AQ903" s="152" t="n">
        <x:f>IF(OR($W903="",NOT(ISNUMBER($R903))),"",ROUND($R903-$W903,2))</x:f>
        <x:v>104.34</x:v>
      </x:c>
      <x:c r="AR903" s="152" t="n">
        <x:f>IF(OR($X903="",NOT(ISNUMBER($T903))),"",ROUND($T903-$X903,2))</x:f>
        <x:v>0</x:v>
      </x:c>
      <x:c r="AS903" s="14" t="str">
        <x:v>Sales calculation mismatch; Profit calculation mismatch; Conflicting duplicate order ID</x:v>
      </x:c>
    </x:row>
    <x:row r="904">
      <x:c r="A904" s="80" t="n">
        <x:v>924</x:v>
      </x:c>
      <x:c r="B904" s="80" t="str">
        <x:v>ORD-2025-10374</x:v>
      </x:c>
      <x:c r="C904" s="81" t="n">
        <x:v>45760</x:v>
      </x:c>
      <x:c r="D904" s="81" t="n">
        <x:v>45760</x:v>
      </x:c>
      <x:c r="E904" s="80" t="str">
        <x:v>CUST-8566</x:v>
      </x:c>
      <x:c r="F904" s="80" t="str">
        <x:v>Sneha Kapoor</x:v>
      </x:c>
      <x:c r="G904" s="80" t="str">
        <x:v>Small Business</x:v>
      </x:c>
      <x:c r="H904" s="80" t="str">
        <x:v>North</x:v>
      </x:c>
      <x:c r="I904" s="80" t="str">
        <x:v>Uttar Pradesh</x:v>
      </x:c>
      <x:c r="J904" s="80" t="str">
        <x:v>Noida</x:v>
      </x:c>
      <x:c r="K904" s="80" t="str">
        <x:v>Office Supplies</x:v>
      </x:c>
      <x:c r="L904" s="80" t="str">
        <x:v>Storage</x:v>
      </x:c>
      <x:c r="M904" s="80" t="str">
        <x:v>Prime Storage 951</x:v>
      </x:c>
      <x:c r="N904" s="80" t="str">
        <x:v>Second Class</x:v>
      </x:c>
      <x:c r="O904" s="82" t="n">
        <x:v>9</x:v>
      </x:c>
      <x:c r="P904" s="83" t="n">
        <x:v>1118.68</x:v>
      </x:c>
      <x:c r="Q904" s="84" t="n">
        <x:v>0</x:v>
      </x:c>
      <x:c r="R904" s="83" t="n">
        <x:v>10348.43</x:v>
      </x:c>
      <x:c r="S904" s="83" t="n">
        <x:v>8595.37</x:v>
      </x:c>
      <x:c r="T904" s="83" t="n">
        <x:v>1472.75</x:v>
      </x:c>
      <x:c r="U904" s="83" t="str">
        <x:v>Paid</x:v>
      </x:c>
      <x:c r="V904" s="83" t="str">
        <x:v>Returned</x:v>
      </x:c>
      <x:c r="W904" s="151" t="n">
        <x:f>IF(OR(NOT(ISNUMBER($AP904)),COUNT($O904,$P904)&lt;2,$O904&lt;=0,$P904&lt;0),"",ROUND($O904*$P904*(1-$AP904),2))</x:f>
        <x:v>10068.12</x:v>
      </x:c>
      <x:c r="X904" s="151" t="n">
        <x:f>IF(OR(NOT(ISNUMBER($W904)),NOT(ISNUMBER($S904))),"",ROUND($W904-$S904,2))</x:f>
        <x:v>1472.75</x:v>
      </x:c>
      <x:c r="Y904" s="85" t="n">
        <x:f>IF(OR(NOT(ISNUMBER($W904)),NOT(ISNUMBER($X904)),$W904=0),"",ROUND($X904/$W904,4))</x:f>
        <x:v>0.1463</x:v>
      </x:c>
      <x:c r="Z904" s="82" t="n">
        <x:f>IF(OR($AH904&lt;&gt;"Valid",$AI904&lt;&gt;"Valid"),"",INT($D904-$C904))</x:f>
        <x:v>0</x:v>
      </x:c>
      <x:c r="AA904" s="86" t="str">
        <x:f>IF($AH904&lt;&gt;"Valid","",TEXT($C904,"mmmm"))</x:f>
        <x:v>April</x:v>
      </x:c>
      <x:c r="AB904" s="82" t="n">
        <x:f>IF($AH904&lt;&gt;"Valid","",YEAR($C904))</x:f>
        <x:v>2025</x:v>
      </x:c>
      <x:c r="AC904" s="80" t="str">
        <x:v>Consistent</x:v>
      </x:c>
      <x:c r="AD904" s="80" t="str">
        <x:v>Excluded</x:v>
      </x:c>
      <x:c r="AE904" s="80" t="str">
        <x:f>IF(OR($AH904&lt;&gt;"Valid",$AI904&lt;&gt;"Valid",$AJ904&lt;&gt;"Valid",LEFT($AM904,7)="Invalid",IFERROR(ABS($AQ904)&gt;0.01,FALSE),IFERROR(ABS($AR904)&gt;0.01,FALSE),COUNTIF($AS904,"*Conflicting duplicate*")&gt;0,COUNTIF($AS904,"*Completed order not paid*")&gt;0),"Invalid",IF(OR($H904="Unknown",$N904="Unknown",$AM904="Missing discount imputed as 0"),"Warning","Clean"))</x:f>
        <x:v>Invalid</x:v>
      </x:c>
      <x:c r="AF904" s="80" t="str">
        <x:v>Review</x:v>
      </x:c>
      <x:c r="AG904" s="80" t="str">
        <x:v>No text cleanup required</x:v>
      </x:c>
      <x:c r="AH904" s="12" t="str">
        <x:f>IF(C904="","Missing date",IF(ISNUMBER(C904),"Valid","Unrecognized/invalid date"))</x:f>
        <x:v>Valid</x:v>
      </x:c>
      <x:c r="AI904" s="12" t="str">
        <x:f>IF(D904="","Missing date",IF(ISNUMBER(D904),"Valid","Unrecognized/invalid date"))</x:f>
        <x:v>Valid</x:v>
      </x:c>
      <x:c r="AJ904" s="12" t="str">
        <x:v>Valid</x:v>
      </x:c>
      <x:c r="AK904" s="12" t="str">
        <x:v>Pass</x:v>
      </x:c>
      <x:c r="AL904" s="12" t="str">
        <x:v>None</x:v>
      </x:c>
      <x:c r="AM904" s="12" t="str">
        <x:v>Valid</x:v>
      </x:c>
      <x:c r="AN904" s="12" t="str">
        <x:v>Exclude from completed sales</x:v>
      </x:c>
      <x:c r="AO904" s="12" t="str">
        <x:v>Not a refunded record</x:v>
      </x:c>
      <x:c r="AP904" s="37" t="n">
        <x:f>IF(LEFT($AM904,7)="Invalid","",IF($AM904="Missing discount imputed as 0",IF(AND(COUNT($O904,$P904,$R904,$S904)=4,$O904&gt;0,$P904&gt;=0,$R904&gt;=0,$S904&gt;=0),0,""),IF(AND(ISNUMBER($Q904),$Q904&gt;=0,$Q904&lt;=0.5),$Q904,"")))</x:f>
        <x:v>0</x:v>
      </x:c>
      <x:c r="AQ904" s="152" t="n">
        <x:f>IF(OR($W904="",NOT(ISNUMBER($R904))),"",ROUND($R904-$W904,2))</x:f>
        <x:v>280.31</x:v>
      </x:c>
      <x:c r="AR904" s="152" t="n">
        <x:f>IF(OR($X904="",NOT(ISNUMBER($T904))),"",ROUND($T904-$X904,2))</x:f>
        <x:v>0</x:v>
      </x:c>
      <x:c r="AS904" s="14" t="str">
        <x:v>Sales calculation mismatch; Profit calculation mismatch; Conflicting duplicate order ID</x:v>
      </x:c>
    </x:row>
    <x:row r="905">
      <x:c r="A905" s="80" t="n">
        <x:v>925</x:v>
      </x:c>
      <x:c r="B905" s="80" t="str">
        <x:v>ORD-2025-10225</x:v>
      </x:c>
      <x:c r="C905" s="81" t="n">
        <x:v>45932</x:v>
      </x:c>
      <x:c r="D905" s="81" t="n">
        <x:v>45938</x:v>
      </x:c>
      <x:c r="E905" s="80" t="str">
        <x:v>CUST-9871</x:v>
      </x:c>
      <x:c r="F905" s="80" t="str">
        <x:v>Isha Nair</x:v>
      </x:c>
      <x:c r="G905" s="80" t="str">
        <x:v>Small Business</x:v>
      </x:c>
      <x:c r="H905" s="80" t="str">
        <x:v>North</x:v>
      </x:c>
      <x:c r="I905" s="80" t="str">
        <x:v>Punjab</x:v>
      </x:c>
      <x:c r="J905" s="80" t="str">
        <x:v>Ludhiana</x:v>
      </x:c>
      <x:c r="K905" s="80" t="str">
        <x:v>Furniture</x:v>
      </x:c>
      <x:c r="L905" s="80" t="str">
        <x:v>Furnishings</x:v>
      </x:c>
      <x:c r="M905" s="80" t="str">
        <x:v>Classic Furnishings 109</x:v>
      </x:c>
      <x:c r="N905" s="80" t="str">
        <x:v>Standard Class</x:v>
      </x:c>
      <x:c r="O905" s="82" t="n">
        <x:v>4</x:v>
      </x:c>
      <x:c r="P905" s="83" t="n">
        <x:v>3944.64</x:v>
      </x:c>
      <x:c r="Q905" s="84" t="n">
        <x:v>0.25</x:v>
      </x:c>
      <x:c r="R905" s="83" t="n">
        <x:v>12116.89</x:v>
      </x:c>
      <x:c r="S905" s="83" t="n">
        <x:v>6682.92</x:v>
      </x:c>
      <x:c r="T905" s="83" t="n">
        <x:v>5151</x:v>
      </x:c>
      <x:c r="U905" s="83" t="str">
        <x:v>Paid</x:v>
      </x:c>
      <x:c r="V905" s="83" t="str">
        <x:v>Returned</x:v>
      </x:c>
      <x:c r="W905" s="151" t="n">
        <x:f>IF(OR(NOT(ISNUMBER($AP905)),COUNT($O905,$P905)&lt;2,$O905&lt;=0,$P905&lt;0),"",ROUND($O905*$P905*(1-$AP905),2))</x:f>
        <x:v>11833.92</x:v>
      </x:c>
      <x:c r="X905" s="151" t="n">
        <x:f>IF(OR(NOT(ISNUMBER($W905)),NOT(ISNUMBER($S905))),"",ROUND($W905-$S905,2))</x:f>
        <x:v>5151</x:v>
      </x:c>
      <x:c r="Y905" s="85" t="n">
        <x:f>IF(OR(NOT(ISNUMBER($W905)),NOT(ISNUMBER($X905)),$W905=0),"",ROUND($X905/$W905,4))</x:f>
        <x:v>0.4353</x:v>
      </x:c>
      <x:c r="Z905" s="82" t="n">
        <x:f>IF(OR($AH905&lt;&gt;"Valid",$AI905&lt;&gt;"Valid"),"",INT($D905-$C905))</x:f>
        <x:v>6</x:v>
      </x:c>
      <x:c r="AA905" s="86" t="str">
        <x:f>IF($AH905&lt;&gt;"Valid","",TEXT($C905,"mmmm"))</x:f>
        <x:v>October</x:v>
      </x:c>
      <x:c r="AB905" s="82" t="n">
        <x:f>IF($AH905&lt;&gt;"Valid","",YEAR($C905))</x:f>
        <x:v>2025</x:v>
      </x:c>
      <x:c r="AC905" s="80" t="str">
        <x:v>Consistent</x:v>
      </x:c>
      <x:c r="AD905" s="80" t="str">
        <x:v>Excluded</x:v>
      </x:c>
      <x:c r="AE905" s="80" t="str">
        <x:f>IF(OR($AH905&lt;&gt;"Valid",$AI905&lt;&gt;"Valid",$AJ905&lt;&gt;"Valid",LEFT($AM905,7)="Invalid",IFERROR(ABS($AQ905)&gt;0.01,FALSE),IFERROR(ABS($AR905)&gt;0.01,FALSE),COUNTIF($AS905,"*Conflicting duplicate*")&gt;0,COUNTIF($AS905,"*Completed order not paid*")&gt;0),"Invalid",IF(OR($H905="Unknown",$N905="Unknown",$AM905="Missing discount imputed as 0"),"Warning","Clean"))</x:f>
        <x:v>Invalid</x:v>
      </x:c>
      <x:c r="AF905" s="80" t="str">
        <x:v>Review</x:v>
      </x:c>
      <x:c r="AG905" s="80" t="str">
        <x:v>No text cleanup required</x:v>
      </x:c>
      <x:c r="AH905" s="12" t="str">
        <x:f>IF(C905="","Missing date",IF(ISNUMBER(C905),"Valid","Unrecognized/invalid date"))</x:f>
        <x:v>Valid</x:v>
      </x:c>
      <x:c r="AI905" s="12" t="str">
        <x:f>IF(D905="","Missing date",IF(ISNUMBER(D905),"Valid","Unrecognized/invalid date"))</x:f>
        <x:v>Valid</x:v>
      </x:c>
      <x:c r="AJ905" s="12" t="str">
        <x:v>Valid</x:v>
      </x:c>
      <x:c r="AK905" s="12" t="str">
        <x:v>Pass</x:v>
      </x:c>
      <x:c r="AL905" s="12" t="str">
        <x:v>None</x:v>
      </x:c>
      <x:c r="AM905" s="12" t="str">
        <x:v>Valid</x:v>
      </x:c>
      <x:c r="AN905" s="12" t="str">
        <x:v>Exclude from completed sales</x:v>
      </x:c>
      <x:c r="AO905" s="12" t="str">
        <x:v>Not a refunded record</x:v>
      </x:c>
      <x:c r="AP905" s="37" t="n">
        <x:f>IF(LEFT($AM905,7)="Invalid","",IF($AM905="Missing discount imputed as 0",IF(AND(COUNT($O905,$P905,$R905,$S905)=4,$O905&gt;0,$P905&gt;=0,$R905&gt;=0,$S905&gt;=0),0,""),IF(AND(ISNUMBER($Q905),$Q905&gt;=0,$Q905&lt;=0.5),$Q905,"")))</x:f>
        <x:v>0.25</x:v>
      </x:c>
      <x:c r="AQ905" s="152" t="n">
        <x:f>IF(OR($W905="",NOT(ISNUMBER($R905))),"",ROUND($R905-$W905,2))</x:f>
        <x:v>282.97</x:v>
      </x:c>
      <x:c r="AR905" s="152" t="n">
        <x:f>IF(OR($X905="",NOT(ISNUMBER($T905))),"",ROUND($T905-$X905,2))</x:f>
        <x:v>0</x:v>
      </x:c>
      <x:c r="AS905" s="14" t="str">
        <x:v>Sales calculation mismatch; Profit calculation mismatch; Conflicting duplicate order ID</x:v>
      </x:c>
    </x:row>
    <x:row r="906">
      <x:c r="A906" s="80" t="n">
        <x:v>926</x:v>
      </x:c>
      <x:c r="B906" s="80" t="str">
        <x:v>ORD-2025-10315</x:v>
      </x:c>
      <x:c r="C906" s="81" t="n">
        <x:v>45795</x:v>
      </x:c>
      <x:c r="D906" s="81" t="n">
        <x:v>45797</x:v>
      </x:c>
      <x:c r="E906" s="80" t="str">
        <x:v>CUST-1945</x:v>
      </x:c>
      <x:c r="F906" s="80" t="str">
        <x:v>Isha Nair</x:v>
      </x:c>
      <x:c r="G906" s="80" t="str">
        <x:v>Corporate</x:v>
      </x:c>
      <x:c r="H906" s="80" t="str">
        <x:v>West</x:v>
      </x:c>
      <x:c r="I906" s="80" t="str">
        <x:v>Madhya Pradesh</x:v>
      </x:c>
      <x:c r="J906" s="80" t="str">
        <x:v>Indore</x:v>
      </x:c>
      <x:c r="K906" s="80" t="str">
        <x:v>Office Supplies</x:v>
      </x:c>
      <x:c r="L906" s="80" t="str">
        <x:v>Labels</x:v>
      </x:c>
      <x:c r="M906" s="80" t="str">
        <x:v>Elite Labels 544</x:v>
      </x:c>
      <x:c r="N906" s="80" t="str">
        <x:v>Standard Class</x:v>
      </x:c>
      <x:c r="O906" s="82" t="n">
        <x:v>9</x:v>
      </x:c>
      <x:c r="P906" s="83" t="n">
        <x:v>847.76</x:v>
      </x:c>
      <x:c r="Q906" s="84" t="n">
        <x:v>0.15</x:v>
      </x:c>
      <x:c r="R906" s="83" t="n">
        <x:v>6589.37</x:v>
      </x:c>
      <x:c r="S906" s="83" t="n">
        <x:v>5376.17</x:v>
      </x:c>
      <x:c r="T906" s="83" t="n">
        <x:v>1109.19</x:v>
      </x:c>
      <x:c r="U906" s="83" t="str">
        <x:v>Failed</x:v>
      </x:c>
      <x:c r="V906" s="83" t="str">
        <x:v>Completed</x:v>
      </x:c>
      <x:c r="W906" s="151" t="n">
        <x:f>IF(OR(NOT(ISNUMBER($AP906)),COUNT($O906,$P906)&lt;2,$O906&lt;=0,$P906&lt;0),"",ROUND($O906*$P906*(1-$AP906),2))</x:f>
        <x:v>6485.36</x:v>
      </x:c>
      <x:c r="X906" s="151" t="n">
        <x:f>IF(OR(NOT(ISNUMBER($W906)),NOT(ISNUMBER($S906))),"",ROUND($W906-$S906,2))</x:f>
        <x:v>1109.19</x:v>
      </x:c>
      <x:c r="Y906" s="85" t="n">
        <x:f>IF(OR(NOT(ISNUMBER($W906)),NOT(ISNUMBER($X906)),$W906=0),"",ROUND($X906/$W906,4))</x:f>
        <x:v>0.171</x:v>
      </x:c>
      <x:c r="Z906" s="82" t="n">
        <x:f>IF(OR($AH906&lt;&gt;"Valid",$AI906&lt;&gt;"Valid"),"",INT($D906-$C906))</x:f>
        <x:v>2</x:v>
      </x:c>
      <x:c r="AA906" s="86" t="str">
        <x:f>IF($AH906&lt;&gt;"Valid","",TEXT($C906,"mmmm"))</x:f>
        <x:v>May</x:v>
      </x:c>
      <x:c r="AB906" s="82" t="n">
        <x:f>IF($AH906&lt;&gt;"Valid","",YEAR($C906))</x:f>
        <x:v>2025</x:v>
      </x:c>
      <x:c r="AC906" s="80" t="str">
        <x:v>Invalid – completed order is not paid</x:v>
      </x:c>
      <x:c r="AD906" s="80" t="str">
        <x:v>Excluded</x:v>
      </x:c>
      <x:c r="AE906" s="80" t="str">
        <x:f>IF(OR($AH906&lt;&gt;"Valid",$AI906&lt;&gt;"Valid",$AJ906&lt;&gt;"Valid",LEFT($AM906,7)="Invalid",IFERROR(ABS($AQ906)&gt;0.01,FALSE),IFERROR(ABS($AR906)&gt;0.01,FALSE),COUNTIF($AS906,"*Conflicting duplicate*")&gt;0,COUNTIF($AS906,"*Completed order not paid*")&gt;0),"Invalid",IF(OR($H906="Unknown",$N906="Unknown",$AM906="Missing discount imputed as 0"),"Warning","Clean"))</x:f>
        <x:v>Invalid</x:v>
      </x:c>
      <x:c r="AF906" s="80" t="str">
        <x:v>Review</x:v>
      </x:c>
      <x:c r="AG906" s="80" t="str">
        <x:v>No text cleanup required</x:v>
      </x:c>
      <x:c r="AH906" s="12" t="str">
        <x:f>IF(C906="","Missing date",IF(ISNUMBER(C906),"Valid","Unrecognized/invalid date"))</x:f>
        <x:v>Valid</x:v>
      </x:c>
      <x:c r="AI906" s="12" t="str">
        <x:f>IF(D906="","Missing date",IF(ISNUMBER(D906),"Valid","Unrecognized/invalid date"))</x:f>
        <x:v>Valid</x:v>
      </x:c>
      <x:c r="AJ906" s="12" t="str">
        <x:v>Valid</x:v>
      </x:c>
      <x:c r="AK906" s="12" t="str">
        <x:v>Pass</x:v>
      </x:c>
      <x:c r="AL906" s="12" t="str">
        <x:v>Failed payment – excluded from completed sales</x:v>
      </x:c>
      <x:c r="AM906" s="12" t="str">
        <x:v>Valid</x:v>
      </x:c>
      <x:c r="AN906" s="12" t="str">
        <x:v>Exclude from completed sales</x:v>
      </x:c>
      <x:c r="AO906" s="12" t="str">
        <x:v>Not a refunded record</x:v>
      </x:c>
      <x:c r="AP906" s="37" t="n">
        <x:f>IF(LEFT($AM906,7)="Invalid","",IF($AM906="Missing discount imputed as 0",IF(AND(COUNT($O906,$P906,$R906,$S906)=4,$O906&gt;0,$P906&gt;=0,$R906&gt;=0,$S906&gt;=0),0,""),IF(AND(ISNUMBER($Q906),$Q906&gt;=0,$Q906&lt;=0.5),$Q906,"")))</x:f>
        <x:v>0.15</x:v>
      </x:c>
      <x:c r="AQ906" s="152" t="n">
        <x:f>IF(OR($W906="",NOT(ISNUMBER($R906))),"",ROUND($R906-$W906,2))</x:f>
        <x:v>104.01</x:v>
      </x:c>
      <x:c r="AR906" s="152" t="n">
        <x:f>IF(OR($X906="",NOT(ISNUMBER($T906))),"",ROUND($T906-$X906,2))</x:f>
        <x:v>0</x:v>
      </x:c>
      <x:c r="AS906" s="14" t="str">
        <x:v>Sales calculation mismatch; Profit calculation mismatch; Completed order not paid; Conflicting duplicate order ID</x:v>
      </x:c>
    </x:row>
    <x:row r="907">
      <x:c r="A907" s="80" t="n">
        <x:v>927</x:v>
      </x:c>
      <x:c r="B907" s="80" t="str">
        <x:v>ORD-2025-10171</x:v>
      </x:c>
      <x:c r="C907" s="81" t="n">
        <x:v>45907</x:v>
      </x:c>
      <x:c r="D907" s="81" t="n">
        <x:v>45915</x:v>
      </x:c>
      <x:c r="E907" s="80" t="str">
        <x:v>CUST-3734</x:v>
      </x:c>
      <x:c r="F907" s="80" t="str">
        <x:v>Rohan Mehta</x:v>
      </x:c>
      <x:c r="G907" s="80" t="str">
        <x:v>Corporate</x:v>
      </x:c>
      <x:c r="H907" s="80" t="str">
        <x:v>East</x:v>
      </x:c>
      <x:c r="I907" s="80" t="str">
        <x:v>Bihar</x:v>
      </x:c>
      <x:c r="J907" s="80" t="str">
        <x:v>Patna</x:v>
      </x:c>
      <x:c r="K907" s="80" t="str">
        <x:v>Technology</x:v>
      </x:c>
      <x:c r="L907" s="80" t="str">
        <x:v>Copiers</x:v>
      </x:c>
      <x:c r="M907" s="80" t="str">
        <x:v>Eco Copiers 102</x:v>
      </x:c>
      <x:c r="N907" s="80" t="str">
        <x:v>Standard Class</x:v>
      </x:c>
      <x:c r="O907" s="82" t="n">
        <x:v>3</x:v>
      </x:c>
      <x:c r="P907" s="83" t="n">
        <x:v>1711.32</x:v>
      </x:c>
      <x:c r="Q907" s="84" t="n">
        <x:v>0</x:v>
      </x:c>
      <x:c r="R907" s="83" t="n">
        <x:v>5206.53</x:v>
      </x:c>
      <x:c r="S907" s="83" t="n">
        <x:v>3930</x:v>
      </x:c>
      <x:c r="T907" s="83" t="n">
        <x:v>1203.96</x:v>
      </x:c>
      <x:c r="U907" s="83" t="str">
        <x:v>Paid</x:v>
      </x:c>
      <x:c r="V907" s="83" t="str">
        <x:v>Returned</x:v>
      </x:c>
      <x:c r="W907" s="151" t="n">
        <x:f>IF(OR(NOT(ISNUMBER($AP907)),COUNT($O907,$P907)&lt;2,$O907&lt;=0,$P907&lt;0),"",ROUND($O907*$P907*(1-$AP907),2))</x:f>
        <x:v>5133.96</x:v>
      </x:c>
      <x:c r="X907" s="151" t="n">
        <x:f>IF(OR(NOT(ISNUMBER($W907)),NOT(ISNUMBER($S907))),"",ROUND($W907-$S907,2))</x:f>
        <x:v>1203.96</x:v>
      </x:c>
      <x:c r="Y907" s="85" t="n">
        <x:f>IF(OR(NOT(ISNUMBER($W907)),NOT(ISNUMBER($X907)),$W907=0),"",ROUND($X907/$W907,4))</x:f>
        <x:v>0.2345</x:v>
      </x:c>
      <x:c r="Z907" s="82" t="n">
        <x:f>IF(OR($AH907&lt;&gt;"Valid",$AI907&lt;&gt;"Valid"),"",INT($D907-$C907))</x:f>
        <x:v>8</x:v>
      </x:c>
      <x:c r="AA907" s="86" t="str">
        <x:f>IF($AH907&lt;&gt;"Valid","",TEXT($C907,"mmmm"))</x:f>
        <x:v>September</x:v>
      </x:c>
      <x:c r="AB907" s="82" t="n">
        <x:f>IF($AH907&lt;&gt;"Valid","",YEAR($C907))</x:f>
        <x:v>2025</x:v>
      </x:c>
      <x:c r="AC907" s="80" t="str">
        <x:v>Consistent</x:v>
      </x:c>
      <x:c r="AD907" s="80" t="str">
        <x:v>Excluded</x:v>
      </x:c>
      <x:c r="AE907" s="80" t="str">
        <x:f>IF(OR($AH907&lt;&gt;"Valid",$AI907&lt;&gt;"Valid",$AJ907&lt;&gt;"Valid",LEFT($AM907,7)="Invalid",IFERROR(ABS($AQ907)&gt;0.01,FALSE),IFERROR(ABS($AR907)&gt;0.01,FALSE),COUNTIF($AS907,"*Conflicting duplicate*")&gt;0,COUNTIF($AS907,"*Completed order not paid*")&gt;0),"Invalid",IF(OR($H907="Unknown",$N907="Unknown",$AM907="Missing discount imputed as 0"),"Warning","Clean"))</x:f>
        <x:v>Invalid</x:v>
      </x:c>
      <x:c r="AF907" s="80" t="str">
        <x:v>Review</x:v>
      </x:c>
      <x:c r="AG907" s="80" t="str">
        <x:v>No text cleanup required</x:v>
      </x:c>
      <x:c r="AH907" s="12" t="str">
        <x:f>IF(C907="","Missing date",IF(ISNUMBER(C907),"Valid","Unrecognized/invalid date"))</x:f>
        <x:v>Valid</x:v>
      </x:c>
      <x:c r="AI907" s="12" t="str">
        <x:f>IF(D907="","Missing date",IF(ISNUMBER(D907),"Valid","Unrecognized/invalid date"))</x:f>
        <x:v>Valid</x:v>
      </x:c>
      <x:c r="AJ907" s="12" t="str">
        <x:v>Valid</x:v>
      </x:c>
      <x:c r="AK907" s="12" t="str">
        <x:v>Pass</x:v>
      </x:c>
      <x:c r="AL907" s="12" t="str">
        <x:v>None</x:v>
      </x:c>
      <x:c r="AM907" s="12" t="str">
        <x:v>Valid</x:v>
      </x:c>
      <x:c r="AN907" s="12" t="str">
        <x:v>Exclude from completed sales</x:v>
      </x:c>
      <x:c r="AO907" s="12" t="str">
        <x:v>Not a refunded record</x:v>
      </x:c>
      <x:c r="AP907" s="37" t="n">
        <x:f>IF(LEFT($AM907,7)="Invalid","",IF($AM907="Missing discount imputed as 0",IF(AND(COUNT($O907,$P907,$R907,$S907)=4,$O907&gt;0,$P907&gt;=0,$R907&gt;=0,$S907&gt;=0),0,""),IF(AND(ISNUMBER($Q907),$Q907&gt;=0,$Q907&lt;=0.5),$Q907,"")))</x:f>
        <x:v>0</x:v>
      </x:c>
      <x:c r="AQ907" s="152" t="n">
        <x:f>IF(OR($W907="",NOT(ISNUMBER($R907))),"",ROUND($R907-$W907,2))</x:f>
        <x:v>72.57</x:v>
      </x:c>
      <x:c r="AR907" s="152" t="n">
        <x:f>IF(OR($X907="",NOT(ISNUMBER($T907))),"",ROUND($T907-$X907,2))</x:f>
        <x:v>0</x:v>
      </x:c>
      <x:c r="AS907" s="14" t="str">
        <x:v>Sales calculation mismatch; Profit calculation mismatch; Conflicting duplicate order ID</x:v>
      </x:c>
    </x:row>
    <x:row r="908">
      <x:c r="A908" s="80" t="n">
        <x:v>928</x:v>
      </x:c>
      <x:c r="B908" s="80" t="str">
        <x:v>ORD-2024-10424</x:v>
      </x:c>
      <x:c r="C908" s="81" t="n">
        <x:v>45342</x:v>
      </x:c>
      <x:c r="D908" s="81" t="n">
        <x:v>45349</x:v>
      </x:c>
      <x:c r="E908" s="80" t="str">
        <x:v>CUST-6169</x:v>
      </x:c>
      <x:c r="F908" s="80" t="str">
        <x:v>Diya Patel</x:v>
      </x:c>
      <x:c r="G908" s="80" t="str">
        <x:v>Consumer</x:v>
      </x:c>
      <x:c r="H908" s="80" t="str">
        <x:v>South</x:v>
      </x:c>
      <x:c r="I908" s="80" t="str">
        <x:v>Kerala</x:v>
      </x:c>
      <x:c r="J908" s="80" t="str">
        <x:v>Kochi</x:v>
      </x:c>
      <x:c r="K908" s="80" t="str">
        <x:v>Technology</x:v>
      </x:c>
      <x:c r="L908" s="80" t="str">
        <x:v>Accessories</x:v>
      </x:c>
      <x:c r="M908" s="80" t="str">
        <x:v>Prime Accessories 236</x:v>
      </x:c>
      <x:c r="N908" s="80" t="str">
        <x:v>First Class</x:v>
      </x:c>
      <x:c r="O908" s="82" t="n">
        <x:v>9</x:v>
      </x:c>
      <x:c r="P908" s="83" t="n">
        <x:v>3779.31</x:v>
      </x:c>
      <x:c r="Q908" s="84" t="n">
        <x:v>0.2</x:v>
      </x:c>
      <x:c r="R908" s="83" t="n">
        <x:v>27322.9</x:v>
      </x:c>
      <x:c r="S908" s="83" t="n">
        <x:v>17940.43</x:v>
      </x:c>
      <x:c r="T908" s="83" t="n">
        <x:v>9270.6</x:v>
      </x:c>
      <x:c r="U908" s="83" t="str">
        <x:v>Paid</x:v>
      </x:c>
      <x:c r="V908" s="83" t="str">
        <x:v>Returned</x:v>
      </x:c>
      <x:c r="W908" s="151" t="n">
        <x:f>IF(OR(NOT(ISNUMBER($AP908)),COUNT($O908,$P908)&lt;2,$O908&lt;=0,$P908&lt;0),"",ROUND($O908*$P908*(1-$AP908),2))</x:f>
        <x:v>27211.03</x:v>
      </x:c>
      <x:c r="X908" s="151" t="n">
        <x:f>IF(OR(NOT(ISNUMBER($W908)),NOT(ISNUMBER($S908))),"",ROUND($W908-$S908,2))</x:f>
        <x:v>9270.6</x:v>
      </x:c>
      <x:c r="Y908" s="85" t="n">
        <x:f>IF(OR(NOT(ISNUMBER($W908)),NOT(ISNUMBER($X908)),$W908=0),"",ROUND($X908/$W908,4))</x:f>
        <x:v>0.3407</x:v>
      </x:c>
      <x:c r="Z908" s="82" t="n">
        <x:f>IF(OR($AH908&lt;&gt;"Valid",$AI908&lt;&gt;"Valid"),"",INT($D908-$C908))</x:f>
        <x:v>7</x:v>
      </x:c>
      <x:c r="AA908" s="86" t="str">
        <x:f>IF($AH908&lt;&gt;"Valid","",TEXT($C908,"mmmm"))</x:f>
        <x:v>February</x:v>
      </x:c>
      <x:c r="AB908" s="82" t="n">
        <x:f>IF($AH908&lt;&gt;"Valid","",YEAR($C908))</x:f>
        <x:v>2024</x:v>
      </x:c>
      <x:c r="AC908" s="80" t="str">
        <x:v>Consistent</x:v>
      </x:c>
      <x:c r="AD908" s="80" t="str">
        <x:v>Excluded</x:v>
      </x:c>
      <x:c r="AE908" s="80" t="str">
        <x:f>IF(OR($AH908&lt;&gt;"Valid",$AI908&lt;&gt;"Valid",$AJ908&lt;&gt;"Valid",LEFT($AM908,7)="Invalid",IFERROR(ABS($AQ908)&gt;0.01,FALSE),IFERROR(ABS($AR908)&gt;0.01,FALSE),COUNTIF($AS908,"*Conflicting duplicate*")&gt;0,COUNTIF($AS908,"*Completed order not paid*")&gt;0),"Invalid",IF(OR($H908="Unknown",$N908="Unknown",$AM908="Missing discount imputed as 0"),"Warning","Clean"))</x:f>
        <x:v>Invalid</x:v>
      </x:c>
      <x:c r="AF908" s="80" t="str">
        <x:v>Review</x:v>
      </x:c>
      <x:c r="AG908" s="80" t="str">
        <x:v>ship_mode: Case standardization</x:v>
      </x:c>
      <x:c r="AH908" s="12" t="str">
        <x:f>IF(C908="","Missing date",IF(ISNUMBER(C908),"Valid","Unrecognized/invalid date"))</x:f>
        <x:v>Valid</x:v>
      </x:c>
      <x:c r="AI908" s="12" t="str">
        <x:f>IF(D908="","Missing date",IF(ISNUMBER(D908),"Valid","Unrecognized/invalid date"))</x:f>
        <x:v>Valid</x:v>
      </x:c>
      <x:c r="AJ908" s="12" t="str">
        <x:v>Valid</x:v>
      </x:c>
      <x:c r="AK908" s="12" t="str">
        <x:v>Pass</x:v>
      </x:c>
      <x:c r="AL908" s="12" t="str">
        <x:v>None</x:v>
      </x:c>
      <x:c r="AM908" s="12" t="str">
        <x:v>Valid</x:v>
      </x:c>
      <x:c r="AN908" s="12" t="str">
        <x:v>Exclude from completed sales</x:v>
      </x:c>
      <x:c r="AO908" s="12" t="str">
        <x:v>Not a refunded record</x:v>
      </x:c>
      <x:c r="AP908" s="37" t="n">
        <x:f>IF(LEFT($AM908,7)="Invalid","",IF($AM908="Missing discount imputed as 0",IF(AND(COUNT($O908,$P908,$R908,$S908)=4,$O908&gt;0,$P908&gt;=0,$R908&gt;=0,$S908&gt;=0),0,""),IF(AND(ISNUMBER($Q908),$Q908&gt;=0,$Q908&lt;=0.5),$Q908,"")))</x:f>
        <x:v>0.2</x:v>
      </x:c>
      <x:c r="AQ908" s="152" t="n">
        <x:f>IF(OR($W908="",NOT(ISNUMBER($R908))),"",ROUND($R908-$W908,2))</x:f>
        <x:v>111.87</x:v>
      </x:c>
      <x:c r="AR908" s="152" t="n">
        <x:f>IF(OR($X908="",NOT(ISNUMBER($T908))),"",ROUND($T908-$X908,2))</x:f>
        <x:v>0</x:v>
      </x:c>
      <x:c r="AS908" s="14" t="str">
        <x:v>Sales calculation mismatch; Profit calculation mismatch; Conflicting duplicate order ID</x:v>
      </x:c>
    </x:row>
    <x:row r="909">
      <x:c r="A909" s="80" t="n">
        <x:v>929</x:v>
      </x:c>
      <x:c r="B909" s="80" t="str">
        <x:v>ORD-2025-10572</x:v>
      </x:c>
      <x:c r="C909" s="81" t="n">
        <x:v>45698</x:v>
      </x:c>
      <x:c r="D909" s="81" t="n">
        <x:v>45702</x:v>
      </x:c>
      <x:c r="E909" s="80" t="str">
        <x:v>CUST-3425</x:v>
      </x:c>
      <x:c r="F909" s="80" t="str">
        <x:v>Priya Menon</x:v>
      </x:c>
      <x:c r="G909" s="80" t="str">
        <x:v>Small Business</x:v>
      </x:c>
      <x:c r="H909" s="80" t="str">
        <x:v>North</x:v>
      </x:c>
      <x:c r="I909" s="80" t="str">
        <x:v>Uttar Pradesh</x:v>
      </x:c>
      <x:c r="J909" s="80" t="str">
        <x:v>Noida</x:v>
      </x:c>
      <x:c r="K909" s="80" t="str">
        <x:v>Technology</x:v>
      </x:c>
      <x:c r="L909" s="80" t="str">
        <x:v>Phones</x:v>
      </x:c>
      <x:c r="M909" s="80" t="str">
        <x:v>Prime Phones 895</x:v>
      </x:c>
      <x:c r="N909" s="80" t="str">
        <x:v>Unknown</x:v>
      </x:c>
      <x:c r="O909" s="82" t="n">
        <x:v>5</x:v>
      </x:c>
      <x:c r="P909" s="83" t="n">
        <x:v>4276.29</x:v>
      </x:c>
      <x:c r="Q909" s="84" t="n">
        <x:v>0</x:v>
      </x:c>
      <x:c r="R909" s="83" t="n">
        <x:v>21443.63</x:v>
      </x:c>
      <x:c r="S909" s="83" t="n">
        <x:v>13240.21</x:v>
      </x:c>
      <x:c r="T909" s="83" t="n">
        <x:v>8141.24</x:v>
      </x:c>
      <x:c r="U909" s="83" t="str">
        <x:v>Failed</x:v>
      </x:c>
      <x:c r="V909" s="83" t="str">
        <x:v>Completed</x:v>
      </x:c>
      <x:c r="W909" s="151" t="n">
        <x:f>IF(OR(NOT(ISNUMBER($AP909)),COUNT($O909,$P909)&lt;2,$O909&lt;=0,$P909&lt;0),"",ROUND($O909*$P909*(1-$AP909),2))</x:f>
        <x:v>21381.45</x:v>
      </x:c>
      <x:c r="X909" s="151" t="n">
        <x:f>IF(OR(NOT(ISNUMBER($W909)),NOT(ISNUMBER($S909))),"",ROUND($W909-$S909,2))</x:f>
        <x:v>8141.24</x:v>
      </x:c>
      <x:c r="Y909" s="85" t="n">
        <x:f>IF(OR(NOT(ISNUMBER($W909)),NOT(ISNUMBER($X909)),$W909=0),"",ROUND($X909/$W909,4))</x:f>
        <x:v>0.3808</x:v>
      </x:c>
      <x:c r="Z909" s="82" t="n">
        <x:f>IF(OR($AH909&lt;&gt;"Valid",$AI909&lt;&gt;"Valid"),"",INT($D909-$C909))</x:f>
        <x:v>4</x:v>
      </x:c>
      <x:c r="AA909" s="86" t="str">
        <x:f>IF($AH909&lt;&gt;"Valid","",TEXT($C909,"mmmm"))</x:f>
        <x:v>February</x:v>
      </x:c>
      <x:c r="AB909" s="82" t="n">
        <x:f>IF($AH909&lt;&gt;"Valid","",YEAR($C909))</x:f>
        <x:v>2025</x:v>
      </x:c>
      <x:c r="AC909" s="80" t="str">
        <x:v>Invalid – completed order is not paid</x:v>
      </x:c>
      <x:c r="AD909" s="80" t="str">
        <x:v>Excluded</x:v>
      </x:c>
      <x:c r="AE909" s="80" t="str">
        <x:f>IF(OR($AH909&lt;&gt;"Valid",$AI909&lt;&gt;"Valid",$AJ909&lt;&gt;"Valid",LEFT($AM909,7)="Invalid",IFERROR(ABS($AQ909)&gt;0.01,FALSE),IFERROR(ABS($AR909)&gt;0.01,FALSE),COUNTIF($AS909,"*Conflicting duplicate*")&gt;0,COUNTIF($AS909,"*Completed order not paid*")&gt;0),"Invalid",IF(OR($H909="Unknown",$N909="Unknown",$AM909="Missing discount imputed as 0"),"Warning","Clean"))</x:f>
        <x:v>Invalid</x:v>
      </x:c>
      <x:c r="AF909" s="80" t="str">
        <x:v>Review</x:v>
      </x:c>
      <x:c r="AG909" s="80" t="str">
        <x:v>ship_mode: Missing value filled as Unknown</x:v>
      </x:c>
      <x:c r="AH909" s="12" t="str">
        <x:f>IF(C909="","Missing date",IF(ISNUMBER(C909),"Valid","Unrecognized/invalid date"))</x:f>
        <x:v>Valid</x:v>
      </x:c>
      <x:c r="AI909" s="12" t="str">
        <x:f>IF(D909="","Missing date",IF(ISNUMBER(D909),"Valid","Unrecognized/invalid date"))</x:f>
        <x:v>Valid</x:v>
      </x:c>
      <x:c r="AJ909" s="12" t="str">
        <x:v>Valid</x:v>
      </x:c>
      <x:c r="AK909" s="12" t="str">
        <x:v>Pass</x:v>
      </x:c>
      <x:c r="AL909" s="12" t="str">
        <x:v>Missing ship_mode filled as Unknown; Failed payment – excluded from completed sales</x:v>
      </x:c>
      <x:c r="AM909" s="12" t="str">
        <x:v>Valid</x:v>
      </x:c>
      <x:c r="AN909" s="12" t="str">
        <x:v>Exclude from completed sales</x:v>
      </x:c>
      <x:c r="AO909" s="12" t="str">
        <x:v>Not a refunded record</x:v>
      </x:c>
      <x:c r="AP909" s="37" t="n">
        <x:f>IF(LEFT($AM909,7)="Invalid","",IF($AM909="Missing discount imputed as 0",IF(AND(COUNT($O909,$P909,$R909,$S909)=4,$O909&gt;0,$P909&gt;=0,$R909&gt;=0,$S909&gt;=0),0,""),IF(AND(ISNUMBER($Q909),$Q909&gt;=0,$Q909&lt;=0.5),$Q909,"")))</x:f>
        <x:v>0</x:v>
      </x:c>
      <x:c r="AQ909" s="152" t="n">
        <x:f>IF(OR($W909="",NOT(ISNUMBER($R909))),"",ROUND($R909-$W909,2))</x:f>
        <x:v>62.18</x:v>
      </x:c>
      <x:c r="AR909" s="152" t="n">
        <x:f>IF(OR($X909="",NOT(ISNUMBER($T909))),"",ROUND($T909-$X909,2))</x:f>
        <x:v>0</x:v>
      </x:c>
      <x:c r="AS909" s="14" t="str">
        <x:v>Sales calculation mismatch; Profit calculation mismatch; Completed order not paid; Conflicting duplicate order ID</x:v>
      </x:c>
    </x:row>
    <x:row r="910">
      <x:c r="A910" s="80" t="n">
        <x:v>930</x:v>
      </x:c>
      <x:c r="B910" s="80" t="str">
        <x:v>ORD-2024-10143</x:v>
      </x:c>
      <x:c r="C910" s="81" t="n">
        <x:v>45381</x:v>
      </x:c>
      <x:c r="D910" s="81" t="n">
        <x:v>45377</x:v>
      </x:c>
      <x:c r="E910" s="80" t="str">
        <x:v>CUST-8944</x:v>
      </x:c>
      <x:c r="F910" s="80" t="str">
        <x:v>Aditi Sen</x:v>
      </x:c>
      <x:c r="G910" s="80" t="str">
        <x:v>Home Office</x:v>
      </x:c>
      <x:c r="H910" s="80" t="str">
        <x:v>North</x:v>
      </x:c>
      <x:c r="I910" s="80" t="str">
        <x:v>Rajasthan</x:v>
      </x:c>
      <x:c r="J910" s="80" t="str">
        <x:v>Jaipur</x:v>
      </x:c>
      <x:c r="K910" s="80" t="str">
        <x:v>Technology</x:v>
      </x:c>
      <x:c r="L910" s="80" t="str">
        <x:v>Phones</x:v>
      </x:c>
      <x:c r="M910" s="80" t="str">
        <x:v>Classic Phones 142</x:v>
      </x:c>
      <x:c r="N910" s="80" t="str">
        <x:v>Second Class</x:v>
      </x:c>
      <x:c r="O910" s="82" t="n">
        <x:v>5</x:v>
      </x:c>
      <x:c r="P910" s="83" t="n">
        <x:v>907.54</x:v>
      </x:c>
      <x:c r="Q910" s="84" t="n">
        <x:v>0.15</x:v>
      </x:c>
      <x:c r="R910" s="83" t="n">
        <x:v>4099.69</x:v>
      </x:c>
      <x:c r="S910" s="83" t="n">
        <x:v>2769.26</x:v>
      </x:c>
      <x:c r="T910" s="83" t="n">
        <x:v>1087.78</x:v>
      </x:c>
      <x:c r="U910" s="83" t="str">
        <x:v>Paid</x:v>
      </x:c>
      <x:c r="V910" s="83" t="str">
        <x:v>Returned</x:v>
      </x:c>
      <x:c r="W910" s="151" t="n">
        <x:f>IF(OR(NOT(ISNUMBER($AP910)),COUNT($O910,$P910)&lt;2,$O910&lt;=0,$P910&lt;0),"",ROUND($O910*$P910*(1-$AP910),2))</x:f>
        <x:v>3857.04</x:v>
      </x:c>
      <x:c r="X910" s="151" t="n">
        <x:f>IF(OR(NOT(ISNUMBER($W910)),NOT(ISNUMBER($S910))),"",ROUND($W910-$S910,2))</x:f>
        <x:v>1087.78</x:v>
      </x:c>
      <x:c r="Y910" s="85" t="n">
        <x:f>IF(OR(NOT(ISNUMBER($W910)),NOT(ISNUMBER($X910)),$W910=0),"",ROUND($X910/$W910,4))</x:f>
        <x:v>0.282</x:v>
      </x:c>
      <x:c r="Z910" s="82" t="n">
        <x:f>IF(OR($AH910&lt;&gt;"Valid",$AI910&lt;&gt;"Valid"),"",INT($D910-$C910))</x:f>
        <x:v>-4</x:v>
      </x:c>
      <x:c r="AA910" s="86" t="str">
        <x:f>IF($AH910&lt;&gt;"Valid","",TEXT($C910,"mmmm"))</x:f>
        <x:v>March</x:v>
      </x:c>
      <x:c r="AB910" s="82" t="n">
        <x:f>IF($AH910&lt;&gt;"Valid","",YEAR($C910))</x:f>
        <x:v>2024</x:v>
      </x:c>
      <x:c r="AC910" s="80" t="str">
        <x:v>Consistent</x:v>
      </x:c>
      <x:c r="AD910" s="80" t="str">
        <x:v>Excluded</x:v>
      </x:c>
      <x:c r="AE910" s="80" t="str">
        <x:f>IF(OR($AH910&lt;&gt;"Valid",$AI910&lt;&gt;"Valid",$AJ910&lt;&gt;"Valid",LEFT($AM910,7)="Invalid",IFERROR(ABS($AQ910)&gt;0.01,FALSE),IFERROR(ABS($AR910)&gt;0.01,FALSE),COUNTIF($AS910,"*Conflicting duplicate*")&gt;0,COUNTIF($AS910,"*Completed order not paid*")&gt;0),"Invalid",IF(OR($H910="Unknown",$N910="Unknown",$AM910="Missing discount imputed as 0"),"Warning","Clean"))</x:f>
        <x:v>Invalid</x:v>
      </x:c>
      <x:c r="AF910" s="80" t="str">
        <x:v>Review</x:v>
      </x:c>
      <x:c r="AG910" s="80" t="str">
        <x:v>No text cleanup required</x:v>
      </x:c>
      <x:c r="AH910" s="12" t="str">
        <x:f>IF(C910="","Missing date",IF(ISNUMBER(C910),"Valid","Unrecognized/invalid date"))</x:f>
        <x:v>Valid</x:v>
      </x:c>
      <x:c r="AI910" s="12" t="str">
        <x:f>IF(D910="","Missing date",IF(ISNUMBER(D910),"Valid","Unrecognized/invalid date"))</x:f>
        <x:v>Valid</x:v>
      </x:c>
      <x:c r="AJ910" s="12" t="str">
        <x:v>Invalid</x:v>
      </x:c>
      <x:c r="AK910" s="12" t="str">
        <x:v>Ship date is earlier than order date</x:v>
      </x:c>
      <x:c r="AL910" s="12" t="str">
        <x:v>None</x:v>
      </x:c>
      <x:c r="AM910" s="12" t="str">
        <x:v>Valid</x:v>
      </x:c>
      <x:c r="AN910" s="12" t="str">
        <x:v>Exclude from completed sales</x:v>
      </x:c>
      <x:c r="AO910" s="12" t="str">
        <x:v>Not a refunded record</x:v>
      </x:c>
      <x:c r="AP910" s="37" t="n">
        <x:f>IF(LEFT($AM910,7)="Invalid","",IF($AM910="Missing discount imputed as 0",IF(AND(COUNT($O910,$P910,$R910,$S910)=4,$O910&gt;0,$P910&gt;=0,$R910&gt;=0,$S910&gt;=0),0,""),IF(AND(ISNUMBER($Q910),$Q910&gt;=0,$Q910&lt;=0.5),$Q910,"")))</x:f>
        <x:v>0.15</x:v>
      </x:c>
      <x:c r="AQ910" s="152" t="n">
        <x:f>IF(OR($W910="",NOT(ISNUMBER($R910))),"",ROUND($R910-$W910,2))</x:f>
        <x:v>242.65</x:v>
      </x:c>
      <x:c r="AR910" s="152" t="n">
        <x:f>IF(OR($X910="",NOT(ISNUMBER($T910))),"",ROUND($T910-$X910,2))</x:f>
        <x:v>0</x:v>
      </x:c>
      <x:c r="AS910" s="14" t="str">
        <x:v>Sales calculation mismatch; Profit calculation mismatch; Ship date earlier than order date; Conflicting duplicate order ID</x:v>
      </x:c>
    </x:row>
    <x:row r="911">
      <x:c r="A911" s="80" t="n">
        <x:v>931</x:v>
      </x:c>
      <x:c r="B911" s="80" t="str">
        <x:v>ORD-2024-10273</x:v>
      </x:c>
      <x:c r="C911" s="81" t="n">
        <x:v>45522</x:v>
      </x:c>
      <x:c r="D911" s="81" t="n">
        <x:v>45528</x:v>
      </x:c>
      <x:c r="E911" s="80" t="str">
        <x:v>CUST-7389</x:v>
      </x:c>
      <x:c r="F911" s="80" t="str">
        <x:v>Arjun Bose</x:v>
      </x:c>
      <x:c r="G911" s="80" t="str">
        <x:v>Consumer</x:v>
      </x:c>
      <x:c r="H911" s="80" t="str">
        <x:v>South</x:v>
      </x:c>
      <x:c r="I911" s="80" t="str">
        <x:v>Andhra Pradesh</x:v>
      </x:c>
      <x:c r="J911" s="80" t="str">
        <x:v>Vijayawada</x:v>
      </x:c>
      <x:c r="K911" s="80" t="str">
        <x:v>Furniture</x:v>
      </x:c>
      <x:c r="L911" s="80" t="str">
        <x:v>Chairs</x:v>
      </x:c>
      <x:c r="M911" s="80" t="str">
        <x:v>Eco Chairs 314</x:v>
      </x:c>
      <x:c r="N911" s="80" t="str">
        <x:v>First Class</x:v>
      </x:c>
      <x:c r="O911" s="82" t="n">
        <x:v>7</x:v>
      </x:c>
      <x:c r="P911" s="83" t="n">
        <x:v>557.21</x:v>
      </x:c>
      <x:c r="Q911" s="84" t="n">
        <x:v>0.1</x:v>
      </x:c>
      <x:c r="R911" s="83" t="n">
        <x:v>3797.79</x:v>
      </x:c>
      <x:c r="S911" s="83" t="n">
        <x:v>2191.5</x:v>
      </x:c>
      <x:c r="T911" s="83" t="n">
        <x:v>1213.48</x:v>
      </x:c>
      <x:c r="U911" s="83" t="str">
        <x:v>Paid</x:v>
      </x:c>
      <x:c r="V911" s="83" t="str">
        <x:v>Returned</x:v>
      </x:c>
      <x:c r="W911" s="151" t="n">
        <x:f>IF(OR(NOT(ISNUMBER($AP911)),COUNT($O911,$P911)&lt;2,$O911&lt;=0,$P911&lt;0),"",ROUND($O911*$P911*(1-$AP911),2))</x:f>
        <x:v>3510.42</x:v>
      </x:c>
      <x:c r="X911" s="151" t="n">
        <x:f>IF(OR(NOT(ISNUMBER($W911)),NOT(ISNUMBER($S911))),"",ROUND($W911-$S911,2))</x:f>
        <x:v>1318.92</x:v>
      </x:c>
      <x:c r="Y911" s="85" t="n">
        <x:f>IF(OR(NOT(ISNUMBER($W911)),NOT(ISNUMBER($X911)),$W911=0),"",ROUND($X911/$W911,4))</x:f>
        <x:v>0.3757</x:v>
      </x:c>
      <x:c r="Z911" s="82" t="n">
        <x:f>IF(OR($AH911&lt;&gt;"Valid",$AI911&lt;&gt;"Valid"),"",INT($D911-$C911))</x:f>
        <x:v>6</x:v>
      </x:c>
      <x:c r="AA911" s="86" t="str">
        <x:f>IF($AH911&lt;&gt;"Valid","",TEXT($C911,"mmmm"))</x:f>
        <x:v>August</x:v>
      </x:c>
      <x:c r="AB911" s="82" t="n">
        <x:f>IF($AH911&lt;&gt;"Valid","",YEAR($C911))</x:f>
        <x:v>2024</x:v>
      </x:c>
      <x:c r="AC911" s="80" t="str">
        <x:v>Consistent</x:v>
      </x:c>
      <x:c r="AD911" s="80" t="str">
        <x:v>Excluded</x:v>
      </x:c>
      <x:c r="AE911" s="80" t="str">
        <x:f>IF(OR($AH911&lt;&gt;"Valid",$AI911&lt;&gt;"Valid",$AJ911&lt;&gt;"Valid",LEFT($AM911,7)="Invalid",IFERROR(ABS($AQ911)&gt;0.01,FALSE),IFERROR(ABS($AR911)&gt;0.01,FALSE),COUNTIF($AS911,"*Conflicting duplicate*")&gt;0,COUNTIF($AS911,"*Completed order not paid*")&gt;0),"Invalid",IF(OR($H911="Unknown",$N911="Unknown",$AM911="Missing discount imputed as 0"),"Warning","Clean"))</x:f>
        <x:v>Invalid</x:v>
      </x:c>
      <x:c r="AF911" s="80" t="str">
        <x:v>Review</x:v>
      </x:c>
      <x:c r="AG911" s="80" t="str">
        <x:v>No text cleanup required</x:v>
      </x:c>
      <x:c r="AH911" s="12" t="str">
        <x:f>IF(C911="","Missing date",IF(ISNUMBER(C911),"Valid","Unrecognized/invalid date"))</x:f>
        <x:v>Valid</x:v>
      </x:c>
      <x:c r="AI911" s="12" t="str">
        <x:f>IF(D911="","Missing date",IF(ISNUMBER(D911),"Valid","Unrecognized/invalid date"))</x:f>
        <x:v>Valid</x:v>
      </x:c>
      <x:c r="AJ911" s="12" t="str">
        <x:v>Valid</x:v>
      </x:c>
      <x:c r="AK911" s="12" t="str">
        <x:v>Pass</x:v>
      </x:c>
      <x:c r="AL911" s="12" t="str">
        <x:v>None</x:v>
      </x:c>
      <x:c r="AM911" s="12" t="str">
        <x:v>Valid</x:v>
      </x:c>
      <x:c r="AN911" s="12" t="str">
        <x:v>Exclude from completed sales</x:v>
      </x:c>
      <x:c r="AO911" s="12" t="str">
        <x:v>Not a refunded record</x:v>
      </x:c>
      <x:c r="AP911" s="37" t="n">
        <x:f>IF(LEFT($AM911,7)="Invalid","",IF($AM911="Missing discount imputed as 0",IF(AND(COUNT($O911,$P911,$R911,$S911)=4,$O911&gt;0,$P911&gt;=0,$R911&gt;=0,$S911&gt;=0),0,""),IF(AND(ISNUMBER($Q911),$Q911&gt;=0,$Q911&lt;=0.5),$Q911,"")))</x:f>
        <x:v>0.1</x:v>
      </x:c>
      <x:c r="AQ911" s="152" t="n">
        <x:f>IF(OR($W911="",NOT(ISNUMBER($R911))),"",ROUND($R911-$W911,2))</x:f>
        <x:v>287.37</x:v>
      </x:c>
      <x:c r="AR911" s="152" t="n">
        <x:f>IF(OR($X911="",NOT(ISNUMBER($T911))),"",ROUND($T911-$X911,2))</x:f>
        <x:v>-105.44</x:v>
      </x:c>
      <x:c r="AS911" s="14" t="str">
        <x:v>Sales calculation mismatch; Profit calculation mismatch; Conflicting duplicate order ID</x:v>
      </x:c>
    </x:row>
    <x:row r="912">
      <x:c r="A912" s="80" t="n">
        <x:v>932</x:v>
      </x:c>
      <x:c r="B912" s="80" t="str">
        <x:v>ORD-2024-10124</x:v>
      </x:c>
      <x:c r="C912" s="81" t="n">
        <x:v>45436</x:v>
      </x:c>
      <x:c r="D912" s="81" t="n">
        <x:v>45437</x:v>
      </x:c>
      <x:c r="E912" s="80" t="str">
        <x:v>CUST-1007</x:v>
      </x:c>
      <x:c r="F912" s="80" t="str">
        <x:v>Sneha Kapoor</x:v>
      </x:c>
      <x:c r="G912" s="80" t="str">
        <x:v>Small Business</x:v>
      </x:c>
      <x:c r="H912" s="80" t="str">
        <x:v>North</x:v>
      </x:c>
      <x:c r="I912" s="80" t="str">
        <x:v>Punjab</x:v>
      </x:c>
      <x:c r="J912" s="80" t="str">
        <x:v>Ludhiana</x:v>
      </x:c>
      <x:c r="K912" s="80" t="str">
        <x:v>Technology</x:v>
      </x:c>
      <x:c r="L912" s="80" t="str">
        <x:v>Copiers</x:v>
      </x:c>
      <x:c r="M912" s="80" t="str">
        <x:v>Max Copiers 970</x:v>
      </x:c>
      <x:c r="N912" s="80" t="str">
        <x:v>Same Day</x:v>
      </x:c>
      <x:c r="O912" s="82" t="n">
        <x:v>1</x:v>
      </x:c>
      <x:c r="P912" s="83" t="n">
        <x:v>634.13</x:v>
      </x:c>
      <x:c r="Q912" s="84" t="n">
        <x:v>0</x:v>
      </x:c>
      <x:c r="R912" s="83" t="n">
        <x:v>808.67</x:v>
      </x:c>
      <x:c r="S912" s="83" t="n">
        <x:v>453.35</x:v>
      </x:c>
      <x:c r="T912" s="83" t="n">
        <x:v>180.78</x:v>
      </x:c>
      <x:c r="U912" s="83" t="str">
        <x:v>Refunded</x:v>
      </x:c>
      <x:c r="V912" s="83" t="str">
        <x:v>Returned</x:v>
      </x:c>
      <x:c r="W912" s="151" t="n">
        <x:f>IF(OR(NOT(ISNUMBER($AP912)),COUNT($O912,$P912)&lt;2,$O912&lt;=0,$P912&lt;0),"",ROUND($O912*$P912*(1-$AP912),2))</x:f>
        <x:v>634.13</x:v>
      </x:c>
      <x:c r="X912" s="151" t="n">
        <x:f>IF(OR(NOT(ISNUMBER($W912)),NOT(ISNUMBER($S912))),"",ROUND($W912-$S912,2))</x:f>
        <x:v>180.78</x:v>
      </x:c>
      <x:c r="Y912" s="85" t="n">
        <x:f>IF(OR(NOT(ISNUMBER($W912)),NOT(ISNUMBER($X912)),$W912=0),"",ROUND($X912/$W912,4))</x:f>
        <x:v>0.2851</x:v>
      </x:c>
      <x:c r="Z912" s="82" t="n">
        <x:f>IF(OR($AH912&lt;&gt;"Valid",$AI912&lt;&gt;"Valid"),"",INT($D912-$C912))</x:f>
        <x:v>1</x:v>
      </x:c>
      <x:c r="AA912" s="86" t="str">
        <x:f>IF($AH912&lt;&gt;"Valid","",TEXT($C912,"mmmm"))</x:f>
        <x:v>May</x:v>
      </x:c>
      <x:c r="AB912" s="82" t="n">
        <x:f>IF($AH912&lt;&gt;"Valid","",YEAR($C912))</x:f>
        <x:v>2024</x:v>
      </x:c>
      <x:c r="AC912" s="80" t="str">
        <x:v>Refunded (separately summarized)</x:v>
      </x:c>
      <x:c r="AD912" s="80" t="str">
        <x:v>Excluded</x:v>
      </x:c>
      <x:c r="AE912" s="80" t="str">
        <x:f>IF(OR($AH912&lt;&gt;"Valid",$AI912&lt;&gt;"Valid",$AJ912&lt;&gt;"Valid",LEFT($AM912,7)="Invalid",IFERROR(ABS($AQ912)&gt;0.01,FALSE),IFERROR(ABS($AR912)&gt;0.01,FALSE),COUNTIF($AS912,"*Conflicting duplicate*")&gt;0,COUNTIF($AS912,"*Completed order not paid*")&gt;0),"Invalid",IF(OR($H912="Unknown",$N912="Unknown",$AM912="Missing discount imputed as 0"),"Warning","Clean"))</x:f>
        <x:v>Invalid</x:v>
      </x:c>
      <x:c r="AF912" s="80" t="str">
        <x:v>Review</x:v>
      </x:c>
      <x:c r="AG912" s="80" t="str">
        <x:v>region: Case standardization</x:v>
      </x:c>
      <x:c r="AH912" s="12" t="str">
        <x:f>IF(C912="","Missing date",IF(ISNUMBER(C912),"Valid","Unrecognized/invalid date"))</x:f>
        <x:v>Valid</x:v>
      </x:c>
      <x:c r="AI912" s="12" t="str">
        <x:f>IF(D912="","Missing date",IF(ISNUMBER(D912),"Valid","Unrecognized/invalid date"))</x:f>
        <x:v>Valid</x:v>
      </x:c>
      <x:c r="AJ912" s="12" t="str">
        <x:v>Valid</x:v>
      </x:c>
      <x:c r="AK912" s="12" t="str">
        <x:v>Pass</x:v>
      </x:c>
      <x:c r="AL912" s="12" t="str">
        <x:v>Refunded payment – separately summarized</x:v>
      </x:c>
      <x:c r="AM912" s="12" t="str">
        <x:v>Valid</x:v>
      </x:c>
      <x:c r="AN912" s="12" t="str">
        <x:v>Exclude from completed sales</x:v>
      </x:c>
      <x:c r="AO912" s="12" t="str">
        <x:v>Include in refunded summary</x:v>
      </x:c>
      <x:c r="AP912" s="37" t="n">
        <x:f>IF(LEFT($AM912,7)="Invalid","",IF($AM912="Missing discount imputed as 0",IF(AND(COUNT($O912,$P912,$R912,$S912)=4,$O912&gt;0,$P912&gt;=0,$R912&gt;=0,$S912&gt;=0),0,""),IF(AND(ISNUMBER($Q912),$Q912&gt;=0,$Q912&lt;=0.5),$Q912,"")))</x:f>
        <x:v>0</x:v>
      </x:c>
      <x:c r="AQ912" s="152" t="n">
        <x:f>IF(OR($W912="",NOT(ISNUMBER($R912))),"",ROUND($R912-$W912,2))</x:f>
        <x:v>174.54</x:v>
      </x:c>
      <x:c r="AR912" s="152" t="n">
        <x:f>IF(OR($X912="",NOT(ISNUMBER($T912))),"",ROUND($T912-$X912,2))</x:f>
        <x:v>0</x:v>
      </x:c>
      <x:c r="AS912" s="14" t="str">
        <x:v>Sales calculation mismatch; Profit calculation mismatch; Conflicting duplicate order ID</x:v>
      </x:c>
    </x:row>
    <x:row r="913">
      <x:c r="A913" s="80" t="n">
        <x:v>933</x:v>
      </x:c>
      <x:c r="B913" s="80" t="str">
        <x:v>ORD-2025-10336</x:v>
      </x:c>
      <x:c r="C913" s="81" t="n">
        <x:v>45824</x:v>
      </x:c>
      <x:c r="D913" s="81" t="n">
        <x:v>45826</x:v>
      </x:c>
      <x:c r="E913" s="80" t="str">
        <x:v>CUST-3621</x:v>
      </x:c>
      <x:c r="F913" s="80" t="str">
        <x:v>Rahul Verma</x:v>
      </x:c>
      <x:c r="G913" s="80" t="str">
        <x:v>Home Office</x:v>
      </x:c>
      <x:c r="H913" s="80" t="str">
        <x:v>West</x:v>
      </x:c>
      <x:c r="I913" s="80" t="str">
        <x:v>Madhya Pradesh</x:v>
      </x:c>
      <x:c r="J913" s="80" t="str">
        <x:v>Indore</x:v>
      </x:c>
      <x:c r="K913" s="80" t="str">
        <x:v>Office Supplies</x:v>
      </x:c>
      <x:c r="L913" s="80" t="str">
        <x:v>Paper</x:v>
      </x:c>
      <x:c r="M913" s="80" t="str">
        <x:v>Prime Paper 559</x:v>
      </x:c>
      <x:c r="N913" s="80" t="str">
        <x:v>First Class</x:v>
      </x:c>
      <x:c r="O913" s="82" t="n">
        <x:v>3</x:v>
      </x:c>
      <x:c r="P913" s="83" t="n">
        <x:v>4289.37</x:v>
      </x:c>
      <x:c r="Q913" s="84" t="n">
        <x:v>0.1</x:v>
      </x:c>
      <x:c r="R913" s="83" t="n">
        <x:v>11778.71</x:v>
      </x:c>
      <x:c r="S913" s="83" t="n">
        <x:v>6829.43</x:v>
      </x:c>
      <x:c r="T913" s="83" t="n">
        <x:v>4751.87</x:v>
      </x:c>
      <x:c r="U913" s="83" t="str">
        <x:v>Paid</x:v>
      </x:c>
      <x:c r="V913" s="83" t="str">
        <x:v>Returned</x:v>
      </x:c>
      <x:c r="W913" s="151" t="n">
        <x:f>IF(OR(NOT(ISNUMBER($AP913)),COUNT($O913,$P913)&lt;2,$O913&lt;=0,$P913&lt;0),"",ROUND($O913*$P913*(1-$AP913),2))</x:f>
        <x:v>11581.3</x:v>
      </x:c>
      <x:c r="X913" s="151" t="n">
        <x:f>IF(OR(NOT(ISNUMBER($W913)),NOT(ISNUMBER($S913))),"",ROUND($W913-$S913,2))</x:f>
        <x:v>4751.87</x:v>
      </x:c>
      <x:c r="Y913" s="85" t="n">
        <x:f>IF(OR(NOT(ISNUMBER($W913)),NOT(ISNUMBER($X913)),$W913=0),"",ROUND($X913/$W913,4))</x:f>
        <x:v>0.4103</x:v>
      </x:c>
      <x:c r="Z913" s="82" t="n">
        <x:f>IF(OR($AH913&lt;&gt;"Valid",$AI913&lt;&gt;"Valid"),"",INT($D913-$C913))</x:f>
        <x:v>2</x:v>
      </x:c>
      <x:c r="AA913" s="86" t="str">
        <x:f>IF($AH913&lt;&gt;"Valid","",TEXT($C913,"mmmm"))</x:f>
        <x:v>June</x:v>
      </x:c>
      <x:c r="AB913" s="82" t="n">
        <x:f>IF($AH913&lt;&gt;"Valid","",YEAR($C913))</x:f>
        <x:v>2025</x:v>
      </x:c>
      <x:c r="AC913" s="80" t="str">
        <x:v>Consistent</x:v>
      </x:c>
      <x:c r="AD913" s="80" t="str">
        <x:v>Excluded</x:v>
      </x:c>
      <x:c r="AE913" s="80" t="str">
        <x:f>IF(OR($AH913&lt;&gt;"Valid",$AI913&lt;&gt;"Valid",$AJ913&lt;&gt;"Valid",LEFT($AM913,7)="Invalid",IFERROR(ABS($AQ913)&gt;0.01,FALSE),IFERROR(ABS($AR913)&gt;0.01,FALSE),COUNTIF($AS913,"*Conflicting duplicate*")&gt;0,COUNTIF($AS913,"*Completed order not paid*")&gt;0),"Invalid",IF(OR($H913="Unknown",$N913="Unknown",$AM913="Missing discount imputed as 0"),"Warning","Clean"))</x:f>
        <x:v>Invalid</x:v>
      </x:c>
      <x:c r="AF913" s="80" t="str">
        <x:v>Review</x:v>
      </x:c>
      <x:c r="AG913" s="80" t="str">
        <x:v>No text cleanup required</x:v>
      </x:c>
      <x:c r="AH913" s="12" t="str">
        <x:f>IF(C913="","Missing date",IF(ISNUMBER(C913),"Valid","Unrecognized/invalid date"))</x:f>
        <x:v>Valid</x:v>
      </x:c>
      <x:c r="AI913" s="12" t="str">
        <x:f>IF(D913="","Missing date",IF(ISNUMBER(D913),"Valid","Unrecognized/invalid date"))</x:f>
        <x:v>Valid</x:v>
      </x:c>
      <x:c r="AJ913" s="12" t="str">
        <x:v>Valid</x:v>
      </x:c>
      <x:c r="AK913" s="12" t="str">
        <x:v>Pass</x:v>
      </x:c>
      <x:c r="AL913" s="12" t="str">
        <x:v>None</x:v>
      </x:c>
      <x:c r="AM913" s="12" t="str">
        <x:v>Valid</x:v>
      </x:c>
      <x:c r="AN913" s="12" t="str">
        <x:v>Exclude from completed sales</x:v>
      </x:c>
      <x:c r="AO913" s="12" t="str">
        <x:v>Not a refunded record</x:v>
      </x:c>
      <x:c r="AP913" s="37" t="n">
        <x:f>IF(LEFT($AM913,7)="Invalid","",IF($AM913="Missing discount imputed as 0",IF(AND(COUNT($O913,$P913,$R913,$S913)=4,$O913&gt;0,$P913&gt;=0,$R913&gt;=0,$S913&gt;=0),0,""),IF(AND(ISNUMBER($Q913),$Q913&gt;=0,$Q913&lt;=0.5),$Q913,"")))</x:f>
        <x:v>0.1</x:v>
      </x:c>
      <x:c r="AQ913" s="152" t="n">
        <x:f>IF(OR($W913="",NOT(ISNUMBER($R913))),"",ROUND($R913-$W913,2))</x:f>
        <x:v>197.41</x:v>
      </x:c>
      <x:c r="AR913" s="152" t="n">
        <x:f>IF(OR($X913="",NOT(ISNUMBER($T913))),"",ROUND($T913-$X913,2))</x:f>
        <x:v>0</x:v>
      </x:c>
      <x:c r="AS913" s="14" t="str">
        <x:v>Sales calculation mismatch; Profit calculation mismatch; Conflicting duplicate order ID</x:v>
      </x:c>
    </x:row>
  </x:sheetData>
  <x:conditionalFormatting sqref="AH2:AI913">
    <x:cfRule type="expression" dxfId="8" priority="5">
      <x:formula>AH2&lt;&gt;"Valid"</x:formula>
    </x:cfRule>
  </x:conditionalFormatting>
  <x:conditionalFormatting sqref="AI2:AI913">
    <x:cfRule type="expression" dxfId="9" priority="6">
      <x:formula>AI2&lt;&gt;"Valid"</x:formula>
    </x:cfRule>
  </x:conditionalFormatting>
  <x:conditionalFormatting sqref="AJ2:AJ913">
    <x:cfRule type="expression" dxfId="10" priority="7">
      <x:formula>AJ2&lt;&gt;"Valid"</x:formula>
    </x:cfRule>
  </x:conditionalFormatting>
  <x:conditionalFormatting sqref="Z2:Z913">
    <x:cfRule type="expression" dxfId="11" priority="8">
      <x:formula>Z2&lt;0</x:formula>
    </x:cfRule>
  </x:conditionalFormatting>
  <x:conditionalFormatting sqref="AD2:AD913">
    <x:cfRule type="expression" dxfId="13" priority="9">
      <x:formula>AD2="Excluded"</x:formula>
    </x:cfRule>
  </x:conditionalFormatting>
  <x:conditionalFormatting sqref="AF2:AF913">
    <x:cfRule type="expression" dxfId="14" priority="10">
      <x:formula>AF2="Review"</x:formula>
    </x:cfRule>
  </x:conditionalFormatting>
  <x:conditionalFormatting sqref="AO2:AO913">
    <x:cfRule type="expression" dxfId="15" priority="11">
      <x:formula>AO2="Include in refunded summary"</x:formula>
    </x:cfRule>
  </x:conditionalFormatting>
  <x:conditionalFormatting sqref="AE2:AE913">
    <x:cfRule type="expression" dxfId="17" priority="12">
      <x:formula>AE2="Clean"</x:formula>
    </x:cfRule>
    <x:cfRule type="expression" dxfId="18" priority="13">
      <x:formula>AE2="Warning"</x:formula>
    </x:cfRule>
    <x:cfRule type="expression" dxfId="19" priority="14">
      <x:formula>AE2="Invalid"</x:formula>
    </x:cfRule>
  </x:conditionalFormatting>
  <x:conditionalFormatting sqref="AP2:AP913">
    <x:cfRule type="expression" dxfId="20" priority="15">
      <x:formula>AND($AM2&lt;&gt;"Valid",$AP2="")</x:formula>
    </x:cfRule>
  </x:conditionalFormatting>
  <x:dataValidations count="6">
    <x:dataValidation type="list" sqref="G2:G913">
      <x:formula1>"Consumer,Corporate,Home Office,Small Business"</x:formula1>
    </x:dataValidation>
    <x:dataValidation type="list" sqref="H2:H913">
      <x:formula1>"North,South,East,West,Unknown"</x:formula1>
    </x:dataValidation>
    <x:dataValidation type="list" sqref="K2:K913">
      <x:formula1>"Furniture,Office Supplies,Technology"</x:formula1>
    </x:dataValidation>
    <x:dataValidation type="list" sqref="N2:N913">
      <x:formula1>"First Class,Second Class,Standard Class,Same Day,Unknown"</x:formula1>
    </x:dataValidation>
    <x:dataValidation type="list" sqref="U2:U913">
      <x:formula1>"Paid,Pending,Failed,Refunded"</x:formula1>
    </x:dataValidation>
    <x:dataValidation type="list" sqref="V2:V913">
      <x:formula1>"Completed,Cancelled,Returned"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60c7a7cfcd4d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38" hidden="0" customWidth="1"/>
    <x:col min="5" max="5" width="36" hidden="0" customWidth="1"/>
    <x:col min="6" max="6" width="14" hidden="0" customWidth="1"/>
  </x:cols>
  <x:sheetData>
    <x:row r="1" ht="26" customHeight="1">
      <x:c r="A1" s="31" t="str">
        <x:v>Data Quality Report</x:v>
      </x:c>
      <x:c r="B1" s="31"/>
      <x:c r="C1" s="31"/>
      <x:c r="D1" s="31"/>
      <x:c r="E1" s="31"/>
      <x:c r="F1" s="31"/>
    </x:row>
    <x:row r="2">
      <x:c r="A2" s="21"/>
      <x:c r="B2" s="21"/>
      <x:c r="C2" s="21"/>
      <x:c r="D2" s="21"/>
      <x:c r="E2" s="21"/>
      <x:c r="F2" s="21"/>
    </x:row>
    <x:row r="3">
      <x:c r="A3" s="35" t="str">
        <x:v>Record-level outcome</x:v>
      </x:c>
      <x:c r="B3" s="35"/>
      <x:c r="C3" s="21"/>
      <x:c r="D3" s="21"/>
      <x:c r="E3" s="21"/>
      <x:c r="F3" s="21"/>
    </x:row>
    <x:row r="4">
      <x:c r="A4" s="20" t="str">
        <x:v>Metric</x:v>
      </x:c>
      <x:c r="B4" s="20" t="str">
        <x:v>Count</x:v>
      </x:c>
      <x:c r="C4" s="21"/>
      <x:c r="D4" s="21"/>
      <x:c r="E4" s="21"/>
      <x:c r="F4" s="21"/>
    </x:row>
    <x:row r="5">
      <x:c r="A5" s="21" t="str">
        <x:v>Source records</x:v>
      </x:c>
      <x:c r="B5" s="21" t="n">
        <x:v>932</x:v>
      </x:c>
      <x:c r="C5" s="21"/>
      <x:c r="D5" s="21"/>
      <x:c r="E5" s="21"/>
      <x:c r="F5" s="21"/>
    </x:row>
    <x:row r="6">
      <x:c r="A6" s="21" t="str">
        <x:v>Exact duplicate rows removed</x:v>
      </x:c>
      <x:c r="B6" s="21" t="n">
        <x:v>20</x:v>
      </x:c>
      <x:c r="C6" s="21"/>
      <x:c r="D6" s="21"/>
      <x:c r="E6" s="21"/>
      <x:c r="F6" s="21"/>
    </x:row>
    <x:row r="7">
      <x:c r="A7" s="21" t="str">
        <x:v>Cleaned records retained</x:v>
      </x:c>
      <x:c r="B7" s="21" t="n">
        <x:v>912</x:v>
      </x:c>
      <x:c r="C7" s="21"/>
      <x:c r="D7" s="21"/>
      <x:c r="E7" s="21"/>
      <x:c r="F7" s="21"/>
    </x:row>
    <x:row r="8">
      <x:c r="A8" s="21" t="str">
        <x:v>Rows requiring review</x:v>
      </x:c>
      <x:c r="B8" s="21" t="n">
        <x:v>112</x:v>
      </x:c>
      <x:c r="C8" s="21"/>
      <x:c r="D8" s="21"/>
      <x:c r="E8" s="21"/>
      <x:c r="F8" s="21"/>
    </x:row>
    <x:row r="9">
      <x:c r="A9" s="21" t="str">
        <x:v>Rows adjusted / imputed only</x:v>
      </x:c>
      <x:c r="B9" s="21" t="n">
        <x:v>125</x:v>
      </x:c>
      <x:c r="C9" s="21"/>
      <x:c r="D9" s="21"/>
      <x:c r="E9" s="21"/>
      <x:c r="F9" s="21"/>
    </x:row>
    <x:row r="10">
      <x:c r="A10" s="21" t="str">
        <x:v>Rows passing without changes</x:v>
      </x:c>
      <x:c r="B10" s="21" t="n">
        <x:v>675</x:v>
      </x:c>
      <x:c r="C10" s="21"/>
      <x:c r="D10" s="21"/>
      <x:c r="E10" s="21"/>
      <x:c r="F10" s="21"/>
    </x:row>
    <x:row r="11">
      <x:c r="A11" s="21" t="str">
        <x:v>Eligible completed-sales records</x:v>
      </x:c>
      <x:c r="B11" s="21" t="n">
        <x:v>537</x:v>
      </x:c>
      <x:c r="C11" s="21"/>
      <x:c r="D11" s="21"/>
      <x:c r="E11" s="21"/>
      <x:c r="F11" s="21"/>
    </x:row>
    <x:row r="12">
      <x:c r="A12" s="21" t="str">
        <x:v>Excluded from completed-sales summaries</x:v>
      </x:c>
      <x:c r="B12" s="21" t="n">
        <x:v>375</x:v>
      </x:c>
      <x:c r="C12" s="21"/>
      <x:c r="D12" s="21"/>
      <x:c r="E12" s="21"/>
      <x:c r="F12" s="21"/>
    </x:row>
    <x:row r="13">
      <x:c r="A13" s="21"/>
      <x:c r="B13" s="21"/>
      <x:c r="C13" s="21"/>
      <x:c r="D13" s="21"/>
      <x:c r="E13" s="21"/>
      <x:c r="F13" s="21"/>
    </x:row>
    <x:row r="14">
      <x:c r="A14" s="21"/>
      <x:c r="B14" s="21"/>
      <x:c r="C14" s="21"/>
      <x:c r="D14" s="21"/>
      <x:c r="E14" s="21"/>
      <x:c r="F14" s="21"/>
    </x:row>
    <x:row r="15">
      <x:c r="A15" s="35" t="str">
        <x:v>Issue occurrence breakdown</x:v>
      </x:c>
      <x:c r="B15" s="35"/>
      <x:c r="C15" s="35"/>
      <x:c r="D15" s="35"/>
      <x:c r="E15" s="35"/>
      <x:c r="F15" s="21"/>
    </x:row>
    <x:row r="16">
      <x:c r="A16" s="20" t="str">
        <x:v>Issue Category</x:v>
      </x:c>
      <x:c r="B16" s="20" t="str">
        <x:v>Occurrences</x:v>
      </x:c>
      <x:c r="C16" s="20" t="str">
        <x:v>Affected Source Rows</x:v>
      </x:c>
      <x:c r="D16" s="20" t="str">
        <x:v>Retained Cleaned Rows</x:v>
      </x:c>
      <x:c r="E16" s="20" t="str">
        <x:v>Severity</x:v>
      </x:c>
      <x:c r="F16" s="21"/>
    </x:row>
    <x:row r="17">
      <x:c r="A17" s="21" t="str">
        <x:v>Text standardization</x:v>
      </x:c>
      <x:c r="B17" s="21" t="n">
        <x:v>106</x:v>
      </x:c>
      <x:c r="C17" s="21" t="n">
        <x:v>106</x:v>
      </x:c>
      <x:c r="D17" s="21" t="n">
        <x:v>102</x:v>
      </x:c>
      <x:c r="E17" s="21" t="str">
        <x:v>Adjusted</x:v>
      </x:c>
      <x:c r="F17" s="21"/>
    </x:row>
    <x:row r="18">
      <x:c r="A18" s="21" t="str">
        <x:v>Missing text value</x:v>
      </x:c>
      <x:c r="B18" s="21" t="n">
        <x:v>48</x:v>
      </x:c>
      <x:c r="C18" s="21" t="n">
        <x:v>47</x:v>
      </x:c>
      <x:c r="D18" s="21" t="n">
        <x:v>45</x:v>
      </x:c>
      <x:c r="E18" s="21" t="str">
        <x:v>Adjusted</x:v>
      </x:c>
      <x:c r="F18" s="21"/>
    </x:row>
    <x:row r="19">
      <x:c r="A19" s="21" t="str">
        <x:v>Missing discount</x:v>
      </x:c>
      <x:c r="B19" s="21" t="n">
        <x:v>18</x:v>
      </x:c>
      <x:c r="C19" s="21" t="n">
        <x:v>18</x:v>
      </x:c>
      <x:c r="D19" s="21" t="n">
        <x:v>18</x:v>
      </x:c>
      <x:c r="E19" s="21" t="str">
        <x:v>Adjusted</x:v>
      </x:c>
      <x:c r="F19" s="21"/>
    </x:row>
    <x:row r="20">
      <x:c r="A20" s="21" t="str">
        <x:v>Discount format</x:v>
      </x:c>
      <x:c r="B20" s="21" t="n">
        <x:v>8</x:v>
      </x:c>
      <x:c r="C20" s="21" t="n">
        <x:v>8</x:v>
      </x:c>
      <x:c r="D20" s="21" t="n">
        <x:v>8</x:v>
      </x:c>
      <x:c r="E20" s="21" t="str">
        <x:v>Adjusted</x:v>
      </x:c>
      <x:c r="F20" s="21"/>
    </x:row>
    <x:row r="21">
      <x:c r="A21" s="21" t="str">
        <x:v>Invalid discount</x:v>
      </x:c>
      <x:c r="B21" s="21" t="n">
        <x:v>31</x:v>
      </x:c>
      <x:c r="C21" s="21" t="n">
        <x:v>31</x:v>
      </x:c>
      <x:c r="D21" s="21" t="n">
        <x:v>30</x:v>
      </x:c>
      <x:c r="E21" s="21" t="str">
        <x:v>Review</x:v>
      </x:c>
      <x:c r="F21" s="21"/>
    </x:row>
    <x:row r="22">
      <x:c r="A22" s="21" t="str">
        <x:v>Sales calculation mismatch</x:v>
      </x:c>
      <x:c r="B22" s="21" t="n">
        <x:v>34</x:v>
      </x:c>
      <x:c r="C22" s="21" t="n">
        <x:v>34</x:v>
      </x:c>
      <x:c r="D22" s="21" t="n">
        <x:v>34</x:v>
      </x:c>
      <x:c r="E22" s="21" t="str">
        <x:v>Review</x:v>
      </x:c>
      <x:c r="F22" s="21"/>
    </x:row>
    <x:row r="23">
      <x:c r="A23" s="21" t="str">
        <x:v>Profit calculation mismatch</x:v>
      </x:c>
      <x:c r="B23" s="21" t="n">
        <x:v>41</x:v>
      </x:c>
      <x:c r="C23" s="21" t="n">
        <x:v>41</x:v>
      </x:c>
      <x:c r="D23" s="21" t="n">
        <x:v>40</x:v>
      </x:c>
      <x:c r="E23" s="21" t="str">
        <x:v>Review</x:v>
      </x:c>
      <x:c r="F23" s="21"/>
    </x:row>
    <x:row r="24">
      <x:c r="A24" s="21" t="str">
        <x:v>Date sequence</x:v>
      </x:c>
      <x:c r="B24" s="21" t="n">
        <x:v>22</x:v>
      </x:c>
      <x:c r="C24" s="21" t="n">
        <x:v>22</x:v>
      </x:c>
      <x:c r="D24" s="21" t="n">
        <x:v>21</x:v>
      </x:c>
      <x:c r="E24" s="21" t="str">
        <x:v>Review</x:v>
      </x:c>
      <x:c r="F24" s="21"/>
    </x:row>
    <x:row r="25">
      <x:c r="A25" s="21" t="str">
        <x:v>Status inconsistency</x:v>
      </x:c>
      <x:c r="B25" s="21" t="n">
        <x:v>2</x:v>
      </x:c>
      <x:c r="C25" s="21" t="n">
        <x:v>2</x:v>
      </x:c>
      <x:c r="D25" s="21" t="n">
        <x:v>2</x:v>
      </x:c>
      <x:c r="E25" s="21" t="str">
        <x:v>Review</x:v>
      </x:c>
      <x:c r="F25" s="21"/>
    </x:row>
    <x:row r="26">
      <x:c r="A26" s="21" t="str">
        <x:v>Exact duplicate</x:v>
      </x:c>
      <x:c r="B26" s="21" t="n">
        <x:v>20</x:v>
      </x:c>
      <x:c r="C26" s="21" t="n">
        <x:v>20</x:v>
      </x:c>
      <x:c r="D26" s="21" t="n">
        <x:v>0</x:v>
      </x:c>
      <x:c r="E26" s="21" t="str">
        <x:v>Adjusted</x:v>
      </x:c>
      <x:c r="F26" s="21"/>
    </x:row>
    <x:row r="27">
      <x:c r="A27" s="21" t="str">
        <x:v>Conflicting duplicate ID</x:v>
      </x:c>
      <x:c r="B27" s="21" t="n">
        <x:v>24</x:v>
      </x:c>
      <x:c r="C27" s="21" t="n">
        <x:v>24</x:v>
      </x:c>
      <x:c r="D27" s="21" t="n">
        <x:v>24</x:v>
      </x:c>
      <x:c r="E27" s="21" t="str">
        <x:v>Review</x:v>
      </x:c>
      <x:c r="F27" s="21"/>
    </x:row>
    <x:row r="28">
      <x:c r="A28" s="21"/>
      <x:c r="B28" s="21"/>
      <x:c r="C28" s="21"/>
      <x:c r="D28" s="21"/>
      <x:c r="E28" s="21"/>
      <x:c r="F28" s="21"/>
    </x:row>
    <x:row r="29">
      <x:c r="A29" s="21"/>
      <x:c r="B29" s="21"/>
      <x:c r="C29" s="21"/>
      <x:c r="D29" s="21"/>
      <x:c r="E29" s="21"/>
      <x:c r="F29" s="21"/>
    </x:row>
    <x:row r="30">
      <x:c r="A30" s="35" t="str">
        <x:v>Validation rules applied</x:v>
      </x:c>
      <x:c r="B30" s="35"/>
      <x:c r="C30" s="35"/>
      <x:c r="D30" s="35"/>
      <x:c r="E30" s="35"/>
      <x:c r="F30" s="35"/>
    </x:row>
    <x:row r="31">
      <x:c r="A31" s="20" t="str">
        <x:v>Rule Area</x:v>
      </x:c>
      <x:c r="B31" s="20" t="str">
        <x:v>Applied Decision</x:v>
      </x:c>
      <x:c r="C31" s="21"/>
      <x:c r="D31" s="21"/>
      <x:c r="E31" s="21"/>
      <x:c r="F31" s="21"/>
    </x:row>
    <x:row r="32">
      <x:c r="A32" s="21" t="str">
        <x:v>Text fields</x:v>
      </x:c>
      <x:c r="B32" s="27" t="str">
        <x:v>Collapsed extra spaces, trimmed edges, standardized capitalization, and mapped known variants.</x:v>
      </x:c>
      <x:c r="C32" s="21"/>
      <x:c r="D32" s="21"/>
      <x:c r="E32" s="21"/>
      <x:c r="F32" s="21"/>
    </x:row>
    <x:row r="33">
      <x:c r="A33" s="21" t="str">
        <x:v>Missing region / ship mode</x:v>
      </x:c>
      <x:c r="B33" s="27" t="str">
        <x:v>Filled with Unknown and recorded as an adjustment; values remain usable for analysis.</x:v>
      </x:c>
      <x:c r="C33" s="21"/>
      <x:c r="D33" s="21"/>
      <x:c r="E33" s="21"/>
      <x:c r="F33" s="21"/>
    </x:row>
    <x:row r="34">
      <x:c r="A34" s="21" t="str">
        <x:v>Discount</x:v>
      </x:c>
      <x:c r="B34" s="27" t="str">
        <x:v>Missing discount set to 0 only when sales inputs were present. Negative or &gt;50% discounts are blanked and marked Review.</x:v>
      </x:c>
      <x:c r="C34" s="21"/>
      <x:c r="D34" s="21"/>
      <x:c r="E34" s="21"/>
      <x:c r="F34" s="21"/>
    </x:row>
    <x:row r="35">
      <x:c r="A35" s="21" t="str">
        <x:v>Dates</x:v>
      </x:c>
      <x:c r="B35" s="27" t="str">
        <x:v>Slash numeric dates parsed as MM/DD/YYYY; hyphen numeric dates parsed as DD-MM-YYYY; shipment before order date is marked Review.</x:v>
      </x:c>
      <x:c r="C35" s="21"/>
      <x:c r="D35" s="21"/>
      <x:c r="E35" s="21"/>
      <x:c r="F35" s="21"/>
    </x:row>
    <x:row r="36">
      <x:c r="A36" s="21" t="str">
        <x:v>Duplicates</x:v>
      </x:c>
      <x:c r="B36" s="27" t="str">
        <x:v>Exact duplicate records removed. Duplicate order IDs with conflicting content were retained and marked Review.</x:v>
      </x:c>
      <x:c r="C36" s="21"/>
      <x:c r="D36" s="21"/>
      <x:c r="E36" s="21"/>
      <x:c r="F36" s="21"/>
    </x:row>
    <x:row r="37">
      <x:c r="A37" s="21" t="str">
        <x:v>Status consistency</x:v>
      </x:c>
      <x:c r="B37" s="27" t="str">
        <x:v>Completed orders must be Paid. Other orders are excluded from completed-sales summaries.</x:v>
      </x:c>
      <x:c r="C37" s="21"/>
      <x:c r="D37" s="21"/>
      <x:c r="E37" s="21"/>
      <x:c r="F37" s="21"/>
    </x:row>
    <x:row r="38">
      <x:c r="A38" s="21" t="str">
        <x:v>Summary eligibility</x:v>
      </x:c>
      <x:c r="B38" s="27" t="str">
        <x:v>Completed + Paid + no unresolved validation issue + usable dates and discount.</x:v>
      </x:c>
      <x:c r="C38" s="21"/>
      <x:c r="D38" s="21"/>
      <x:c r="E38" s="21"/>
      <x:c r="F38" s="21"/>
    </x:row>
    <x:row r="39">
      <x:c r="A39" s="21"/>
      <x:c r="B39" s="21"/>
      <x:c r="C39" s="21"/>
      <x:c r="D39" s="21"/>
      <x:c r="E39" s="21"/>
      <x:c r="F39" s="21"/>
    </x:row>
    <x:row r="40">
      <x:c r="A40" s="133" t="str">
        <x:v>Business Rule Status – Task 5</x:v>
      </x:c>
      <x:c r="B40" s="133"/>
      <x:c r="C40" s="133"/>
      <x:c r="D40" s="133"/>
      <x:c r="E40" s="133"/>
      <x:c r="F40" s="21"/>
    </x:row>
    <x:row r="41">
      <x:c r="A41" s="108" t="str">
        <x:v>Rule area</x:v>
      </x:c>
      <x:c r="B41" s="117" t="str">
        <x:v>Raw occurrences</x:v>
      </x:c>
      <x:c r="C41" s="117" t="str">
        <x:v>Retained records</x:v>
      </x:c>
      <x:c r="D41" s="117" t="str">
        <x:v>Decision</x:v>
      </x:c>
      <x:c r="E41" s="109" t="str">
        <x:v>Summary handling</x:v>
      </x:c>
    </x:row>
    <x:row r="42">
      <x:c r="A42" s="110" t="str">
        <x:v>Missing region</x:v>
      </x:c>
      <x:c r="B42" s="118" t="n">
        <x:v>26</x:v>
      </x:c>
      <x:c r="C42" s="118" t="n">
        <x:v>25</x:v>
      </x:c>
      <x:c r="D42" s="118" t="str">
        <x:v>Set to Unknown</x:v>
      </x:c>
      <x:c r="E42" s="111" t="str">
        <x:v>Retained; flagged as cleaned</x:v>
      </x:c>
    </x:row>
    <x:row r="43">
      <x:c r="A43" s="110" t="str">
        <x:v>Missing ship_mode</x:v>
      </x:c>
      <x:c r="B43" s="118" t="n">
        <x:v>22</x:v>
      </x:c>
      <x:c r="C43" s="118" t="n">
        <x:v>21</x:v>
      </x:c>
      <x:c r="D43" s="118" t="str">
        <x:v>Set to Unknown</x:v>
      </x:c>
      <x:c r="E43" s="111" t="str">
        <x:v>Retained; flagged as cleaned</x:v>
      </x:c>
    </x:row>
    <x:row r="44">
      <x:c r="A44" s="110" t="str">
        <x:v>Missing discount</x:v>
      </x:c>
      <x:c r="B44" s="118" t="n">
        <x:v>18</x:v>
      </x:c>
      <x:c r="C44" s="118" t="n">
        <x:v>18</x:v>
      </x:c>
      <x:c r="D44" s="118" t="str">
        <x:v>Set to 0 after sales-field validation</x:v>
      </x:c>
      <x:c r="E44" s="111" t="str">
        <x:v>Validated formulas continue; changes logged</x:v>
      </x:c>
    </x:row>
    <x:row r="45">
      <x:c r="A45" s="110" t="str">
        <x:v>Negative discount</x:v>
      </x:c>
      <x:c r="B45" s="118" t="n">
        <x:v>16</x:v>
      </x:c>
      <x:c r="C45" s="118" t="n">
        <x:v>15</x:v>
      </x:c>
      <x:c r="D45" s="118" t="str">
        <x:v>Invalid</x:v>
      </x:c>
      <x:c r="E45" s="111" t="str">
        <x:v>Excluded from completed sales</x:v>
      </x:c>
    </x:row>
    <x:row r="46">
      <x:c r="A46" s="110" t="str">
        <x:v>Discount above 50%</x:v>
      </x:c>
      <x:c r="B46" s="118" t="n">
        <x:v>15</x:v>
      </x:c>
      <x:c r="C46" s="118" t="n">
        <x:v>15</x:v>
      </x:c>
      <x:c r="D46" s="118" t="str">
        <x:v>Invalid</x:v>
      </x:c>
      <x:c r="E46" s="111" t="str">
        <x:v>Excluded from completed sales</x:v>
      </x:c>
    </x:row>
    <x:row r="47">
      <x:c r="A47" s="110" t="str">
        <x:v>Cancelled orders</x:v>
      </x:c>
      <x:c r="B47" s="118" t="n">
        <x:v>145</x:v>
      </x:c>
      <x:c r="C47" s="118" t="n">
        <x:v>145</x:v>
      </x:c>
      <x:c r="D47" s="118" t="str">
        <x:v>Excluded</x:v>
      </x:c>
      <x:c r="E47" s="111" t="str">
        <x:v>Not included in completed sales</x:v>
      </x:c>
    </x:row>
    <x:row r="48">
      <x:c r="A48" s="110" t="str">
        <x:v>Failed payments</x:v>
      </x:c>
      <x:c r="B48" s="118" t="n">
        <x:v>69</x:v>
      </x:c>
      <x:c r="C48" s="118" t="n">
        <x:v>69</x:v>
      </x:c>
      <x:c r="D48" s="118" t="str">
        <x:v>Excluded</x:v>
      </x:c>
      <x:c r="E48" s="111" t="str">
        <x:v>Not included in completed sales</x:v>
      </x:c>
    </x:row>
    <x:row r="49">
      <x:c r="A49" s="110" t="str">
        <x:v>Refunded payments</x:v>
      </x:c>
      <x:c r="B49" s="118" t="n">
        <x:v>71</x:v>
      </x:c>
      <x:c r="C49" s="118" t="n">
        <x:v>71</x:v>
      </x:c>
      <x:c r="D49" s="118" t="str">
        <x:v>Separately summarized</x:v>
      </x:c>
      <x:c r="E49" s="111" t="str">
        <x:v>Not included in completed sales</x:v>
      </x:c>
    </x:row>
    <x:row r="50">
      <x:c r="A50" s="112" t="str">
        <x:v>Ship before order date</x:v>
      </x:c>
      <x:c r="B50" s="119" t="n">
        <x:v>22</x:v>
      </x:c>
      <x:c r="C50" s="119" t="n">
        <x:v>21</x:v>
      </x:c>
      <x:c r="D50" s="119" t="str">
        <x:v>Invalid shipping record</x:v>
      </x:c>
      <x:c r="E50" s="113" t="str">
        <x:v>Flagged Review; excluded from completed sales</x:v>
      </x:c>
    </x:row>
  </x:sheetData>
  <x:mergeCells>
    <x:mergeCell ref="A1:F1"/>
    <x:mergeCell ref="A3:B3"/>
    <x:mergeCell ref="A15:E15"/>
    <x:mergeCell ref="A30:F30"/>
    <x:mergeCell ref="A40:E40"/>
  </x:mergeCells>
  <x:conditionalFormatting sqref="E17:E27">
    <x:cfRule type="expression" dxfId="4" priority="1">
      <x:formula>E17="Review"</x:formula>
    </x:cfRule>
    <x:cfRule type="expression" dxfId="5" priority="2">
      <x:formula>E17="Adjusted"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8" hidden="0" customWidth="1"/>
    <x:col min="5" max="5" width="25" hidden="0" customWidth="1"/>
    <x:col min="6" max="6" width="24" hidden="0" customWidth="1"/>
    <x:col min="7" max="7" width="24" hidden="0" customWidth="1"/>
    <x:col min="8" max="8" width="42" hidden="0" customWidth="1"/>
    <x:col min="9" max="9" width="12" hidden="0" customWidth="1"/>
    <x:col min="10" max="10" width="17" hidden="0" customWidth="1"/>
  </x:cols>
  <x:sheetData>
    <x:row r="1" ht="34" customHeight="1">
      <x:c r="A1" s="20" t="str">
        <x:v>issue_id</x:v>
      </x:c>
      <x:c r="B1" s="20" t="str">
        <x:v>source_row</x:v>
      </x:c>
      <x:c r="C1" s="20" t="str">
        <x:v>order_id</x:v>
      </x:c>
      <x:c r="D1" s="20" t="str">
        <x:v>issue_category</x:v>
      </x:c>
      <x:c r="E1" s="20" t="str">
        <x:v>field</x:v>
      </x:c>
      <x:c r="F1" s="20" t="str">
        <x:v>raw_value</x:v>
      </x:c>
      <x:c r="G1" s="20" t="str">
        <x:v>cleaned_value</x:v>
      </x:c>
      <x:c r="H1" s="20" t="str">
        <x:v>action_taken</x:v>
      </x:c>
      <x:c r="I1" s="20" t="str">
        <x:v>severity</x:v>
      </x:c>
      <x:c r="J1" s="20" t="str">
        <x:v>retained_in_cleaned_data</x:v>
      </x:c>
    </x:row>
    <x:row r="2">
      <x:c r="A2" s="14" t="str">
        <x:v>ISS-0001</x:v>
      </x:c>
      <x:c r="B2" s="14" t="n">
        <x:v>2</x:v>
      </x:c>
      <x:c r="C2" s="14" t="str">
        <x:v>ORD-2024-10001</x:v>
      </x:c>
      <x:c r="D2" s="14" t="str">
        <x:v>Text standardization</x:v>
      </x:c>
      <x:c r="E2" s="14" t="str">
        <x:v>region</x:v>
      </x:c>
      <x:c r="F2" s="14" t="str">
        <x:v>  North </x:v>
      </x:c>
      <x:c r="G2" s="14" t="str">
        <x:v>North</x:v>
      </x:c>
      <x:c r="H2" s="14" t="str">
        <x:v>TRIM/SUBSTITUTE whitespace cleanup</x:v>
      </x:c>
      <x:c r="I2" s="14" t="str">
        <x:v>Adjusted</x:v>
      </x:c>
      <x:c r="J2" s="14" t="str">
        <x:v>Yes</x:v>
      </x:c>
    </x:row>
    <x:row r="3">
      <x:c r="A3" s="14" t="str">
        <x:v>ISS-0002</x:v>
      </x:c>
      <x:c r="B3" s="14" t="n">
        <x:v>4</x:v>
      </x:c>
      <x:c r="C3" s="14" t="str">
        <x:v>ORD-2024-10003</x:v>
      </x:c>
      <x:c r="D3" s="14" t="str">
        <x:v>Invalid discount</x:v>
      </x:c>
      <x:c r="E3" s="14" t="str">
        <x:v>discount</x:v>
      </x:c>
      <x:c r="F3" s="14" t="str">
        <x:v>0.55</x:v>
      </x:c>
      <x:c r="G3" s="14" t="str"/>
      <x:c r="H3" s="14" t="str">
        <x:v>Discount over 50%; blanked for analysis pending validation</x:v>
      </x:c>
      <x:c r="I3" s="14" t="str">
        <x:v>Review</x:v>
      </x:c>
      <x:c r="J3" s="14" t="str">
        <x:v>Yes</x:v>
      </x:c>
    </x:row>
    <x:row r="4">
      <x:c r="A4" s="14" t="str">
        <x:v>ISS-0003</x:v>
      </x:c>
      <x:c r="B4" s="14" t="n">
        <x:v>14</x:v>
      </x:c>
      <x:c r="C4" s="14" t="str">
        <x:v>ORD-2024-10013</x:v>
      </x:c>
      <x:c r="D4" s="14" t="str">
        <x:v>Text standardization</x:v>
      </x:c>
      <x:c r="E4" s="14" t="str">
        <x:v>segment</x:v>
      </x:c>
      <x:c r="F4" s="14" t="str">
        <x:v>Corporate </x:v>
      </x:c>
      <x:c r="G4" s="14" t="str">
        <x:v>Corporate</x:v>
      </x:c>
      <x:c r="H4" s="14" t="str">
        <x:v>TRIM/SUBSTITUTE whitespace cleanup</x:v>
      </x:c>
      <x:c r="I4" s="14" t="str">
        <x:v>Adjusted</x:v>
      </x:c>
      <x:c r="J4" s="14" t="str">
        <x:v>Yes</x:v>
      </x:c>
    </x:row>
    <x:row r="5">
      <x:c r="A5" s="14" t="str">
        <x:v>ISS-0004</x:v>
      </x:c>
      <x:c r="B5" s="14" t="n">
        <x:v>21</x:v>
      </x:c>
      <x:c r="C5" s="14" t="str">
        <x:v>ORD-2024-10020</x:v>
      </x:c>
      <x:c r="D5" s="14" t="str">
        <x:v>Invalid discount</x:v>
      </x:c>
      <x:c r="E5" s="14" t="str">
        <x:v>discount</x:v>
      </x:c>
      <x:c r="F5" s="14" t="str">
        <x:v>-0.19</x:v>
      </x:c>
      <x:c r="G5" s="14" t="str"/>
      <x:c r="H5" s="14" t="str">
        <x:v>Invalid negative discount; blanked for analysis</x:v>
      </x:c>
      <x:c r="I5" s="14" t="str">
        <x:v>Review</x:v>
      </x:c>
      <x:c r="J5" s="14" t="str">
        <x:v>Yes</x:v>
      </x:c>
    </x:row>
    <x:row r="6">
      <x:c r="A6" s="14" t="str">
        <x:v>ISS-0005</x:v>
      </x:c>
      <x:c r="B6" s="14" t="n">
        <x:v>23</x:v>
      </x:c>
      <x:c r="C6" s="14" t="str">
        <x:v>ORD-2025-10022</x:v>
      </x:c>
      <x:c r="D6" s="14" t="str">
        <x:v>Invalid discount</x:v>
      </x:c>
      <x:c r="E6" s="14" t="str">
        <x:v>discount</x:v>
      </x:c>
      <x:c r="F6" s="14" t="str">
        <x:v>-0.23</x:v>
      </x:c>
      <x:c r="G6" s="14" t="str"/>
      <x:c r="H6" s="14" t="str">
        <x:v>Invalid negative discount; blanked for analysis</x:v>
      </x:c>
      <x:c r="I6" s="14" t="str">
        <x:v>Review</x:v>
      </x:c>
      <x:c r="J6" s="14" t="str">
        <x:v>Yes</x:v>
      </x:c>
    </x:row>
    <x:row r="7">
      <x:c r="A7" s="14" t="str">
        <x:v>ISS-0006</x:v>
      </x:c>
      <x:c r="B7" s="14" t="n">
        <x:v>26</x:v>
      </x:c>
      <x:c r="C7" s="14" t="str">
        <x:v>ORD-2024-10025</x:v>
      </x:c>
      <x:c r="D7" s="14" t="str">
        <x:v>Date sequence</x:v>
      </x:c>
      <x:c r="E7" s="14" t="str">
        <x:v>ship_date</x:v>
      </x:c>
      <x:c r="F7" s="14" t="str">
        <x:v>03/01/2024</x:v>
      </x:c>
      <x:c r="G7" s="14" t="str">
        <x:v>2024-03-01</x:v>
      </x:c>
      <x:c r="H7" s="14" t="str">
        <x:v>Flagged; not auto-corrected</x:v>
      </x:c>
      <x:c r="I7" s="14" t="str">
        <x:v>Review</x:v>
      </x:c>
      <x:c r="J7" s="14" t="str">
        <x:v>Yes</x:v>
      </x:c>
    </x:row>
    <x:row r="8">
      <x:c r="A8" s="14" t="str">
        <x:v>ISS-0007</x:v>
      </x:c>
      <x:c r="B8" s="14" t="n">
        <x:v>28</x:v>
      </x:c>
      <x:c r="C8" s="14" t="str">
        <x:v>ORD-2024-10027</x:v>
      </x:c>
      <x:c r="D8" s="14" t="str">
        <x:v>Text standardization</x:v>
      </x:c>
      <x:c r="E8" s="14" t="str">
        <x:v>payment_status</x:v>
      </x:c>
      <x:c r="F8" s="14" t="str">
        <x:v>Paid </x:v>
      </x:c>
      <x:c r="G8" s="14" t="str">
        <x:v>Paid</x:v>
      </x:c>
      <x:c r="H8" s="14" t="str">
        <x:v>TRIM/SUBSTITUTE whitespace cleanup</x:v>
      </x:c>
      <x:c r="I8" s="14" t="str">
        <x:v>Adjusted</x:v>
      </x:c>
      <x:c r="J8" s="14" t="str">
        <x:v>Yes</x:v>
      </x:c>
    </x:row>
    <x:row r="9">
      <x:c r="A9" s="14" t="str">
        <x:v>ISS-0008</x:v>
      </x:c>
      <x:c r="B9" s="14" t="n">
        <x:v>34</x:v>
      </x:c>
      <x:c r="C9" s="14" t="str">
        <x:v>ORD-2024-10033</x:v>
      </x:c>
      <x:c r="D9" s="14" t="str">
        <x:v>Missing discount</x:v>
      </x:c>
      <x:c r="E9" s="14" t="str">
        <x:v>discount</x:v>
      </x:c>
      <x:c r="F9" s="14" t="str">
        <x:v>(blank)</x:v>
      </x:c>
      <x:c r="G9" s="14" t="str">
        <x:v>0</x:v>
      </x:c>
      <x:c r="H9" s="14" t="str">
        <x:v>Imputed 0 because supporting sales fields were present</x:v>
      </x:c>
      <x:c r="I9" s="14" t="str">
        <x:v>Adjusted</x:v>
      </x:c>
      <x:c r="J9" s="14" t="str">
        <x:v>Yes</x:v>
      </x:c>
    </x:row>
    <x:row r="10">
      <x:c r="A10" s="14" t="str">
        <x:v>ISS-0009</x:v>
      </x:c>
      <x:c r="B10" s="14" t="n">
        <x:v>34</x:v>
      </x:c>
      <x:c r="C10" s="14" t="str">
        <x:v>ORD-2024-10033</x:v>
      </x:c>
      <x:c r="D10" s="14" t="str">
        <x:v>Sales calculation mismatch</x:v>
      </x:c>
      <x:c r="E10" s="14" t="str">
        <x:v>sales_raw</x:v>
      </x:c>
      <x:c r="F10" s="14" t="str">
        <x:v>9002.81</x:v>
      </x:c>
      <x:c r="G10" s="14" t="str">
        <x:v>12003.75</x:v>
      </x:c>
      <x:c r="H10" s="14" t="str">
        <x:v>Raw sales does not equal quantity × unit price × (1 − discount)</x:v>
      </x:c>
      <x:c r="I10" s="14" t="str">
        <x:v>Review</x:v>
      </x:c>
      <x:c r="J10" s="14" t="str">
        <x:v>Yes</x:v>
      </x:c>
    </x:row>
    <x:row r="11">
      <x:c r="A11" s="14" t="str">
        <x:v>ISS-0010</x:v>
      </x:c>
      <x:c r="B11" s="14" t="n">
        <x:v>36</x:v>
      </x:c>
      <x:c r="C11" s="14" t="str">
        <x:v>ORD-2025-10035</x:v>
      </x:c>
      <x:c r="D11" s="14" t="str">
        <x:v>Missing text value</x:v>
      </x:c>
      <x:c r="E11" s="14" t="str">
        <x:v>ship_mode</x:v>
      </x:c>
      <x:c r="F11" s="14" t="str">
        <x:v>(blank)</x:v>
      </x:c>
      <x:c r="G11" s="14" t="str">
        <x:v>Unknown</x:v>
      </x:c>
      <x:c r="H11" s="14" t="str">
        <x:v>Missing value filled as Unknown</x:v>
      </x:c>
      <x:c r="I11" s="14" t="str">
        <x:v>Adjusted</x:v>
      </x:c>
      <x:c r="J11" s="14" t="str">
        <x:v>Yes</x:v>
      </x:c>
    </x:row>
    <x:row r="12">
      <x:c r="A12" s="14" t="str">
        <x:v>ISS-0011</x:v>
      </x:c>
      <x:c r="B12" s="14" t="n">
        <x:v>36</x:v>
      </x:c>
      <x:c r="C12" s="14" t="str">
        <x:v>ORD-2025-10035</x:v>
      </x:c>
      <x:c r="D12" s="14" t="str">
        <x:v>Profit calculation mismatch</x:v>
      </x:c>
      <x:c r="E12" s="14" t="str">
        <x:v>profit_raw</x:v>
      </x:c>
      <x:c r="F12" s="14" t="str">
        <x:v>2607.32</x:v>
      </x:c>
      <x:c r="G12" s="14" t="str">
        <x:v>2315.29</x:v>
      </x:c>
      <x:c r="H12" s="14" t="str">
        <x:v>Raw profit does not equal raw sales − cost</x:v>
      </x:c>
      <x:c r="I12" s="14" t="str">
        <x:v>Review</x:v>
      </x:c>
      <x:c r="J12" s="14" t="str">
        <x:v>Yes</x:v>
      </x:c>
    </x:row>
    <x:row r="13">
      <x:c r="A13" s="14" t="str">
        <x:v>ISS-0012</x:v>
      </x:c>
      <x:c r="B13" s="14" t="n">
        <x:v>39</x:v>
      </x:c>
      <x:c r="C13" s="14" t="str">
        <x:v>ORD-2025-10038</x:v>
      </x:c>
      <x:c r="D13" s="14" t="str">
        <x:v>Text standardization</x:v>
      </x:c>
      <x:c r="E13" s="14" t="str">
        <x:v>ship_mode</x:v>
      </x:c>
      <x:c r="F13" s="14" t="str">
        <x:v>STANDARD CLASS</x:v>
      </x:c>
      <x:c r="G13" s="14" t="str">
        <x:v>Standard Class</x:v>
      </x:c>
      <x:c r="H13" s="14" t="str">
        <x:v>Case standardization</x:v>
      </x:c>
      <x:c r="I13" s="14" t="str">
        <x:v>Adjusted</x:v>
      </x:c>
      <x:c r="J13" s="14" t="str">
        <x:v>Yes</x:v>
      </x:c>
    </x:row>
    <x:row r="14">
      <x:c r="A14" s="14" t="str">
        <x:v>ISS-0013</x:v>
      </x:c>
      <x:c r="B14" s="14" t="n">
        <x:v>50</x:v>
      </x:c>
      <x:c r="C14" s="14" t="str">
        <x:v>ORD-2025-10049</x:v>
      </x:c>
      <x:c r="D14" s="14" t="str">
        <x:v>Text standardization</x:v>
      </x:c>
      <x:c r="E14" s="14" t="str">
        <x:v>ship_mode</x:v>
      </x:c>
      <x:c r="F14" s="14" t="str">
        <x:v>Second Class </x:v>
      </x:c>
      <x:c r="G14" s="14" t="str">
        <x:v>Second Class</x:v>
      </x:c>
      <x:c r="H14" s="14" t="str">
        <x:v>TRIM/SUBSTITUTE whitespace cleanup</x:v>
      </x:c>
      <x:c r="I14" s="14" t="str">
        <x:v>Adjusted</x:v>
      </x:c>
      <x:c r="J14" s="14" t="str">
        <x:v>Yes</x:v>
      </x:c>
    </x:row>
    <x:row r="15">
      <x:c r="A15" s="14" t="str">
        <x:v>ISS-0014</x:v>
      </x:c>
      <x:c r="B15" s="14" t="n">
        <x:v>53</x:v>
      </x:c>
      <x:c r="C15" s="14" t="str">
        <x:v>ORD-2024-10052</x:v>
      </x:c>
      <x:c r="D15" s="14" t="str">
        <x:v>Text standardization</x:v>
      </x:c>
      <x:c r="E15" s="14" t="str">
        <x:v>customer_name</x:v>
      </x:c>
      <x:c r="F15" s="14" t="str">
        <x:v>Ananya Rao </x:v>
      </x:c>
      <x:c r="G15" s="14" t="str">
        <x:v>Ananya Rao</x:v>
      </x:c>
      <x:c r="H15" s="14" t="str">
        <x:v>TRIM/SUBSTITUTE whitespace cleanup</x:v>
      </x:c>
      <x:c r="I15" s="14" t="str">
        <x:v>Adjusted</x:v>
      </x:c>
      <x:c r="J15" s="14" t="str">
        <x:v>Yes</x:v>
      </x:c>
    </x:row>
    <x:row r="16">
      <x:c r="A16" s="14" t="str">
        <x:v>ISS-0015</x:v>
      </x:c>
      <x:c r="B16" s="14" t="n">
        <x:v>60</x:v>
      </x:c>
      <x:c r="C16" s="14" t="str">
        <x:v>ORD-2024-10059</x:v>
      </x:c>
      <x:c r="D16" s="14" t="str">
        <x:v>Missing text value</x:v>
      </x:c>
      <x:c r="E16" s="14" t="str">
        <x:v>ship_mode</x:v>
      </x:c>
      <x:c r="F16" s="14" t="str">
        <x:v>(blank)</x:v>
      </x:c>
      <x:c r="G16" s="14" t="str">
        <x:v>Unknown</x:v>
      </x:c>
      <x:c r="H16" s="14" t="str">
        <x:v>Missing value filled as Unknown</x:v>
      </x:c>
      <x:c r="I16" s="14" t="str">
        <x:v>Adjusted</x:v>
      </x:c>
      <x:c r="J16" s="14" t="str">
        <x:v>Yes</x:v>
      </x:c>
    </x:row>
    <x:row r="17">
      <x:c r="A17" s="14" t="str">
        <x:v>ISS-0016</x:v>
      </x:c>
      <x:c r="B17" s="14" t="n">
        <x:v>65</x:v>
      </x:c>
      <x:c r="C17" s="14" t="str">
        <x:v>ORD-2024-10064</x:v>
      </x:c>
      <x:c r="D17" s="14" t="str">
        <x:v>Text standardization</x:v>
      </x:c>
      <x:c r="E17" s="14" t="str">
        <x:v>payment_status</x:v>
      </x:c>
      <x:c r="F17" s="14" t="str">
        <x:v>Paid </x:v>
      </x:c>
      <x:c r="G17" s="14" t="str">
        <x:v>Paid</x:v>
      </x:c>
      <x:c r="H17" s="14" t="str">
        <x:v>TRIM/SUBSTITUTE whitespace cleanup</x:v>
      </x:c>
      <x:c r="I17" s="14" t="str">
        <x:v>Adjusted</x:v>
      </x:c>
      <x:c r="J17" s="14" t="str">
        <x:v>Yes</x:v>
      </x:c>
    </x:row>
    <x:row r="18">
      <x:c r="A18" s="14" t="str">
        <x:v>ISS-0017</x:v>
      </x:c>
      <x:c r="B18" s="14" t="n">
        <x:v>65</x:v>
      </x:c>
      <x:c r="C18" s="14" t="str">
        <x:v>ORD-2024-10064</x:v>
      </x:c>
      <x:c r="D18" s="14" t="str">
        <x:v>Profit calculation mismatch</x:v>
      </x:c>
      <x:c r="E18" s="14" t="str">
        <x:v>profit_raw</x:v>
      </x:c>
      <x:c r="F18" s="14" t="str">
        <x:v>1917.47</x:v>
      </x:c>
      <x:c r="G18" s="14" t="str">
        <x:v>1787.96</x:v>
      </x:c>
      <x:c r="H18" s="14" t="str">
        <x:v>Raw profit does not equal raw sales − cost</x:v>
      </x:c>
      <x:c r="I18" s="14" t="str">
        <x:v>Review</x:v>
      </x:c>
      <x:c r="J18" s="14" t="str">
        <x:v>Yes</x:v>
      </x:c>
    </x:row>
    <x:row r="19">
      <x:c r="A19" s="14" t="str">
        <x:v>ISS-0018</x:v>
      </x:c>
      <x:c r="B19" s="14" t="n">
        <x:v>73</x:v>
      </x:c>
      <x:c r="C19" s="14" t="str">
        <x:v>ORD-2025-10072</x:v>
      </x:c>
      <x:c r="D19" s="14" t="str">
        <x:v>Text standardization</x:v>
      </x:c>
      <x:c r="E19" s="14" t="str">
        <x:v>segment</x:v>
      </x:c>
      <x:c r="F19" s="14" t="str">
        <x:v>  Small Business </x:v>
      </x:c>
      <x:c r="G19" s="14" t="str">
        <x:v>Small Business</x:v>
      </x:c>
      <x:c r="H19" s="14" t="str">
        <x:v>TRIM/SUBSTITUTE whitespace cleanup</x:v>
      </x:c>
      <x:c r="I19" s="14" t="str">
        <x:v>Adjusted</x:v>
      </x:c>
      <x:c r="J19" s="14" t="str">
        <x:v>Yes</x:v>
      </x:c>
    </x:row>
    <x:row r="20">
      <x:c r="A20" s="14" t="str">
        <x:v>ISS-0019</x:v>
      </x:c>
      <x:c r="B20" s="14" t="n">
        <x:v>74</x:v>
      </x:c>
      <x:c r="C20" s="14" t="str">
        <x:v>ORD-2024-10073</x:v>
      </x:c>
      <x:c r="D20" s="14" t="str">
        <x:v>Date sequence</x:v>
      </x:c>
      <x:c r="E20" s="14" t="str">
        <x:v>ship_date</x:v>
      </x:c>
      <x:c r="F20" s="14" t="str">
        <x:v>07 Feb 2024</x:v>
      </x:c>
      <x:c r="G20" s="14" t="str">
        <x:v>2024-02-07</x:v>
      </x:c>
      <x:c r="H20" s="14" t="str">
        <x:v>Flagged; not auto-corrected</x:v>
      </x:c>
      <x:c r="I20" s="14" t="str">
        <x:v>Review</x:v>
      </x:c>
      <x:c r="J20" s="14" t="str">
        <x:v>Yes</x:v>
      </x:c>
    </x:row>
    <x:row r="21">
      <x:c r="A21" s="14" t="str">
        <x:v>ISS-0020</x:v>
      </x:c>
      <x:c r="B21" s="14" t="n">
        <x:v>81</x:v>
      </x:c>
      <x:c r="C21" s="14" t="str">
        <x:v>ORD-2025-10080</x:v>
      </x:c>
      <x:c r="D21" s="14" t="str">
        <x:v>Text standardization</x:v>
      </x:c>
      <x:c r="E21" s="14" t="str">
        <x:v>category</x:v>
      </x:c>
      <x:c r="F21" s="14" t="str">
        <x:v>  Furniture </x:v>
      </x:c>
      <x:c r="G21" s="14" t="str">
        <x:v>Furniture</x:v>
      </x:c>
      <x:c r="H21" s="14" t="str">
        <x:v>TRIM/SUBSTITUTE whitespace cleanup</x:v>
      </x:c>
      <x:c r="I21" s="14" t="str">
        <x:v>Adjusted</x:v>
      </x:c>
      <x:c r="J21" s="14" t="str">
        <x:v>Yes</x:v>
      </x:c>
    </x:row>
    <x:row r="22">
      <x:c r="A22" s="14" t="str">
        <x:v>ISS-0021</x:v>
      </x:c>
      <x:c r="B22" s="14" t="n">
        <x:v>86</x:v>
      </x:c>
      <x:c r="C22" s="14" t="str">
        <x:v>ORD-2024-10085</x:v>
      </x:c>
      <x:c r="D22" s="14" t="str">
        <x:v>Text standardization</x:v>
      </x:c>
      <x:c r="E22" s="14" t="str">
        <x:v>category</x:v>
      </x:c>
      <x:c r="F22" s="14" t="str">
        <x:v>Technology </x:v>
      </x:c>
      <x:c r="G22" s="14" t="str">
        <x:v>Technology</x:v>
      </x:c>
      <x:c r="H22" s="14" t="str">
        <x:v>TRIM/SUBSTITUTE whitespace cleanup</x:v>
      </x:c>
      <x:c r="I22" s="14" t="str">
        <x:v>Adjusted</x:v>
      </x:c>
      <x:c r="J22" s="14" t="str">
        <x:v>Yes</x:v>
      </x:c>
    </x:row>
    <x:row r="23">
      <x:c r="A23" s="14" t="str">
        <x:v>ISS-0022</x:v>
      </x:c>
      <x:c r="B23" s="14" t="n">
        <x:v>92</x:v>
      </x:c>
      <x:c r="C23" s="14" t="str">
        <x:v>ORD-2025-10091</x:v>
      </x:c>
      <x:c r="D23" s="14" t="str">
        <x:v>Conflicting duplicate ID</x:v>
      </x:c>
      <x:c r="E23" s="14" t="str">
        <x:v>order_id</x:v>
      </x:c>
      <x:c r="F23" s="14" t="str">
        <x:v>ORD-2025-10091</x:v>
      </x:c>
      <x:c r="G23" s="14" t="str">
        <x:v>ORD-2025-10091</x:v>
      </x:c>
      <x:c r="H23" s="14" t="str">
        <x:v>Same order ID appears in multiple non-identical records; retained for review</x:v>
      </x:c>
      <x:c r="I23" s="14" t="str">
        <x:v>Review</x:v>
      </x:c>
      <x:c r="J23" s="14" t="str">
        <x:v>Yes</x:v>
      </x:c>
    </x:row>
    <x:row r="24">
      <x:c r="A24" s="14" t="str">
        <x:v>ISS-0023</x:v>
      </x:c>
      <x:c r="B24" s="14" t="n">
        <x:v>93</x:v>
      </x:c>
      <x:c r="C24" s="14" t="str">
        <x:v>ORD-2025-10092</x:v>
      </x:c>
      <x:c r="D24" s="14" t="str">
        <x:v>Profit calculation mismatch</x:v>
      </x:c>
      <x:c r="E24" s="14" t="str">
        <x:v>profit_raw</x:v>
      </x:c>
      <x:c r="F24" s="14" t="str">
        <x:v>804.53</x:v>
      </x:c>
      <x:c r="G24" s="14" t="str">
        <x:v>888.77</x:v>
      </x:c>
      <x:c r="H24" s="14" t="str">
        <x:v>Raw profit does not equal raw sales − cost</x:v>
      </x:c>
      <x:c r="I24" s="14" t="str">
        <x:v>Review</x:v>
      </x:c>
      <x:c r="J24" s="14" t="str">
        <x:v>Yes</x:v>
      </x:c>
    </x:row>
    <x:row r="25">
      <x:c r="A25" s="14" t="str">
        <x:v>ISS-0024</x:v>
      </x:c>
      <x:c r="B25" s="14" t="n">
        <x:v>95</x:v>
      </x:c>
      <x:c r="C25" s="14" t="str">
        <x:v>ORD-2024-10094</x:v>
      </x:c>
      <x:c r="D25" s="14" t="str">
        <x:v>Invalid discount</x:v>
      </x:c>
      <x:c r="E25" s="14" t="str">
        <x:v>discount</x:v>
      </x:c>
      <x:c r="F25" s="14" t="str">
        <x:v>-0.09</x:v>
      </x:c>
      <x:c r="G25" s="14" t="str"/>
      <x:c r="H25" s="14" t="str">
        <x:v>Invalid negative discount; blanked for analysis</x:v>
      </x:c>
      <x:c r="I25" s="14" t="str">
        <x:v>Review</x:v>
      </x:c>
      <x:c r="J25" s="14" t="str">
        <x:v>Yes</x:v>
      </x:c>
    </x:row>
    <x:row r="26">
      <x:c r="A26" s="14" t="str">
        <x:v>ISS-0025</x:v>
      </x:c>
      <x:c r="B26" s="14" t="n">
        <x:v>100</x:v>
      </x:c>
      <x:c r="C26" s="14" t="str">
        <x:v>ORD-2024-10099</x:v>
      </x:c>
      <x:c r="D26" s="14" t="str">
        <x:v>Missing text value</x:v>
      </x:c>
      <x:c r="E26" s="14" t="str">
        <x:v>ship_mode</x:v>
      </x:c>
      <x:c r="F26" s="14" t="str">
        <x:v>(blank)</x:v>
      </x:c>
      <x:c r="G26" s="14" t="str">
        <x:v>Unknown</x:v>
      </x:c>
      <x:c r="H26" s="14" t="str">
        <x:v>Missing value filled as Unknown</x:v>
      </x:c>
      <x:c r="I26" s="14" t="str">
        <x:v>Adjusted</x:v>
      </x:c>
      <x:c r="J26" s="14" t="str">
        <x:v>Yes</x:v>
      </x:c>
    </x:row>
    <x:row r="27">
      <x:c r="A27" s="14" t="str">
        <x:v>ISS-0026</x:v>
      </x:c>
      <x:c r="B27" s="14" t="n">
        <x:v>103</x:v>
      </x:c>
      <x:c r="C27" s="14" t="str">
        <x:v>ORD-2024-10102</x:v>
      </x:c>
      <x:c r="D27" s="14" t="str">
        <x:v>Text standardization</x:v>
      </x:c>
      <x:c r="E27" s="14" t="str">
        <x:v>segment</x:v>
      </x:c>
      <x:c r="F27" s="14" t="str">
        <x:v>  Home Office </x:v>
      </x:c>
      <x:c r="G27" s="14" t="str">
        <x:v>Home Office</x:v>
      </x:c>
      <x:c r="H27" s="14" t="str">
        <x:v>TRIM/SUBSTITUTE whitespace cleanup</x:v>
      </x:c>
      <x:c r="I27" s="14" t="str">
        <x:v>Adjusted</x:v>
      </x:c>
      <x:c r="J27" s="14" t="str">
        <x:v>Yes</x:v>
      </x:c>
    </x:row>
    <x:row r="28">
      <x:c r="A28" s="14" t="str">
        <x:v>ISS-0027</x:v>
      </x:c>
      <x:c r="B28" s="14" t="n">
        <x:v>106</x:v>
      </x:c>
      <x:c r="C28" s="14" t="str">
        <x:v>ORD-2025-10105</x:v>
      </x:c>
      <x:c r="D28" s="14" t="str">
        <x:v>Sales calculation mismatch</x:v>
      </x:c>
      <x:c r="E28" s="14" t="str">
        <x:v>sales_raw</x:v>
      </x:c>
      <x:c r="F28" s="14" t="str">
        <x:v>8260.46</x:v>
      </x:c>
      <x:c r="G28" s="14" t="str">
        <x:v>7922.03</x:v>
      </x:c>
      <x:c r="H28" s="14" t="str">
        <x:v>Raw sales does not equal quantity × unit price × (1 − discount)</x:v>
      </x:c>
      <x:c r="I28" s="14" t="str">
        <x:v>Review</x:v>
      </x:c>
      <x:c r="J28" s="14" t="str">
        <x:v>Yes</x:v>
      </x:c>
    </x:row>
    <x:row r="29">
      <x:c r="A29" s="14" t="str">
        <x:v>ISS-0028</x:v>
      </x:c>
      <x:c r="B29" s="14" t="n">
        <x:v>106</x:v>
      </x:c>
      <x:c r="C29" s="14" t="str">
        <x:v>ORD-2025-10105</x:v>
      </x:c>
      <x:c r="D29" s="14" t="str">
        <x:v>Profit calculation mismatch</x:v>
      </x:c>
      <x:c r="E29" s="14" t="str">
        <x:v>profit_raw</x:v>
      </x:c>
      <x:c r="F29" s="14" t="str">
        <x:v>2302.08</x:v>
      </x:c>
      <x:c r="G29" s="14" t="str">
        <x:v>2640.51</x:v>
      </x:c>
      <x:c r="H29" s="14" t="str">
        <x:v>Raw profit does not equal raw sales − cost</x:v>
      </x:c>
      <x:c r="I29" s="14" t="str">
        <x:v>Review</x:v>
      </x:c>
      <x:c r="J29" s="14" t="str">
        <x:v>Yes</x:v>
      </x:c>
    </x:row>
    <x:row r="30">
      <x:c r="A30" s="14" t="str">
        <x:v>ISS-0029</x:v>
      </x:c>
      <x:c r="B30" s="14" t="n">
        <x:v>108</x:v>
      </x:c>
      <x:c r="C30" s="14" t="str">
        <x:v>ORD-2024-10107</x:v>
      </x:c>
      <x:c r="D30" s="14" t="str">
        <x:v>Missing discount</x:v>
      </x:c>
      <x:c r="E30" s="14" t="str">
        <x:v>discount</x:v>
      </x:c>
      <x:c r="F30" s="14" t="str">
        <x:v>(blank)</x:v>
      </x:c>
      <x:c r="G30" s="14" t="str">
        <x:v>0</x:v>
      </x:c>
      <x:c r="H30" s="14" t="str">
        <x:v>Imputed 0 because supporting sales fields were present</x:v>
      </x:c>
      <x:c r="I30" s="14" t="str">
        <x:v>Adjusted</x:v>
      </x:c>
      <x:c r="J30" s="14" t="str">
        <x:v>Yes</x:v>
      </x:c>
    </x:row>
    <x:row r="31">
      <x:c r="A31" s="14" t="str">
        <x:v>ISS-0030</x:v>
      </x:c>
      <x:c r="B31" s="14" t="n">
        <x:v>108</x:v>
      </x:c>
      <x:c r="C31" s="14" t="str">
        <x:v>ORD-2024-10107</x:v>
      </x:c>
      <x:c r="D31" s="14" t="str">
        <x:v>Sales calculation mismatch</x:v>
      </x:c>
      <x:c r="E31" s="14" t="str">
        <x:v>sales_raw</x:v>
      </x:c>
      <x:c r="F31" s="14" t="str">
        <x:v>7207.27</x:v>
      </x:c>
      <x:c r="G31" s="14" t="str">
        <x:v>8008.08</x:v>
      </x:c>
      <x:c r="H31" s="14" t="str">
        <x:v>Raw sales does not equal quantity × unit price × (1 − discount)</x:v>
      </x:c>
      <x:c r="I31" s="14" t="str">
        <x:v>Review</x:v>
      </x:c>
      <x:c r="J31" s="14" t="str">
        <x:v>Yes</x:v>
      </x:c>
    </x:row>
    <x:row r="32">
      <x:c r="A32" s="14" t="str">
        <x:v>ISS-0031</x:v>
      </x:c>
      <x:c r="B32" s="14" t="n">
        <x:v>114</x:v>
      </x:c>
      <x:c r="C32" s="14" t="str">
        <x:v>ORD-2024-10113</x:v>
      </x:c>
      <x:c r="D32" s="14" t="str">
        <x:v>Text standardization</x:v>
      </x:c>
      <x:c r="E32" s="14" t="str">
        <x:v>segment</x:v>
      </x:c>
      <x:c r="F32" s="14" t="str">
        <x:v>  Consumer </x:v>
      </x:c>
      <x:c r="G32" s="14" t="str">
        <x:v>Consumer</x:v>
      </x:c>
      <x:c r="H32" s="14" t="str">
        <x:v>TRIM/SUBSTITUTE whitespace cleanup</x:v>
      </x:c>
      <x:c r="I32" s="14" t="str">
        <x:v>Adjusted</x:v>
      </x:c>
      <x:c r="J32" s="14" t="str">
        <x:v>Yes</x:v>
      </x:c>
    </x:row>
    <x:row r="33">
      <x:c r="A33" s="14" t="str">
        <x:v>ISS-0032</x:v>
      </x:c>
      <x:c r="B33" s="14" t="n">
        <x:v>114</x:v>
      </x:c>
      <x:c r="C33" s="14" t="str">
        <x:v>ORD-2024-10113</x:v>
      </x:c>
      <x:c r="D33" s="14" t="str">
        <x:v>Missing text value</x:v>
      </x:c>
      <x:c r="E33" s="14" t="str">
        <x:v>region</x:v>
      </x:c>
      <x:c r="F33" s="14" t="str">
        <x:v>(blank)</x:v>
      </x:c>
      <x:c r="G33" s="14" t="str">
        <x:v>Unknown</x:v>
      </x:c>
      <x:c r="H33" s="14" t="str">
        <x:v>Missing value filled as Unknown</x:v>
      </x:c>
      <x:c r="I33" s="14" t="str">
        <x:v>Adjusted</x:v>
      </x:c>
      <x:c r="J33" s="14" t="str">
        <x:v>Yes</x:v>
      </x:c>
    </x:row>
    <x:row r="34">
      <x:c r="A34" s="14" t="str">
        <x:v>ISS-0033</x:v>
      </x:c>
      <x:c r="B34" s="14" t="n">
        <x:v>118</x:v>
      </x:c>
      <x:c r="C34" s="14" t="str">
        <x:v>ORD-2025-10117</x:v>
      </x:c>
      <x:c r="D34" s="14" t="str">
        <x:v>Missing text value</x:v>
      </x:c>
      <x:c r="E34" s="14" t="str">
        <x:v>region</x:v>
      </x:c>
      <x:c r="F34" s="14" t="str">
        <x:v>(blank)</x:v>
      </x:c>
      <x:c r="G34" s="14" t="str">
        <x:v>Unknown</x:v>
      </x:c>
      <x:c r="H34" s="14" t="str">
        <x:v>Missing value filled as Unknown</x:v>
      </x:c>
      <x:c r="I34" s="14" t="str">
        <x:v>Adjusted</x:v>
      </x:c>
      <x:c r="J34" s="14" t="str">
        <x:v>Yes</x:v>
      </x:c>
    </x:row>
    <x:row r="35">
      <x:c r="A35" s="14" t="str">
        <x:v>ISS-0034</x:v>
      </x:c>
      <x:c r="B35" s="14" t="n">
        <x:v>119</x:v>
      </x:c>
      <x:c r="C35" s="14" t="str">
        <x:v>ORD-2024-10118</x:v>
      </x:c>
      <x:c r="D35" s="14" t="str">
        <x:v>Discount format</x:v>
      </x:c>
      <x:c r="E35" s="14" t="str">
        <x:v>discount</x:v>
      </x:c>
      <x:c r="F35" s="14" t="str">
        <x:v>70%</x:v>
      </x:c>
      <x:c r="G35" s="14" t="str">
        <x:v>0.7</x:v>
      </x:c>
      <x:c r="H35" s="14" t="str">
        <x:v>Converted percentage text to decimal</x:v>
      </x:c>
      <x:c r="I35" s="14" t="str">
        <x:v>Adjusted</x:v>
      </x:c>
      <x:c r="J35" s="14" t="str">
        <x:v>Yes</x:v>
      </x:c>
    </x:row>
    <x:row r="36">
      <x:c r="A36" s="14" t="str">
        <x:v>ISS-0035</x:v>
      </x:c>
      <x:c r="B36" s="14" t="n">
        <x:v>119</x:v>
      </x:c>
      <x:c r="C36" s="14" t="str">
        <x:v>ORD-2024-10118</x:v>
      </x:c>
      <x:c r="D36" s="14" t="str">
        <x:v>Invalid discount</x:v>
      </x:c>
      <x:c r="E36" s="14" t="str">
        <x:v>discount</x:v>
      </x:c>
      <x:c r="F36" s="14" t="str">
        <x:v>70%</x:v>
      </x:c>
      <x:c r="G36" s="14" t="str"/>
      <x:c r="H36" s="14" t="str">
        <x:v>Discount over 50%; blanked for analysis pending validation</x:v>
      </x:c>
      <x:c r="I36" s="14" t="str">
        <x:v>Review</x:v>
      </x:c>
      <x:c r="J36" s="14" t="str">
        <x:v>Yes</x:v>
      </x:c>
    </x:row>
    <x:row r="37">
      <x:c r="A37" s="14" t="str">
        <x:v>ISS-0036</x:v>
      </x:c>
      <x:c r="B37" s="14" t="n">
        <x:v>120</x:v>
      </x:c>
      <x:c r="C37" s="14" t="str">
        <x:v>ORD-2024-10119</x:v>
      </x:c>
      <x:c r="D37" s="14" t="str">
        <x:v>Text standardization</x:v>
      </x:c>
      <x:c r="E37" s="14" t="str">
        <x:v>customer_name</x:v>
      </x:c>
      <x:c r="F37" s="14" t="str">
        <x:v>Vikram  Iyer</x:v>
      </x:c>
      <x:c r="G37" s="14" t="str">
        <x:v>Vikram Iyer</x:v>
      </x:c>
      <x:c r="H37" s="14" t="str">
        <x:v>TRIM/SUBSTITUTE whitespace cleanup</x:v>
      </x:c>
      <x:c r="I37" s="14" t="str">
        <x:v>Adjusted</x:v>
      </x:c>
      <x:c r="J37" s="14" t="str">
        <x:v>Yes</x:v>
      </x:c>
    </x:row>
    <x:row r="38">
      <x:c r="A38" s="14" t="str">
        <x:v>ISS-0037</x:v>
      </x:c>
      <x:c r="B38" s="14" t="n">
        <x:v>121</x:v>
      </x:c>
      <x:c r="C38" s="14" t="str">
        <x:v>ORD-2024-10120</x:v>
      </x:c>
      <x:c r="D38" s="14" t="str">
        <x:v>Text standardization</x:v>
      </x:c>
      <x:c r="E38" s="14" t="str">
        <x:v>segment</x:v>
      </x:c>
      <x:c r="F38" s="14" t="str">
        <x:v>Small Business </x:v>
      </x:c>
      <x:c r="G38" s="14" t="str">
        <x:v>Small Business</x:v>
      </x:c>
      <x:c r="H38" s="14" t="str">
        <x:v>TRIM/SUBSTITUTE whitespace cleanup</x:v>
      </x:c>
      <x:c r="I38" s="14" t="str">
        <x:v>Adjusted</x:v>
      </x:c>
      <x:c r="J38" s="14" t="str">
        <x:v>Yes</x:v>
      </x:c>
    </x:row>
    <x:row r="39">
      <x:c r="A39" s="14" t="str">
        <x:v>ISS-0038</x:v>
      </x:c>
      <x:c r="B39" s="14" t="n">
        <x:v>123</x:v>
      </x:c>
      <x:c r="C39" s="14" t="str">
        <x:v>ORD-2025-10122</x:v>
      </x:c>
      <x:c r="D39" s="14" t="str">
        <x:v>Text standardization</x:v>
      </x:c>
      <x:c r="E39" s="14" t="str">
        <x:v>segment</x:v>
      </x:c>
      <x:c r="F39" s="14" t="str">
        <x:v>Small  Business</x:v>
      </x:c>
      <x:c r="G39" s="14" t="str">
        <x:v>Small Business</x:v>
      </x:c>
      <x:c r="H39" s="14" t="str">
        <x:v>TRIM/SUBSTITUTE whitespace cleanup</x:v>
      </x:c>
      <x:c r="I39" s="14" t="str">
        <x:v>Adjusted</x:v>
      </x:c>
      <x:c r="J39" s="14" t="str">
        <x:v>Yes</x:v>
      </x:c>
    </x:row>
    <x:row r="40">
      <x:c r="A40" s="14" t="str">
        <x:v>ISS-0039</x:v>
      </x:c>
      <x:c r="B40" s="14" t="n">
        <x:v>125</x:v>
      </x:c>
      <x:c r="C40" s="14" t="str">
        <x:v>ORD-2024-10124</x:v>
      </x:c>
      <x:c r="D40" s="14" t="str">
        <x:v>Text standardization</x:v>
      </x:c>
      <x:c r="E40" s="14" t="str">
        <x:v>region</x:v>
      </x:c>
      <x:c r="F40" s="14" t="str">
        <x:v>NORTH</x:v>
      </x:c>
      <x:c r="G40" s="14" t="str">
        <x:v>North</x:v>
      </x:c>
      <x:c r="H40" s="14" t="str">
        <x:v>Case standardization</x:v>
      </x:c>
      <x:c r="I40" s="14" t="str">
        <x:v>Adjusted</x:v>
      </x:c>
      <x:c r="J40" s="14" t="str">
        <x:v>Yes</x:v>
      </x:c>
    </x:row>
    <x:row r="41">
      <x:c r="A41" s="14" t="str">
        <x:v>ISS-0040</x:v>
      </x:c>
      <x:c r="B41" s="14" t="n">
        <x:v>125</x:v>
      </x:c>
      <x:c r="C41" s="14" t="str">
        <x:v>ORD-2024-10124</x:v>
      </x:c>
      <x:c r="D41" s="14" t="str">
        <x:v>Conflicting duplicate ID</x:v>
      </x:c>
      <x:c r="E41" s="14" t="str">
        <x:v>order_id</x:v>
      </x:c>
      <x:c r="F41" s="14" t="str">
        <x:v>ORD-2024-10124</x:v>
      </x:c>
      <x:c r="G41" s="14" t="str">
        <x:v>ORD-2024-10124</x:v>
      </x:c>
      <x:c r="H41" s="14" t="str">
        <x:v>Same order ID appears in multiple non-identical records; retained for review</x:v>
      </x:c>
      <x:c r="I41" s="14" t="str">
        <x:v>Review</x:v>
      </x:c>
      <x:c r="J41" s="14" t="str">
        <x:v>Yes</x:v>
      </x:c>
    </x:row>
    <x:row r="42">
      <x:c r="A42" s="14" t="str">
        <x:v>ISS-0041</x:v>
      </x:c>
      <x:c r="B42" s="14" t="n">
        <x:v>126</x:v>
      </x:c>
      <x:c r="C42" s="14" t="str">
        <x:v>ORD-2024-10125</x:v>
      </x:c>
      <x:c r="D42" s="14" t="str">
        <x:v>Text standardization</x:v>
      </x:c>
      <x:c r="E42" s="14" t="str">
        <x:v>order_status</x:v>
      </x:c>
      <x:c r="F42" s="14" t="str">
        <x:v>Completed </x:v>
      </x:c>
      <x:c r="G42" s="14" t="str">
        <x:v>Completed</x:v>
      </x:c>
      <x:c r="H42" s="14" t="str">
        <x:v>TRIM/SUBSTITUTE whitespace cleanup</x:v>
      </x:c>
      <x:c r="I42" s="14" t="str">
        <x:v>Adjusted</x:v>
      </x:c>
      <x:c r="J42" s="14" t="str">
        <x:v>Yes</x:v>
      </x:c>
    </x:row>
    <x:row r="43">
      <x:c r="A43" s="14" t="str">
        <x:v>ISS-0042</x:v>
      </x:c>
      <x:c r="B43" s="14" t="n">
        <x:v>126</x:v>
      </x:c>
      <x:c r="C43" s="14" t="str">
        <x:v>ORD-2024-10125</x:v>
      </x:c>
      <x:c r="D43" s="14" t="str">
        <x:v>Invalid discount</x:v>
      </x:c>
      <x:c r="E43" s="14" t="str">
        <x:v>discount</x:v>
      </x:c>
      <x:c r="F43" s="14" t="str">
        <x:v>-0.15</x:v>
      </x:c>
      <x:c r="G43" s="14" t="str"/>
      <x:c r="H43" s="14" t="str">
        <x:v>Invalid negative discount; blanked for analysis</x:v>
      </x:c>
      <x:c r="I43" s="14" t="str">
        <x:v>Review</x:v>
      </x:c>
      <x:c r="J43" s="14" t="str">
        <x:v>Yes</x:v>
      </x:c>
    </x:row>
    <x:row r="44">
      <x:c r="A44" s="14" t="str">
        <x:v>ISS-0043</x:v>
      </x:c>
      <x:c r="B44" s="14" t="n">
        <x:v>129</x:v>
      </x:c>
      <x:c r="C44" s="14" t="str">
        <x:v>ORD-2025-10128</x:v>
      </x:c>
      <x:c r="D44" s="14" t="str">
        <x:v>Date sequence</x:v>
      </x:c>
      <x:c r="E44" s="14" t="str">
        <x:v>ship_date</x:v>
      </x:c>
      <x:c r="F44" s="14" t="str">
        <x:v>26-01-2025</x:v>
      </x:c>
      <x:c r="G44" s="14" t="str">
        <x:v>2025-01-26</x:v>
      </x:c>
      <x:c r="H44" s="14" t="str">
        <x:v>Flagged; not auto-corrected</x:v>
      </x:c>
      <x:c r="I44" s="14" t="str">
        <x:v>Review</x:v>
      </x:c>
      <x:c r="J44" s="14" t="str">
        <x:v>Yes</x:v>
      </x:c>
    </x:row>
    <x:row r="45">
      <x:c r="A45" s="14" t="str">
        <x:v>ISS-0044</x:v>
      </x:c>
      <x:c r="B45" s="14" t="n">
        <x:v>136</x:v>
      </x:c>
      <x:c r="C45" s="14" t="str">
        <x:v>ORD-2025-10135</x:v>
      </x:c>
      <x:c r="D45" s="14" t="str">
        <x:v>Missing text value</x:v>
      </x:c>
      <x:c r="E45" s="14" t="str">
        <x:v>ship_mode</x:v>
      </x:c>
      <x:c r="F45" s="14" t="str">
        <x:v>(blank)</x:v>
      </x:c>
      <x:c r="G45" s="14" t="str">
        <x:v>Unknown</x:v>
      </x:c>
      <x:c r="H45" s="14" t="str">
        <x:v>Missing value filled as Unknown</x:v>
      </x:c>
      <x:c r="I45" s="14" t="str">
        <x:v>Adjusted</x:v>
      </x:c>
      <x:c r="J45" s="14" t="str">
        <x:v>Yes</x:v>
      </x:c>
    </x:row>
    <x:row r="46">
      <x:c r="A46" s="14" t="str">
        <x:v>ISS-0045</x:v>
      </x:c>
      <x:c r="B46" s="14" t="n">
        <x:v>137</x:v>
      </x:c>
      <x:c r="C46" s="14" t="str">
        <x:v>ORD-2025-10136</x:v>
      </x:c>
      <x:c r="D46" s="14" t="str">
        <x:v>Text standardization</x:v>
      </x:c>
      <x:c r="E46" s="14" t="str">
        <x:v>category</x:v>
      </x:c>
      <x:c r="F46" s="14" t="str">
        <x:v>Furniture </x:v>
      </x:c>
      <x:c r="G46" s="14" t="str">
        <x:v>Furniture</x:v>
      </x:c>
      <x:c r="H46" s="14" t="str">
        <x:v>TRIM/SUBSTITUTE whitespace cleanup</x:v>
      </x:c>
      <x:c r="I46" s="14" t="str">
        <x:v>Adjusted</x:v>
      </x:c>
      <x:c r="J46" s="14" t="str">
        <x:v>Yes</x:v>
      </x:c>
    </x:row>
    <x:row r="47">
      <x:c r="A47" s="14" t="str">
        <x:v>ISS-0046</x:v>
      </x:c>
      <x:c r="B47" s="14" t="n">
        <x:v>138</x:v>
      </x:c>
      <x:c r="C47" s="14" t="str">
        <x:v>ORD-2025-10137</x:v>
      </x:c>
      <x:c r="D47" s="14" t="str">
        <x:v>Text standardization</x:v>
      </x:c>
      <x:c r="E47" s="14" t="str">
        <x:v>ship_mode</x:v>
      </x:c>
      <x:c r="F47" s="14" t="str">
        <x:v>Standard  Class</x:v>
      </x:c>
      <x:c r="G47" s="14" t="str">
        <x:v>Standard Class</x:v>
      </x:c>
      <x:c r="H47" s="14" t="str">
        <x:v>TRIM/SUBSTITUTE whitespace cleanup</x:v>
      </x:c>
      <x:c r="I47" s="14" t="str">
        <x:v>Adjusted</x:v>
      </x:c>
      <x:c r="J47" s="14" t="str">
        <x:v>Yes</x:v>
      </x:c>
    </x:row>
    <x:row r="48">
      <x:c r="A48" s="14" t="str">
        <x:v>ISS-0047</x:v>
      </x:c>
      <x:c r="B48" s="14" t="n">
        <x:v>144</x:v>
      </x:c>
      <x:c r="C48" s="14" t="str">
        <x:v>ORD-2024-10143</x:v>
      </x:c>
      <x:c r="D48" s="14" t="str">
        <x:v>Date sequence</x:v>
      </x:c>
      <x:c r="E48" s="14" t="str">
        <x:v>ship_date</x:v>
      </x:c>
      <x:c r="F48" s="14" t="str">
        <x:v>26 Mar 2024</x:v>
      </x:c>
      <x:c r="G48" s="14" t="str">
        <x:v>2024-03-26</x:v>
      </x:c>
      <x:c r="H48" s="14" t="str">
        <x:v>Flagged; not auto-corrected</x:v>
      </x:c>
      <x:c r="I48" s="14" t="str">
        <x:v>Review</x:v>
      </x:c>
      <x:c r="J48" s="14" t="str">
        <x:v>Yes</x:v>
      </x:c>
    </x:row>
    <x:row r="49">
      <x:c r="A49" s="14" t="str">
        <x:v>ISS-0048</x:v>
      </x:c>
      <x:c r="B49" s="14" t="n">
        <x:v>144</x:v>
      </x:c>
      <x:c r="C49" s="14" t="str">
        <x:v>ORD-2024-10143</x:v>
      </x:c>
      <x:c r="D49" s="14" t="str">
        <x:v>Conflicting duplicate ID</x:v>
      </x:c>
      <x:c r="E49" s="14" t="str">
        <x:v>order_id</x:v>
      </x:c>
      <x:c r="F49" s="14" t="str">
        <x:v>ORD-2024-10143</x:v>
      </x:c>
      <x:c r="G49" s="14" t="str">
        <x:v>ORD-2024-10143</x:v>
      </x:c>
      <x:c r="H49" s="14" t="str">
        <x:v>Same order ID appears in multiple non-identical records; retained for review</x:v>
      </x:c>
      <x:c r="I49" s="14" t="str">
        <x:v>Review</x:v>
      </x:c>
      <x:c r="J49" s="14" t="str">
        <x:v>Yes</x:v>
      </x:c>
    </x:row>
    <x:row r="50">
      <x:c r="A50" s="14" t="str">
        <x:v>ISS-0049</x:v>
      </x:c>
      <x:c r="B50" s="14" t="n">
        <x:v>150</x:v>
      </x:c>
      <x:c r="C50" s="14" t="str">
        <x:v>ORD-2025-10149</x:v>
      </x:c>
      <x:c r="D50" s="14" t="str">
        <x:v>Missing text value</x:v>
      </x:c>
      <x:c r="E50" s="14" t="str">
        <x:v>ship_mode</x:v>
      </x:c>
      <x:c r="F50" s="14" t="str">
        <x:v>(blank)</x:v>
      </x:c>
      <x:c r="G50" s="14" t="str">
        <x:v>Unknown</x:v>
      </x:c>
      <x:c r="H50" s="14" t="str">
        <x:v>Missing value filled as Unknown</x:v>
      </x:c>
      <x:c r="I50" s="14" t="str">
        <x:v>Adjusted</x:v>
      </x:c>
      <x:c r="J50" s="14" t="str">
        <x:v>Yes</x:v>
      </x:c>
    </x:row>
    <x:row r="51">
      <x:c r="A51" s="14" t="str">
        <x:v>ISS-0050</x:v>
      </x:c>
      <x:c r="B51" s="14" t="n">
        <x:v>151</x:v>
      </x:c>
      <x:c r="C51" s="14" t="str">
        <x:v>ORD-2024-10150</x:v>
      </x:c>
      <x:c r="D51" s="14" t="str">
        <x:v>Text standardization</x:v>
      </x:c>
      <x:c r="E51" s="14" t="str">
        <x:v>region</x:v>
      </x:c>
      <x:c r="F51" s="14" t="str">
        <x:v>west</x:v>
      </x:c>
      <x:c r="G51" s="14" t="str">
        <x:v>West</x:v>
      </x:c>
      <x:c r="H51" s="14" t="str">
        <x:v>Case standardization</x:v>
      </x:c>
      <x:c r="I51" s="14" t="str">
        <x:v>Adjusted</x:v>
      </x:c>
      <x:c r="J51" s="14" t="str">
        <x:v>Yes</x:v>
      </x:c>
    </x:row>
    <x:row r="52">
      <x:c r="A52" s="14" t="str">
        <x:v>ISS-0051</x:v>
      </x:c>
      <x:c r="B52" s="14" t="n">
        <x:v>152</x:v>
      </x:c>
      <x:c r="C52" s="14" t="str">
        <x:v>ORD-2024-10151</x:v>
      </x:c>
      <x:c r="D52" s="14" t="str">
        <x:v>Missing text value</x:v>
      </x:c>
      <x:c r="E52" s="14" t="str">
        <x:v>region</x:v>
      </x:c>
      <x:c r="F52" s="14" t="str">
        <x:v>(blank)</x:v>
      </x:c>
      <x:c r="G52" s="14" t="str">
        <x:v>Unknown</x:v>
      </x:c>
      <x:c r="H52" s="14" t="str">
        <x:v>Missing value filled as Unknown</x:v>
      </x:c>
      <x:c r="I52" s="14" t="str">
        <x:v>Adjusted</x:v>
      </x:c>
      <x:c r="J52" s="14" t="str">
        <x:v>Yes</x:v>
      </x:c>
    </x:row>
    <x:row r="53">
      <x:c r="A53" s="14" t="str">
        <x:v>ISS-0052</x:v>
      </x:c>
      <x:c r="B53" s="14" t="n">
        <x:v>153</x:v>
      </x:c>
      <x:c r="C53" s="14" t="str">
        <x:v>ORD-2024-10152</x:v>
      </x:c>
      <x:c r="D53" s="14" t="str">
        <x:v>Missing text value</x:v>
      </x:c>
      <x:c r="E53" s="14" t="str">
        <x:v>region</x:v>
      </x:c>
      <x:c r="F53" s="14" t="str">
        <x:v>(blank)</x:v>
      </x:c>
      <x:c r="G53" s="14" t="str">
        <x:v>Unknown</x:v>
      </x:c>
      <x:c r="H53" s="14" t="str">
        <x:v>Missing value filled as Unknown</x:v>
      </x:c>
      <x:c r="I53" s="14" t="str">
        <x:v>Adjusted</x:v>
      </x:c>
      <x:c r="J53" s="14" t="str">
        <x:v>Yes</x:v>
      </x:c>
    </x:row>
    <x:row r="54">
      <x:c r="A54" s="14" t="str">
        <x:v>ISS-0053</x:v>
      </x:c>
      <x:c r="B54" s="14" t="n">
        <x:v>156</x:v>
      </x:c>
      <x:c r="C54" s="14" t="str">
        <x:v>ORD-2024-10155</x:v>
      </x:c>
      <x:c r="D54" s="14" t="str">
        <x:v>Date sequence</x:v>
      </x:c>
      <x:c r="E54" s="14" t="str">
        <x:v>ship_date</x:v>
      </x:c>
      <x:c r="F54" s="14" t="str">
        <x:v>02/11/2024</x:v>
      </x:c>
      <x:c r="G54" s="14" t="str">
        <x:v>2024-02-11</x:v>
      </x:c>
      <x:c r="H54" s="14" t="str">
        <x:v>Flagged; not auto-corrected</x:v>
      </x:c>
      <x:c r="I54" s="14" t="str">
        <x:v>Review</x:v>
      </x:c>
      <x:c r="J54" s="14" t="str">
        <x:v>Yes</x:v>
      </x:c>
    </x:row>
    <x:row r="55">
      <x:c r="A55" s="14" t="str">
        <x:v>ISS-0054</x:v>
      </x:c>
      <x:c r="B55" s="14" t="n">
        <x:v>158</x:v>
      </x:c>
      <x:c r="C55" s="14" t="str">
        <x:v>ORD-2025-10157</x:v>
      </x:c>
      <x:c r="D55" s="14" t="str">
        <x:v>Text standardization</x:v>
      </x:c>
      <x:c r="E55" s="14" t="str">
        <x:v>order_status</x:v>
      </x:c>
      <x:c r="F55" s="14" t="str">
        <x:v>Completed </x:v>
      </x:c>
      <x:c r="G55" s="14" t="str">
        <x:v>Completed</x:v>
      </x:c>
      <x:c r="H55" s="14" t="str">
        <x:v>TRIM/SUBSTITUTE whitespace cleanup</x:v>
      </x:c>
      <x:c r="I55" s="14" t="str">
        <x:v>Adjusted</x:v>
      </x:c>
      <x:c r="J55" s="14" t="str">
        <x:v>Yes</x:v>
      </x:c>
    </x:row>
    <x:row r="56">
      <x:c r="A56" s="14" t="str">
        <x:v>ISS-0055</x:v>
      </x:c>
      <x:c r="B56" s="14" t="n">
        <x:v>162</x:v>
      </x:c>
      <x:c r="C56" s="14" t="str">
        <x:v>ORD-2025-10161</x:v>
      </x:c>
      <x:c r="D56" s="14" t="str">
        <x:v>Date sequence</x:v>
      </x:c>
      <x:c r="E56" s="14" t="str">
        <x:v>ship_date</x:v>
      </x:c>
      <x:c r="F56" s="14" t="str">
        <x:v>10/06/2025</x:v>
      </x:c>
      <x:c r="G56" s="14" t="str">
        <x:v>2025-10-06</x:v>
      </x:c>
      <x:c r="H56" s="14" t="str">
        <x:v>Flagged; not auto-corrected</x:v>
      </x:c>
      <x:c r="I56" s="14" t="str">
        <x:v>Review</x:v>
      </x:c>
      <x:c r="J56" s="14" t="str">
        <x:v>Yes</x:v>
      </x:c>
    </x:row>
    <x:row r="57">
      <x:c r="A57" s="14" t="str">
        <x:v>ISS-0056</x:v>
      </x:c>
      <x:c r="B57" s="14" t="n">
        <x:v>163</x:v>
      </x:c>
      <x:c r="C57" s="14" t="str">
        <x:v>ORD-2025-10162</x:v>
      </x:c>
      <x:c r="D57" s="14" t="str">
        <x:v>Text standardization</x:v>
      </x:c>
      <x:c r="E57" s="14" t="str">
        <x:v>segment</x:v>
      </x:c>
      <x:c r="F57" s="14" t="str">
        <x:v>consumer</x:v>
      </x:c>
      <x:c r="G57" s="14" t="str">
        <x:v>Consumer</x:v>
      </x:c>
      <x:c r="H57" s="14" t="str">
        <x:v>Case standardization</x:v>
      </x:c>
      <x:c r="I57" s="14" t="str">
        <x:v>Adjusted</x:v>
      </x:c>
      <x:c r="J57" s="14" t="str">
        <x:v>Yes</x:v>
      </x:c>
    </x:row>
    <x:row r="58">
      <x:c r="A58" s="14" t="str">
        <x:v>ISS-0057</x:v>
      </x:c>
      <x:c r="B58" s="14" t="n">
        <x:v>164</x:v>
      </x:c>
      <x:c r="C58" s="14" t="str">
        <x:v>ORD-2024-10163</x:v>
      </x:c>
      <x:c r="D58" s="14" t="str">
        <x:v>Sales calculation mismatch</x:v>
      </x:c>
      <x:c r="E58" s="14" t="str">
        <x:v>sales_raw</x:v>
      </x:c>
      <x:c r="F58" s="14" t="str">
        <x:v>35997.62</x:v>
      </x:c>
      <x:c r="G58" s="14" t="str">
        <x:v>35782.72</x:v>
      </x:c>
      <x:c r="H58" s="14" t="str">
        <x:v>Raw sales does not equal quantity × unit price × (1 − discount)</x:v>
      </x:c>
      <x:c r="I58" s="14" t="str">
        <x:v>Review</x:v>
      </x:c>
      <x:c r="J58" s="14" t="str">
        <x:v>Yes</x:v>
      </x:c>
    </x:row>
    <x:row r="59">
      <x:c r="A59" s="14" t="str">
        <x:v>ISS-0058</x:v>
      </x:c>
      <x:c r="B59" s="14" t="n">
        <x:v>164</x:v>
      </x:c>
      <x:c r="C59" s="14" t="str">
        <x:v>ORD-2024-10163</x:v>
      </x:c>
      <x:c r="D59" s="14" t="str">
        <x:v>Profit calculation mismatch</x:v>
      </x:c>
      <x:c r="E59" s="14" t="str">
        <x:v>profit_raw</x:v>
      </x:c>
      <x:c r="F59" s="14" t="str">
        <x:v>9358.31</x:v>
      </x:c>
      <x:c r="G59" s="14" t="str">
        <x:v>9573.21</x:v>
      </x:c>
      <x:c r="H59" s="14" t="str">
        <x:v>Raw profit does not equal raw sales − cost</x:v>
      </x:c>
      <x:c r="I59" s="14" t="str">
        <x:v>Review</x:v>
      </x:c>
      <x:c r="J59" s="14" t="str">
        <x:v>Yes</x:v>
      </x:c>
    </x:row>
    <x:row r="60">
      <x:c r="A60" s="14" t="str">
        <x:v>ISS-0059</x:v>
      </x:c>
      <x:c r="B60" s="14" t="n">
        <x:v>165</x:v>
      </x:c>
      <x:c r="C60" s="14" t="str">
        <x:v>ORD-2025-10164</x:v>
      </x:c>
      <x:c r="D60" s="14" t="str">
        <x:v>Missing text value</x:v>
      </x:c>
      <x:c r="E60" s="14" t="str">
        <x:v>ship_mode</x:v>
      </x:c>
      <x:c r="F60" s="14" t="str">
        <x:v>(blank)</x:v>
      </x:c>
      <x:c r="G60" s="14" t="str">
        <x:v>Unknown</x:v>
      </x:c>
      <x:c r="H60" s="14" t="str">
        <x:v>Missing value filled as Unknown</x:v>
      </x:c>
      <x:c r="I60" s="14" t="str">
        <x:v>Adjusted</x:v>
      </x:c>
      <x:c r="J60" s="14" t="str">
        <x:v>Yes</x:v>
      </x:c>
    </x:row>
    <x:row r="61">
      <x:c r="A61" s="14" t="str">
        <x:v>ISS-0060</x:v>
      </x:c>
      <x:c r="B61" s="14" t="n">
        <x:v>168</x:v>
      </x:c>
      <x:c r="C61" s="14" t="str">
        <x:v>ORD-2025-10167</x:v>
      </x:c>
      <x:c r="D61" s="14" t="str">
        <x:v>Text standardization</x:v>
      </x:c>
      <x:c r="E61" s="14" t="str">
        <x:v>category</x:v>
      </x:c>
      <x:c r="F61" s="14" t="str">
        <x:v>OFFICE SUPPLIES</x:v>
      </x:c>
      <x:c r="G61" s="14" t="str">
        <x:v>Office Supplies</x:v>
      </x:c>
      <x:c r="H61" s="14" t="str">
        <x:v>Case standardization</x:v>
      </x:c>
      <x:c r="I61" s="14" t="str">
        <x:v>Adjusted</x:v>
      </x:c>
      <x:c r="J61" s="14" t="str">
        <x:v>Yes</x:v>
      </x:c>
    </x:row>
    <x:row r="62">
      <x:c r="A62" s="14" t="str">
        <x:v>ISS-0061</x:v>
      </x:c>
      <x:c r="B62" s="14" t="n">
        <x:v>172</x:v>
      </x:c>
      <x:c r="C62" s="14" t="str">
        <x:v>ORD-2025-10171</x:v>
      </x:c>
      <x:c r="D62" s="14" t="str">
        <x:v>Conflicting duplicate ID</x:v>
      </x:c>
      <x:c r="E62" s="14" t="str">
        <x:v>order_id</x:v>
      </x:c>
      <x:c r="F62" s="14" t="str">
        <x:v>ORD-2025-10171</x:v>
      </x:c>
      <x:c r="G62" s="14" t="str">
        <x:v>ORD-2025-10171</x:v>
      </x:c>
      <x:c r="H62" s="14" t="str">
        <x:v>Same order ID appears in multiple non-identical records; retained for review</x:v>
      </x:c>
      <x:c r="I62" s="14" t="str">
        <x:v>Review</x:v>
      </x:c>
      <x:c r="J62" s="14" t="str">
        <x:v>Yes</x:v>
      </x:c>
    </x:row>
    <x:row r="63">
      <x:c r="A63" s="14" t="str">
        <x:v>ISS-0062</x:v>
      </x:c>
      <x:c r="B63" s="14" t="n">
        <x:v>175</x:v>
      </x:c>
      <x:c r="C63" s="14" t="str">
        <x:v>ORD-2024-10174</x:v>
      </x:c>
      <x:c r="D63" s="14" t="str">
        <x:v>Text standardization</x:v>
      </x:c>
      <x:c r="E63" s="14" t="str">
        <x:v>customer_name</x:v>
      </x:c>
      <x:c r="F63" s="14" t="str">
        <x:v>PRIYA MENON</x:v>
      </x:c>
      <x:c r="G63" s="14" t="str">
        <x:v>Priya Menon</x:v>
      </x:c>
      <x:c r="H63" s="14" t="str">
        <x:v>Case standardization</x:v>
      </x:c>
      <x:c r="I63" s="14" t="str">
        <x:v>Adjusted</x:v>
      </x:c>
      <x:c r="J63" s="14" t="str">
        <x:v>Yes</x:v>
      </x:c>
    </x:row>
    <x:row r="64">
      <x:c r="A64" s="14" t="str">
        <x:v>ISS-0063</x:v>
      </x:c>
      <x:c r="B64" s="14" t="n">
        <x:v>179</x:v>
      </x:c>
      <x:c r="C64" s="14" t="str">
        <x:v>ORD-2024-10178</x:v>
      </x:c>
      <x:c r="D64" s="14" t="str">
        <x:v>Missing text value</x:v>
      </x:c>
      <x:c r="E64" s="14" t="str">
        <x:v>region</x:v>
      </x:c>
      <x:c r="F64" s="14" t="str">
        <x:v>(blank)</x:v>
      </x:c>
      <x:c r="G64" s="14" t="str">
        <x:v>Unknown</x:v>
      </x:c>
      <x:c r="H64" s="14" t="str">
        <x:v>Missing value filled as Unknown</x:v>
      </x:c>
      <x:c r="I64" s="14" t="str">
        <x:v>Adjusted</x:v>
      </x:c>
      <x:c r="J64" s="14" t="str">
        <x:v>Yes</x:v>
      </x:c>
    </x:row>
    <x:row r="65">
      <x:c r="A65" s="14" t="str">
        <x:v>ISS-0064</x:v>
      </x:c>
      <x:c r="B65" s="14" t="n">
        <x:v>182</x:v>
      </x:c>
      <x:c r="C65" s="14" t="str">
        <x:v>ORD-2024-10181</x:v>
      </x:c>
      <x:c r="D65" s="14" t="str">
        <x:v>Text standardization</x:v>
      </x:c>
      <x:c r="E65" s="14" t="str">
        <x:v>category</x:v>
      </x:c>
      <x:c r="F65" s="14" t="str">
        <x:v>OFFICE SUPPLIES</x:v>
      </x:c>
      <x:c r="G65" s="14" t="str">
        <x:v>Office Supplies</x:v>
      </x:c>
      <x:c r="H65" s="14" t="str">
        <x:v>Case standardization</x:v>
      </x:c>
      <x:c r="I65" s="14" t="str">
        <x:v>Adjusted</x:v>
      </x:c>
      <x:c r="J65" s="14" t="str">
        <x:v>Yes</x:v>
      </x:c>
    </x:row>
    <x:row r="66">
      <x:c r="A66" s="14" t="str">
        <x:v>ISS-0065</x:v>
      </x:c>
      <x:c r="B66" s="14" t="n">
        <x:v>187</x:v>
      </x:c>
      <x:c r="C66" s="14" t="str">
        <x:v>ORD-2024-10186</x:v>
      </x:c>
      <x:c r="D66" s="14" t="str">
        <x:v>Missing text value</x:v>
      </x:c>
      <x:c r="E66" s="14" t="str">
        <x:v>region</x:v>
      </x:c>
      <x:c r="F66" s="14" t="str">
        <x:v>(blank)</x:v>
      </x:c>
      <x:c r="G66" s="14" t="str">
        <x:v>Unknown</x:v>
      </x:c>
      <x:c r="H66" s="14" t="str">
        <x:v>Missing value filled as Unknown</x:v>
      </x:c>
      <x:c r="I66" s="14" t="str">
        <x:v>Adjusted</x:v>
      </x:c>
      <x:c r="J66" s="14" t="str">
        <x:v>Yes</x:v>
      </x:c>
    </x:row>
    <x:row r="67">
      <x:c r="A67" s="14" t="str">
        <x:v>ISS-0066</x:v>
      </x:c>
      <x:c r="B67" s="14" t="n">
        <x:v>190</x:v>
      </x:c>
      <x:c r="C67" s="14" t="str">
        <x:v>ORD-2025-10189</x:v>
      </x:c>
      <x:c r="D67" s="14" t="str">
        <x:v>Sales calculation mismatch</x:v>
      </x:c>
      <x:c r="E67" s="14" t="str">
        <x:v>sales_raw</x:v>
      </x:c>
      <x:c r="F67" s="14" t="str">
        <x:v>6553.95</x:v>
      </x:c>
      <x:c r="G67" s="14" t="str">
        <x:v>6407.23</x:v>
      </x:c>
      <x:c r="H67" s="14" t="str">
        <x:v>Raw sales does not equal quantity × unit price × (1 − discount)</x:v>
      </x:c>
      <x:c r="I67" s="14" t="str">
        <x:v>Review</x:v>
      </x:c>
      <x:c r="J67" s="14" t="str">
        <x:v>Yes</x:v>
      </x:c>
    </x:row>
    <x:row r="68">
      <x:c r="A68" s="14" t="str">
        <x:v>ISS-0067</x:v>
      </x:c>
      <x:c r="B68" s="14" t="n">
        <x:v>190</x:v>
      </x:c>
      <x:c r="C68" s="14" t="str">
        <x:v>ORD-2025-10189</x:v>
      </x:c>
      <x:c r="D68" s="14" t="str">
        <x:v>Profit calculation mismatch</x:v>
      </x:c>
      <x:c r="E68" s="14" t="str">
        <x:v>profit_raw</x:v>
      </x:c>
      <x:c r="F68" s="14" t="str">
        <x:v>1484.14</x:v>
      </x:c>
      <x:c r="G68" s="14" t="str">
        <x:v>1630.86</x:v>
      </x:c>
      <x:c r="H68" s="14" t="str">
        <x:v>Raw profit does not equal raw sales − cost</x:v>
      </x:c>
      <x:c r="I68" s="14" t="str">
        <x:v>Review</x:v>
      </x:c>
      <x:c r="J68" s="14" t="str">
        <x:v>Yes</x:v>
      </x:c>
    </x:row>
    <x:row r="69">
      <x:c r="A69" s="14" t="str">
        <x:v>ISS-0068</x:v>
      </x:c>
      <x:c r="B69" s="14" t="n">
        <x:v>191</x:v>
      </x:c>
      <x:c r="C69" s="14" t="str">
        <x:v>ORD-2025-10190</x:v>
      </x:c>
      <x:c r="D69" s="14" t="str">
        <x:v>Text standardization</x:v>
      </x:c>
      <x:c r="E69" s="14" t="str">
        <x:v>order_status</x:v>
      </x:c>
      <x:c r="F69" s="14" t="str">
        <x:v>completed</x:v>
      </x:c>
      <x:c r="G69" s="14" t="str">
        <x:v>Completed</x:v>
      </x:c>
      <x:c r="H69" s="14" t="str">
        <x:v>Case standardization</x:v>
      </x:c>
      <x:c r="I69" s="14" t="str">
        <x:v>Adjusted</x:v>
      </x:c>
      <x:c r="J69" s="14" t="str">
        <x:v>Yes</x:v>
      </x:c>
    </x:row>
    <x:row r="70">
      <x:c r="A70" s="14" t="str">
        <x:v>ISS-0069</x:v>
      </x:c>
      <x:c r="B70" s="14" t="n">
        <x:v>191</x:v>
      </x:c>
      <x:c r="C70" s="14" t="str">
        <x:v>ORD-2025-10190</x:v>
      </x:c>
      <x:c r="D70" s="14" t="str">
        <x:v>Missing discount</x:v>
      </x:c>
      <x:c r="E70" s="14" t="str">
        <x:v>discount</x:v>
      </x:c>
      <x:c r="F70" s="14" t="str">
        <x:v>(blank)</x:v>
      </x:c>
      <x:c r="G70" s="14" t="str">
        <x:v>0</x:v>
      </x:c>
      <x:c r="H70" s="14" t="str">
        <x:v>Imputed 0 because supporting sales fields were present</x:v>
      </x:c>
      <x:c r="I70" s="14" t="str">
        <x:v>Adjusted</x:v>
      </x:c>
      <x:c r="J70" s="14" t="str">
        <x:v>Yes</x:v>
      </x:c>
    </x:row>
    <x:row r="71">
      <x:c r="A71" s="14" t="str">
        <x:v>ISS-0070</x:v>
      </x:c>
      <x:c r="B71" s="14" t="n">
        <x:v>191</x:v>
      </x:c>
      <x:c r="C71" s="14" t="str">
        <x:v>ORD-2025-10190</x:v>
      </x:c>
      <x:c r="D71" s="14" t="str">
        <x:v>Sales calculation mismatch</x:v>
      </x:c>
      <x:c r="E71" s="14" t="str">
        <x:v>sales_raw</x:v>
      </x:c>
      <x:c r="F71" s="14" t="str">
        <x:v>25384.54</x:v>
      </x:c>
      <x:c r="G71" s="14" t="str">
        <x:v>29864.16</x:v>
      </x:c>
      <x:c r="H71" s="14" t="str">
        <x:v>Raw sales does not equal quantity × unit price × (1 − discount)</x:v>
      </x:c>
      <x:c r="I71" s="14" t="str">
        <x:v>Review</x:v>
      </x:c>
      <x:c r="J71" s="14" t="str">
        <x:v>Yes</x:v>
      </x:c>
    </x:row>
    <x:row r="72">
      <x:c r="A72" s="14" t="str">
        <x:v>ISS-0071</x:v>
      </x:c>
      <x:c r="B72" s="14" t="n">
        <x:v>192</x:v>
      </x:c>
      <x:c r="C72" s="14" t="str">
        <x:v>ORD-2025-10191</x:v>
      </x:c>
      <x:c r="D72" s="14" t="str">
        <x:v>Text standardization</x:v>
      </x:c>
      <x:c r="E72" s="14" t="str">
        <x:v>order_status</x:v>
      </x:c>
      <x:c r="F72" s="14" t="str">
        <x:v>  Completed </x:v>
      </x:c>
      <x:c r="G72" s="14" t="str">
        <x:v>Completed</x:v>
      </x:c>
      <x:c r="H72" s="14" t="str">
        <x:v>TRIM/SUBSTITUTE whitespace cleanup</x:v>
      </x:c>
      <x:c r="I72" s="14" t="str">
        <x:v>Adjusted</x:v>
      </x:c>
      <x:c r="J72" s="14" t="str">
        <x:v>Yes</x:v>
      </x:c>
    </x:row>
    <x:row r="73">
      <x:c r="A73" s="14" t="str">
        <x:v>ISS-0072</x:v>
      </x:c>
      <x:c r="B73" s="14" t="n">
        <x:v>193</x:v>
      </x:c>
      <x:c r="C73" s="14" t="str">
        <x:v>ORD-2024-10192</x:v>
      </x:c>
      <x:c r="D73" s="14" t="str">
        <x:v>Invalid discount</x:v>
      </x:c>
      <x:c r="E73" s="14" t="str">
        <x:v>discount</x:v>
      </x:c>
      <x:c r="F73" s="14" t="str">
        <x:v>0.65</x:v>
      </x:c>
      <x:c r="G73" s="14" t="str"/>
      <x:c r="H73" s="14" t="str">
        <x:v>Discount over 50%; blanked for analysis pending validation</x:v>
      </x:c>
      <x:c r="I73" s="14" t="str">
        <x:v>Review</x:v>
      </x:c>
      <x:c r="J73" s="14" t="str">
        <x:v>Yes</x:v>
      </x:c>
    </x:row>
    <x:row r="74">
      <x:c r="A74" s="14" t="str">
        <x:v>ISS-0073</x:v>
      </x:c>
      <x:c r="B74" s="14" t="n">
        <x:v>196</x:v>
      </x:c>
      <x:c r="C74" s="14" t="str">
        <x:v>ORD-2025-10195</x:v>
      </x:c>
      <x:c r="D74" s="14" t="str">
        <x:v>Text standardization</x:v>
      </x:c>
      <x:c r="E74" s="14" t="str">
        <x:v>region</x:v>
      </x:c>
      <x:c r="F74" s="14" t="str">
        <x:v>WEST</x:v>
      </x:c>
      <x:c r="G74" s="14" t="str">
        <x:v>West</x:v>
      </x:c>
      <x:c r="H74" s="14" t="str">
        <x:v>Case standardization</x:v>
      </x:c>
      <x:c r="I74" s="14" t="str">
        <x:v>Adjusted</x:v>
      </x:c>
      <x:c r="J74" s="14" t="str">
        <x:v>Yes</x:v>
      </x:c>
    </x:row>
    <x:row r="75">
      <x:c r="A75" s="14" t="str">
        <x:v>ISS-0074</x:v>
      </x:c>
      <x:c r="B75" s="14" t="n">
        <x:v>199</x:v>
      </x:c>
      <x:c r="C75" s="14" t="str">
        <x:v>ORD-2025-10198</x:v>
      </x:c>
      <x:c r="D75" s="14" t="str">
        <x:v>Text standardization</x:v>
      </x:c>
      <x:c r="E75" s="14" t="str">
        <x:v>segment</x:v>
      </x:c>
      <x:c r="F75" s="14" t="str">
        <x:v>Small  Business</x:v>
      </x:c>
      <x:c r="G75" s="14" t="str">
        <x:v>Small Business</x:v>
      </x:c>
      <x:c r="H75" s="14" t="str">
        <x:v>TRIM/SUBSTITUTE whitespace cleanup</x:v>
      </x:c>
      <x:c r="I75" s="14" t="str">
        <x:v>Adjusted</x:v>
      </x:c>
      <x:c r="J75" s="14" t="str">
        <x:v>Yes</x:v>
      </x:c>
    </x:row>
    <x:row r="76">
      <x:c r="A76" s="14" t="str">
        <x:v>ISS-0075</x:v>
      </x:c>
      <x:c r="B76" s="14" t="n">
        <x:v>201</x:v>
      </x:c>
      <x:c r="C76" s="14" t="str">
        <x:v>ORD-2024-10200</x:v>
      </x:c>
      <x:c r="D76" s="14" t="str">
        <x:v>Missing text value</x:v>
      </x:c>
      <x:c r="E76" s="14" t="str">
        <x:v>ship_mode</x:v>
      </x:c>
      <x:c r="F76" s="14" t="str">
        <x:v>(blank)</x:v>
      </x:c>
      <x:c r="G76" s="14" t="str">
        <x:v>Unknown</x:v>
      </x:c>
      <x:c r="H76" s="14" t="str">
        <x:v>Missing value filled as Unknown</x:v>
      </x:c>
      <x:c r="I76" s="14" t="str">
        <x:v>Adjusted</x:v>
      </x:c>
      <x:c r="J76" s="14" t="str">
        <x:v>Yes</x:v>
      </x:c>
    </x:row>
    <x:row r="77">
      <x:c r="A77" s="14" t="str">
        <x:v>ISS-0076</x:v>
      </x:c>
      <x:c r="B77" s="14" t="n">
        <x:v>203</x:v>
      </x:c>
      <x:c r="C77" s="14" t="str">
        <x:v>ORD-2025-10202</x:v>
      </x:c>
      <x:c r="D77" s="14" t="str">
        <x:v>Invalid discount</x:v>
      </x:c>
      <x:c r="E77" s="14" t="str">
        <x:v>discount</x:v>
      </x:c>
      <x:c r="F77" s="14" t="str">
        <x:v>-0.16</x:v>
      </x:c>
      <x:c r="G77" s="14" t="str"/>
      <x:c r="H77" s="14" t="str">
        <x:v>Invalid negative discount; blanked for analysis</x:v>
      </x:c>
      <x:c r="I77" s="14" t="str">
        <x:v>Review</x:v>
      </x:c>
      <x:c r="J77" s="14" t="str">
        <x:v>Yes</x:v>
      </x:c>
    </x:row>
    <x:row r="78">
      <x:c r="A78" s="14" t="str">
        <x:v>ISS-0077</x:v>
      </x:c>
      <x:c r="B78" s="14" t="n">
        <x:v>207</x:v>
      </x:c>
      <x:c r="C78" s="14" t="str">
        <x:v>ORD-2025-10206</x:v>
      </x:c>
      <x:c r="D78" s="14" t="str">
        <x:v>Text standardization</x:v>
      </x:c>
      <x:c r="E78" s="14" t="str">
        <x:v>category</x:v>
      </x:c>
      <x:c r="F78" s="14" t="str">
        <x:v>OFFICE SUPPLIES</x:v>
      </x:c>
      <x:c r="G78" s="14" t="str">
        <x:v>Office Supplies</x:v>
      </x:c>
      <x:c r="H78" s="14" t="str">
        <x:v>Case standardization</x:v>
      </x:c>
      <x:c r="I78" s="14" t="str">
        <x:v>Adjusted</x:v>
      </x:c>
      <x:c r="J78" s="14" t="str">
        <x:v>Yes</x:v>
      </x:c>
    </x:row>
    <x:row r="79">
      <x:c r="A79" s="14" t="str">
        <x:v>ISS-0078</x:v>
      </x:c>
      <x:c r="B79" s="14" t="n">
        <x:v>208</x:v>
      </x:c>
      <x:c r="C79" s="14" t="str">
        <x:v>ORD-2025-10207</x:v>
      </x:c>
      <x:c r="D79" s="14" t="str">
        <x:v>Text standardization</x:v>
      </x:c>
      <x:c r="E79" s="14" t="str">
        <x:v>region</x:v>
      </x:c>
      <x:c r="F79" s="14" t="str">
        <x:v>  North </x:v>
      </x:c>
      <x:c r="G79" s="14" t="str">
        <x:v>North</x:v>
      </x:c>
      <x:c r="H79" s="14" t="str">
        <x:v>TRIM/SUBSTITUTE whitespace cleanup</x:v>
      </x:c>
      <x:c r="I79" s="14" t="str">
        <x:v>Adjusted</x:v>
      </x:c>
      <x:c r="J79" s="14" t="str">
        <x:v>Yes</x:v>
      </x:c>
    </x:row>
    <x:row r="80">
      <x:c r="A80" s="14" t="str">
        <x:v>ISS-0079</x:v>
      </x:c>
      <x:c r="B80" s="14" t="n">
        <x:v>213</x:v>
      </x:c>
      <x:c r="C80" s="14" t="str">
        <x:v>ORD-2024-10212</x:v>
      </x:c>
      <x:c r="D80" s="14" t="str">
        <x:v>Text standardization</x:v>
      </x:c>
      <x:c r="E80" s="14" t="str">
        <x:v>region</x:v>
      </x:c>
      <x:c r="F80" s="14" t="str">
        <x:v>EAST</x:v>
      </x:c>
      <x:c r="G80" s="14" t="str">
        <x:v>East</x:v>
      </x:c>
      <x:c r="H80" s="14" t="str">
        <x:v>Case standardization</x:v>
      </x:c>
      <x:c r="I80" s="14" t="str">
        <x:v>Adjusted</x:v>
      </x:c>
      <x:c r="J80" s="14" t="str">
        <x:v>Yes</x:v>
      </x:c>
    </x:row>
    <x:row r="81">
      <x:c r="A81" s="14" t="str">
        <x:v>ISS-0080</x:v>
      </x:c>
      <x:c r="B81" s="14" t="n">
        <x:v>215</x:v>
      </x:c>
      <x:c r="C81" s="14" t="str">
        <x:v>ORD-2024-10214</x:v>
      </x:c>
      <x:c r="D81" s="14" t="str">
        <x:v>Text standardization</x:v>
      </x:c>
      <x:c r="E81" s="14" t="str">
        <x:v>ship_mode</x:v>
      </x:c>
      <x:c r="F81" s="14" t="str">
        <x:v>  Second Class </x:v>
      </x:c>
      <x:c r="G81" s="14" t="str">
        <x:v>Second Class</x:v>
      </x:c>
      <x:c r="H81" s="14" t="str">
        <x:v>TRIM/SUBSTITUTE whitespace cleanup</x:v>
      </x:c>
      <x:c r="I81" s="14" t="str">
        <x:v>Adjusted</x:v>
      </x:c>
      <x:c r="J81" s="14" t="str">
        <x:v>Yes</x:v>
      </x:c>
    </x:row>
    <x:row r="82">
      <x:c r="A82" s="14" t="str">
        <x:v>ISS-0081</x:v>
      </x:c>
      <x:c r="B82" s="14" t="n">
        <x:v>216</x:v>
      </x:c>
      <x:c r="C82" s="14" t="str">
        <x:v>ORD-2024-10215</x:v>
      </x:c>
      <x:c r="D82" s="14" t="str">
        <x:v>Text standardization</x:v>
      </x:c>
      <x:c r="E82" s="14" t="str">
        <x:v>ship_mode</x:v>
      </x:c>
      <x:c r="F82" s="14" t="str">
        <x:v>  First Class </x:v>
      </x:c>
      <x:c r="G82" s="14" t="str">
        <x:v>First Class</x:v>
      </x:c>
      <x:c r="H82" s="14" t="str">
        <x:v>TRIM/SUBSTITUTE whitespace cleanup</x:v>
      </x:c>
      <x:c r="I82" s="14" t="str">
        <x:v>Adjusted</x:v>
      </x:c>
      <x:c r="J82" s="14" t="str">
        <x:v>Yes</x:v>
      </x:c>
    </x:row>
    <x:row r="83">
      <x:c r="A83" s="14" t="str">
        <x:v>ISS-0082</x:v>
      </x:c>
      <x:c r="B83" s="14" t="n">
        <x:v>221</x:v>
      </x:c>
      <x:c r="C83" s="14" t="str">
        <x:v>ORD-2024-10220</x:v>
      </x:c>
      <x:c r="D83" s="14" t="str">
        <x:v>Discount format</x:v>
      </x:c>
      <x:c r="E83" s="14" t="str">
        <x:v>discount</x:v>
      </x:c>
      <x:c r="F83" s="14" t="str">
        <x:v>85%</x:v>
      </x:c>
      <x:c r="G83" s="14" t="str">
        <x:v>0.85</x:v>
      </x:c>
      <x:c r="H83" s="14" t="str">
        <x:v>Converted percentage text to decimal</x:v>
      </x:c>
      <x:c r="I83" s="14" t="str">
        <x:v>Adjusted</x:v>
      </x:c>
      <x:c r="J83" s="14" t="str">
        <x:v>Yes</x:v>
      </x:c>
    </x:row>
    <x:row r="84">
      <x:c r="A84" s="14" t="str">
        <x:v>ISS-0083</x:v>
      </x:c>
      <x:c r="B84" s="14" t="n">
        <x:v>221</x:v>
      </x:c>
      <x:c r="C84" s="14" t="str">
        <x:v>ORD-2024-10220</x:v>
      </x:c>
      <x:c r="D84" s="14" t="str">
        <x:v>Invalid discount</x:v>
      </x:c>
      <x:c r="E84" s="14" t="str">
        <x:v>discount</x:v>
      </x:c>
      <x:c r="F84" s="14" t="str">
        <x:v>85%</x:v>
      </x:c>
      <x:c r="G84" s="14" t="str"/>
      <x:c r="H84" s="14" t="str">
        <x:v>Discount over 50%; blanked for analysis pending validation</x:v>
      </x:c>
      <x:c r="I84" s="14" t="str">
        <x:v>Review</x:v>
      </x:c>
      <x:c r="J84" s="14" t="str">
        <x:v>Yes</x:v>
      </x:c>
    </x:row>
    <x:row r="85">
      <x:c r="A85" s="14" t="str">
        <x:v>ISS-0084</x:v>
      </x:c>
      <x:c r="B85" s="14" t="n">
        <x:v>226</x:v>
      </x:c>
      <x:c r="C85" s="14" t="str">
        <x:v>ORD-2025-10225</x:v>
      </x:c>
      <x:c r="D85" s="14" t="str">
        <x:v>Conflicting duplicate ID</x:v>
      </x:c>
      <x:c r="E85" s="14" t="str">
        <x:v>order_id</x:v>
      </x:c>
      <x:c r="F85" s="14" t="str">
        <x:v>ORD-2025-10225</x:v>
      </x:c>
      <x:c r="G85" s="14" t="str">
        <x:v>ORD-2025-10225</x:v>
      </x:c>
      <x:c r="H85" s="14" t="str">
        <x:v>Same order ID appears in multiple non-identical records; retained for review</x:v>
      </x:c>
      <x:c r="I85" s="14" t="str">
        <x:v>Review</x:v>
      </x:c>
      <x:c r="J85" s="14" t="str">
        <x:v>Yes</x:v>
      </x:c>
    </x:row>
    <x:row r="86">
      <x:c r="A86" s="14" t="str">
        <x:v>ISS-0085</x:v>
      </x:c>
      <x:c r="B86" s="14" t="n">
        <x:v>227</x:v>
      </x:c>
      <x:c r="C86" s="14" t="str">
        <x:v>ORD-2024-10226</x:v>
      </x:c>
      <x:c r="D86" s="14" t="str">
        <x:v>Profit calculation mismatch</x:v>
      </x:c>
      <x:c r="E86" s="14" t="str">
        <x:v>profit_raw</x:v>
      </x:c>
      <x:c r="F86" s="14" t="str">
        <x:v>787.57</x:v>
      </x:c>
      <x:c r="G86" s="14" t="str">
        <x:v>972.49</x:v>
      </x:c>
      <x:c r="H86" s="14" t="str">
        <x:v>Raw profit does not equal raw sales − cost</x:v>
      </x:c>
      <x:c r="I86" s="14" t="str">
        <x:v>Review</x:v>
      </x:c>
      <x:c r="J86" s="14" t="str">
        <x:v>Yes</x:v>
      </x:c>
    </x:row>
    <x:row r="87">
      <x:c r="A87" s="14" t="str">
        <x:v>ISS-0086</x:v>
      </x:c>
      <x:c r="B87" s="14" t="n">
        <x:v>228</x:v>
      </x:c>
      <x:c r="C87" s="14" t="str">
        <x:v>ORD-2025-10227</x:v>
      </x:c>
      <x:c r="D87" s="14" t="str">
        <x:v>Missing text value</x:v>
      </x:c>
      <x:c r="E87" s="14" t="str">
        <x:v>region</x:v>
      </x:c>
      <x:c r="F87" s="14" t="str">
        <x:v>(blank)</x:v>
      </x:c>
      <x:c r="G87" s="14" t="str">
        <x:v>Unknown</x:v>
      </x:c>
      <x:c r="H87" s="14" t="str">
        <x:v>Missing value filled as Unknown</x:v>
      </x:c>
      <x:c r="I87" s="14" t="str">
        <x:v>Adjusted</x:v>
      </x:c>
      <x:c r="J87" s="14" t="str">
        <x:v>Yes</x:v>
      </x:c>
    </x:row>
    <x:row r="88">
      <x:c r="A88" s="14" t="str">
        <x:v>ISS-0087</x:v>
      </x:c>
      <x:c r="B88" s="14" t="n">
        <x:v>229</x:v>
      </x:c>
      <x:c r="C88" s="14" t="str">
        <x:v>ORD-2024-10228</x:v>
      </x:c>
      <x:c r="D88" s="14" t="str">
        <x:v>Text standardization</x:v>
      </x:c>
      <x:c r="E88" s="14" t="str">
        <x:v>segment</x:v>
      </x:c>
      <x:c r="F88" s="14" t="str">
        <x:v>SMALL BUSINESS</x:v>
      </x:c>
      <x:c r="G88" s="14" t="str">
        <x:v>Small Business</x:v>
      </x:c>
      <x:c r="H88" s="14" t="str">
        <x:v>Case standardization</x:v>
      </x:c>
      <x:c r="I88" s="14" t="str">
        <x:v>Adjusted</x:v>
      </x:c>
      <x:c r="J88" s="14" t="str">
        <x:v>Yes</x:v>
      </x:c>
    </x:row>
    <x:row r="89">
      <x:c r="A89" s="14" t="str">
        <x:v>ISS-0088</x:v>
      </x:c>
      <x:c r="B89" s="14" t="n">
        <x:v>233</x:v>
      </x:c>
      <x:c r="C89" s="14" t="str">
        <x:v>ORD-2024-10232</x:v>
      </x:c>
      <x:c r="D89" s="14" t="str">
        <x:v>Text standardization</x:v>
      </x:c>
      <x:c r="E89" s="14" t="str">
        <x:v>category</x:v>
      </x:c>
      <x:c r="F89" s="14" t="str">
        <x:v>Office  Supplies</x:v>
      </x:c>
      <x:c r="G89" s="14" t="str">
        <x:v>Office Supplies</x:v>
      </x:c>
      <x:c r="H89" s="14" t="str">
        <x:v>TRIM/SUBSTITUTE whitespace cleanup</x:v>
      </x:c>
      <x:c r="I89" s="14" t="str">
        <x:v>Adjusted</x:v>
      </x:c>
      <x:c r="J89" s="14" t="str">
        <x:v>Yes</x:v>
      </x:c>
    </x:row>
    <x:row r="90">
      <x:c r="A90" s="14" t="str">
        <x:v>ISS-0089</x:v>
      </x:c>
      <x:c r="B90" s="14" t="n">
        <x:v>235</x:v>
      </x:c>
      <x:c r="C90" s="14" t="str">
        <x:v>ORD-2024-10234</x:v>
      </x:c>
      <x:c r="D90" s="14" t="str">
        <x:v>Missing text value</x:v>
      </x:c>
      <x:c r="E90" s="14" t="str">
        <x:v>ship_mode</x:v>
      </x:c>
      <x:c r="F90" s="14" t="str">
        <x:v>(blank)</x:v>
      </x:c>
      <x:c r="G90" s="14" t="str">
        <x:v>Unknown</x:v>
      </x:c>
      <x:c r="H90" s="14" t="str">
        <x:v>Missing value filled as Unknown</x:v>
      </x:c>
      <x:c r="I90" s="14" t="str">
        <x:v>Adjusted</x:v>
      </x:c>
      <x:c r="J90" s="14" t="str">
        <x:v>Yes</x:v>
      </x:c>
    </x:row>
    <x:row r="91">
      <x:c r="A91" s="14" t="str">
        <x:v>ISS-0090</x:v>
      </x:c>
      <x:c r="B91" s="14" t="n">
        <x:v>240</x:v>
      </x:c>
      <x:c r="C91" s="14" t="str">
        <x:v>ORD-2024-10239</x:v>
      </x:c>
      <x:c r="D91" s="14" t="str">
        <x:v>Invalid discount</x:v>
      </x:c>
      <x:c r="E91" s="14" t="str">
        <x:v>discount</x:v>
      </x:c>
      <x:c r="F91" s="14" t="str">
        <x:v>0.55</x:v>
      </x:c>
      <x:c r="G91" s="14" t="str"/>
      <x:c r="H91" s="14" t="str">
        <x:v>Discount over 50%; blanked for analysis pending validation</x:v>
      </x:c>
      <x:c r="I91" s="14" t="str">
        <x:v>Review</x:v>
      </x:c>
      <x:c r="J91" s="14" t="str">
        <x:v>Yes</x:v>
      </x:c>
    </x:row>
    <x:row r="92">
      <x:c r="A92" s="14" t="str">
        <x:v>ISS-0091</x:v>
      </x:c>
      <x:c r="B92" s="14" t="n">
        <x:v>245</x:v>
      </x:c>
      <x:c r="C92" s="14" t="str">
        <x:v>ORD-2025-10244</x:v>
      </x:c>
      <x:c r="D92" s="14" t="str">
        <x:v>Missing text value</x:v>
      </x:c>
      <x:c r="E92" s="14" t="str">
        <x:v>region</x:v>
      </x:c>
      <x:c r="F92" s="14" t="str">
        <x:v>(blank)</x:v>
      </x:c>
      <x:c r="G92" s="14" t="str">
        <x:v>Unknown</x:v>
      </x:c>
      <x:c r="H92" s="14" t="str">
        <x:v>Missing value filled as Unknown</x:v>
      </x:c>
      <x:c r="I92" s="14" t="str">
        <x:v>Adjusted</x:v>
      </x:c>
      <x:c r="J92" s="14" t="str">
        <x:v>Yes</x:v>
      </x:c>
    </x:row>
    <x:row r="93">
      <x:c r="A93" s="14" t="str">
        <x:v>ISS-0092</x:v>
      </x:c>
      <x:c r="B93" s="14" t="n">
        <x:v>245</x:v>
      </x:c>
      <x:c r="C93" s="14" t="str">
        <x:v>ORD-2025-10244</x:v>
      </x:c>
      <x:c r="D93" s="14" t="str">
        <x:v>Text standardization</x:v>
      </x:c>
      <x:c r="E93" s="14" t="str">
        <x:v>order_status</x:v>
      </x:c>
      <x:c r="F93" s="14" t="str">
        <x:v>completed</x:v>
      </x:c>
      <x:c r="G93" s="14" t="str">
        <x:v>Completed</x:v>
      </x:c>
      <x:c r="H93" s="14" t="str">
        <x:v>Case standardization</x:v>
      </x:c>
      <x:c r="I93" s="14" t="str">
        <x:v>Adjusted</x:v>
      </x:c>
      <x:c r="J93" s="14" t="str">
        <x:v>Yes</x:v>
      </x:c>
    </x:row>
    <x:row r="94">
      <x:c r="A94" s="14" t="str">
        <x:v>ISS-0093</x:v>
      </x:c>
      <x:c r="B94" s="14" t="n">
        <x:v>247</x:v>
      </x:c>
      <x:c r="C94" s="14" t="str">
        <x:v>ORD-2024-10246</x:v>
      </x:c>
      <x:c r="D94" s="14" t="str">
        <x:v>Text standardization</x:v>
      </x:c>
      <x:c r="E94" s="14" t="str">
        <x:v>category</x:v>
      </x:c>
      <x:c r="F94" s="14" t="str">
        <x:v>FURNITURE</x:v>
      </x:c>
      <x:c r="G94" s="14" t="str">
        <x:v>Furniture</x:v>
      </x:c>
      <x:c r="H94" s="14" t="str">
        <x:v>Case standardization</x:v>
      </x:c>
      <x:c r="I94" s="14" t="str">
        <x:v>Adjusted</x:v>
      </x:c>
      <x:c r="J94" s="14" t="str">
        <x:v>Yes</x:v>
      </x:c>
    </x:row>
    <x:row r="95">
      <x:c r="A95" s="14" t="str">
        <x:v>ISS-0094</x:v>
      </x:c>
      <x:c r="B95" s="14" t="n">
        <x:v>255</x:v>
      </x:c>
      <x:c r="C95" s="14" t="str">
        <x:v>ORD-2024-10254</x:v>
      </x:c>
      <x:c r="D95" s="14" t="str">
        <x:v>Profit calculation mismatch</x:v>
      </x:c>
      <x:c r="E95" s="14" t="str">
        <x:v>profit_raw</x:v>
      </x:c>
      <x:c r="F95" s="14" t="str">
        <x:v>1472.89</x:v>
      </x:c>
      <x:c r="G95" s="14" t="str">
        <x:v>1921.52</x:v>
      </x:c>
      <x:c r="H95" s="14" t="str">
        <x:v>Raw profit does not equal raw sales − cost</x:v>
      </x:c>
      <x:c r="I95" s="14" t="str">
        <x:v>Review</x:v>
      </x:c>
      <x:c r="J95" s="14" t="str">
        <x:v>Yes</x:v>
      </x:c>
    </x:row>
    <x:row r="96">
      <x:c r="A96" s="14" t="str">
        <x:v>ISS-0095</x:v>
      </x:c>
      <x:c r="B96" s="14" t="n">
        <x:v>258</x:v>
      </x:c>
      <x:c r="C96" s="14" t="str">
        <x:v>ORD-2024-10257</x:v>
      </x:c>
      <x:c r="D96" s="14" t="str">
        <x:v>Date sequence</x:v>
      </x:c>
      <x:c r="E96" s="14" t="str">
        <x:v>ship_date</x:v>
      </x:c>
      <x:c r="F96" s="14" t="str">
        <x:v>03 Nov 2024</x:v>
      </x:c>
      <x:c r="G96" s="14" t="str">
        <x:v>2024-11-03</x:v>
      </x:c>
      <x:c r="H96" s="14" t="str">
        <x:v>Flagged; not auto-corrected</x:v>
      </x:c>
      <x:c r="I96" s="14" t="str">
        <x:v>Review</x:v>
      </x:c>
      <x:c r="J96" s="14" t="str">
        <x:v>Yes</x:v>
      </x:c>
    </x:row>
    <x:row r="97">
      <x:c r="A97" s="14" t="str">
        <x:v>ISS-0096</x:v>
      </x:c>
      <x:c r="B97" s="14" t="n">
        <x:v>267</x:v>
      </x:c>
      <x:c r="C97" s="14" t="str">
        <x:v>ORD-2024-10266</x:v>
      </x:c>
      <x:c r="D97" s="14" t="str">
        <x:v>Text standardization</x:v>
      </x:c>
      <x:c r="E97" s="14" t="str">
        <x:v>order_status</x:v>
      </x:c>
      <x:c r="F97" s="14" t="str">
        <x:v>  Cancelled </x:v>
      </x:c>
      <x:c r="G97" s="14" t="str">
        <x:v>Cancelled</x:v>
      </x:c>
      <x:c r="H97" s="14" t="str">
        <x:v>TRIM/SUBSTITUTE whitespace cleanup</x:v>
      </x:c>
      <x:c r="I97" s="14" t="str">
        <x:v>Adjusted</x:v>
      </x:c>
      <x:c r="J97" s="14" t="str">
        <x:v>Yes</x:v>
      </x:c>
    </x:row>
    <x:row r="98">
      <x:c r="A98" s="14" t="str">
        <x:v>ISS-0097</x:v>
      </x:c>
      <x:c r="B98" s="14" t="n">
        <x:v>271</x:v>
      </x:c>
      <x:c r="C98" s="14" t="str">
        <x:v>ORD-2025-10270</x:v>
      </x:c>
      <x:c r="D98" s="14" t="str">
        <x:v>Text standardization</x:v>
      </x:c>
      <x:c r="E98" s="14" t="str">
        <x:v>category</x:v>
      </x:c>
      <x:c r="F98" s="14" t="str">
        <x:v>  Furniture </x:v>
      </x:c>
      <x:c r="G98" s="14" t="str">
        <x:v>Furniture</x:v>
      </x:c>
      <x:c r="H98" s="14" t="str">
        <x:v>TRIM/SUBSTITUTE whitespace cleanup</x:v>
      </x:c>
      <x:c r="I98" s="14" t="str">
        <x:v>Adjusted</x:v>
      </x:c>
      <x:c r="J98" s="14" t="str">
        <x:v>Yes</x:v>
      </x:c>
    </x:row>
    <x:row r="99">
      <x:c r="A99" s="14" t="str">
        <x:v>ISS-0098</x:v>
      </x:c>
      <x:c r="B99" s="14" t="n">
        <x:v>274</x:v>
      </x:c>
      <x:c r="C99" s="14" t="str">
        <x:v>ORD-2024-10273</x:v>
      </x:c>
      <x:c r="D99" s="14" t="str">
        <x:v>Profit calculation mismatch</x:v>
      </x:c>
      <x:c r="E99" s="14" t="str">
        <x:v>profit_raw</x:v>
      </x:c>
      <x:c r="F99" s="14" t="str">
        <x:v>1213.48</x:v>
      </x:c>
      <x:c r="G99" s="14" t="str">
        <x:v>1318.92</x:v>
      </x:c>
      <x:c r="H99" s="14" t="str">
        <x:v>Raw profit does not equal raw sales − cost</x:v>
      </x:c>
      <x:c r="I99" s="14" t="str">
        <x:v>Review</x:v>
      </x:c>
      <x:c r="J99" s="14" t="str">
        <x:v>Yes</x:v>
      </x:c>
    </x:row>
    <x:row r="100">
      <x:c r="A100" s="14" t="str">
        <x:v>ISS-0099</x:v>
      </x:c>
      <x:c r="B100" s="14" t="n">
        <x:v>274</x:v>
      </x:c>
      <x:c r="C100" s="14" t="str">
        <x:v>ORD-2024-10273</x:v>
      </x:c>
      <x:c r="D100" s="14" t="str">
        <x:v>Conflicting duplicate ID</x:v>
      </x:c>
      <x:c r="E100" s="14" t="str">
        <x:v>order_id</x:v>
      </x:c>
      <x:c r="F100" s="14" t="str">
        <x:v>ORD-2024-10273</x:v>
      </x:c>
      <x:c r="G100" s="14" t="str">
        <x:v>ORD-2024-10273</x:v>
      </x:c>
      <x:c r="H100" s="14" t="str">
        <x:v>Same order ID appears in multiple non-identical records; retained for review</x:v>
      </x:c>
      <x:c r="I100" s="14" t="str">
        <x:v>Review</x:v>
      </x:c>
      <x:c r="J100" s="14" t="str">
        <x:v>Yes</x:v>
      </x:c>
    </x:row>
    <x:row r="101">
      <x:c r="A101" s="14" t="str">
        <x:v>ISS-0100</x:v>
      </x:c>
      <x:c r="B101" s="14" t="n">
        <x:v>278</x:v>
      </x:c>
      <x:c r="C101" s="14" t="str">
        <x:v>ORD-2024-10277</x:v>
      </x:c>
      <x:c r="D101" s="14" t="str">
        <x:v>Missing text value</x:v>
      </x:c>
      <x:c r="E101" s="14" t="str">
        <x:v>region</x:v>
      </x:c>
      <x:c r="F101" s="14" t="str">
        <x:v>(blank)</x:v>
      </x:c>
      <x:c r="G101" s="14" t="str">
        <x:v>Unknown</x:v>
      </x:c>
      <x:c r="H101" s="14" t="str">
        <x:v>Missing value filled as Unknown</x:v>
      </x:c>
      <x:c r="I101" s="14" t="str">
        <x:v>Adjusted</x:v>
      </x:c>
      <x:c r="J101" s="14" t="str">
        <x:v>Yes</x:v>
      </x:c>
    </x:row>
    <x:row r="102">
      <x:c r="A102" s="14" t="str">
        <x:v>ISS-0101</x:v>
      </x:c>
      <x:c r="B102" s="14" t="n">
        <x:v>278</x:v>
      </x:c>
      <x:c r="C102" s="14" t="str">
        <x:v>ORD-2024-10277</x:v>
      </x:c>
      <x:c r="D102" s="14" t="str">
        <x:v>Invalid discount</x:v>
      </x:c>
      <x:c r="E102" s="14" t="str">
        <x:v>discount</x:v>
      </x:c>
      <x:c r="F102" s="14" t="str">
        <x:v>-0.14</x:v>
      </x:c>
      <x:c r="G102" s="14" t="str"/>
      <x:c r="H102" s="14" t="str">
        <x:v>Invalid negative discount; blanked for analysis</x:v>
      </x:c>
      <x:c r="I102" s="14" t="str">
        <x:v>Review</x:v>
      </x:c>
      <x:c r="J102" s="14" t="str">
        <x:v>Yes</x:v>
      </x:c>
    </x:row>
    <x:row r="103">
      <x:c r="A103" s="14" t="str">
        <x:v>ISS-0102</x:v>
      </x:c>
      <x:c r="B103" s="14" t="n">
        <x:v>279</x:v>
      </x:c>
      <x:c r="C103" s="14" t="str">
        <x:v>ORD-2025-10278</x:v>
      </x:c>
      <x:c r="D103" s="14" t="str">
        <x:v>Sales calculation mismatch</x:v>
      </x:c>
      <x:c r="E103" s="14" t="str">
        <x:v>sales_raw</x:v>
      </x:c>
      <x:c r="F103" s="14" t="str">
        <x:v>2008.39</x:v>
      </x:c>
      <x:c r="G103" s="14" t="str">
        <x:v>1813.67</x:v>
      </x:c>
      <x:c r="H103" s="14" t="str">
        <x:v>Raw sales does not equal quantity × unit price × (1 − discount)</x:v>
      </x:c>
      <x:c r="I103" s="14" t="str">
        <x:v>Review</x:v>
      </x:c>
      <x:c r="J103" s="14" t="str">
        <x:v>Yes</x:v>
      </x:c>
    </x:row>
    <x:row r="104">
      <x:c r="A104" s="14" t="str">
        <x:v>ISS-0103</x:v>
      </x:c>
      <x:c r="B104" s="14" t="n">
        <x:v>279</x:v>
      </x:c>
      <x:c r="C104" s="14" t="str">
        <x:v>ORD-2025-10278</x:v>
      </x:c>
      <x:c r="D104" s="14" t="str">
        <x:v>Profit calculation mismatch</x:v>
      </x:c>
      <x:c r="E104" s="14" t="str">
        <x:v>profit_raw</x:v>
      </x:c>
      <x:c r="F104" s="14" t="str">
        <x:v>811.1</x:v>
      </x:c>
      <x:c r="G104" s="14" t="str">
        <x:v>1005.82</x:v>
      </x:c>
      <x:c r="H104" s="14" t="str">
        <x:v>Raw profit does not equal raw sales − cost</x:v>
      </x:c>
      <x:c r="I104" s="14" t="str">
        <x:v>Review</x:v>
      </x:c>
      <x:c r="J104" s="14" t="str">
        <x:v>Yes</x:v>
      </x:c>
    </x:row>
    <x:row r="105">
      <x:c r="A105" s="14" t="str">
        <x:v>ISS-0104</x:v>
      </x:c>
      <x:c r="B105" s="14" t="n">
        <x:v>280</x:v>
      </x:c>
      <x:c r="C105" s="14" t="str">
        <x:v>ORD-2025-10279</x:v>
      </x:c>
      <x:c r="D105" s="14" t="str">
        <x:v>Text standardization</x:v>
      </x:c>
      <x:c r="E105" s="14" t="str">
        <x:v>customer_name</x:v>
      </x:c>
      <x:c r="F105" s="14" t="str">
        <x:v>Priya Menon </x:v>
      </x:c>
      <x:c r="G105" s="14" t="str">
        <x:v>Priya Menon</x:v>
      </x:c>
      <x:c r="H105" s="14" t="str">
        <x:v>TRIM/SUBSTITUTE whitespace cleanup</x:v>
      </x:c>
      <x:c r="I105" s="14" t="str">
        <x:v>Adjusted</x:v>
      </x:c>
      <x:c r="J105" s="14" t="str">
        <x:v>Yes</x:v>
      </x:c>
    </x:row>
    <x:row r="106">
      <x:c r="A106" s="14" t="str">
        <x:v>ISS-0105</x:v>
      </x:c>
      <x:c r="B106" s="14" t="n">
        <x:v>295</x:v>
      </x:c>
      <x:c r="C106" s="14" t="str">
        <x:v>ORD-2024-10294</x:v>
      </x:c>
      <x:c r="D106" s="14" t="str">
        <x:v>Invalid discount</x:v>
      </x:c>
      <x:c r="E106" s="14" t="str">
        <x:v>discount</x:v>
      </x:c>
      <x:c r="F106" s="14" t="str">
        <x:v>0.65</x:v>
      </x:c>
      <x:c r="G106" s="14" t="str"/>
      <x:c r="H106" s="14" t="str">
        <x:v>Discount over 50%; blanked for analysis pending validation</x:v>
      </x:c>
      <x:c r="I106" s="14" t="str">
        <x:v>Review</x:v>
      </x:c>
      <x:c r="J106" s="14" t="str">
        <x:v>Yes</x:v>
      </x:c>
    </x:row>
    <x:row r="107">
      <x:c r="A107" s="14" t="str">
        <x:v>ISS-0106</x:v>
      </x:c>
      <x:c r="B107" s="14" t="n">
        <x:v>302</x:v>
      </x:c>
      <x:c r="C107" s="14" t="str">
        <x:v>ORD-2024-10301</x:v>
      </x:c>
      <x:c r="D107" s="14" t="str">
        <x:v>Text standardization</x:v>
      </x:c>
      <x:c r="E107" s="14" t="str">
        <x:v>ship_mode</x:v>
      </x:c>
      <x:c r="F107" s="14" t="str">
        <x:v>Second Class </x:v>
      </x:c>
      <x:c r="G107" s="14" t="str">
        <x:v>Second Class</x:v>
      </x:c>
      <x:c r="H107" s="14" t="str">
        <x:v>TRIM/SUBSTITUTE whitespace cleanup</x:v>
      </x:c>
      <x:c r="I107" s="14" t="str">
        <x:v>Adjusted</x:v>
      </x:c>
      <x:c r="J107" s="14" t="str">
        <x:v>Yes</x:v>
      </x:c>
    </x:row>
    <x:row r="108">
      <x:c r="A108" s="14" t="str">
        <x:v>ISS-0107</x:v>
      </x:c>
      <x:c r="B108" s="14" t="n">
        <x:v>304</x:v>
      </x:c>
      <x:c r="C108" s="14" t="str">
        <x:v>ORD-2025-10303</x:v>
      </x:c>
      <x:c r="D108" s="14" t="str">
        <x:v>Text standardization</x:v>
      </x:c>
      <x:c r="E108" s="14" t="str">
        <x:v>category</x:v>
      </x:c>
      <x:c r="F108" s="14" t="str">
        <x:v>OFFICE SUPPLIES</x:v>
      </x:c>
      <x:c r="G108" s="14" t="str">
        <x:v>Office Supplies</x:v>
      </x:c>
      <x:c r="H108" s="14" t="str">
        <x:v>Case standardization</x:v>
      </x:c>
      <x:c r="I108" s="14" t="str">
        <x:v>Adjusted</x:v>
      </x:c>
      <x:c r="J108" s="14" t="str">
        <x:v>Yes</x:v>
      </x:c>
    </x:row>
    <x:row r="109">
      <x:c r="A109" s="14" t="str">
        <x:v>ISS-0108</x:v>
      </x:c>
      <x:c r="B109" s="14" t="n">
        <x:v>307</x:v>
      </x:c>
      <x:c r="C109" s="14" t="str">
        <x:v>ORD-2024-10306</x:v>
      </x:c>
      <x:c r="D109" s="14" t="str">
        <x:v>Invalid discount</x:v>
      </x:c>
      <x:c r="E109" s="14" t="str">
        <x:v>discount</x:v>
      </x:c>
      <x:c r="F109" s="14" t="str">
        <x:v>0.55</x:v>
      </x:c>
      <x:c r="G109" s="14" t="str"/>
      <x:c r="H109" s="14" t="str">
        <x:v>Discount over 50%; blanked for analysis pending validation</x:v>
      </x:c>
      <x:c r="I109" s="14" t="str">
        <x:v>Review</x:v>
      </x:c>
      <x:c r="J109" s="14" t="str">
        <x:v>Yes</x:v>
      </x:c>
    </x:row>
    <x:row r="110">
      <x:c r="A110" s="14" t="str">
        <x:v>ISS-0109</x:v>
      </x:c>
      <x:c r="B110" s="14" t="n">
        <x:v>309</x:v>
      </x:c>
      <x:c r="C110" s="14" t="str">
        <x:v>ORD-2025-10308</x:v>
      </x:c>
      <x:c r="D110" s="14" t="str">
        <x:v>Text standardization</x:v>
      </x:c>
      <x:c r="E110" s="14" t="str">
        <x:v>payment_status</x:v>
      </x:c>
      <x:c r="F110" s="14" t="str">
        <x:v>PENDING</x:v>
      </x:c>
      <x:c r="G110" s="14" t="str">
        <x:v>Pending</x:v>
      </x:c>
      <x:c r="H110" s="14" t="str">
        <x:v>Case standardization</x:v>
      </x:c>
      <x:c r="I110" s="14" t="str">
        <x:v>Adjusted</x:v>
      </x:c>
      <x:c r="J110" s="14" t="str">
        <x:v>Yes</x:v>
      </x:c>
    </x:row>
    <x:row r="111">
      <x:c r="A111" s="14" t="str">
        <x:v>ISS-0110</x:v>
      </x:c>
      <x:c r="B111" s="14" t="n">
        <x:v>314</x:v>
      </x:c>
      <x:c r="C111" s="14" t="str">
        <x:v>ORD-2024-10313</x:v>
      </x:c>
      <x:c r="D111" s="14" t="str">
        <x:v>Missing discount</x:v>
      </x:c>
      <x:c r="E111" s="14" t="str">
        <x:v>discount</x:v>
      </x:c>
      <x:c r="F111" s="14" t="str">
        <x:v>(blank)</x:v>
      </x:c>
      <x:c r="G111" s="14" t="str">
        <x:v>0</x:v>
      </x:c>
      <x:c r="H111" s="14" t="str">
        <x:v>Imputed 0 because supporting sales fields were present</x:v>
      </x:c>
      <x:c r="I111" s="14" t="str">
        <x:v>Adjusted</x:v>
      </x:c>
      <x:c r="J111" s="14" t="str">
        <x:v>Yes</x:v>
      </x:c>
    </x:row>
    <x:row r="112">
      <x:c r="A112" s="14" t="str">
        <x:v>ISS-0111</x:v>
      </x:c>
      <x:c r="B112" s="14" t="n">
        <x:v>314</x:v>
      </x:c>
      <x:c r="C112" s="14" t="str">
        <x:v>ORD-2024-10313</x:v>
      </x:c>
      <x:c r="D112" s="14" t="str">
        <x:v>Sales calculation mismatch</x:v>
      </x:c>
      <x:c r="E112" s="14" t="str">
        <x:v>sales_raw</x:v>
      </x:c>
      <x:c r="F112" s="14" t="str">
        <x:v>15688.44</x:v>
      </x:c>
      <x:c r="G112" s="14" t="str">
        <x:v>20917.92</x:v>
      </x:c>
      <x:c r="H112" s="14" t="str">
        <x:v>Raw sales does not equal quantity × unit price × (1 − discount)</x:v>
      </x:c>
      <x:c r="I112" s="14" t="str">
        <x:v>Review</x:v>
      </x:c>
      <x:c r="J112" s="14" t="str">
        <x:v>Yes</x:v>
      </x:c>
    </x:row>
    <x:row r="113">
      <x:c r="A113" s="14" t="str">
        <x:v>ISS-0112</x:v>
      </x:c>
      <x:c r="B113" s="14" t="n">
        <x:v>316</x:v>
      </x:c>
      <x:c r="C113" s="14" t="str">
        <x:v>ORD-2025-10315</x:v>
      </x:c>
      <x:c r="D113" s="14" t="str">
        <x:v>Conflicting duplicate ID</x:v>
      </x:c>
      <x:c r="E113" s="14" t="str">
        <x:v>order_id</x:v>
      </x:c>
      <x:c r="F113" s="14" t="str">
        <x:v>ORD-2025-10315</x:v>
      </x:c>
      <x:c r="G113" s="14" t="str">
        <x:v>ORD-2025-10315</x:v>
      </x:c>
      <x:c r="H113" s="14" t="str">
        <x:v>Same order ID appears in multiple non-identical records; retained for review</x:v>
      </x:c>
      <x:c r="I113" s="14" t="str">
        <x:v>Review</x:v>
      </x:c>
      <x:c r="J113" s="14" t="str">
        <x:v>Yes</x:v>
      </x:c>
    </x:row>
    <x:row r="114">
      <x:c r="A114" s="14" t="str">
        <x:v>ISS-0113</x:v>
      </x:c>
      <x:c r="B114" s="14" t="n">
        <x:v>322</x:v>
      </x:c>
      <x:c r="C114" s="14" t="str">
        <x:v>ORD-2024-10321</x:v>
      </x:c>
      <x:c r="D114" s="14" t="str">
        <x:v>Discount format</x:v>
      </x:c>
      <x:c r="E114" s="14" t="str">
        <x:v>discount</x:v>
      </x:c>
      <x:c r="F114" s="14" t="str">
        <x:v>70%</x:v>
      </x:c>
      <x:c r="G114" s="14" t="str">
        <x:v>0.7</x:v>
      </x:c>
      <x:c r="H114" s="14" t="str">
        <x:v>Converted percentage text to decimal</x:v>
      </x:c>
      <x:c r="I114" s="14" t="str">
        <x:v>Adjusted</x:v>
      </x:c>
      <x:c r="J114" s="14" t="str">
        <x:v>Yes</x:v>
      </x:c>
    </x:row>
    <x:row r="115">
      <x:c r="A115" s="14" t="str">
        <x:v>ISS-0114</x:v>
      </x:c>
      <x:c r="B115" s="14" t="n">
        <x:v>322</x:v>
      </x:c>
      <x:c r="C115" s="14" t="str">
        <x:v>ORD-2024-10321</x:v>
      </x:c>
      <x:c r="D115" s="14" t="str">
        <x:v>Invalid discount</x:v>
      </x:c>
      <x:c r="E115" s="14" t="str">
        <x:v>discount</x:v>
      </x:c>
      <x:c r="F115" s="14" t="str">
        <x:v>70%</x:v>
      </x:c>
      <x:c r="G115" s="14" t="str"/>
      <x:c r="H115" s="14" t="str">
        <x:v>Discount over 50%; blanked for analysis pending validation</x:v>
      </x:c>
      <x:c r="I115" s="14" t="str">
        <x:v>Review</x:v>
      </x:c>
      <x:c r="J115" s="14" t="str">
        <x:v>Yes</x:v>
      </x:c>
    </x:row>
    <x:row r="116">
      <x:c r="A116" s="14" t="str">
        <x:v>ISS-0115</x:v>
      </x:c>
      <x:c r="B116" s="14" t="n">
        <x:v>333</x:v>
      </x:c>
      <x:c r="C116" s="14" t="str">
        <x:v>ORD-2024-10332</x:v>
      </x:c>
      <x:c r="D116" s="14" t="str">
        <x:v>Conflicting duplicate ID</x:v>
      </x:c>
      <x:c r="E116" s="14" t="str">
        <x:v>order_id</x:v>
      </x:c>
      <x:c r="F116" s="14" t="str">
        <x:v>ORD-2024-10332</x:v>
      </x:c>
      <x:c r="G116" s="14" t="str">
        <x:v>ORD-2024-10332</x:v>
      </x:c>
      <x:c r="H116" s="14" t="str">
        <x:v>Same order ID appears in multiple non-identical records; retained for review</x:v>
      </x:c>
      <x:c r="I116" s="14" t="str">
        <x:v>Review</x:v>
      </x:c>
      <x:c r="J116" s="14" t="str">
        <x:v>Yes</x:v>
      </x:c>
    </x:row>
    <x:row r="117">
      <x:c r="A117" s="14" t="str">
        <x:v>ISS-0116</x:v>
      </x:c>
      <x:c r="B117" s="14" t="n">
        <x:v>334</x:v>
      </x:c>
      <x:c r="C117" s="14" t="str">
        <x:v>ORD-2025-10333</x:v>
      </x:c>
      <x:c r="D117" s="14" t="str">
        <x:v>Text standardization</x:v>
      </x:c>
      <x:c r="E117" s="14" t="str">
        <x:v>sub_category</x:v>
      </x:c>
      <x:c r="F117" s="14" t="str">
        <x:v>machines</x:v>
      </x:c>
      <x:c r="G117" s="14" t="str">
        <x:v>Machines</x:v>
      </x:c>
      <x:c r="H117" s="14" t="str">
        <x:v>Case standardization</x:v>
      </x:c>
      <x:c r="I117" s="14" t="str">
        <x:v>Adjusted</x:v>
      </x:c>
      <x:c r="J117" s="14" t="str">
        <x:v>Yes</x:v>
      </x:c>
    </x:row>
    <x:row r="118">
      <x:c r="A118" s="14" t="str">
        <x:v>ISS-0117</x:v>
      </x:c>
      <x:c r="B118" s="14" t="n">
        <x:v>335</x:v>
      </x:c>
      <x:c r="C118" s="14" t="str">
        <x:v>ORD-2025-10334</x:v>
      </x:c>
      <x:c r="D118" s="14" t="str">
        <x:v>Missing text value</x:v>
      </x:c>
      <x:c r="E118" s="14" t="str">
        <x:v>region</x:v>
      </x:c>
      <x:c r="F118" s="14" t="str">
        <x:v>(blank)</x:v>
      </x:c>
      <x:c r="G118" s="14" t="str">
        <x:v>Unknown</x:v>
      </x:c>
      <x:c r="H118" s="14" t="str">
        <x:v>Missing value filled as Unknown</x:v>
      </x:c>
      <x:c r="I118" s="14" t="str">
        <x:v>Adjusted</x:v>
      </x:c>
      <x:c r="J118" s="14" t="str">
        <x:v>Yes</x:v>
      </x:c>
    </x:row>
    <x:row r="119">
      <x:c r="A119" s="14" t="str">
        <x:v>ISS-0118</x:v>
      </x:c>
      <x:c r="B119" s="14" t="n">
        <x:v>337</x:v>
      </x:c>
      <x:c r="C119" s="14" t="str">
        <x:v>ORD-2025-10336</x:v>
      </x:c>
      <x:c r="D119" s="14" t="str">
        <x:v>Conflicting duplicate ID</x:v>
      </x:c>
      <x:c r="E119" s="14" t="str">
        <x:v>order_id</x:v>
      </x:c>
      <x:c r="F119" s="14" t="str">
        <x:v>ORD-2025-10336</x:v>
      </x:c>
      <x:c r="G119" s="14" t="str">
        <x:v>ORD-2025-10336</x:v>
      </x:c>
      <x:c r="H119" s="14" t="str">
        <x:v>Same order ID appears in multiple non-identical records; retained for review</x:v>
      </x:c>
      <x:c r="I119" s="14" t="str">
        <x:v>Review</x:v>
      </x:c>
      <x:c r="J119" s="14" t="str">
        <x:v>Yes</x:v>
      </x:c>
    </x:row>
    <x:row r="120">
      <x:c r="A120" s="14" t="str">
        <x:v>ISS-0119</x:v>
      </x:c>
      <x:c r="B120" s="14" t="n">
        <x:v>339</x:v>
      </x:c>
      <x:c r="C120" s="14" t="str">
        <x:v>ORD-2024-10338</x:v>
      </x:c>
      <x:c r="D120" s="14" t="str">
        <x:v>Profit calculation mismatch</x:v>
      </x:c>
      <x:c r="E120" s="14" t="str">
        <x:v>profit_raw</x:v>
      </x:c>
      <x:c r="F120" s="14" t="str">
        <x:v>1262.87</x:v>
      </x:c>
      <x:c r="G120" s="14" t="str">
        <x:v>1418.17</x:v>
      </x:c>
      <x:c r="H120" s="14" t="str">
        <x:v>Raw profit does not equal raw sales − cost</x:v>
      </x:c>
      <x:c r="I120" s="14" t="str">
        <x:v>Review</x:v>
      </x:c>
      <x:c r="J120" s="14" t="str">
        <x:v>Yes</x:v>
      </x:c>
    </x:row>
    <x:row r="121">
      <x:c r="A121" s="14" t="str">
        <x:v>ISS-0120</x:v>
      </x:c>
      <x:c r="B121" s="14" t="n">
        <x:v>351</x:v>
      </x:c>
      <x:c r="C121" s="14" t="str">
        <x:v>ORD-2025-10350</x:v>
      </x:c>
      <x:c r="D121" s="14" t="str">
        <x:v>Profit calculation mismatch</x:v>
      </x:c>
      <x:c r="E121" s="14" t="str">
        <x:v>profit_raw</x:v>
      </x:c>
      <x:c r="F121" s="14" t="str">
        <x:v>4017.4</x:v>
      </x:c>
      <x:c r="G121" s="14" t="str">
        <x:v>4343.51</x:v>
      </x:c>
      <x:c r="H121" s="14" t="str">
        <x:v>Raw profit does not equal raw sales − cost</x:v>
      </x:c>
      <x:c r="I121" s="14" t="str">
        <x:v>Review</x:v>
      </x:c>
      <x:c r="J121" s="14" t="str">
        <x:v>Yes</x:v>
      </x:c>
    </x:row>
    <x:row r="122">
      <x:c r="A122" s="14" t="str">
        <x:v>ISS-0121</x:v>
      </x:c>
      <x:c r="B122" s="14" t="n">
        <x:v>356</x:v>
      </x:c>
      <x:c r="C122" s="14" t="str">
        <x:v>ORD-2024-10355</x:v>
      </x:c>
      <x:c r="D122" s="14" t="str">
        <x:v>Text standardization</x:v>
      </x:c>
      <x:c r="E122" s="14" t="str">
        <x:v>segment</x:v>
      </x:c>
      <x:c r="F122" s="14" t="str">
        <x:v>corporate</x:v>
      </x:c>
      <x:c r="G122" s="14" t="str">
        <x:v>Corporate</x:v>
      </x:c>
      <x:c r="H122" s="14" t="str">
        <x:v>Case standardization</x:v>
      </x:c>
      <x:c r="I122" s="14" t="str">
        <x:v>Adjusted</x:v>
      </x:c>
      <x:c r="J122" s="14" t="str">
        <x:v>Yes</x:v>
      </x:c>
    </x:row>
    <x:row r="123">
      <x:c r="A123" s="14" t="str">
        <x:v>ISS-0122</x:v>
      </x:c>
      <x:c r="B123" s="14" t="n">
        <x:v>356</x:v>
      </x:c>
      <x:c r="C123" s="14" t="str">
        <x:v>ORD-2024-10355</x:v>
      </x:c>
      <x:c r="D123" s="14" t="str">
        <x:v>Invalid discount</x:v>
      </x:c>
      <x:c r="E123" s="14" t="str">
        <x:v>discount</x:v>
      </x:c>
      <x:c r="F123" s="14" t="str">
        <x:v>-0.06</x:v>
      </x:c>
      <x:c r="G123" s="14" t="str"/>
      <x:c r="H123" s="14" t="str">
        <x:v>Invalid negative discount; blanked for analysis</x:v>
      </x:c>
      <x:c r="I123" s="14" t="str">
        <x:v>Review</x:v>
      </x:c>
      <x:c r="J123" s="14" t="str">
        <x:v>Yes</x:v>
      </x:c>
    </x:row>
    <x:row r="124">
      <x:c r="A124" s="14" t="str">
        <x:v>ISS-0123</x:v>
      </x:c>
      <x:c r="B124" s="14" t="n">
        <x:v>357</x:v>
      </x:c>
      <x:c r="C124" s="14" t="str">
        <x:v>ORD-2024-10356</x:v>
      </x:c>
      <x:c r="D124" s="14" t="str">
        <x:v>Date sequence</x:v>
      </x:c>
      <x:c r="E124" s="14" t="str">
        <x:v>ship_date</x:v>
      </x:c>
      <x:c r="F124" s="14" t="str">
        <x:v>2024-05-09</x:v>
      </x:c>
      <x:c r="G124" s="14" t="str">
        <x:v>2024-05-09</x:v>
      </x:c>
      <x:c r="H124" s="14" t="str">
        <x:v>Flagged; not auto-corrected</x:v>
      </x:c>
      <x:c r="I124" s="14" t="str">
        <x:v>Review</x:v>
      </x:c>
      <x:c r="J124" s="14" t="str">
        <x:v>Yes</x:v>
      </x:c>
    </x:row>
    <x:row r="125">
      <x:c r="A125" s="14" t="str">
        <x:v>ISS-0124</x:v>
      </x:c>
      <x:c r="B125" s="14" t="n">
        <x:v>360</x:v>
      </x:c>
      <x:c r="C125" s="14" t="str">
        <x:v>ORD-2025-10359</x:v>
      </x:c>
      <x:c r="D125" s="14" t="str">
        <x:v>Date sequence</x:v>
      </x:c>
      <x:c r="E125" s="14" t="str">
        <x:v>ship_date</x:v>
      </x:c>
      <x:c r="F125" s="14" t="str">
        <x:v>2025-08-07</x:v>
      </x:c>
      <x:c r="G125" s="14" t="str">
        <x:v>2025-08-07</x:v>
      </x:c>
      <x:c r="H125" s="14" t="str">
        <x:v>Flagged; not auto-corrected</x:v>
      </x:c>
      <x:c r="I125" s="14" t="str">
        <x:v>Review</x:v>
      </x:c>
      <x:c r="J125" s="14" t="str">
        <x:v>Yes</x:v>
      </x:c>
    </x:row>
    <x:row r="126">
      <x:c r="A126" s="14" t="str">
        <x:v>ISS-0125</x:v>
      </x:c>
      <x:c r="B126" s="14" t="n">
        <x:v>367</x:v>
      </x:c>
      <x:c r="C126" s="14" t="str">
        <x:v>ORD-2024-10366</x:v>
      </x:c>
      <x:c r="D126" s="14" t="str">
        <x:v>Missing discount</x:v>
      </x:c>
      <x:c r="E126" s="14" t="str">
        <x:v>discount</x:v>
      </x:c>
      <x:c r="F126" s="14" t="str">
        <x:v>(blank)</x:v>
      </x:c>
      <x:c r="G126" s="14" t="str">
        <x:v>0</x:v>
      </x:c>
      <x:c r="H126" s="14" t="str">
        <x:v>Imputed 0 because supporting sales fields were present</x:v>
      </x:c>
      <x:c r="I126" s="14" t="str">
        <x:v>Adjusted</x:v>
      </x:c>
      <x:c r="J126" s="14" t="str">
        <x:v>Yes</x:v>
      </x:c>
    </x:row>
    <x:row r="127">
      <x:c r="A127" s="14" t="str">
        <x:v>ISS-0126</x:v>
      </x:c>
      <x:c r="B127" s="14" t="n">
        <x:v>367</x:v>
      </x:c>
      <x:c r="C127" s="14" t="str">
        <x:v>ORD-2024-10366</x:v>
      </x:c>
      <x:c r="D127" s="14" t="str">
        <x:v>Sales calculation mismatch</x:v>
      </x:c>
      <x:c r="E127" s="14" t="str">
        <x:v>sales_raw</x:v>
      </x:c>
      <x:c r="F127" s="14" t="str">
        <x:v>12968.64</x:v>
      </x:c>
      <x:c r="G127" s="14" t="str">
        <x:v>13651.2</x:v>
      </x:c>
      <x:c r="H127" s="14" t="str">
        <x:v>Raw sales does not equal quantity × unit price × (1 − discount)</x:v>
      </x:c>
      <x:c r="I127" s="14" t="str">
        <x:v>Review</x:v>
      </x:c>
      <x:c r="J127" s="14" t="str">
        <x:v>Yes</x:v>
      </x:c>
    </x:row>
    <x:row r="128">
      <x:c r="A128" s="14" t="str">
        <x:v>ISS-0127</x:v>
      </x:c>
      <x:c r="B128" s="14" t="n">
        <x:v>373</x:v>
      </x:c>
      <x:c r="C128" s="14" t="str">
        <x:v>ORD-2024-10372</x:v>
      </x:c>
      <x:c r="D128" s="14" t="str">
        <x:v>Missing discount</x:v>
      </x:c>
      <x:c r="E128" s="14" t="str">
        <x:v>discount</x:v>
      </x:c>
      <x:c r="F128" s="14" t="str">
        <x:v>(blank)</x:v>
      </x:c>
      <x:c r="G128" s="14" t="str">
        <x:v>0</x:v>
      </x:c>
      <x:c r="H128" s="14" t="str">
        <x:v>Imputed 0 because supporting sales fields were present</x:v>
      </x:c>
      <x:c r="I128" s="14" t="str">
        <x:v>Adjusted</x:v>
      </x:c>
      <x:c r="J128" s="14" t="str">
        <x:v>Yes</x:v>
      </x:c>
    </x:row>
    <x:row r="129">
      <x:c r="A129" s="14" t="str">
        <x:v>ISS-0128</x:v>
      </x:c>
      <x:c r="B129" s="14" t="n">
        <x:v>373</x:v>
      </x:c>
      <x:c r="C129" s="14" t="str">
        <x:v>ORD-2024-10372</x:v>
      </x:c>
      <x:c r="D129" s="14" t="str">
        <x:v>Sales calculation mismatch</x:v>
      </x:c>
      <x:c r="E129" s="14" t="str">
        <x:v>sales_raw</x:v>
      </x:c>
      <x:c r="F129" s="14" t="str">
        <x:v>4617.27</x:v>
      </x:c>
      <x:c r="G129" s="14" t="str">
        <x:v>6156.36</x:v>
      </x:c>
      <x:c r="H129" s="14" t="str">
        <x:v>Raw sales does not equal quantity × unit price × (1 − discount)</x:v>
      </x:c>
      <x:c r="I129" s="14" t="str">
        <x:v>Review</x:v>
      </x:c>
      <x:c r="J129" s="14" t="str">
        <x:v>Yes</x:v>
      </x:c>
    </x:row>
    <x:row r="130">
      <x:c r="A130" s="14" t="str">
        <x:v>ISS-0129</x:v>
      </x:c>
      <x:c r="B130" s="14" t="n">
        <x:v>375</x:v>
      </x:c>
      <x:c r="C130" s="14" t="str">
        <x:v>ORD-2025-10374</x:v>
      </x:c>
      <x:c r="D130" s="14" t="str">
        <x:v>Conflicting duplicate ID</x:v>
      </x:c>
      <x:c r="E130" s="14" t="str">
        <x:v>order_id</x:v>
      </x:c>
      <x:c r="F130" s="14" t="str">
        <x:v>ORD-2025-10374</x:v>
      </x:c>
      <x:c r="G130" s="14" t="str">
        <x:v>ORD-2025-10374</x:v>
      </x:c>
      <x:c r="H130" s="14" t="str">
        <x:v>Same order ID appears in multiple non-identical records; retained for review</x:v>
      </x:c>
      <x:c r="I130" s="14" t="str">
        <x:v>Review</x:v>
      </x:c>
      <x:c r="J130" s="14" t="str">
        <x:v>Yes</x:v>
      </x:c>
    </x:row>
    <x:row r="131">
      <x:c r="A131" s="14" t="str">
        <x:v>ISS-0130</x:v>
      </x:c>
      <x:c r="B131" s="14" t="n">
        <x:v>379</x:v>
      </x:c>
      <x:c r="C131" s="14" t="str">
        <x:v>ORD-2025-10378</x:v>
      </x:c>
      <x:c r="D131" s="14" t="str">
        <x:v>Text standardization</x:v>
      </x:c>
      <x:c r="E131" s="14" t="str">
        <x:v>sub_category</x:v>
      </x:c>
      <x:c r="F131" s="14" t="str">
        <x:v>storage</x:v>
      </x:c>
      <x:c r="G131" s="14" t="str">
        <x:v>Storage</x:v>
      </x:c>
      <x:c r="H131" s="14" t="str">
        <x:v>Case standardization</x:v>
      </x:c>
      <x:c r="I131" s="14" t="str">
        <x:v>Adjusted</x:v>
      </x:c>
      <x:c r="J131" s="14" t="str">
        <x:v>Yes</x:v>
      </x:c>
    </x:row>
    <x:row r="132">
      <x:c r="A132" s="14" t="str">
        <x:v>ISS-0131</x:v>
      </x:c>
      <x:c r="B132" s="14" t="n">
        <x:v>381</x:v>
      </x:c>
      <x:c r="C132" s="14" t="str">
        <x:v>ORD-2024-10380</x:v>
      </x:c>
      <x:c r="D132" s="14" t="str">
        <x:v>Missing discount</x:v>
      </x:c>
      <x:c r="E132" s="14" t="str">
        <x:v>discount</x:v>
      </x:c>
      <x:c r="F132" s="14" t="str">
        <x:v>(blank)</x:v>
      </x:c>
      <x:c r="G132" s="14" t="str">
        <x:v>0</x:v>
      </x:c>
      <x:c r="H132" s="14" t="str">
        <x:v>Imputed 0 because supporting sales fields were present</x:v>
      </x:c>
      <x:c r="I132" s="14" t="str">
        <x:v>Adjusted</x:v>
      </x:c>
      <x:c r="J132" s="14" t="str">
        <x:v>Yes</x:v>
      </x:c>
    </x:row>
    <x:row r="133">
      <x:c r="A133" s="14" t="str">
        <x:v>ISS-0132</x:v>
      </x:c>
      <x:c r="B133" s="14" t="n">
        <x:v>383</x:v>
      </x:c>
      <x:c r="C133" s="14" t="str">
        <x:v>ORD-2025-10382</x:v>
      </x:c>
      <x:c r="D133" s="14" t="str">
        <x:v>Text standardization</x:v>
      </x:c>
      <x:c r="E133" s="14" t="str">
        <x:v>segment</x:v>
      </x:c>
      <x:c r="F133" s="14" t="str">
        <x:v>HOME OFFICE</x:v>
      </x:c>
      <x:c r="G133" s="14" t="str">
        <x:v>Home Office</x:v>
      </x:c>
      <x:c r="H133" s="14" t="str">
        <x:v>Case standardization</x:v>
      </x:c>
      <x:c r="I133" s="14" t="str">
        <x:v>Adjusted</x:v>
      </x:c>
      <x:c r="J133" s="14" t="str">
        <x:v>Yes</x:v>
      </x:c>
    </x:row>
    <x:row r="134">
      <x:c r="A134" s="14" t="str">
        <x:v>ISS-0133</x:v>
      </x:c>
      <x:c r="B134" s="14" t="n">
        <x:v>384</x:v>
      </x:c>
      <x:c r="C134" s="14" t="str">
        <x:v>ORD-2025-10383</x:v>
      </x:c>
      <x:c r="D134" s="14" t="str">
        <x:v>Text standardization</x:v>
      </x:c>
      <x:c r="E134" s="14" t="str">
        <x:v>category</x:v>
      </x:c>
      <x:c r="F134" s="14" t="str">
        <x:v>TECHNOLOGY</x:v>
      </x:c>
      <x:c r="G134" s="14" t="str">
        <x:v>Technology</x:v>
      </x:c>
      <x:c r="H134" s="14" t="str">
        <x:v>Case standardization</x:v>
      </x:c>
      <x:c r="I134" s="14" t="str">
        <x:v>Adjusted</x:v>
      </x:c>
      <x:c r="J134" s="14" t="str">
        <x:v>Yes</x:v>
      </x:c>
    </x:row>
    <x:row r="135">
      <x:c r="A135" s="14" t="str">
        <x:v>ISS-0134</x:v>
      </x:c>
      <x:c r="B135" s="14" t="n">
        <x:v>390</x:v>
      </x:c>
      <x:c r="C135" s="14" t="str">
        <x:v>ORD-2024-10389</x:v>
      </x:c>
      <x:c r="D135" s="14" t="str">
        <x:v>Profit calculation mismatch</x:v>
      </x:c>
      <x:c r="E135" s="14" t="str">
        <x:v>profit_raw</x:v>
      </x:c>
      <x:c r="F135" s="14" t="str">
        <x:v>2783.66</x:v>
      </x:c>
      <x:c r="G135" s="14" t="str">
        <x:v>2513.33</x:v>
      </x:c>
      <x:c r="H135" s="14" t="str">
        <x:v>Raw profit does not equal raw sales − cost</x:v>
      </x:c>
      <x:c r="I135" s="14" t="str">
        <x:v>Review</x:v>
      </x:c>
      <x:c r="J135" s="14" t="str">
        <x:v>Yes</x:v>
      </x:c>
    </x:row>
    <x:row r="136">
      <x:c r="A136" s="14" t="str">
        <x:v>ISS-0135</x:v>
      </x:c>
      <x:c r="B136" s="14" t="n">
        <x:v>400</x:v>
      </x:c>
      <x:c r="C136" s="14" t="str">
        <x:v>ORD-2024-10399</x:v>
      </x:c>
      <x:c r="D136" s="14" t="str">
        <x:v>Text standardization</x:v>
      </x:c>
      <x:c r="E136" s="14" t="str">
        <x:v>segment</x:v>
      </x:c>
      <x:c r="F136" s="14" t="str">
        <x:v>  Corporate </x:v>
      </x:c>
      <x:c r="G136" s="14" t="str">
        <x:v>Corporate</x:v>
      </x:c>
      <x:c r="H136" s="14" t="str">
        <x:v>TRIM/SUBSTITUTE whitespace cleanup</x:v>
      </x:c>
      <x:c r="I136" s="14" t="str">
        <x:v>Adjusted</x:v>
      </x:c>
      <x:c r="J136" s="14" t="str">
        <x:v>Yes</x:v>
      </x:c>
    </x:row>
    <x:row r="137">
      <x:c r="A137" s="14" t="str">
        <x:v>ISS-0136</x:v>
      </x:c>
      <x:c r="B137" s="14" t="n">
        <x:v>402</x:v>
      </x:c>
      <x:c r="C137" s="14" t="str">
        <x:v>ORD-2025-10401</x:v>
      </x:c>
      <x:c r="D137" s="14" t="str">
        <x:v>Invalid discount</x:v>
      </x:c>
      <x:c r="E137" s="14" t="str">
        <x:v>discount</x:v>
      </x:c>
      <x:c r="F137" s="14" t="str">
        <x:v>-0.1</x:v>
      </x:c>
      <x:c r="G137" s="14" t="str"/>
      <x:c r="H137" s="14" t="str">
        <x:v>Invalid negative discount; blanked for analysis</x:v>
      </x:c>
      <x:c r="I137" s="14" t="str">
        <x:v>Review</x:v>
      </x:c>
      <x:c r="J137" s="14" t="str">
        <x:v>Yes</x:v>
      </x:c>
    </x:row>
    <x:row r="138">
      <x:c r="A138" s="14" t="str">
        <x:v>ISS-0137</x:v>
      </x:c>
      <x:c r="B138" s="14" t="n">
        <x:v>404</x:v>
      </x:c>
      <x:c r="C138" s="14" t="str">
        <x:v>ORD-2024-10403</x:v>
      </x:c>
      <x:c r="D138" s="14" t="str">
        <x:v>Missing text value</x:v>
      </x:c>
      <x:c r="E138" s="14" t="str">
        <x:v>ship_mode</x:v>
      </x:c>
      <x:c r="F138" s="14" t="str">
        <x:v>(blank)</x:v>
      </x:c>
      <x:c r="G138" s="14" t="str">
        <x:v>Unknown</x:v>
      </x:c>
      <x:c r="H138" s="14" t="str">
        <x:v>Missing value filled as Unknown</x:v>
      </x:c>
      <x:c r="I138" s="14" t="str">
        <x:v>Adjusted</x:v>
      </x:c>
      <x:c r="J138" s="14" t="str">
        <x:v>Yes</x:v>
      </x:c>
    </x:row>
    <x:row r="139">
      <x:c r="A139" s="14" t="str">
        <x:v>ISS-0138</x:v>
      </x:c>
      <x:c r="B139" s="14" t="n">
        <x:v>405</x:v>
      </x:c>
      <x:c r="C139" s="14" t="str">
        <x:v>ORD-2024-10404</x:v>
      </x:c>
      <x:c r="D139" s="14" t="str">
        <x:v>Text standardization</x:v>
      </x:c>
      <x:c r="E139" s="14" t="str">
        <x:v>sub_category</x:v>
      </x:c>
      <x:c r="F139" s="14" t="str">
        <x:v>PAPER</x:v>
      </x:c>
      <x:c r="G139" s="14" t="str">
        <x:v>Paper</x:v>
      </x:c>
      <x:c r="H139" s="14" t="str">
        <x:v>Case standardization</x:v>
      </x:c>
      <x:c r="I139" s="14" t="str">
        <x:v>Adjusted</x:v>
      </x:c>
      <x:c r="J139" s="14" t="str">
        <x:v>Yes</x:v>
      </x:c>
    </x:row>
    <x:row r="140">
      <x:c r="A140" s="14" t="str">
        <x:v>ISS-0139</x:v>
      </x:c>
      <x:c r="B140" s="14" t="n">
        <x:v>406</x:v>
      </x:c>
      <x:c r="C140" s="14" t="str">
        <x:v>ORD-2024-10405</x:v>
      </x:c>
      <x:c r="D140" s="14" t="str">
        <x:v>Text standardization</x:v>
      </x:c>
      <x:c r="E140" s="14" t="str">
        <x:v>order_status</x:v>
      </x:c>
      <x:c r="F140" s="14" t="str">
        <x:v>  Completed </x:v>
      </x:c>
      <x:c r="G140" s="14" t="str">
        <x:v>Completed</x:v>
      </x:c>
      <x:c r="H140" s="14" t="str">
        <x:v>TRIM/SUBSTITUTE whitespace cleanup</x:v>
      </x:c>
      <x:c r="I140" s="14" t="str">
        <x:v>Adjusted</x:v>
      </x:c>
      <x:c r="J140" s="14" t="str">
        <x:v>Yes</x:v>
      </x:c>
    </x:row>
    <x:row r="141">
      <x:c r="A141" s="14" t="str">
        <x:v>ISS-0140</x:v>
      </x:c>
      <x:c r="B141" s="14" t="n">
        <x:v>407</x:v>
      </x:c>
      <x:c r="C141" s="14" t="str">
        <x:v>ORD-2024-10406</x:v>
      </x:c>
      <x:c r="D141" s="14" t="str">
        <x:v>Missing text value</x:v>
      </x:c>
      <x:c r="E141" s="14" t="str">
        <x:v>ship_mode</x:v>
      </x:c>
      <x:c r="F141" s="14" t="str">
        <x:v>(blank)</x:v>
      </x:c>
      <x:c r="G141" s="14" t="str">
        <x:v>Unknown</x:v>
      </x:c>
      <x:c r="H141" s="14" t="str">
        <x:v>Missing value filled as Unknown</x:v>
      </x:c>
      <x:c r="I141" s="14" t="str">
        <x:v>Adjusted</x:v>
      </x:c>
      <x:c r="J141" s="14" t="str">
        <x:v>Yes</x:v>
      </x:c>
    </x:row>
    <x:row r="142">
      <x:c r="A142" s="14" t="str">
        <x:v>ISS-0141</x:v>
      </x:c>
      <x:c r="B142" s="14" t="n">
        <x:v>418</x:v>
      </x:c>
      <x:c r="C142" s="14" t="str">
        <x:v>ORD-2025-10417</x:v>
      </x:c>
      <x:c r="D142" s="14" t="str">
        <x:v>Text standardization</x:v>
      </x:c>
      <x:c r="E142" s="14" t="str">
        <x:v>category</x:v>
      </x:c>
      <x:c r="F142" s="14" t="str">
        <x:v>Furniture </x:v>
      </x:c>
      <x:c r="G142" s="14" t="str">
        <x:v>Furniture</x:v>
      </x:c>
      <x:c r="H142" s="14" t="str">
        <x:v>TRIM/SUBSTITUTE whitespace cleanup</x:v>
      </x:c>
      <x:c r="I142" s="14" t="str">
        <x:v>Adjusted</x:v>
      </x:c>
      <x:c r="J142" s="14" t="str">
        <x:v>Yes</x:v>
      </x:c>
    </x:row>
    <x:row r="143">
      <x:c r="A143" s="14" t="str">
        <x:v>ISS-0142</x:v>
      </x:c>
      <x:c r="B143" s="14" t="n">
        <x:v>425</x:v>
      </x:c>
      <x:c r="C143" s="14" t="str">
        <x:v>ORD-2024-10424</x:v>
      </x:c>
      <x:c r="D143" s="14" t="str">
        <x:v>Text standardization</x:v>
      </x:c>
      <x:c r="E143" s="14" t="str">
        <x:v>ship_mode</x:v>
      </x:c>
      <x:c r="F143" s="14" t="str">
        <x:v>FIRST CLASS</x:v>
      </x:c>
      <x:c r="G143" s="14" t="str">
        <x:v>First Class</x:v>
      </x:c>
      <x:c r="H143" s="14" t="str">
        <x:v>Case standardization</x:v>
      </x:c>
      <x:c r="I143" s="14" t="str">
        <x:v>Adjusted</x:v>
      </x:c>
      <x:c r="J143" s="14" t="str">
        <x:v>Yes</x:v>
      </x:c>
    </x:row>
    <x:row r="144">
      <x:c r="A144" s="14" t="str">
        <x:v>ISS-0143</x:v>
      </x:c>
      <x:c r="B144" s="14" t="n">
        <x:v>425</x:v>
      </x:c>
      <x:c r="C144" s="14" t="str">
        <x:v>ORD-2024-10424</x:v>
      </x:c>
      <x:c r="D144" s="14" t="str">
        <x:v>Conflicting duplicate ID</x:v>
      </x:c>
      <x:c r="E144" s="14" t="str">
        <x:v>order_id</x:v>
      </x:c>
      <x:c r="F144" s="14" t="str">
        <x:v>ORD-2024-10424</x:v>
      </x:c>
      <x:c r="G144" s="14" t="str">
        <x:v>ORD-2024-10424</x:v>
      </x:c>
      <x:c r="H144" s="14" t="str">
        <x:v>Same order ID appears in multiple non-identical records; retained for review</x:v>
      </x:c>
      <x:c r="I144" s="14" t="str">
        <x:v>Review</x:v>
      </x:c>
      <x:c r="J144" s="14" t="str">
        <x:v>Yes</x:v>
      </x:c>
    </x:row>
    <x:row r="145">
      <x:c r="A145" s="14" t="str">
        <x:v>ISS-0144</x:v>
      </x:c>
      <x:c r="B145" s="14" t="n">
        <x:v>429</x:v>
      </x:c>
      <x:c r="C145" s="14" t="str">
        <x:v>ORD-2025-10428</x:v>
      </x:c>
      <x:c r="D145" s="14" t="str">
        <x:v>Missing text value</x:v>
      </x:c>
      <x:c r="E145" s="14" t="str">
        <x:v>region</x:v>
      </x:c>
      <x:c r="F145" s="14" t="str">
        <x:v>(blank)</x:v>
      </x:c>
      <x:c r="G145" s="14" t="str">
        <x:v>Unknown</x:v>
      </x:c>
      <x:c r="H145" s="14" t="str">
        <x:v>Missing value filled as Unknown</x:v>
      </x:c>
      <x:c r="I145" s="14" t="str">
        <x:v>Adjusted</x:v>
      </x:c>
      <x:c r="J145" s="14" t="str">
        <x:v>Yes</x:v>
      </x:c>
    </x:row>
    <x:row r="146">
      <x:c r="A146" s="14" t="str">
        <x:v>ISS-0145</x:v>
      </x:c>
      <x:c r="B146" s="14" t="n">
        <x:v>429</x:v>
      </x:c>
      <x:c r="C146" s="14" t="str">
        <x:v>ORD-2025-10428</x:v>
      </x:c>
      <x:c r="D146" s="14" t="str">
        <x:v>Text standardization</x:v>
      </x:c>
      <x:c r="E146" s="14" t="str">
        <x:v>ship_mode</x:v>
      </x:c>
      <x:c r="F146" s="14" t="str">
        <x:v>STANDARD CLASS</x:v>
      </x:c>
      <x:c r="G146" s="14" t="str">
        <x:v>Standard Class</x:v>
      </x:c>
      <x:c r="H146" s="14" t="str">
        <x:v>Case standardization</x:v>
      </x:c>
      <x:c r="I146" s="14" t="str">
        <x:v>Adjusted</x:v>
      </x:c>
      <x:c r="J146" s="14" t="str">
        <x:v>Yes</x:v>
      </x:c>
    </x:row>
    <x:row r="147">
      <x:c r="A147" s="14" t="str">
        <x:v>ISS-0146</x:v>
      </x:c>
      <x:c r="B147" s="14" t="n">
        <x:v>432</x:v>
      </x:c>
      <x:c r="C147" s="14" t="str">
        <x:v>ORD-2024-10431</x:v>
      </x:c>
      <x:c r="D147" s="14" t="str">
        <x:v>Text standardization</x:v>
      </x:c>
      <x:c r="E147" s="14" t="str">
        <x:v>category</x:v>
      </x:c>
      <x:c r="F147" s="14" t="str">
        <x:v>Office Supplies </x:v>
      </x:c>
      <x:c r="G147" s="14" t="str">
        <x:v>Office Supplies</x:v>
      </x:c>
      <x:c r="H147" s="14" t="str">
        <x:v>TRIM/SUBSTITUTE whitespace cleanup</x:v>
      </x:c>
      <x:c r="I147" s="14" t="str">
        <x:v>Adjusted</x:v>
      </x:c>
      <x:c r="J147" s="14" t="str">
        <x:v>Yes</x:v>
      </x:c>
    </x:row>
    <x:row r="148">
      <x:c r="A148" s="14" t="str">
        <x:v>ISS-0147</x:v>
      </x:c>
      <x:c r="B148" s="14" t="n">
        <x:v>432</x:v>
      </x:c>
      <x:c r="C148" s="14" t="str">
        <x:v>ORD-2024-10431</x:v>
      </x:c>
      <x:c r="D148" s="14" t="str">
        <x:v>Profit calculation mismatch</x:v>
      </x:c>
      <x:c r="E148" s="14" t="str">
        <x:v>profit_raw</x:v>
      </x:c>
      <x:c r="F148" s="14" t="str">
        <x:v>763.38</x:v>
      </x:c>
      <x:c r="G148" s="14" t="str">
        <x:v>958.48</x:v>
      </x:c>
      <x:c r="H148" s="14" t="str">
        <x:v>Raw profit does not equal raw sales − cost</x:v>
      </x:c>
      <x:c r="I148" s="14" t="str">
        <x:v>Review</x:v>
      </x:c>
      <x:c r="J148" s="14" t="str">
        <x:v>Yes</x:v>
      </x:c>
    </x:row>
    <x:row r="149">
      <x:c r="A149" s="14" t="str">
        <x:v>ISS-0148</x:v>
      </x:c>
      <x:c r="B149" s="14" t="n">
        <x:v>439</x:v>
      </x:c>
      <x:c r="C149" s="14" t="str">
        <x:v>ORD-2024-10438</x:v>
      </x:c>
      <x:c r="D149" s="14" t="str">
        <x:v>Text standardization</x:v>
      </x:c>
      <x:c r="E149" s="14" t="str">
        <x:v>sub_category</x:v>
      </x:c>
      <x:c r="F149" s="14" t="str">
        <x:v>  Accessories </x:v>
      </x:c>
      <x:c r="G149" s="14" t="str">
        <x:v>Accessories</x:v>
      </x:c>
      <x:c r="H149" s="14" t="str">
        <x:v>TRIM/SUBSTITUTE whitespace cleanup</x:v>
      </x:c>
      <x:c r="I149" s="14" t="str">
        <x:v>Adjusted</x:v>
      </x:c>
      <x:c r="J149" s="14" t="str">
        <x:v>Yes</x:v>
      </x:c>
    </x:row>
    <x:row r="150">
      <x:c r="A150" s="14" t="str">
        <x:v>ISS-0149</x:v>
      </x:c>
      <x:c r="B150" s="14" t="n">
        <x:v>440</x:v>
      </x:c>
      <x:c r="C150" s="14" t="str">
        <x:v>ORD-2025-10439</x:v>
      </x:c>
      <x:c r="D150" s="14" t="str">
        <x:v>Date sequence</x:v>
      </x:c>
      <x:c r="E150" s="14" t="str">
        <x:v>ship_date</x:v>
      </x:c>
      <x:c r="F150" s="14" t="str">
        <x:v>05/05/2025</x:v>
      </x:c>
      <x:c r="G150" s="14" t="str">
        <x:v>2025-05-05</x:v>
      </x:c>
      <x:c r="H150" s="14" t="str">
        <x:v>Flagged; not auto-corrected</x:v>
      </x:c>
      <x:c r="I150" s="14" t="str">
        <x:v>Review</x:v>
      </x:c>
      <x:c r="J150" s="14" t="str">
        <x:v>Yes</x:v>
      </x:c>
    </x:row>
    <x:row r="151">
      <x:c r="A151" s="14" t="str">
        <x:v>ISS-0150</x:v>
      </x:c>
      <x:c r="B151" s="14" t="n">
        <x:v>447</x:v>
      </x:c>
      <x:c r="C151" s="14" t="str">
        <x:v>ORD-2024-10446</x:v>
      </x:c>
      <x:c r="D151" s="14" t="str">
        <x:v>Date sequence</x:v>
      </x:c>
      <x:c r="E151" s="14" t="str">
        <x:v>ship_date</x:v>
      </x:c>
      <x:c r="F151" s="14" t="str">
        <x:v>05-05-2024</x:v>
      </x:c>
      <x:c r="G151" s="14" t="str">
        <x:v>2024-05-05</x:v>
      </x:c>
      <x:c r="H151" s="14" t="str">
        <x:v>Flagged; not auto-corrected</x:v>
      </x:c>
      <x:c r="I151" s="14" t="str">
        <x:v>Review</x:v>
      </x:c>
      <x:c r="J151" s="14" t="str">
        <x:v>Yes</x:v>
      </x:c>
    </x:row>
    <x:row r="152">
      <x:c r="A152" s="14" t="str">
        <x:v>ISS-0151</x:v>
      </x:c>
      <x:c r="B152" s="14" t="n">
        <x:v>455</x:v>
      </x:c>
      <x:c r="C152" s="14" t="str">
        <x:v>ORD-2025-10454</x:v>
      </x:c>
      <x:c r="D152" s="14" t="str">
        <x:v>Text standardization</x:v>
      </x:c>
      <x:c r="E152" s="14" t="str">
        <x:v>segment</x:v>
      </x:c>
      <x:c r="F152" s="14" t="str">
        <x:v>  Small Business </x:v>
      </x:c>
      <x:c r="G152" s="14" t="str">
        <x:v>Small Business</x:v>
      </x:c>
      <x:c r="H152" s="14" t="str">
        <x:v>TRIM/SUBSTITUTE whitespace cleanup</x:v>
      </x:c>
      <x:c r="I152" s="14" t="str">
        <x:v>Adjusted</x:v>
      </x:c>
      <x:c r="J152" s="14" t="str">
        <x:v>Yes</x:v>
      </x:c>
    </x:row>
    <x:row r="153">
      <x:c r="A153" s="14" t="str">
        <x:v>ISS-0152</x:v>
      </x:c>
      <x:c r="B153" s="14" t="n">
        <x:v>462</x:v>
      </x:c>
      <x:c r="C153" s="14" t="str">
        <x:v>ORD-2025-10461</x:v>
      </x:c>
      <x:c r="D153" s="14" t="str">
        <x:v>Missing text value</x:v>
      </x:c>
      <x:c r="E153" s="14" t="str">
        <x:v>region</x:v>
      </x:c>
      <x:c r="F153" s="14" t="str">
        <x:v>(blank)</x:v>
      </x:c>
      <x:c r="G153" s="14" t="str">
        <x:v>Unknown</x:v>
      </x:c>
      <x:c r="H153" s="14" t="str">
        <x:v>Missing value filled as Unknown</x:v>
      </x:c>
      <x:c r="I153" s="14" t="str">
        <x:v>Adjusted</x:v>
      </x:c>
      <x:c r="J153" s="14" t="str">
        <x:v>Yes</x:v>
      </x:c>
    </x:row>
    <x:row r="154">
      <x:c r="A154" s="14" t="str">
        <x:v>ISS-0153</x:v>
      </x:c>
      <x:c r="B154" s="14" t="n">
        <x:v>470</x:v>
      </x:c>
      <x:c r="C154" s="14" t="str">
        <x:v>ORD-2025-10469</x:v>
      </x:c>
      <x:c r="D154" s="14" t="str">
        <x:v>Date sequence</x:v>
      </x:c>
      <x:c r="E154" s="14" t="str">
        <x:v>ship_date</x:v>
      </x:c>
      <x:c r="F154" s="14" t="str">
        <x:v>07 Jan 2025</x:v>
      </x:c>
      <x:c r="G154" s="14" t="str">
        <x:v>2025-01-07</x:v>
      </x:c>
      <x:c r="H154" s="14" t="str">
        <x:v>Flagged; not auto-corrected</x:v>
      </x:c>
      <x:c r="I154" s="14" t="str">
        <x:v>Review</x:v>
      </x:c>
      <x:c r="J154" s="14" t="str">
        <x:v>Yes</x:v>
      </x:c>
    </x:row>
    <x:row r="155">
      <x:c r="A155" s="14" t="str">
        <x:v>ISS-0154</x:v>
      </x:c>
      <x:c r="B155" s="14" t="n">
        <x:v>480</x:v>
      </x:c>
      <x:c r="C155" s="14" t="str">
        <x:v>ORD-2024-10479</x:v>
      </x:c>
      <x:c r="D155" s="14" t="str">
        <x:v>Missing text value</x:v>
      </x:c>
      <x:c r="E155" s="14" t="str">
        <x:v>region</x:v>
      </x:c>
      <x:c r="F155" s="14" t="str">
        <x:v>(blank)</x:v>
      </x:c>
      <x:c r="G155" s="14" t="str">
        <x:v>Unknown</x:v>
      </x:c>
      <x:c r="H155" s="14" t="str">
        <x:v>Missing value filled as Unknown</x:v>
      </x:c>
      <x:c r="I155" s="14" t="str">
        <x:v>Adjusted</x:v>
      </x:c>
      <x:c r="J155" s="14" t="str">
        <x:v>Yes</x:v>
      </x:c>
    </x:row>
    <x:row r="156">
      <x:c r="A156" s="14" t="str">
        <x:v>ISS-0155</x:v>
      </x:c>
      <x:c r="B156" s="14" t="n">
        <x:v>481</x:v>
      </x:c>
      <x:c r="C156" s="14" t="str">
        <x:v>ORD-2024-10480</x:v>
      </x:c>
      <x:c r="D156" s="14" t="str">
        <x:v>Date sequence</x:v>
      </x:c>
      <x:c r="E156" s="14" t="str">
        <x:v>ship_date</x:v>
      </x:c>
      <x:c r="F156" s="14" t="str">
        <x:v>2024-02-20</x:v>
      </x:c>
      <x:c r="G156" s="14" t="str">
        <x:v>2024-02-20</x:v>
      </x:c>
      <x:c r="H156" s="14" t="str">
        <x:v>Flagged; not auto-corrected</x:v>
      </x:c>
      <x:c r="I156" s="14" t="str">
        <x:v>Review</x:v>
      </x:c>
      <x:c r="J156" s="14" t="str">
        <x:v>Yes</x:v>
      </x:c>
    </x:row>
    <x:row r="157">
      <x:c r="A157" s="14" t="str">
        <x:v>ISS-0156</x:v>
      </x:c>
      <x:c r="B157" s="14" t="n">
        <x:v>481</x:v>
      </x:c>
      <x:c r="C157" s="14" t="str">
        <x:v>ORD-2024-10480</x:v>
      </x:c>
      <x:c r="D157" s="14" t="str">
        <x:v>Missing discount</x:v>
      </x:c>
      <x:c r="E157" s="14" t="str">
        <x:v>discount</x:v>
      </x:c>
      <x:c r="F157" s="14" t="str">
        <x:v>(blank)</x:v>
      </x:c>
      <x:c r="G157" s="14" t="str">
        <x:v>0</x:v>
      </x:c>
      <x:c r="H157" s="14" t="str">
        <x:v>Imputed 0 because supporting sales fields were present</x:v>
      </x:c>
      <x:c r="I157" s="14" t="str">
        <x:v>Adjusted</x:v>
      </x:c>
      <x:c r="J157" s="14" t="str">
        <x:v>Yes</x:v>
      </x:c>
    </x:row>
    <x:row r="158">
      <x:c r="A158" s="14" t="str">
        <x:v>ISS-0157</x:v>
      </x:c>
      <x:c r="B158" s="14" t="n">
        <x:v>481</x:v>
      </x:c>
      <x:c r="C158" s="14" t="str">
        <x:v>ORD-2024-10480</x:v>
      </x:c>
      <x:c r="D158" s="14" t="str">
        <x:v>Sales calculation mismatch</x:v>
      </x:c>
      <x:c r="E158" s="14" t="str">
        <x:v>sales_raw</x:v>
      </x:c>
      <x:c r="F158" s="14" t="str">
        <x:v>1651.91</x:v>
      </x:c>
      <x:c r="G158" s="14" t="str">
        <x:v>2202.55</x:v>
      </x:c>
      <x:c r="H158" s="14" t="str">
        <x:v>Raw sales does not equal quantity × unit price × (1 − discount)</x:v>
      </x:c>
      <x:c r="I158" s="14" t="str">
        <x:v>Review</x:v>
      </x:c>
      <x:c r="J158" s="14" t="str">
        <x:v>Yes</x:v>
      </x:c>
    </x:row>
    <x:row r="159">
      <x:c r="A159" s="14" t="str">
        <x:v>ISS-0158</x:v>
      </x:c>
      <x:c r="B159" s="14" t="n">
        <x:v>482</x:v>
      </x:c>
      <x:c r="C159" s="14" t="str">
        <x:v>ORD-2025-10481</x:v>
      </x:c>
      <x:c r="D159" s="14" t="str">
        <x:v>Missing text value</x:v>
      </x:c>
      <x:c r="E159" s="14" t="str">
        <x:v>ship_mode</x:v>
      </x:c>
      <x:c r="F159" s="14" t="str">
        <x:v>(blank)</x:v>
      </x:c>
      <x:c r="G159" s="14" t="str">
        <x:v>Unknown</x:v>
      </x:c>
      <x:c r="H159" s="14" t="str">
        <x:v>Missing value filled as Unknown</x:v>
      </x:c>
      <x:c r="I159" s="14" t="str">
        <x:v>Adjusted</x:v>
      </x:c>
      <x:c r="J159" s="14" t="str">
        <x:v>Yes</x:v>
      </x:c>
    </x:row>
    <x:row r="160">
      <x:c r="A160" s="14" t="str">
        <x:v>ISS-0159</x:v>
      </x:c>
      <x:c r="B160" s="14" t="n">
        <x:v>483</x:v>
      </x:c>
      <x:c r="C160" s="14" t="str">
        <x:v>ORD-2025-10482</x:v>
      </x:c>
      <x:c r="D160" s="14" t="str">
        <x:v>Discount format</x:v>
      </x:c>
      <x:c r="E160" s="14" t="str">
        <x:v>discount</x:v>
      </x:c>
      <x:c r="F160" s="14" t="str">
        <x:v>85%</x:v>
      </x:c>
      <x:c r="G160" s="14" t="str">
        <x:v>0.85</x:v>
      </x:c>
      <x:c r="H160" s="14" t="str">
        <x:v>Converted percentage text to decimal</x:v>
      </x:c>
      <x:c r="I160" s="14" t="str">
        <x:v>Adjusted</x:v>
      </x:c>
      <x:c r="J160" s="14" t="str">
        <x:v>Yes</x:v>
      </x:c>
    </x:row>
    <x:row r="161">
      <x:c r="A161" s="14" t="str">
        <x:v>ISS-0160</x:v>
      </x:c>
      <x:c r="B161" s="14" t="n">
        <x:v>483</x:v>
      </x:c>
      <x:c r="C161" s="14" t="str">
        <x:v>ORD-2025-10482</x:v>
      </x:c>
      <x:c r="D161" s="14" t="str">
        <x:v>Invalid discount</x:v>
      </x:c>
      <x:c r="E161" s="14" t="str">
        <x:v>discount</x:v>
      </x:c>
      <x:c r="F161" s="14" t="str">
        <x:v>85%</x:v>
      </x:c>
      <x:c r="G161" s="14" t="str"/>
      <x:c r="H161" s="14" t="str">
        <x:v>Discount over 50%; blanked for analysis pending validation</x:v>
      </x:c>
      <x:c r="I161" s="14" t="str">
        <x:v>Review</x:v>
      </x:c>
      <x:c r="J161" s="14" t="str">
        <x:v>Yes</x:v>
      </x:c>
    </x:row>
    <x:row r="162">
      <x:c r="A162" s="14" t="str">
        <x:v>ISS-0161</x:v>
      </x:c>
      <x:c r="B162" s="14" t="n">
        <x:v>490</x:v>
      </x:c>
      <x:c r="C162" s="14" t="str">
        <x:v>ORD-2024-10489</x:v>
      </x:c>
      <x:c r="D162" s="14" t="str">
        <x:v>Text standardization</x:v>
      </x:c>
      <x:c r="E162" s="14" t="str">
        <x:v>region</x:v>
      </x:c>
      <x:c r="F162" s="14" t="str">
        <x:v>North </x:v>
      </x:c>
      <x:c r="G162" s="14" t="str">
        <x:v>North</x:v>
      </x:c>
      <x:c r="H162" s="14" t="str">
        <x:v>TRIM/SUBSTITUTE whitespace cleanup</x:v>
      </x:c>
      <x:c r="I162" s="14" t="str">
        <x:v>Adjusted</x:v>
      </x:c>
      <x:c r="J162" s="14" t="str">
        <x:v>Yes</x:v>
      </x:c>
    </x:row>
    <x:row r="163">
      <x:c r="A163" s="14" t="str">
        <x:v>ISS-0162</x:v>
      </x:c>
      <x:c r="B163" s="14" t="n">
        <x:v>495</x:v>
      </x:c>
      <x:c r="C163" s="14" t="str">
        <x:v>ORD-2025-10494</x:v>
      </x:c>
      <x:c r="D163" s="14" t="str">
        <x:v>Text standardization</x:v>
      </x:c>
      <x:c r="E163" s="14" t="str">
        <x:v>order_status</x:v>
      </x:c>
      <x:c r="F163" s="14" t="str">
        <x:v>COMPLETED</x:v>
      </x:c>
      <x:c r="G163" s="14" t="str">
        <x:v>Completed</x:v>
      </x:c>
      <x:c r="H163" s="14" t="str">
        <x:v>Case standardization</x:v>
      </x:c>
      <x:c r="I163" s="14" t="str">
        <x:v>Adjusted</x:v>
      </x:c>
      <x:c r="J163" s="14" t="str">
        <x:v>Yes</x:v>
      </x:c>
    </x:row>
    <x:row r="164">
      <x:c r="A164" s="14" t="str">
        <x:v>ISS-0163</x:v>
      </x:c>
      <x:c r="B164" s="14" t="n">
        <x:v>496</x:v>
      </x:c>
      <x:c r="C164" s="14" t="str">
        <x:v>ORD-2024-10495</x:v>
      </x:c>
      <x:c r="D164" s="14" t="str">
        <x:v>Invalid discount</x:v>
      </x:c>
      <x:c r="E164" s="14" t="str">
        <x:v>discount</x:v>
      </x:c>
      <x:c r="F164" s="14" t="str">
        <x:v>-0.13</x:v>
      </x:c>
      <x:c r="G164" s="14" t="str"/>
      <x:c r="H164" s="14" t="str">
        <x:v>Invalid negative discount; blanked for analysis</x:v>
      </x:c>
      <x:c r="I164" s="14" t="str">
        <x:v>Review</x:v>
      </x:c>
      <x:c r="J164" s="14" t="str">
        <x:v>Yes</x:v>
      </x:c>
    </x:row>
    <x:row r="165">
      <x:c r="A165" s="14" t="str">
        <x:v>ISS-0164</x:v>
      </x:c>
      <x:c r="B165" s="14" t="n">
        <x:v>496</x:v>
      </x:c>
      <x:c r="C165" s="14" t="str">
        <x:v>ORD-2024-10495</x:v>
      </x:c>
      <x:c r="D165" s="14" t="str">
        <x:v>Profit calculation mismatch</x:v>
      </x:c>
      <x:c r="E165" s="14" t="str">
        <x:v>profit_raw</x:v>
      </x:c>
      <x:c r="F165" s="14" t="str">
        <x:v>360.66</x:v>
      </x:c>
      <x:c r="G165" s="14" t="str">
        <x:v>143.4</x:v>
      </x:c>
      <x:c r="H165" s="14" t="str">
        <x:v>Raw profit does not equal raw sales − cost</x:v>
      </x:c>
      <x:c r="I165" s="14" t="str">
        <x:v>Review</x:v>
      </x:c>
      <x:c r="J165" s="14" t="str">
        <x:v>Yes</x:v>
      </x:c>
    </x:row>
    <x:row r="166">
      <x:c r="A166" s="14" t="str">
        <x:v>ISS-0165</x:v>
      </x:c>
      <x:c r="B166" s="14" t="n">
        <x:v>499</x:v>
      </x:c>
      <x:c r="C166" s="14" t="str">
        <x:v>ORD-2024-10498</x:v>
      </x:c>
      <x:c r="D166" s="14" t="str">
        <x:v>Text standardization</x:v>
      </x:c>
      <x:c r="E166" s="14" t="str">
        <x:v>region</x:v>
      </x:c>
      <x:c r="F166" s="14" t="str">
        <x:v>NORTH</x:v>
      </x:c>
      <x:c r="G166" s="14" t="str">
        <x:v>North</x:v>
      </x:c>
      <x:c r="H166" s="14" t="str">
        <x:v>Case standardization</x:v>
      </x:c>
      <x:c r="I166" s="14" t="str">
        <x:v>Adjusted</x:v>
      </x:c>
      <x:c r="J166" s="14" t="str">
        <x:v>Yes</x:v>
      </x:c>
    </x:row>
    <x:row r="167">
      <x:c r="A167" s="14" t="str">
        <x:v>ISS-0166</x:v>
      </x:c>
      <x:c r="B167" s="14" t="n">
        <x:v>500</x:v>
      </x:c>
      <x:c r="C167" s="14" t="str">
        <x:v>ORD-2025-10499</x:v>
      </x:c>
      <x:c r="D167" s="14" t="str">
        <x:v>Text standardization</x:v>
      </x:c>
      <x:c r="E167" s="14" t="str">
        <x:v>order_status</x:v>
      </x:c>
      <x:c r="F167" s="14" t="str">
        <x:v>cancelled</x:v>
      </x:c>
      <x:c r="G167" s="14" t="str">
        <x:v>Cancelled</x:v>
      </x:c>
      <x:c r="H167" s="14" t="str">
        <x:v>Case standardization</x:v>
      </x:c>
      <x:c r="I167" s="14" t="str">
        <x:v>Adjusted</x:v>
      </x:c>
      <x:c r="J167" s="14" t="str">
        <x:v>Yes</x:v>
      </x:c>
    </x:row>
    <x:row r="168">
      <x:c r="A168" s="14" t="str">
        <x:v>ISS-0167</x:v>
      </x:c>
      <x:c r="B168" s="14" t="n">
        <x:v>501</x:v>
      </x:c>
      <x:c r="C168" s="14" t="str">
        <x:v>ORD-2024-10500</x:v>
      </x:c>
      <x:c r="D168" s="14" t="str">
        <x:v>Missing discount</x:v>
      </x:c>
      <x:c r="E168" s="14" t="str">
        <x:v>discount</x:v>
      </x:c>
      <x:c r="F168" s="14" t="str">
        <x:v>(blank)</x:v>
      </x:c>
      <x:c r="G168" s="14" t="str">
        <x:v>0</x:v>
      </x:c>
      <x:c r="H168" s="14" t="str">
        <x:v>Imputed 0 because supporting sales fields were present</x:v>
      </x:c>
      <x:c r="I168" s="14" t="str">
        <x:v>Adjusted</x:v>
      </x:c>
      <x:c r="J168" s="14" t="str">
        <x:v>Yes</x:v>
      </x:c>
    </x:row>
    <x:row r="169">
      <x:c r="A169" s="14" t="str">
        <x:v>ISS-0168</x:v>
      </x:c>
      <x:c r="B169" s="14" t="n">
        <x:v>501</x:v>
      </x:c>
      <x:c r="C169" s="14" t="str">
        <x:v>ORD-2024-10500</x:v>
      </x:c>
      <x:c r="D169" s="14" t="str">
        <x:v>Sales calculation mismatch</x:v>
      </x:c>
      <x:c r="E169" s="14" t="str">
        <x:v>sales_raw</x:v>
      </x:c>
      <x:c r="F169" s="14" t="str">
        <x:v>7498.37</x:v>
      </x:c>
      <x:c r="G169" s="14" t="str">
        <x:v>9997.83</x:v>
      </x:c>
      <x:c r="H169" s="14" t="str">
        <x:v>Raw sales does not equal quantity × unit price × (1 − discount)</x:v>
      </x:c>
      <x:c r="I169" s="14" t="str">
        <x:v>Review</x:v>
      </x:c>
      <x:c r="J169" s="14" t="str">
        <x:v>Yes</x:v>
      </x:c>
    </x:row>
    <x:row r="170">
      <x:c r="A170" s="14" t="str">
        <x:v>ISS-0169</x:v>
      </x:c>
      <x:c r="B170" s="14" t="n">
        <x:v>502</x:v>
      </x:c>
      <x:c r="C170" s="14" t="str">
        <x:v>ORD-2024-10501</x:v>
      </x:c>
      <x:c r="D170" s="14" t="str">
        <x:v>Discount format</x:v>
      </x:c>
      <x:c r="E170" s="14" t="str">
        <x:v>discount</x:v>
      </x:c>
      <x:c r="F170" s="14" t="str">
        <x:v>85%</x:v>
      </x:c>
      <x:c r="G170" s="14" t="str">
        <x:v>0.85</x:v>
      </x:c>
      <x:c r="H170" s="14" t="str">
        <x:v>Converted percentage text to decimal</x:v>
      </x:c>
      <x:c r="I170" s="14" t="str">
        <x:v>Adjusted</x:v>
      </x:c>
      <x:c r="J170" s="14" t="str">
        <x:v>Yes</x:v>
      </x:c>
    </x:row>
    <x:row r="171">
      <x:c r="A171" s="14" t="str">
        <x:v>ISS-0170</x:v>
      </x:c>
      <x:c r="B171" s="14" t="n">
        <x:v>502</x:v>
      </x:c>
      <x:c r="C171" s="14" t="str">
        <x:v>ORD-2024-10501</x:v>
      </x:c>
      <x:c r="D171" s="14" t="str">
        <x:v>Invalid discount</x:v>
      </x:c>
      <x:c r="E171" s="14" t="str">
        <x:v>discount</x:v>
      </x:c>
      <x:c r="F171" s="14" t="str">
        <x:v>85%</x:v>
      </x:c>
      <x:c r="G171" s="14" t="str"/>
      <x:c r="H171" s="14" t="str">
        <x:v>Discount over 50%; blanked for analysis pending validation</x:v>
      </x:c>
      <x:c r="I171" s="14" t="str">
        <x:v>Review</x:v>
      </x:c>
      <x:c r="J171" s="14" t="str">
        <x:v>Yes</x:v>
      </x:c>
    </x:row>
    <x:row r="172">
      <x:c r="A172" s="14" t="str">
        <x:v>ISS-0171</x:v>
      </x:c>
      <x:c r="B172" s="14" t="n">
        <x:v>504</x:v>
      </x:c>
      <x:c r="C172" s="14" t="str">
        <x:v>ORD-2024-10503</x:v>
      </x:c>
      <x:c r="D172" s="14" t="str">
        <x:v>Text standardization</x:v>
      </x:c>
      <x:c r="E172" s="14" t="str">
        <x:v>region</x:v>
      </x:c>
      <x:c r="F172" s="14" t="str">
        <x:v>  East </x:v>
      </x:c>
      <x:c r="G172" s="14" t="str">
        <x:v>East</x:v>
      </x:c>
      <x:c r="H172" s="14" t="str">
        <x:v>TRIM/SUBSTITUTE whitespace cleanup</x:v>
      </x:c>
      <x:c r="I172" s="14" t="str">
        <x:v>Adjusted</x:v>
      </x:c>
      <x:c r="J172" s="14" t="str">
        <x:v>Yes</x:v>
      </x:c>
    </x:row>
    <x:row r="173">
      <x:c r="A173" s="14" t="str">
        <x:v>ISS-0172</x:v>
      </x:c>
      <x:c r="B173" s="14" t="n">
        <x:v>512</x:v>
      </x:c>
      <x:c r="C173" s="14" t="str">
        <x:v>ORD-2024-10511</x:v>
      </x:c>
      <x:c r="D173" s="14" t="str">
        <x:v>Text standardization</x:v>
      </x:c>
      <x:c r="E173" s="14" t="str">
        <x:v>customer_name</x:v>
      </x:c>
      <x:c r="F173" s="14" t="str">
        <x:v>Aarav  Sharma</x:v>
      </x:c>
      <x:c r="G173" s="14" t="str">
        <x:v>Aarav Sharma</x:v>
      </x:c>
      <x:c r="H173" s="14" t="str">
        <x:v>TRIM/SUBSTITUTE whitespace cleanup</x:v>
      </x:c>
      <x:c r="I173" s="14" t="str">
        <x:v>Adjusted</x:v>
      </x:c>
      <x:c r="J173" s="14" t="str">
        <x:v>Yes</x:v>
      </x:c>
    </x:row>
    <x:row r="174">
      <x:c r="A174" s="14" t="str">
        <x:v>ISS-0173</x:v>
      </x:c>
      <x:c r="B174" s="14" t="n">
        <x:v>515</x:v>
      </x:c>
      <x:c r="C174" s="14" t="str">
        <x:v>ORD-2025-10514</x:v>
      </x:c>
      <x:c r="D174" s="14" t="str">
        <x:v>Text standardization</x:v>
      </x:c>
      <x:c r="E174" s="14" t="str">
        <x:v>sub_category</x:v>
      </x:c>
      <x:c r="F174" s="14" t="str">
        <x:v>Accessories </x:v>
      </x:c>
      <x:c r="G174" s="14" t="str">
        <x:v>Accessories</x:v>
      </x:c>
      <x:c r="H174" s="14" t="str">
        <x:v>TRIM/SUBSTITUTE whitespace cleanup</x:v>
      </x:c>
      <x:c r="I174" s="14" t="str">
        <x:v>Adjusted</x:v>
      </x:c>
      <x:c r="J174" s="14" t="str">
        <x:v>Yes</x:v>
      </x:c>
    </x:row>
    <x:row r="175">
      <x:c r="A175" s="14" t="str">
        <x:v>ISS-0174</x:v>
      </x:c>
      <x:c r="B175" s="14" t="n">
        <x:v>515</x:v>
      </x:c>
      <x:c r="C175" s="14" t="str">
        <x:v>ORD-2025-10514</x:v>
      </x:c>
      <x:c r="D175" s="14" t="str">
        <x:v>Sales calculation mismatch</x:v>
      </x:c>
      <x:c r="E175" s="14" t="str">
        <x:v>sales_raw</x:v>
      </x:c>
      <x:c r="F175" s="14" t="str">
        <x:v>6212.38</x:v>
      </x:c>
      <x:c r="G175" s="14" t="str">
        <x:v>5937.25</x:v>
      </x:c>
      <x:c r="H175" s="14" t="str">
        <x:v>Raw sales does not equal quantity × unit price × (1 − discount)</x:v>
      </x:c>
      <x:c r="I175" s="14" t="str">
        <x:v>Review</x:v>
      </x:c>
      <x:c r="J175" s="14" t="str">
        <x:v>Yes</x:v>
      </x:c>
    </x:row>
    <x:row r="176">
      <x:c r="A176" s="14" t="str">
        <x:v>ISS-0175</x:v>
      </x:c>
      <x:c r="B176" s="14" t="n">
        <x:v>515</x:v>
      </x:c>
      <x:c r="C176" s="14" t="str">
        <x:v>ORD-2025-10514</x:v>
      </x:c>
      <x:c r="D176" s="14" t="str">
        <x:v>Profit calculation mismatch</x:v>
      </x:c>
      <x:c r="E176" s="14" t="str">
        <x:v>profit_raw</x:v>
      </x:c>
      <x:c r="F176" s="14" t="str">
        <x:v>1848.79</x:v>
      </x:c>
      <x:c r="G176" s="14" t="str">
        <x:v>2123.92</x:v>
      </x:c>
      <x:c r="H176" s="14" t="str">
        <x:v>Raw profit does not equal raw sales − cost</x:v>
      </x:c>
      <x:c r="I176" s="14" t="str">
        <x:v>Review</x:v>
      </x:c>
      <x:c r="J176" s="14" t="str">
        <x:v>Yes</x:v>
      </x:c>
    </x:row>
    <x:row r="177">
      <x:c r="A177" s="14" t="str">
        <x:v>ISS-0176</x:v>
      </x:c>
      <x:c r="B177" s="14" t="n">
        <x:v>517</x:v>
      </x:c>
      <x:c r="C177" s="14" t="str">
        <x:v>ORD-2025-10516</x:v>
      </x:c>
      <x:c r="D177" s="14" t="str">
        <x:v>Invalid discount</x:v>
      </x:c>
      <x:c r="E177" s="14" t="str">
        <x:v>discount</x:v>
      </x:c>
      <x:c r="F177" s="14" t="str">
        <x:v>-0.07</x:v>
      </x:c>
      <x:c r="G177" s="14" t="str"/>
      <x:c r="H177" s="14" t="str">
        <x:v>Invalid negative discount; blanked for analysis</x:v>
      </x:c>
      <x:c r="I177" s="14" t="str">
        <x:v>Review</x:v>
      </x:c>
      <x:c r="J177" s="14" t="str">
        <x:v>Yes</x:v>
      </x:c>
    </x:row>
    <x:row r="178">
      <x:c r="A178" s="14" t="str">
        <x:v>ISS-0177</x:v>
      </x:c>
      <x:c r="B178" s="14" t="n">
        <x:v>520</x:v>
      </x:c>
      <x:c r="C178" s="14" t="str">
        <x:v>ORD-2025-10519</x:v>
      </x:c>
      <x:c r="D178" s="14" t="str">
        <x:v>Date sequence</x:v>
      </x:c>
      <x:c r="E178" s="14" t="str">
        <x:v>ship_date</x:v>
      </x:c>
      <x:c r="F178" s="14" t="str">
        <x:v>26 Apr 2025</x:v>
      </x:c>
      <x:c r="G178" s="14" t="str">
        <x:v>2025-04-26</x:v>
      </x:c>
      <x:c r="H178" s="14" t="str">
        <x:v>Flagged; not auto-corrected</x:v>
      </x:c>
      <x:c r="I178" s="14" t="str">
        <x:v>Review</x:v>
      </x:c>
      <x:c r="J178" s="14" t="str">
        <x:v>Yes</x:v>
      </x:c>
    </x:row>
    <x:row r="179">
      <x:c r="A179" s="14" t="str">
        <x:v>ISS-0178</x:v>
      </x:c>
      <x:c r="B179" s="14" t="n">
        <x:v>528</x:v>
      </x:c>
      <x:c r="C179" s="14" t="str">
        <x:v>ORD-2025-10527</x:v>
      </x:c>
      <x:c r="D179" s="14" t="str">
        <x:v>Missing discount</x:v>
      </x:c>
      <x:c r="E179" s="14" t="str">
        <x:v>discount</x:v>
      </x:c>
      <x:c r="F179" s="14" t="str">
        <x:v>(blank)</x:v>
      </x:c>
      <x:c r="G179" s="14" t="str">
        <x:v>0</x:v>
      </x:c>
      <x:c r="H179" s="14" t="str">
        <x:v>Imputed 0 because supporting sales fields were present</x:v>
      </x:c>
      <x:c r="I179" s="14" t="str">
        <x:v>Adjusted</x:v>
      </x:c>
      <x:c r="J179" s="14" t="str">
        <x:v>Yes</x:v>
      </x:c>
    </x:row>
    <x:row r="180">
      <x:c r="A180" s="14" t="str">
        <x:v>ISS-0179</x:v>
      </x:c>
      <x:c r="B180" s="14" t="n">
        <x:v>528</x:v>
      </x:c>
      <x:c r="C180" s="14" t="str">
        <x:v>ORD-2025-10527</x:v>
      </x:c>
      <x:c r="D180" s="14" t="str">
        <x:v>Sales calculation mismatch</x:v>
      </x:c>
      <x:c r="E180" s="14" t="str">
        <x:v>sales_raw</x:v>
      </x:c>
      <x:c r="F180" s="14" t="str">
        <x:v>908.93</x:v>
      </x:c>
      <x:c r="G180" s="14" t="str">
        <x:v>1136.16</x:v>
      </x:c>
      <x:c r="H180" s="14" t="str">
        <x:v>Raw sales does not equal quantity × unit price × (1 − discount)</x:v>
      </x:c>
      <x:c r="I180" s="14" t="str">
        <x:v>Review</x:v>
      </x:c>
      <x:c r="J180" s="14" t="str">
        <x:v>Yes</x:v>
      </x:c>
    </x:row>
    <x:row r="181">
      <x:c r="A181" s="14" t="str">
        <x:v>ISS-0180</x:v>
      </x:c>
      <x:c r="B181" s="14" t="n">
        <x:v>533</x:v>
      </x:c>
      <x:c r="C181" s="14" t="str">
        <x:v>ORD-2024-10532</x:v>
      </x:c>
      <x:c r="D181" s="14" t="str">
        <x:v>Missing text value</x:v>
      </x:c>
      <x:c r="E181" s="14" t="str">
        <x:v>ship_mode</x:v>
      </x:c>
      <x:c r="F181" s="14" t="str">
        <x:v>(blank)</x:v>
      </x:c>
      <x:c r="G181" s="14" t="str">
        <x:v>Unknown</x:v>
      </x:c>
      <x:c r="H181" s="14" t="str">
        <x:v>Missing value filled as Unknown</x:v>
      </x:c>
      <x:c r="I181" s="14" t="str">
        <x:v>Adjusted</x:v>
      </x:c>
      <x:c r="J181" s="14" t="str">
        <x:v>Yes</x:v>
      </x:c>
    </x:row>
    <x:row r="182">
      <x:c r="A182" s="14" t="str">
        <x:v>ISS-0181</x:v>
      </x:c>
      <x:c r="B182" s="14" t="n">
        <x:v>535</x:v>
      </x:c>
      <x:c r="C182" s="14" t="str">
        <x:v>ORD-2024-10534</x:v>
      </x:c>
      <x:c r="D182" s="14" t="str">
        <x:v>Profit calculation mismatch</x:v>
      </x:c>
      <x:c r="E182" s="14" t="str">
        <x:v>profit_raw</x:v>
      </x:c>
      <x:c r="F182" s="14" t="str">
        <x:v>430.45</x:v>
      </x:c>
      <x:c r="G182" s="14" t="str">
        <x:v>41.37</x:v>
      </x:c>
      <x:c r="H182" s="14" t="str">
        <x:v>Raw profit does not equal raw sales − cost</x:v>
      </x:c>
      <x:c r="I182" s="14" t="str">
        <x:v>Review</x:v>
      </x:c>
      <x:c r="J182" s="14" t="str">
        <x:v>Yes</x:v>
      </x:c>
    </x:row>
    <x:row r="183">
      <x:c r="A183" s="14" t="str">
        <x:v>ISS-0182</x:v>
      </x:c>
      <x:c r="B183" s="14" t="n">
        <x:v>541</x:v>
      </x:c>
      <x:c r="C183" s="14" t="str">
        <x:v>ORD-2025-10540</x:v>
      </x:c>
      <x:c r="D183" s="14" t="str">
        <x:v>Text standardization</x:v>
      </x:c>
      <x:c r="E183" s="14" t="str">
        <x:v>customer_name</x:v>
      </x:c>
      <x:c r="F183" s="14" t="str">
        <x:v>mira das</x:v>
      </x:c>
      <x:c r="G183" s="14" t="str">
        <x:v>Mira Das</x:v>
      </x:c>
      <x:c r="H183" s="14" t="str">
        <x:v>Case standardization</x:v>
      </x:c>
      <x:c r="I183" s="14" t="str">
        <x:v>Adjusted</x:v>
      </x:c>
      <x:c r="J183" s="14" t="str">
        <x:v>Yes</x:v>
      </x:c>
    </x:row>
    <x:row r="184">
      <x:c r="A184" s="14" t="str">
        <x:v>ISS-0183</x:v>
      </x:c>
      <x:c r="B184" s="14" t="n">
        <x:v>542</x:v>
      </x:c>
      <x:c r="C184" s="14" t="str">
        <x:v>ORD-2024-10541</x:v>
      </x:c>
      <x:c r="D184" s="14" t="str">
        <x:v>Date sequence</x:v>
      </x:c>
      <x:c r="E184" s="14" t="str">
        <x:v>ship_date</x:v>
      </x:c>
      <x:c r="F184" s="14" t="str">
        <x:v>23 Feb 2024</x:v>
      </x:c>
      <x:c r="G184" s="14" t="str">
        <x:v>2024-02-23</x:v>
      </x:c>
      <x:c r="H184" s="14" t="str">
        <x:v>Flagged; not auto-corrected</x:v>
      </x:c>
      <x:c r="I184" s="14" t="str">
        <x:v>Review</x:v>
      </x:c>
      <x:c r="J184" s="14" t="str">
        <x:v>Yes</x:v>
      </x:c>
    </x:row>
    <x:row r="185">
      <x:c r="A185" s="14" t="str">
        <x:v>ISS-0184</x:v>
      </x:c>
      <x:c r="B185" s="14" t="n">
        <x:v>544</x:v>
      </x:c>
      <x:c r="C185" s="14" t="str">
        <x:v>ORD-2024-10543</x:v>
      </x:c>
      <x:c r="D185" s="14" t="str">
        <x:v>Text standardization</x:v>
      </x:c>
      <x:c r="E185" s="14" t="str">
        <x:v>order_status</x:v>
      </x:c>
      <x:c r="F185" s="14" t="str">
        <x:v>CANCELLED</x:v>
      </x:c>
      <x:c r="G185" s="14" t="str">
        <x:v>Cancelled</x:v>
      </x:c>
      <x:c r="H185" s="14" t="str">
        <x:v>Case standardization</x:v>
      </x:c>
      <x:c r="I185" s="14" t="str">
        <x:v>Adjusted</x:v>
      </x:c>
      <x:c r="J185" s="14" t="str">
        <x:v>Yes</x:v>
      </x:c>
    </x:row>
    <x:row r="186">
      <x:c r="A186" s="14" t="str">
        <x:v>ISS-0185</x:v>
      </x:c>
      <x:c r="B186" s="14" t="n">
        <x:v>544</x:v>
      </x:c>
      <x:c r="C186" s="14" t="str">
        <x:v>ORD-2024-10543</x:v>
      </x:c>
      <x:c r="D186" s="14" t="str">
        <x:v>Sales calculation mismatch</x:v>
      </x:c>
      <x:c r="E186" s="14" t="str">
        <x:v>sales_raw</x:v>
      </x:c>
      <x:c r="F186" s="14" t="str">
        <x:v>9988.53</x:v>
      </x:c>
      <x:c r="G186" s="14" t="str">
        <x:v>9762.29</x:v>
      </x:c>
      <x:c r="H186" s="14" t="str">
        <x:v>Raw sales does not equal quantity × unit price × (1 − discount)</x:v>
      </x:c>
      <x:c r="I186" s="14" t="str">
        <x:v>Review</x:v>
      </x:c>
      <x:c r="J186" s="14" t="str">
        <x:v>Yes</x:v>
      </x:c>
    </x:row>
    <x:row r="187">
      <x:c r="A187" s="14" t="str">
        <x:v>ISS-0186</x:v>
      </x:c>
      <x:c r="B187" s="14" t="n">
        <x:v>544</x:v>
      </x:c>
      <x:c r="C187" s="14" t="str">
        <x:v>ORD-2024-10543</x:v>
      </x:c>
      <x:c r="D187" s="14" t="str">
        <x:v>Profit calculation mismatch</x:v>
      </x:c>
      <x:c r="E187" s="14" t="str">
        <x:v>profit_raw</x:v>
      </x:c>
      <x:c r="F187" s="14" t="str">
        <x:v>1394.05</x:v>
      </x:c>
      <x:c r="G187" s="14" t="str">
        <x:v>1620.29</x:v>
      </x:c>
      <x:c r="H187" s="14" t="str">
        <x:v>Raw profit does not equal raw sales − cost</x:v>
      </x:c>
      <x:c r="I187" s="14" t="str">
        <x:v>Review</x:v>
      </x:c>
      <x:c r="J187" s="14" t="str">
        <x:v>Yes</x:v>
      </x:c>
    </x:row>
    <x:row r="188">
      <x:c r="A188" s="14" t="str">
        <x:v>ISS-0187</x:v>
      </x:c>
      <x:c r="B188" s="14" t="n">
        <x:v>548</x:v>
      </x:c>
      <x:c r="C188" s="14" t="str">
        <x:v>ORD-2025-10547</x:v>
      </x:c>
      <x:c r="D188" s="14" t="str">
        <x:v>Text standardization</x:v>
      </x:c>
      <x:c r="E188" s="14" t="str">
        <x:v>category</x:v>
      </x:c>
      <x:c r="F188" s="14" t="str">
        <x:v>office supplies</x:v>
      </x:c>
      <x:c r="G188" s="14" t="str">
        <x:v>Office Supplies</x:v>
      </x:c>
      <x:c r="H188" s="14" t="str">
        <x:v>Case standardization</x:v>
      </x:c>
      <x:c r="I188" s="14" t="str">
        <x:v>Adjusted</x:v>
      </x:c>
      <x:c r="J188" s="14" t="str">
        <x:v>Yes</x:v>
      </x:c>
    </x:row>
    <x:row r="189">
      <x:c r="A189" s="14" t="str">
        <x:v>ISS-0188</x:v>
      </x:c>
      <x:c r="B189" s="14" t="n">
        <x:v>548</x:v>
      </x:c>
      <x:c r="C189" s="14" t="str">
        <x:v>ORD-2025-10547</x:v>
      </x:c>
      <x:c r="D189" s="14" t="str">
        <x:v>Profit calculation mismatch</x:v>
      </x:c>
      <x:c r="E189" s="14" t="str">
        <x:v>profit_raw</x:v>
      </x:c>
      <x:c r="F189" s="14" t="str">
        <x:v>4395.17</x:v>
      </x:c>
      <x:c r="G189" s="14" t="str">
        <x:v>3944.88</x:v>
      </x:c>
      <x:c r="H189" s="14" t="str">
        <x:v>Raw profit does not equal raw sales − cost</x:v>
      </x:c>
      <x:c r="I189" s="14" t="str">
        <x:v>Review</x:v>
      </x:c>
      <x:c r="J189" s="14" t="str">
        <x:v>Yes</x:v>
      </x:c>
    </x:row>
    <x:row r="190">
      <x:c r="A190" s="14" t="str">
        <x:v>ISS-0189</x:v>
      </x:c>
      <x:c r="B190" s="14" t="n">
        <x:v>554</x:v>
      </x:c>
      <x:c r="C190" s="14" t="str">
        <x:v>ORD-2025-10553</x:v>
      </x:c>
      <x:c r="D190" s="14" t="str">
        <x:v>Discount format</x:v>
      </x:c>
      <x:c r="E190" s="14" t="str">
        <x:v>discount</x:v>
      </x:c>
      <x:c r="F190" s="14" t="str">
        <x:v>70%</x:v>
      </x:c>
      <x:c r="G190" s="14" t="str">
        <x:v>0.7</x:v>
      </x:c>
      <x:c r="H190" s="14" t="str">
        <x:v>Converted percentage text to decimal</x:v>
      </x:c>
      <x:c r="I190" s="14" t="str">
        <x:v>Adjusted</x:v>
      </x:c>
      <x:c r="J190" s="14" t="str">
        <x:v>Yes</x:v>
      </x:c>
    </x:row>
    <x:row r="191">
      <x:c r="A191" s="14" t="str">
        <x:v>ISS-0190</x:v>
      </x:c>
      <x:c r="B191" s="14" t="n">
        <x:v>554</x:v>
      </x:c>
      <x:c r="C191" s="14" t="str">
        <x:v>ORD-2025-10553</x:v>
      </x:c>
      <x:c r="D191" s="14" t="str">
        <x:v>Invalid discount</x:v>
      </x:c>
      <x:c r="E191" s="14" t="str">
        <x:v>discount</x:v>
      </x:c>
      <x:c r="F191" s="14" t="str">
        <x:v>70%</x:v>
      </x:c>
      <x:c r="G191" s="14" t="str"/>
      <x:c r="H191" s="14" t="str">
        <x:v>Discount over 50%; blanked for analysis pending validation</x:v>
      </x:c>
      <x:c r="I191" s="14" t="str">
        <x:v>Review</x:v>
      </x:c>
      <x:c r="J191" s="14" t="str">
        <x:v>Yes</x:v>
      </x:c>
    </x:row>
    <x:row r="192">
      <x:c r="A192" s="14" t="str">
        <x:v>ISS-0191</x:v>
      </x:c>
      <x:c r="B192" s="14" t="n">
        <x:v>556</x:v>
      </x:c>
      <x:c r="C192" s="14" t="str">
        <x:v>ORD-2024-10555</x:v>
      </x:c>
      <x:c r="D192" s="14" t="str">
        <x:v>Missing text value</x:v>
      </x:c>
      <x:c r="E192" s="14" t="str">
        <x:v>region</x:v>
      </x:c>
      <x:c r="F192" s="14" t="str">
        <x:v>(blank)</x:v>
      </x:c>
      <x:c r="G192" s="14" t="str">
        <x:v>Unknown</x:v>
      </x:c>
      <x:c r="H192" s="14" t="str">
        <x:v>Missing value filled as Unknown</x:v>
      </x:c>
      <x:c r="I192" s="14" t="str">
        <x:v>Adjusted</x:v>
      </x:c>
      <x:c r="J192" s="14" t="str">
        <x:v>Yes</x:v>
      </x:c>
    </x:row>
    <x:row r="193">
      <x:c r="A193" s="14" t="str">
        <x:v>ISS-0192</x:v>
      </x:c>
      <x:c r="B193" s="14" t="n">
        <x:v>558</x:v>
      </x:c>
      <x:c r="C193" s="14" t="str">
        <x:v>ORD-2024-10557</x:v>
      </x:c>
      <x:c r="D193" s="14" t="str">
        <x:v>Profit calculation mismatch</x:v>
      </x:c>
      <x:c r="E193" s="14" t="str">
        <x:v>profit_raw</x:v>
      </x:c>
      <x:c r="F193" s="14" t="str">
        <x:v>1816.23</x:v>
      </x:c>
      <x:c r="G193" s="14" t="str">
        <x:v>1391.46</x:v>
      </x:c>
      <x:c r="H193" s="14" t="str">
        <x:v>Raw profit does not equal raw sales − cost</x:v>
      </x:c>
      <x:c r="I193" s="14" t="str">
        <x:v>Review</x:v>
      </x:c>
      <x:c r="J193" s="14" t="str">
        <x:v>Yes</x:v>
      </x:c>
    </x:row>
    <x:row r="194">
      <x:c r="A194" s="14" t="str">
        <x:v>ISS-0193</x:v>
      </x:c>
      <x:c r="B194" s="14" t="n">
        <x:v>573</x:v>
      </x:c>
      <x:c r="C194" s="14" t="str">
        <x:v>ORD-2025-10572</x:v>
      </x:c>
      <x:c r="D194" s="14" t="str">
        <x:v>Missing text value</x:v>
      </x:c>
      <x:c r="E194" s="14" t="str">
        <x:v>ship_mode</x:v>
      </x:c>
      <x:c r="F194" s="14" t="str">
        <x:v>(blank)</x:v>
      </x:c>
      <x:c r="G194" s="14" t="str">
        <x:v>Unknown</x:v>
      </x:c>
      <x:c r="H194" s="14" t="str">
        <x:v>Missing value filled as Unknown</x:v>
      </x:c>
      <x:c r="I194" s="14" t="str">
        <x:v>Adjusted</x:v>
      </x:c>
      <x:c r="J194" s="14" t="str">
        <x:v>Yes</x:v>
      </x:c>
    </x:row>
    <x:row r="195">
      <x:c r="A195" s="14" t="str">
        <x:v>ISS-0194</x:v>
      </x:c>
      <x:c r="B195" s="14" t="n">
        <x:v>573</x:v>
      </x:c>
      <x:c r="C195" s="14" t="str">
        <x:v>ORD-2025-10572</x:v>
      </x:c>
      <x:c r="D195" s="14" t="str">
        <x:v>Conflicting duplicate ID</x:v>
      </x:c>
      <x:c r="E195" s="14" t="str">
        <x:v>order_id</x:v>
      </x:c>
      <x:c r="F195" s="14" t="str">
        <x:v>ORD-2025-10572</x:v>
      </x:c>
      <x:c r="G195" s="14" t="str">
        <x:v>ORD-2025-10572</x:v>
      </x:c>
      <x:c r="H195" s="14" t="str">
        <x:v>Same order ID appears in multiple non-identical records; retained for review</x:v>
      </x:c>
      <x:c r="I195" s="14" t="str">
        <x:v>Review</x:v>
      </x:c>
      <x:c r="J195" s="14" t="str">
        <x:v>Yes</x:v>
      </x:c>
    </x:row>
    <x:row r="196">
      <x:c r="A196" s="14" t="str">
        <x:v>ISS-0195</x:v>
      </x:c>
      <x:c r="B196" s="14" t="n">
        <x:v>574</x:v>
      </x:c>
      <x:c r="C196" s="14" t="str">
        <x:v>ORD-2024-10573</x:v>
      </x:c>
      <x:c r="D196" s="14" t="str">
        <x:v>Text standardization</x:v>
      </x:c>
      <x:c r="E196" s="14" t="str">
        <x:v>customer_name</x:v>
      </x:c>
      <x:c r="F196" s="14" t="str">
        <x:v>  Diya Patel </x:v>
      </x:c>
      <x:c r="G196" s="14" t="str">
        <x:v>Diya Patel</x:v>
      </x:c>
      <x:c r="H196" s="14" t="str">
        <x:v>TRIM/SUBSTITUTE whitespace cleanup</x:v>
      </x:c>
      <x:c r="I196" s="14" t="str">
        <x:v>Adjusted</x:v>
      </x:c>
      <x:c r="J196" s="14" t="str">
        <x:v>Yes</x:v>
      </x:c>
    </x:row>
    <x:row r="197">
      <x:c r="A197" s="14" t="str">
        <x:v>ISS-0196</x:v>
      </x:c>
      <x:c r="B197" s="14" t="n">
        <x:v>578</x:v>
      </x:c>
      <x:c r="C197" s="14" t="str">
        <x:v>ORD-2024-10577</x:v>
      </x:c>
      <x:c r="D197" s="14" t="str">
        <x:v>Missing text value</x:v>
      </x:c>
      <x:c r="E197" s="14" t="str">
        <x:v>region</x:v>
      </x:c>
      <x:c r="F197" s="14" t="str">
        <x:v>(blank)</x:v>
      </x:c>
      <x:c r="G197" s="14" t="str">
        <x:v>Unknown</x:v>
      </x:c>
      <x:c r="H197" s="14" t="str">
        <x:v>Missing value filled as Unknown</x:v>
      </x:c>
      <x:c r="I197" s="14" t="str">
        <x:v>Adjusted</x:v>
      </x:c>
      <x:c r="J197" s="14" t="str">
        <x:v>Yes</x:v>
      </x:c>
    </x:row>
    <x:row r="198">
      <x:c r="A198" s="14" t="str">
        <x:v>ISS-0197</x:v>
      </x:c>
      <x:c r="B198" s="14" t="n">
        <x:v>587</x:v>
      </x:c>
      <x:c r="C198" s="14" t="str">
        <x:v>ORD-2025-10586</x:v>
      </x:c>
      <x:c r="D198" s="14" t="str">
        <x:v>Text standardization</x:v>
      </x:c>
      <x:c r="E198" s="14" t="str">
        <x:v>region</x:v>
      </x:c>
      <x:c r="F198" s="14" t="str">
        <x:v>WEST</x:v>
      </x:c>
      <x:c r="G198" s="14" t="str">
        <x:v>West</x:v>
      </x:c>
      <x:c r="H198" s="14" t="str">
        <x:v>Case standardization</x:v>
      </x:c>
      <x:c r="I198" s="14" t="str">
        <x:v>Adjusted</x:v>
      </x:c>
      <x:c r="J198" s="14" t="str">
        <x:v>Yes</x:v>
      </x:c>
    </x:row>
    <x:row r="199">
      <x:c r="A199" s="14" t="str">
        <x:v>ISS-0198</x:v>
      </x:c>
      <x:c r="B199" s="14" t="n">
        <x:v>592</x:v>
      </x:c>
      <x:c r="C199" s="14" t="str">
        <x:v>ORD-2024-10591</x:v>
      </x:c>
      <x:c r="D199" s="14" t="str">
        <x:v>Text standardization</x:v>
      </x:c>
      <x:c r="E199" s="14" t="str">
        <x:v>payment_status</x:v>
      </x:c>
      <x:c r="F199" s="14" t="str">
        <x:v>  Pending </x:v>
      </x:c>
      <x:c r="G199" s="14" t="str">
        <x:v>Pending</x:v>
      </x:c>
      <x:c r="H199" s="14" t="str">
        <x:v>TRIM/SUBSTITUTE whitespace cleanup</x:v>
      </x:c>
      <x:c r="I199" s="14" t="str">
        <x:v>Adjusted</x:v>
      </x:c>
      <x:c r="J199" s="14" t="str">
        <x:v>Yes</x:v>
      </x:c>
    </x:row>
    <x:row r="200">
      <x:c r="A200" s="14" t="str">
        <x:v>ISS-0199</x:v>
      </x:c>
      <x:c r="B200" s="14" t="n">
        <x:v>602</x:v>
      </x:c>
      <x:c r="C200" s="14" t="str">
        <x:v>ORD-2025-10601</x:v>
      </x:c>
      <x:c r="D200" s="14" t="str">
        <x:v>Missing discount</x:v>
      </x:c>
      <x:c r="E200" s="14" t="str">
        <x:v>discount</x:v>
      </x:c>
      <x:c r="F200" s="14" t="str">
        <x:v>(blank)</x:v>
      </x:c>
      <x:c r="G200" s="14" t="str">
        <x:v>0</x:v>
      </x:c>
      <x:c r="H200" s="14" t="str">
        <x:v>Imputed 0 because supporting sales fields were present</x:v>
      </x:c>
      <x:c r="I200" s="14" t="str">
        <x:v>Adjusted</x:v>
      </x:c>
      <x:c r="J200" s="14" t="str">
        <x:v>Yes</x:v>
      </x:c>
    </x:row>
    <x:row r="201">
      <x:c r="A201" s="14" t="str">
        <x:v>ISS-0200</x:v>
      </x:c>
      <x:c r="B201" s="14" t="n">
        <x:v>605</x:v>
      </x:c>
      <x:c r="C201" s="14" t="str">
        <x:v>ORD-2025-10604</x:v>
      </x:c>
      <x:c r="D201" s="14" t="str">
        <x:v>Text standardization</x:v>
      </x:c>
      <x:c r="E201" s="14" t="str">
        <x:v>category</x:v>
      </x:c>
      <x:c r="F201" s="14" t="str">
        <x:v>Technology </x:v>
      </x:c>
      <x:c r="G201" s="14" t="str">
        <x:v>Technology</x:v>
      </x:c>
      <x:c r="H201" s="14" t="str">
        <x:v>TRIM/SUBSTITUTE whitespace cleanup</x:v>
      </x:c>
      <x:c r="I201" s="14" t="str">
        <x:v>Adjusted</x:v>
      </x:c>
      <x:c r="J201" s="14" t="str">
        <x:v>Yes</x:v>
      </x:c>
    </x:row>
    <x:row r="202">
      <x:c r="A202" s="14" t="str">
        <x:v>ISS-0201</x:v>
      </x:c>
      <x:c r="B202" s="14" t="n">
        <x:v>607</x:v>
      </x:c>
      <x:c r="C202" s="14" t="str">
        <x:v>ORD-2025-10606</x:v>
      </x:c>
      <x:c r="D202" s="14" t="str">
        <x:v>Discount format</x:v>
      </x:c>
      <x:c r="E202" s="14" t="str">
        <x:v>discount</x:v>
      </x:c>
      <x:c r="F202" s="14" t="str">
        <x:v>85%</x:v>
      </x:c>
      <x:c r="G202" s="14" t="str">
        <x:v>0.85</x:v>
      </x:c>
      <x:c r="H202" s="14" t="str">
        <x:v>Converted percentage text to decimal</x:v>
      </x:c>
      <x:c r="I202" s="14" t="str">
        <x:v>Adjusted</x:v>
      </x:c>
      <x:c r="J202" s="14" t="str">
        <x:v>Yes</x:v>
      </x:c>
    </x:row>
    <x:row r="203">
      <x:c r="A203" s="14" t="str">
        <x:v>ISS-0202</x:v>
      </x:c>
      <x:c r="B203" s="14" t="n">
        <x:v>607</x:v>
      </x:c>
      <x:c r="C203" s="14" t="str">
        <x:v>ORD-2025-10606</x:v>
      </x:c>
      <x:c r="D203" s="14" t="str">
        <x:v>Invalid discount</x:v>
      </x:c>
      <x:c r="E203" s="14" t="str">
        <x:v>discount</x:v>
      </x:c>
      <x:c r="F203" s="14" t="str">
        <x:v>85%</x:v>
      </x:c>
      <x:c r="G203" s="14" t="str"/>
      <x:c r="H203" s="14" t="str">
        <x:v>Discount over 50%; blanked for analysis pending validation</x:v>
      </x:c>
      <x:c r="I203" s="14" t="str">
        <x:v>Review</x:v>
      </x:c>
      <x:c r="J203" s="14" t="str">
        <x:v>Yes</x:v>
      </x:c>
    </x:row>
    <x:row r="204">
      <x:c r="A204" s="14" t="str">
        <x:v>ISS-0203</x:v>
      </x:c>
      <x:c r="B204" s="14" t="n">
        <x:v>613</x:v>
      </x:c>
      <x:c r="C204" s="14" t="str">
        <x:v>ORD-2025-10612</x:v>
      </x:c>
      <x:c r="D204" s="14" t="str">
        <x:v>Text standardization</x:v>
      </x:c>
      <x:c r="E204" s="14" t="str">
        <x:v>segment</x:v>
      </x:c>
      <x:c r="F204" s="14" t="str">
        <x:v>Small Business </x:v>
      </x:c>
      <x:c r="G204" s="14" t="str">
        <x:v>Small Business</x:v>
      </x:c>
      <x:c r="H204" s="14" t="str">
        <x:v>TRIM/SUBSTITUTE whitespace cleanup</x:v>
      </x:c>
      <x:c r="I204" s="14" t="str">
        <x:v>Adjusted</x:v>
      </x:c>
      <x:c r="J204" s="14" t="str">
        <x:v>Yes</x:v>
      </x:c>
    </x:row>
    <x:row r="205">
      <x:c r="A205" s="14" t="str">
        <x:v>ISS-0204</x:v>
      </x:c>
      <x:c r="B205" s="14" t="n">
        <x:v>614</x:v>
      </x:c>
      <x:c r="C205" s="14" t="str">
        <x:v>ORD-2025-10613</x:v>
      </x:c>
      <x:c r="D205" s="14" t="str">
        <x:v>Missing text value</x:v>
      </x:c>
      <x:c r="E205" s="14" t="str">
        <x:v>region</x:v>
      </x:c>
      <x:c r="F205" s="14" t="str">
        <x:v>(blank)</x:v>
      </x:c>
      <x:c r="G205" s="14" t="str">
        <x:v>Unknown</x:v>
      </x:c>
      <x:c r="H205" s="14" t="str">
        <x:v>Missing value filled as Unknown</x:v>
      </x:c>
      <x:c r="I205" s="14" t="str">
        <x:v>Adjusted</x:v>
      </x:c>
      <x:c r="J205" s="14" t="str">
        <x:v>Yes</x:v>
      </x:c>
    </x:row>
    <x:row r="206">
      <x:c r="A206" s="14" t="str">
        <x:v>ISS-0205</x:v>
      </x:c>
      <x:c r="B206" s="14" t="n">
        <x:v>617</x:v>
      </x:c>
      <x:c r="C206" s="14" t="str">
        <x:v>ORD-2024-10616</x:v>
      </x:c>
      <x:c r="D206" s="14" t="str">
        <x:v>Text standardization</x:v>
      </x:c>
      <x:c r="E206" s="14" t="str">
        <x:v>order_status</x:v>
      </x:c>
      <x:c r="F206" s="14" t="str">
        <x:v>  Completed </x:v>
      </x:c>
      <x:c r="G206" s="14" t="str">
        <x:v>Completed</x:v>
      </x:c>
      <x:c r="H206" s="14" t="str">
        <x:v>TRIM/SUBSTITUTE whitespace cleanup</x:v>
      </x:c>
      <x:c r="I206" s="14" t="str">
        <x:v>Adjusted</x:v>
      </x:c>
      <x:c r="J206" s="14" t="str">
        <x:v>Yes</x:v>
      </x:c>
    </x:row>
    <x:row r="207">
      <x:c r="A207" s="14" t="str">
        <x:v>ISS-0206</x:v>
      </x:c>
      <x:c r="B207" s="14" t="n">
        <x:v>617</x:v>
      </x:c>
      <x:c r="C207" s="14" t="str">
        <x:v>ORD-2024-10616</x:v>
      </x:c>
      <x:c r="D207" s="14" t="str">
        <x:v>Sales calculation mismatch</x:v>
      </x:c>
      <x:c r="E207" s="14" t="str">
        <x:v>sales_raw</x:v>
      </x:c>
      <x:c r="F207" s="14" t="str">
        <x:v>5904.57</x:v>
      </x:c>
      <x:c r="G207" s="14" t="str">
        <x:v>5659.88</x:v>
      </x:c>
      <x:c r="H207" s="14" t="str">
        <x:v>Raw sales does not equal quantity × unit price × (1 − discount)</x:v>
      </x:c>
      <x:c r="I207" s="14" t="str">
        <x:v>Review</x:v>
      </x:c>
      <x:c r="J207" s="14" t="str">
        <x:v>Yes</x:v>
      </x:c>
    </x:row>
    <x:row r="208">
      <x:c r="A208" s="14" t="str">
        <x:v>ISS-0207</x:v>
      </x:c>
      <x:c r="B208" s="14" t="n">
        <x:v>617</x:v>
      </x:c>
      <x:c r="C208" s="14" t="str">
        <x:v>ORD-2024-10616</x:v>
      </x:c>
      <x:c r="D208" s="14" t="str">
        <x:v>Profit calculation mismatch</x:v>
      </x:c>
      <x:c r="E208" s="14" t="str">
        <x:v>profit_raw</x:v>
      </x:c>
      <x:c r="F208" s="14" t="str">
        <x:v>1322.09</x:v>
      </x:c>
      <x:c r="G208" s="14" t="str">
        <x:v>1566.78</x:v>
      </x:c>
      <x:c r="H208" s="14" t="str">
        <x:v>Raw profit does not equal raw sales − cost</x:v>
      </x:c>
      <x:c r="I208" s="14" t="str">
        <x:v>Review</x:v>
      </x:c>
      <x:c r="J208" s="14" t="str">
        <x:v>Yes</x:v>
      </x:c>
    </x:row>
    <x:row r="209">
      <x:c r="A209" s="14" t="str">
        <x:v>ISS-0208</x:v>
      </x:c>
      <x:c r="B209" s="14" t="n">
        <x:v>623</x:v>
      </x:c>
      <x:c r="C209" s="14" t="str">
        <x:v>ORD-2024-10622</x:v>
      </x:c>
      <x:c r="D209" s="14" t="str">
        <x:v>Missing discount</x:v>
      </x:c>
      <x:c r="E209" s="14" t="str">
        <x:v>discount</x:v>
      </x:c>
      <x:c r="F209" s="14" t="str">
        <x:v>(blank)</x:v>
      </x:c>
      <x:c r="G209" s="14" t="str">
        <x:v>0</x:v>
      </x:c>
      <x:c r="H209" s="14" t="str">
        <x:v>Imputed 0 because supporting sales fields were present</x:v>
      </x:c>
      <x:c r="I209" s="14" t="str">
        <x:v>Adjusted</x:v>
      </x:c>
      <x:c r="J209" s="14" t="str">
        <x:v>Yes</x:v>
      </x:c>
    </x:row>
    <x:row r="210">
      <x:c r="A210" s="14" t="str">
        <x:v>ISS-0209</x:v>
      </x:c>
      <x:c r="B210" s="14" t="n">
        <x:v>628</x:v>
      </x:c>
      <x:c r="C210" s="14" t="str">
        <x:v>ORD-2025-10627</x:v>
      </x:c>
      <x:c r="D210" s="14" t="str">
        <x:v>Text standardization</x:v>
      </x:c>
      <x:c r="E210" s="14" t="str">
        <x:v>category</x:v>
      </x:c>
      <x:c r="F210" s="14" t="str">
        <x:v>  Technology </x:v>
      </x:c>
      <x:c r="G210" s="14" t="str">
        <x:v>Technology</x:v>
      </x:c>
      <x:c r="H210" s="14" t="str">
        <x:v>TRIM/SUBSTITUTE whitespace cleanup</x:v>
      </x:c>
      <x:c r="I210" s="14" t="str">
        <x:v>Adjusted</x:v>
      </x:c>
      <x:c r="J210" s="14" t="str">
        <x:v>Yes</x:v>
      </x:c>
    </x:row>
    <x:row r="211">
      <x:c r="A211" s="14" t="str">
        <x:v>ISS-0210</x:v>
      </x:c>
      <x:c r="B211" s="14" t="n">
        <x:v>644</x:v>
      </x:c>
      <x:c r="C211" s="14" t="str">
        <x:v>ORD-2024-10643</x:v>
      </x:c>
      <x:c r="D211" s="14" t="str">
        <x:v>Text standardization</x:v>
      </x:c>
      <x:c r="E211" s="14" t="str">
        <x:v>sub_category</x:v>
      </x:c>
      <x:c r="F211" s="14" t="str">
        <x:v>binders</x:v>
      </x:c>
      <x:c r="G211" s="14" t="str">
        <x:v>Binders</x:v>
      </x:c>
      <x:c r="H211" s="14" t="str">
        <x:v>Case standardization</x:v>
      </x:c>
      <x:c r="I211" s="14" t="str">
        <x:v>Adjusted</x:v>
      </x:c>
      <x:c r="J211" s="14" t="str">
        <x:v>Yes</x:v>
      </x:c>
    </x:row>
    <x:row r="212">
      <x:c r="A212" s="14" t="str">
        <x:v>ISS-0211</x:v>
      </x:c>
      <x:c r="B212" s="14" t="n">
        <x:v>647</x:v>
      </x:c>
      <x:c r="C212" s="14" t="str">
        <x:v>ORD-2024-10646</x:v>
      </x:c>
      <x:c r="D212" s="14" t="str">
        <x:v>Profit calculation mismatch</x:v>
      </x:c>
      <x:c r="E212" s="14" t="str">
        <x:v>profit_raw</x:v>
      </x:c>
      <x:c r="F212" s="14" t="str">
        <x:v>5133.22</x:v>
      </x:c>
      <x:c r="G212" s="14" t="str">
        <x:v>5478.6</x:v>
      </x:c>
      <x:c r="H212" s="14" t="str">
        <x:v>Raw profit does not equal raw sales − cost</x:v>
      </x:c>
      <x:c r="I212" s="14" t="str">
        <x:v>Review</x:v>
      </x:c>
      <x:c r="J212" s="14" t="str">
        <x:v>Yes</x:v>
      </x:c>
    </x:row>
    <x:row r="213">
      <x:c r="A213" s="14" t="str">
        <x:v>ISS-0212</x:v>
      </x:c>
      <x:c r="B213" s="14" t="n">
        <x:v>649</x:v>
      </x:c>
      <x:c r="C213" s="14" t="str">
        <x:v>ORD-2025-10648</x:v>
      </x:c>
      <x:c r="D213" s="14" t="str">
        <x:v>Text standardization</x:v>
      </x:c>
      <x:c r="E213" s="14" t="str">
        <x:v>customer_name</x:v>
      </x:c>
      <x:c r="F213" s="14" t="str">
        <x:v>Rohan  Mehta</x:v>
      </x:c>
      <x:c r="G213" s="14" t="str">
        <x:v>Rohan Mehta</x:v>
      </x:c>
      <x:c r="H213" s="14" t="str">
        <x:v>TRIM/SUBSTITUTE whitespace cleanup</x:v>
      </x:c>
      <x:c r="I213" s="14" t="str">
        <x:v>Adjusted</x:v>
      </x:c>
      <x:c r="J213" s="14" t="str">
        <x:v>Yes</x:v>
      </x:c>
    </x:row>
    <x:row r="214">
      <x:c r="A214" s="14" t="str">
        <x:v>ISS-0213</x:v>
      </x:c>
      <x:c r="B214" s="14" t="n">
        <x:v>658</x:v>
      </x:c>
      <x:c r="C214" s="14" t="str">
        <x:v>ORD-2024-10657</x:v>
      </x:c>
      <x:c r="D214" s="14" t="str">
        <x:v>Invalid discount</x:v>
      </x:c>
      <x:c r="E214" s="14" t="str">
        <x:v>discount</x:v>
      </x:c>
      <x:c r="F214" s="14" t="str">
        <x:v>-0.05</x:v>
      </x:c>
      <x:c r="G214" s="14" t="str"/>
      <x:c r="H214" s="14" t="str">
        <x:v>Invalid negative discount; blanked for analysis</x:v>
      </x:c>
      <x:c r="I214" s="14" t="str">
        <x:v>Review</x:v>
      </x:c>
      <x:c r="J214" s="14" t="str">
        <x:v>Yes</x:v>
      </x:c>
    </x:row>
    <x:row r="215">
      <x:c r="A215" s="14" t="str">
        <x:v>ISS-0214</x:v>
      </x:c>
      <x:c r="B215" s="14" t="n">
        <x:v>660</x:v>
      </x:c>
      <x:c r="C215" s="14" t="str">
        <x:v>ORD-2025-10659</x:v>
      </x:c>
      <x:c r="D215" s="14" t="str">
        <x:v>Missing text value</x:v>
      </x:c>
      <x:c r="E215" s="14" t="str">
        <x:v>region</x:v>
      </x:c>
      <x:c r="F215" s="14" t="str">
        <x:v>(blank)</x:v>
      </x:c>
      <x:c r="G215" s="14" t="str">
        <x:v>Unknown</x:v>
      </x:c>
      <x:c r="H215" s="14" t="str">
        <x:v>Missing value filled as Unknown</x:v>
      </x:c>
      <x:c r="I215" s="14" t="str">
        <x:v>Adjusted</x:v>
      </x:c>
      <x:c r="J215" s="14" t="str">
        <x:v>Yes</x:v>
      </x:c>
    </x:row>
    <x:row r="216">
      <x:c r="A216" s="14" t="str">
        <x:v>ISS-0215</x:v>
      </x:c>
      <x:c r="B216" s="14" t="n">
        <x:v>665</x:v>
      </x:c>
      <x:c r="C216" s="14" t="str">
        <x:v>ORD-2024-10664</x:v>
      </x:c>
      <x:c r="D216" s="14" t="str">
        <x:v>Invalid discount</x:v>
      </x:c>
      <x:c r="E216" s="14" t="str">
        <x:v>discount</x:v>
      </x:c>
      <x:c r="F216" s="14" t="str">
        <x:v>-0.24</x:v>
      </x:c>
      <x:c r="G216" s="14" t="str"/>
      <x:c r="H216" s="14" t="str">
        <x:v>Invalid negative discount; blanked for analysis</x:v>
      </x:c>
      <x:c r="I216" s="14" t="str">
        <x:v>Review</x:v>
      </x:c>
      <x:c r="J216" s="14" t="str">
        <x:v>Yes</x:v>
      </x:c>
    </x:row>
    <x:row r="217">
      <x:c r="A217" s="14" t="str">
        <x:v>ISS-0216</x:v>
      </x:c>
      <x:c r="B217" s="14" t="n">
        <x:v>667</x:v>
      </x:c>
      <x:c r="C217" s="14" t="str">
        <x:v>ORD-2025-10666</x:v>
      </x:c>
      <x:c r="D217" s="14" t="str">
        <x:v>Text standardization</x:v>
      </x:c>
      <x:c r="E217" s="14" t="str">
        <x:v>customer_name</x:v>
      </x:c>
      <x:c r="F217" s="14" t="str">
        <x:v>  Rahul Verma </x:v>
      </x:c>
      <x:c r="G217" s="14" t="str">
        <x:v>Rahul Verma</x:v>
      </x:c>
      <x:c r="H217" s="14" t="str">
        <x:v>TRIM/SUBSTITUTE whitespace cleanup</x:v>
      </x:c>
      <x:c r="I217" s="14" t="str">
        <x:v>Adjusted</x:v>
      </x:c>
      <x:c r="J217" s="14" t="str">
        <x:v>Yes</x:v>
      </x:c>
    </x:row>
    <x:row r="218">
      <x:c r="A218" s="14" t="str">
        <x:v>ISS-0217</x:v>
      </x:c>
      <x:c r="B218" s="14" t="n">
        <x:v>672</x:v>
      </x:c>
      <x:c r="C218" s="14" t="str">
        <x:v>ORD-2025-10671</x:v>
      </x:c>
      <x:c r="D218" s="14" t="str">
        <x:v>Text standardization</x:v>
      </x:c>
      <x:c r="E218" s="14" t="str">
        <x:v>segment</x:v>
      </x:c>
      <x:c r="F218" s="14" t="str">
        <x:v>Corporate </x:v>
      </x:c>
      <x:c r="G218" s="14" t="str">
        <x:v>Corporate</x:v>
      </x:c>
      <x:c r="H218" s="14" t="str">
        <x:v>TRIM/SUBSTITUTE whitespace cleanup</x:v>
      </x:c>
      <x:c r="I218" s="14" t="str">
        <x:v>Adjusted</x:v>
      </x:c>
      <x:c r="J218" s="14" t="str">
        <x:v>Yes</x:v>
      </x:c>
    </x:row>
    <x:row r="219">
      <x:c r="A219" s="14" t="str">
        <x:v>ISS-0218</x:v>
      </x:c>
      <x:c r="B219" s="14" t="n">
        <x:v>673</x:v>
      </x:c>
      <x:c r="C219" s="14" t="str">
        <x:v>ORD-2024-10672</x:v>
      </x:c>
      <x:c r="D219" s="14" t="str">
        <x:v>Text standardization</x:v>
      </x:c>
      <x:c r="E219" s="14" t="str">
        <x:v>sub_category</x:v>
      </x:c>
      <x:c r="F219" s="14" t="str">
        <x:v>COPIERS</x:v>
      </x:c>
      <x:c r="G219" s="14" t="str">
        <x:v>Copiers</x:v>
      </x:c>
      <x:c r="H219" s="14" t="str">
        <x:v>Case standardization</x:v>
      </x:c>
      <x:c r="I219" s="14" t="str">
        <x:v>Adjusted</x:v>
      </x:c>
      <x:c r="J219" s="14" t="str">
        <x:v>Yes</x:v>
      </x:c>
    </x:row>
    <x:row r="220">
      <x:c r="A220" s="14" t="str">
        <x:v>ISS-0219</x:v>
      </x:c>
      <x:c r="B220" s="14" t="n">
        <x:v>681</x:v>
      </x:c>
      <x:c r="C220" s="14" t="str">
        <x:v>ORD-2025-10680</x:v>
      </x:c>
      <x:c r="D220" s="14" t="str">
        <x:v>Discount format</x:v>
      </x:c>
      <x:c r="E220" s="14" t="str">
        <x:v>discount</x:v>
      </x:c>
      <x:c r="F220" s="14" t="str">
        <x:v>70%</x:v>
      </x:c>
      <x:c r="G220" s="14" t="str">
        <x:v>0.7</x:v>
      </x:c>
      <x:c r="H220" s="14" t="str">
        <x:v>Converted percentage text to decimal</x:v>
      </x:c>
      <x:c r="I220" s="14" t="str">
        <x:v>Adjusted</x:v>
      </x:c>
      <x:c r="J220" s="14" t="str">
        <x:v>Yes</x:v>
      </x:c>
    </x:row>
    <x:row r="221">
      <x:c r="A221" s="14" t="str">
        <x:v>ISS-0220</x:v>
      </x:c>
      <x:c r="B221" s="14" t="n">
        <x:v>681</x:v>
      </x:c>
      <x:c r="C221" s="14" t="str">
        <x:v>ORD-2025-10680</x:v>
      </x:c>
      <x:c r="D221" s="14" t="str">
        <x:v>Invalid discount</x:v>
      </x:c>
      <x:c r="E221" s="14" t="str">
        <x:v>discount</x:v>
      </x:c>
      <x:c r="F221" s="14" t="str">
        <x:v>70%</x:v>
      </x:c>
      <x:c r="G221" s="14" t="str"/>
      <x:c r="H221" s="14" t="str">
        <x:v>Discount over 50%; blanked for analysis pending validation</x:v>
      </x:c>
      <x:c r="I221" s="14" t="str">
        <x:v>Review</x:v>
      </x:c>
      <x:c r="J221" s="14" t="str">
        <x:v>Yes</x:v>
      </x:c>
    </x:row>
    <x:row r="222">
      <x:c r="A222" s="14" t="str">
        <x:v>ISS-0221</x:v>
      </x:c>
      <x:c r="B222" s="14" t="n">
        <x:v>684</x:v>
      </x:c>
      <x:c r="C222" s="14" t="str">
        <x:v>ORD-2025-10683</x:v>
      </x:c>
      <x:c r="D222" s="14" t="str">
        <x:v>Text standardization</x:v>
      </x:c>
      <x:c r="E222" s="14" t="str">
        <x:v>customer_name</x:v>
      </x:c>
      <x:c r="F222" s="14" t="str">
        <x:v>ananya rao</x:v>
      </x:c>
      <x:c r="G222" s="14" t="str">
        <x:v>Ananya Rao</x:v>
      </x:c>
      <x:c r="H222" s="14" t="str">
        <x:v>Case standardization</x:v>
      </x:c>
      <x:c r="I222" s="14" t="str">
        <x:v>Adjusted</x:v>
      </x:c>
      <x:c r="J222" s="14" t="str">
        <x:v>Yes</x:v>
      </x:c>
    </x:row>
    <x:row r="223">
      <x:c r="A223" s="14" t="str">
        <x:v>ISS-0222</x:v>
      </x:c>
      <x:c r="B223" s="14" t="n">
        <x:v>684</x:v>
      </x:c>
      <x:c r="C223" s="14" t="str">
        <x:v>ORD-2025-10683</x:v>
      </x:c>
      <x:c r="D223" s="14" t="str">
        <x:v>Missing discount</x:v>
      </x:c>
      <x:c r="E223" s="14" t="str">
        <x:v>discount</x:v>
      </x:c>
      <x:c r="F223" s="14" t="str">
        <x:v>(blank)</x:v>
      </x:c>
      <x:c r="G223" s="14" t="str">
        <x:v>0</x:v>
      </x:c>
      <x:c r="H223" s="14" t="str">
        <x:v>Imputed 0 because supporting sales fields were present</x:v>
      </x:c>
      <x:c r="I223" s="14" t="str">
        <x:v>Adjusted</x:v>
      </x:c>
      <x:c r="J223" s="14" t="str">
        <x:v>Yes</x:v>
      </x:c>
    </x:row>
    <x:row r="224">
      <x:c r="A224" s="14" t="str">
        <x:v>ISS-0223</x:v>
      </x:c>
      <x:c r="B224" s="14" t="n">
        <x:v>684</x:v>
      </x:c>
      <x:c r="C224" s="14" t="str">
        <x:v>ORD-2025-10683</x:v>
      </x:c>
      <x:c r="D224" s="14" t="str">
        <x:v>Sales calculation mismatch</x:v>
      </x:c>
      <x:c r="E224" s="14" t="str">
        <x:v>sales_raw</x:v>
      </x:c>
      <x:c r="F224" s="14" t="str">
        <x:v>7383.72</x:v>
      </x:c>
      <x:c r="G224" s="14" t="str">
        <x:v>7772.34</x:v>
      </x:c>
      <x:c r="H224" s="14" t="str">
        <x:v>Raw sales does not equal quantity × unit price × (1 − discount)</x:v>
      </x:c>
      <x:c r="I224" s="14" t="str">
        <x:v>Review</x:v>
      </x:c>
      <x:c r="J224" s="14" t="str">
        <x:v>Yes</x:v>
      </x:c>
    </x:row>
    <x:row r="225">
      <x:c r="A225" s="14" t="str">
        <x:v>ISS-0224</x:v>
      </x:c>
      <x:c r="B225" s="14" t="n">
        <x:v>687</x:v>
      </x:c>
      <x:c r="C225" s="14" t="str">
        <x:v>ORD-2025-10686</x:v>
      </x:c>
      <x:c r="D225" s="14" t="str">
        <x:v>Invalid discount</x:v>
      </x:c>
      <x:c r="E225" s="14" t="str">
        <x:v>discount</x:v>
      </x:c>
      <x:c r="F225" s="14" t="str">
        <x:v>0.55</x:v>
      </x:c>
      <x:c r="G225" s="14" t="str"/>
      <x:c r="H225" s="14" t="str">
        <x:v>Discount over 50%; blanked for analysis pending validation</x:v>
      </x:c>
      <x:c r="I225" s="14" t="str">
        <x:v>Review</x:v>
      </x:c>
      <x:c r="J225" s="14" t="str">
        <x:v>Yes</x:v>
      </x:c>
    </x:row>
    <x:row r="226">
      <x:c r="A226" s="14" t="str">
        <x:v>ISS-0225</x:v>
      </x:c>
      <x:c r="B226" s="14" t="n">
        <x:v>694</x:v>
      </x:c>
      <x:c r="C226" s="14" t="str">
        <x:v>ORD-2025-10693</x:v>
      </x:c>
      <x:c r="D226" s="14" t="str">
        <x:v>Text standardization</x:v>
      </x:c>
      <x:c r="E226" s="14" t="str">
        <x:v>segment</x:v>
      </x:c>
      <x:c r="F226" s="14" t="str">
        <x:v>corporate</x:v>
      </x:c>
      <x:c r="G226" s="14" t="str">
        <x:v>Corporate</x:v>
      </x:c>
      <x:c r="H226" s="14" t="str">
        <x:v>Case standardization</x:v>
      </x:c>
      <x:c r="I226" s="14" t="str">
        <x:v>Adjusted</x:v>
      </x:c>
      <x:c r="J226" s="14" t="str">
        <x:v>Yes</x:v>
      </x:c>
    </x:row>
    <x:row r="227">
      <x:c r="A227" s="14" t="str">
        <x:v>ISS-0226</x:v>
      </x:c>
      <x:c r="B227" s="14" t="n">
        <x:v>697</x:v>
      </x:c>
      <x:c r="C227" s="14" t="str">
        <x:v>ORD-2024-10696</x:v>
      </x:c>
      <x:c r="D227" s="14" t="str">
        <x:v>Text standardization</x:v>
      </x:c>
      <x:c r="E227" s="14" t="str">
        <x:v>sub_category</x:v>
      </x:c>
      <x:c r="F227" s="14" t="str">
        <x:v>Machines </x:v>
      </x:c>
      <x:c r="G227" s="14" t="str">
        <x:v>Machines</x:v>
      </x:c>
      <x:c r="H227" s="14" t="str">
        <x:v>TRIM/SUBSTITUTE whitespace cleanup</x:v>
      </x:c>
      <x:c r="I227" s="14" t="str">
        <x:v>Adjusted</x:v>
      </x:c>
      <x:c r="J227" s="14" t="str">
        <x:v>Yes</x:v>
      </x:c>
    </x:row>
    <x:row r="228">
      <x:c r="A228" s="14" t="str">
        <x:v>ISS-0227</x:v>
      </x:c>
      <x:c r="B228" s="14" t="n">
        <x:v>698</x:v>
      </x:c>
      <x:c r="C228" s="14" t="str">
        <x:v>ORD-2025-10697</x:v>
      </x:c>
      <x:c r="D228" s="14" t="str">
        <x:v>Missing text value</x:v>
      </x:c>
      <x:c r="E228" s="14" t="str">
        <x:v>ship_mode</x:v>
      </x:c>
      <x:c r="F228" s="14" t="str">
        <x:v>(blank)</x:v>
      </x:c>
      <x:c r="G228" s="14" t="str">
        <x:v>Unknown</x:v>
      </x:c>
      <x:c r="H228" s="14" t="str">
        <x:v>Missing value filled as Unknown</x:v>
      </x:c>
      <x:c r="I228" s="14" t="str">
        <x:v>Adjusted</x:v>
      </x:c>
      <x:c r="J228" s="14" t="str">
        <x:v>Yes</x:v>
      </x:c>
    </x:row>
    <x:row r="229">
      <x:c r="A229" s="14" t="str">
        <x:v>ISS-0228</x:v>
      </x:c>
      <x:c r="B229" s="14" t="n">
        <x:v>698</x:v>
      </x:c>
      <x:c r="C229" s="14" t="str">
        <x:v>ORD-2025-10697</x:v>
      </x:c>
      <x:c r="D229" s="14" t="str">
        <x:v>Profit calculation mismatch</x:v>
      </x:c>
      <x:c r="E229" s="14" t="str">
        <x:v>profit_raw</x:v>
      </x:c>
      <x:c r="F229" s="14" t="str">
        <x:v>1363.28</x:v>
      </x:c>
      <x:c r="G229" s="14" t="str">
        <x:v>1434.11</x:v>
      </x:c>
      <x:c r="H229" s="14" t="str">
        <x:v>Raw profit does not equal raw sales − cost</x:v>
      </x:c>
      <x:c r="I229" s="14" t="str">
        <x:v>Review</x:v>
      </x:c>
      <x:c r="J229" s="14" t="str">
        <x:v>Yes</x:v>
      </x:c>
    </x:row>
    <x:row r="230">
      <x:c r="A230" s="14" t="str">
        <x:v>ISS-0229</x:v>
      </x:c>
      <x:c r="B230" s="14" t="n">
        <x:v>699</x:v>
      </x:c>
      <x:c r="C230" s="14" t="str">
        <x:v>ORD-2025-10698</x:v>
      </x:c>
      <x:c r="D230" s="14" t="str">
        <x:v>Missing discount</x:v>
      </x:c>
      <x:c r="E230" s="14" t="str">
        <x:v>discount</x:v>
      </x:c>
      <x:c r="F230" s="14" t="str">
        <x:v>(blank)</x:v>
      </x:c>
      <x:c r="G230" s="14" t="str">
        <x:v>0</x:v>
      </x:c>
      <x:c r="H230" s="14" t="str">
        <x:v>Imputed 0 because supporting sales fields were present</x:v>
      </x:c>
      <x:c r="I230" s="14" t="str">
        <x:v>Adjusted</x:v>
      </x:c>
      <x:c r="J230" s="14" t="str">
        <x:v>Yes</x:v>
      </x:c>
    </x:row>
    <x:row r="231">
      <x:c r="A231" s="14" t="str">
        <x:v>ISS-0230</x:v>
      </x:c>
      <x:c r="B231" s="14" t="n">
        <x:v>699</x:v>
      </x:c>
      <x:c r="C231" s="14" t="str">
        <x:v>ORD-2025-10698</x:v>
      </x:c>
      <x:c r="D231" s="14" t="str">
        <x:v>Sales calculation mismatch</x:v>
      </x:c>
      <x:c r="E231" s="14" t="str">
        <x:v>sales_raw</x:v>
      </x:c>
      <x:c r="F231" s="14" t="str">
        <x:v>2977.54</x:v>
      </x:c>
      <x:c r="G231" s="14" t="str">
        <x:v>3970.05</x:v>
      </x:c>
      <x:c r="H231" s="14" t="str">
        <x:v>Raw sales does not equal quantity × unit price × (1 − discount)</x:v>
      </x:c>
      <x:c r="I231" s="14" t="str">
        <x:v>Review</x:v>
      </x:c>
      <x:c r="J231" s="14" t="str">
        <x:v>Yes</x:v>
      </x:c>
    </x:row>
    <x:row r="232">
      <x:c r="A232" s="14" t="str">
        <x:v>ISS-0231</x:v>
      </x:c>
      <x:c r="B232" s="14" t="n">
        <x:v>700</x:v>
      </x:c>
      <x:c r="C232" s="14" t="str">
        <x:v>ORD-2024-10699</x:v>
      </x:c>
      <x:c r="D232" s="14" t="str">
        <x:v>Sales calculation mismatch</x:v>
      </x:c>
      <x:c r="E232" s="14" t="str">
        <x:v>sales_raw</x:v>
      </x:c>
      <x:c r="F232" s="14" t="str">
        <x:v>28208.1</x:v>
      </x:c>
      <x:c r="G232" s="14" t="str">
        <x:v>27755.29</x:v>
      </x:c>
      <x:c r="H232" s="14" t="str">
        <x:v>Raw sales does not equal quantity × unit price × (1 − discount)</x:v>
      </x:c>
      <x:c r="I232" s="14" t="str">
        <x:v>Review</x:v>
      </x:c>
      <x:c r="J232" s="14" t="str">
        <x:v>Yes</x:v>
      </x:c>
    </x:row>
    <x:row r="233">
      <x:c r="A233" s="14" t="str">
        <x:v>ISS-0232</x:v>
      </x:c>
      <x:c r="B233" s="14" t="n">
        <x:v>700</x:v>
      </x:c>
      <x:c r="C233" s="14" t="str">
        <x:v>ORD-2024-10699</x:v>
      </x:c>
      <x:c r="D233" s="14" t="str">
        <x:v>Profit calculation mismatch</x:v>
      </x:c>
      <x:c r="E233" s="14" t="str">
        <x:v>profit_raw</x:v>
      </x:c>
      <x:c r="F233" s="14" t="str">
        <x:v>4003.38</x:v>
      </x:c>
      <x:c r="G233" s="14" t="str">
        <x:v>4456.19</x:v>
      </x:c>
      <x:c r="H233" s="14" t="str">
        <x:v>Raw profit does not equal raw sales − cost</x:v>
      </x:c>
      <x:c r="I233" s="14" t="str">
        <x:v>Review</x:v>
      </x:c>
      <x:c r="J233" s="14" t="str">
        <x:v>Yes</x:v>
      </x:c>
    </x:row>
    <x:row r="234">
      <x:c r="A234" s="14" t="str">
        <x:v>ISS-0233</x:v>
      </x:c>
      <x:c r="B234" s="14" t="n">
        <x:v>706</x:v>
      </x:c>
      <x:c r="C234" s="14" t="str">
        <x:v>ORD-2024-10705</x:v>
      </x:c>
      <x:c r="D234" s="14" t="str">
        <x:v>Missing text value</x:v>
      </x:c>
      <x:c r="E234" s="14" t="str">
        <x:v>ship_mode</x:v>
      </x:c>
      <x:c r="F234" s="14" t="str">
        <x:v>(blank)</x:v>
      </x:c>
      <x:c r="G234" s="14" t="str">
        <x:v>Unknown</x:v>
      </x:c>
      <x:c r="H234" s="14" t="str">
        <x:v>Missing value filled as Unknown</x:v>
      </x:c>
      <x:c r="I234" s="14" t="str">
        <x:v>Adjusted</x:v>
      </x:c>
      <x:c r="J234" s="14" t="str">
        <x:v>Yes</x:v>
      </x:c>
    </x:row>
    <x:row r="235">
      <x:c r="A235" s="14" t="str">
        <x:v>ISS-0234</x:v>
      </x:c>
      <x:c r="B235" s="14" t="n">
        <x:v>709</x:v>
      </x:c>
      <x:c r="C235" s="14" t="str">
        <x:v>ORD-2025-10708</x:v>
      </x:c>
      <x:c r="D235" s="14" t="str">
        <x:v>Text standardization</x:v>
      </x:c>
      <x:c r="E235" s="14" t="str">
        <x:v>sub_category</x:v>
      </x:c>
      <x:c r="F235" s="14" t="str">
        <x:v>  Accessories </x:v>
      </x:c>
      <x:c r="G235" s="14" t="str">
        <x:v>Accessories</x:v>
      </x:c>
      <x:c r="H235" s="14" t="str">
        <x:v>TRIM/SUBSTITUTE whitespace cleanup</x:v>
      </x:c>
      <x:c r="I235" s="14" t="str">
        <x:v>Adjusted</x:v>
      </x:c>
      <x:c r="J235" s="14" t="str">
        <x:v>Yes</x:v>
      </x:c>
    </x:row>
    <x:row r="236">
      <x:c r="A236" s="14" t="str">
        <x:v>ISS-0235</x:v>
      </x:c>
      <x:c r="B236" s="14" t="n">
        <x:v>709</x:v>
      </x:c>
      <x:c r="C236" s="14" t="str">
        <x:v>ORD-2025-10708</x:v>
      </x:c>
      <x:c r="D236" s="14" t="str">
        <x:v>Invalid discount</x:v>
      </x:c>
      <x:c r="E236" s="14" t="str">
        <x:v>discount</x:v>
      </x:c>
      <x:c r="F236" s="14" t="str">
        <x:v>0.55</x:v>
      </x:c>
      <x:c r="G236" s="14" t="str"/>
      <x:c r="H236" s="14" t="str">
        <x:v>Discount over 50%; blanked for analysis pending validation</x:v>
      </x:c>
      <x:c r="I236" s="14" t="str">
        <x:v>Review</x:v>
      </x:c>
      <x:c r="J236" s="14" t="str">
        <x:v>Yes</x:v>
      </x:c>
    </x:row>
    <x:row r="237">
      <x:c r="A237" s="14" t="str">
        <x:v>ISS-0236</x:v>
      </x:c>
      <x:c r="B237" s="14" t="n">
        <x:v>724</x:v>
      </x:c>
      <x:c r="C237" s="14" t="str">
        <x:v>ORD-2024-10723</x:v>
      </x:c>
      <x:c r="D237" s="14" t="str">
        <x:v>Missing discount</x:v>
      </x:c>
      <x:c r="E237" s="14" t="str">
        <x:v>discount</x:v>
      </x:c>
      <x:c r="F237" s="14" t="str">
        <x:v>(blank)</x:v>
      </x:c>
      <x:c r="G237" s="14" t="str">
        <x:v>0</x:v>
      </x:c>
      <x:c r="H237" s="14" t="str">
        <x:v>Imputed 0 because supporting sales fields were present</x:v>
      </x:c>
      <x:c r="I237" s="14" t="str">
        <x:v>Adjusted</x:v>
      </x:c>
      <x:c r="J237" s="14" t="str">
        <x:v>Yes</x:v>
      </x:c>
    </x:row>
    <x:row r="238">
      <x:c r="A238" s="14" t="str">
        <x:v>ISS-0237</x:v>
      </x:c>
      <x:c r="B238" s="14" t="n">
        <x:v>739</x:v>
      </x:c>
      <x:c r="C238" s="14" t="str">
        <x:v>ORD-2024-10738</x:v>
      </x:c>
      <x:c r="D238" s="14" t="str">
        <x:v>Text standardization</x:v>
      </x:c>
      <x:c r="E238" s="14" t="str">
        <x:v>segment</x:v>
      </x:c>
      <x:c r="F238" s="14" t="str">
        <x:v>Home Office </x:v>
      </x:c>
      <x:c r="G238" s="14" t="str">
        <x:v>Home Office</x:v>
      </x:c>
      <x:c r="H238" s="14" t="str">
        <x:v>TRIM/SUBSTITUTE whitespace cleanup</x:v>
      </x:c>
      <x:c r="I238" s="14" t="str">
        <x:v>Adjusted</x:v>
      </x:c>
      <x:c r="J238" s="14" t="str">
        <x:v>Yes</x:v>
      </x:c>
    </x:row>
    <x:row r="239">
      <x:c r="A239" s="14" t="str">
        <x:v>ISS-0238</x:v>
      </x:c>
      <x:c r="B239" s="14" t="n">
        <x:v>743</x:v>
      </x:c>
      <x:c r="C239" s="14" t="str">
        <x:v>ORD-2025-10742</x:v>
      </x:c>
      <x:c r="D239" s="14" t="str">
        <x:v>Missing discount</x:v>
      </x:c>
      <x:c r="E239" s="14" t="str">
        <x:v>discount</x:v>
      </x:c>
      <x:c r="F239" s="14" t="str">
        <x:v>(blank)</x:v>
      </x:c>
      <x:c r="G239" s="14" t="str">
        <x:v>0</x:v>
      </x:c>
      <x:c r="H239" s="14" t="str">
        <x:v>Imputed 0 because supporting sales fields were present</x:v>
      </x:c>
      <x:c r="I239" s="14" t="str">
        <x:v>Adjusted</x:v>
      </x:c>
      <x:c r="J239" s="14" t="str">
        <x:v>Yes</x:v>
      </x:c>
    </x:row>
    <x:row r="240">
      <x:c r="A240" s="14" t="str">
        <x:v>ISS-0239</x:v>
      </x:c>
      <x:c r="B240" s="14" t="n">
        <x:v>743</x:v>
      </x:c>
      <x:c r="C240" s="14" t="str">
        <x:v>ORD-2025-10742</x:v>
      </x:c>
      <x:c r="D240" s="14" t="str">
        <x:v>Sales calculation mismatch</x:v>
      </x:c>
      <x:c r="E240" s="14" t="str">
        <x:v>sales_raw</x:v>
      </x:c>
      <x:c r="F240" s="14" t="str">
        <x:v>7082.69</x:v>
      </x:c>
      <x:c r="G240" s="14" t="str">
        <x:v>8853.36</x:v>
      </x:c>
      <x:c r="H240" s="14" t="str">
        <x:v>Raw sales does not equal quantity × unit price × (1 − discount)</x:v>
      </x:c>
      <x:c r="I240" s="14" t="str">
        <x:v>Review</x:v>
      </x:c>
      <x:c r="J240" s="14" t="str">
        <x:v>Yes</x:v>
      </x:c>
    </x:row>
    <x:row r="241">
      <x:c r="A241" s="14" t="str">
        <x:v>ISS-0240</x:v>
      </x:c>
      <x:c r="B241" s="14" t="n">
        <x:v>744</x:v>
      </x:c>
      <x:c r="C241" s="14" t="str">
        <x:v>ORD-2024-10743</x:v>
      </x:c>
      <x:c r="D241" s="14" t="str">
        <x:v>Text standardization</x:v>
      </x:c>
      <x:c r="E241" s="14" t="str">
        <x:v>region</x:v>
      </x:c>
      <x:c r="F241" s="14" t="str">
        <x:v>east</x:v>
      </x:c>
      <x:c r="G241" s="14" t="str">
        <x:v>East</x:v>
      </x:c>
      <x:c r="H241" s="14" t="str">
        <x:v>Case standardization</x:v>
      </x:c>
      <x:c r="I241" s="14" t="str">
        <x:v>Adjusted</x:v>
      </x:c>
      <x:c r="J241" s="14" t="str">
        <x:v>Yes</x:v>
      </x:c>
    </x:row>
    <x:row r="242">
      <x:c r="A242" s="14" t="str">
        <x:v>ISS-0241</x:v>
      </x:c>
      <x:c r="B242" s="14" t="n">
        <x:v>753</x:v>
      </x:c>
      <x:c r="C242" s="14" t="str">
        <x:v>ORD-2025-10752</x:v>
      </x:c>
      <x:c r="D242" s="14" t="str">
        <x:v>Missing text value</x:v>
      </x:c>
      <x:c r="E242" s="14" t="str">
        <x:v>region</x:v>
      </x:c>
      <x:c r="F242" s="14" t="str">
        <x:v>(blank)</x:v>
      </x:c>
      <x:c r="G242" s="14" t="str">
        <x:v>Unknown</x:v>
      </x:c>
      <x:c r="H242" s="14" t="str">
        <x:v>Missing value filled as Unknown</x:v>
      </x:c>
      <x:c r="I242" s="14" t="str">
        <x:v>Adjusted</x:v>
      </x:c>
      <x:c r="J242" s="14" t="str">
        <x:v>Yes</x:v>
      </x:c>
    </x:row>
    <x:row r="243">
      <x:c r="A243" s="14" t="str">
        <x:v>ISS-0242</x:v>
      </x:c>
      <x:c r="B243" s="14" t="n">
        <x:v>753</x:v>
      </x:c>
      <x:c r="C243" s="14" t="str">
        <x:v>ORD-2025-10752</x:v>
      </x:c>
      <x:c r="D243" s="14" t="str">
        <x:v>Missing text value</x:v>
      </x:c>
      <x:c r="E243" s="14" t="str">
        <x:v>ship_mode</x:v>
      </x:c>
      <x:c r="F243" s="14" t="str">
        <x:v>(blank)</x:v>
      </x:c>
      <x:c r="G243" s="14" t="str">
        <x:v>Unknown</x:v>
      </x:c>
      <x:c r="H243" s="14" t="str">
        <x:v>Missing value filled as Unknown</x:v>
      </x:c>
      <x:c r="I243" s="14" t="str">
        <x:v>Adjusted</x:v>
      </x:c>
      <x:c r="J243" s="14" t="str">
        <x:v>Yes</x:v>
      </x:c>
    </x:row>
    <x:row r="244">
      <x:c r="A244" s="14" t="str">
        <x:v>ISS-0243</x:v>
      </x:c>
      <x:c r="B244" s="14" t="n">
        <x:v>754</x:v>
      </x:c>
      <x:c r="C244" s="14" t="str">
        <x:v>ORD-2024-10753</x:v>
      </x:c>
      <x:c r="D244" s="14" t="str">
        <x:v>Text standardization</x:v>
      </x:c>
      <x:c r="E244" s="14" t="str">
        <x:v>region</x:v>
      </x:c>
      <x:c r="F244" s="14" t="str">
        <x:v>West </x:v>
      </x:c>
      <x:c r="G244" s="14" t="str">
        <x:v>West</x:v>
      </x:c>
      <x:c r="H244" s="14" t="str">
        <x:v>TRIM/SUBSTITUTE whitespace cleanup</x:v>
      </x:c>
      <x:c r="I244" s="14" t="str">
        <x:v>Adjusted</x:v>
      </x:c>
      <x:c r="J244" s="14" t="str">
        <x:v>Yes</x:v>
      </x:c>
    </x:row>
    <x:row r="245">
      <x:c r="A245" s="14" t="str">
        <x:v>ISS-0244</x:v>
      </x:c>
      <x:c r="B245" s="14" t="n">
        <x:v>755</x:v>
      </x:c>
      <x:c r="C245" s="14" t="str">
        <x:v>ORD-2024-10754</x:v>
      </x:c>
      <x:c r="D245" s="14" t="str">
        <x:v>Text standardization</x:v>
      </x:c>
      <x:c r="E245" s="14" t="str">
        <x:v>category</x:v>
      </x:c>
      <x:c r="F245" s="14" t="str">
        <x:v>  Furniture </x:v>
      </x:c>
      <x:c r="G245" s="14" t="str">
        <x:v>Furniture</x:v>
      </x:c>
      <x:c r="H245" s="14" t="str">
        <x:v>TRIM/SUBSTITUTE whitespace cleanup</x:v>
      </x:c>
      <x:c r="I245" s="14" t="str">
        <x:v>Adjusted</x:v>
      </x:c>
      <x:c r="J245" s="14" t="str">
        <x:v>Yes</x:v>
      </x:c>
    </x:row>
    <x:row r="246">
      <x:c r="A246" s="14" t="str">
        <x:v>ISS-0245</x:v>
      </x:c>
      <x:c r="B246" s="14" t="n">
        <x:v>755</x:v>
      </x:c>
      <x:c r="C246" s="14" t="str">
        <x:v>ORD-2024-10754</x:v>
      </x:c>
      <x:c r="D246" s="14" t="str">
        <x:v>Date sequence</x:v>
      </x:c>
      <x:c r="E246" s="14" t="str">
        <x:v>ship_date</x:v>
      </x:c>
      <x:c r="F246" s="14" t="str">
        <x:v>10-08-2024</x:v>
      </x:c>
      <x:c r="G246" s="14" t="str">
        <x:v>2024-08-10</x:v>
      </x:c>
      <x:c r="H246" s="14" t="str">
        <x:v>Flagged; not auto-corrected</x:v>
      </x:c>
      <x:c r="I246" s="14" t="str">
        <x:v>Review</x:v>
      </x:c>
      <x:c r="J246" s="14" t="str">
        <x:v>Yes</x:v>
      </x:c>
    </x:row>
    <x:row r="247">
      <x:c r="A247" s="14" t="str">
        <x:v>ISS-0246</x:v>
      </x:c>
      <x:c r="B247" s="14" t="n">
        <x:v>761</x:v>
      </x:c>
      <x:c r="C247" s="14" t="str">
        <x:v>ORD-2024-10760</x:v>
      </x:c>
      <x:c r="D247" s="14" t="str">
        <x:v>Text standardization</x:v>
      </x:c>
      <x:c r="E247" s="14" t="str">
        <x:v>region</x:v>
      </x:c>
      <x:c r="F247" s="14" t="str">
        <x:v>  South </x:v>
      </x:c>
      <x:c r="G247" s="14" t="str">
        <x:v>South</x:v>
      </x:c>
      <x:c r="H247" s="14" t="str">
        <x:v>TRIM/SUBSTITUTE whitespace cleanup</x:v>
      </x:c>
      <x:c r="I247" s="14" t="str">
        <x:v>Adjusted</x:v>
      </x:c>
      <x:c r="J247" s="14" t="str">
        <x:v>Yes</x:v>
      </x:c>
    </x:row>
    <x:row r="248">
      <x:c r="A248" s="14" t="str">
        <x:v>ISS-0247</x:v>
      </x:c>
      <x:c r="B248" s="14" t="n">
        <x:v>769</x:v>
      </x:c>
      <x:c r="C248" s="14" t="str">
        <x:v>ORD-2024-10768</x:v>
      </x:c>
      <x:c r="D248" s="14" t="str">
        <x:v>Text standardization</x:v>
      </x:c>
      <x:c r="E248" s="14" t="str">
        <x:v>category</x:v>
      </x:c>
      <x:c r="F248" s="14" t="str">
        <x:v>OFFICE SUPPLIES</x:v>
      </x:c>
      <x:c r="G248" s="14" t="str">
        <x:v>Office Supplies</x:v>
      </x:c>
      <x:c r="H248" s="14" t="str">
        <x:v>Case standardization</x:v>
      </x:c>
      <x:c r="I248" s="14" t="str">
        <x:v>Adjusted</x:v>
      </x:c>
      <x:c r="J248" s="14" t="str">
        <x:v>Yes</x:v>
      </x:c>
    </x:row>
    <x:row r="249">
      <x:c r="A249" s="14" t="str">
        <x:v>ISS-0248</x:v>
      </x:c>
      <x:c r="B249" s="14" t="n">
        <x:v>772</x:v>
      </x:c>
      <x:c r="C249" s="14" t="str">
        <x:v>ORD-2024-10771</x:v>
      </x:c>
      <x:c r="D249" s="14" t="str">
        <x:v>Missing discount</x:v>
      </x:c>
      <x:c r="E249" s="14" t="str">
        <x:v>discount</x:v>
      </x:c>
      <x:c r="F249" s="14" t="str">
        <x:v>(blank)</x:v>
      </x:c>
      <x:c r="G249" s="14" t="str">
        <x:v>0</x:v>
      </x:c>
      <x:c r="H249" s="14" t="str">
        <x:v>Imputed 0 because supporting sales fields were present</x:v>
      </x:c>
      <x:c r="I249" s="14" t="str">
        <x:v>Adjusted</x:v>
      </x:c>
      <x:c r="J249" s="14" t="str">
        <x:v>Yes</x:v>
      </x:c>
    </x:row>
    <x:row r="250">
      <x:c r="A250" s="14" t="str">
        <x:v>ISS-0249</x:v>
      </x:c>
      <x:c r="B250" s="14" t="n">
        <x:v>772</x:v>
      </x:c>
      <x:c r="C250" s="14" t="str">
        <x:v>ORD-2024-10771</x:v>
      </x:c>
      <x:c r="D250" s="14" t="str">
        <x:v>Sales calculation mismatch</x:v>
      </x:c>
      <x:c r="E250" s="14" t="str">
        <x:v>sales_raw</x:v>
      </x:c>
      <x:c r="F250" s="14" t="str">
        <x:v>3106.8</x:v>
      </x:c>
      <x:c r="G250" s="14" t="str">
        <x:v>3452.0</x:v>
      </x:c>
      <x:c r="H250" s="14" t="str">
        <x:v>Raw sales does not equal quantity × unit price × (1 − discount)</x:v>
      </x:c>
      <x:c r="I250" s="14" t="str">
        <x:v>Review</x:v>
      </x:c>
      <x:c r="J250" s="14" t="str">
        <x:v>Yes</x:v>
      </x:c>
    </x:row>
    <x:row r="251">
      <x:c r="A251" s="14" t="str">
        <x:v>ISS-0250</x:v>
      </x:c>
      <x:c r="B251" s="14" t="n">
        <x:v>773</x:v>
      </x:c>
      <x:c r="C251" s="14" t="str">
        <x:v>ORD-2024-10772</x:v>
      </x:c>
      <x:c r="D251" s="14" t="str">
        <x:v>Missing discount</x:v>
      </x:c>
      <x:c r="E251" s="14" t="str">
        <x:v>discount</x:v>
      </x:c>
      <x:c r="F251" s="14" t="str">
        <x:v>(blank)</x:v>
      </x:c>
      <x:c r="G251" s="14" t="str">
        <x:v>0</x:v>
      </x:c>
      <x:c r="H251" s="14" t="str">
        <x:v>Imputed 0 because supporting sales fields were present</x:v>
      </x:c>
      <x:c r="I251" s="14" t="str">
        <x:v>Adjusted</x:v>
      </x:c>
      <x:c r="J251" s="14" t="str">
        <x:v>Yes</x:v>
      </x:c>
    </x:row>
    <x:row r="252">
      <x:c r="A252" s="14" t="str">
        <x:v>ISS-0251</x:v>
      </x:c>
      <x:c r="B252" s="14" t="n">
        <x:v>773</x:v>
      </x:c>
      <x:c r="C252" s="14" t="str">
        <x:v>ORD-2024-10772</x:v>
      </x:c>
      <x:c r="D252" s="14" t="str">
        <x:v>Sales calculation mismatch</x:v>
      </x:c>
      <x:c r="E252" s="14" t="str">
        <x:v>sales_raw</x:v>
      </x:c>
      <x:c r="F252" s="14" t="str">
        <x:v>6394.23</x:v>
      </x:c>
      <x:c r="G252" s="14" t="str">
        <x:v>8525.64</x:v>
      </x:c>
      <x:c r="H252" s="14" t="str">
        <x:v>Raw sales does not equal quantity × unit price × (1 − discount)</x:v>
      </x:c>
      <x:c r="I252" s="14" t="str">
        <x:v>Review</x:v>
      </x:c>
      <x:c r="J252" s="14" t="str">
        <x:v>Yes</x:v>
      </x:c>
    </x:row>
    <x:row r="253">
      <x:c r="A253" s="14" t="str">
        <x:v>ISS-0252</x:v>
      </x:c>
      <x:c r="B253" s="14" t="n">
        <x:v>775</x:v>
      </x:c>
      <x:c r="C253" s="14" t="str">
        <x:v>ORD-2025-10774</x:v>
      </x:c>
      <x:c r="D253" s="14" t="str">
        <x:v>Missing text value</x:v>
      </x:c>
      <x:c r="E253" s="14" t="str">
        <x:v>ship_mode</x:v>
      </x:c>
      <x:c r="F253" s="14" t="str">
        <x:v>(blank)</x:v>
      </x:c>
      <x:c r="G253" s="14" t="str">
        <x:v>Unknown</x:v>
      </x:c>
      <x:c r="H253" s="14" t="str">
        <x:v>Missing value filled as Unknown</x:v>
      </x:c>
      <x:c r="I253" s="14" t="str">
        <x:v>Adjusted</x:v>
      </x:c>
      <x:c r="J253" s="14" t="str">
        <x:v>Yes</x:v>
      </x:c>
    </x:row>
    <x:row r="254">
      <x:c r="A254" s="14" t="str">
        <x:v>ISS-0253</x:v>
      </x:c>
      <x:c r="B254" s="14" t="n">
        <x:v>776</x:v>
      </x:c>
      <x:c r="C254" s="14" t="str">
        <x:v>ORD-2025-10775</x:v>
      </x:c>
      <x:c r="D254" s="14" t="str">
        <x:v>Missing text value</x:v>
      </x:c>
      <x:c r="E254" s="14" t="str">
        <x:v>ship_mode</x:v>
      </x:c>
      <x:c r="F254" s="14" t="str">
        <x:v>(blank)</x:v>
      </x:c>
      <x:c r="G254" s="14" t="str">
        <x:v>Unknown</x:v>
      </x:c>
      <x:c r="H254" s="14" t="str">
        <x:v>Missing value filled as Unknown</x:v>
      </x:c>
      <x:c r="I254" s="14" t="str">
        <x:v>Adjusted</x:v>
      </x:c>
      <x:c r="J254" s="14" t="str">
        <x:v>Yes</x:v>
      </x:c>
    </x:row>
    <x:row r="255">
      <x:c r="A255" s="14" t="str">
        <x:v>ISS-0254</x:v>
      </x:c>
      <x:c r="B255" s="14" t="n">
        <x:v>786</x:v>
      </x:c>
      <x:c r="C255" s="14" t="str">
        <x:v>ORD-2025-10785</x:v>
      </x:c>
      <x:c r="D255" s="14" t="str">
        <x:v>Text standardization</x:v>
      </x:c>
      <x:c r="E255" s="14" t="str">
        <x:v>region</x:v>
      </x:c>
      <x:c r="F255" s="14" t="str">
        <x:v>north</x:v>
      </x:c>
      <x:c r="G255" s="14" t="str">
        <x:v>North</x:v>
      </x:c>
      <x:c r="H255" s="14" t="str">
        <x:v>Case standardization</x:v>
      </x:c>
      <x:c r="I255" s="14" t="str">
        <x:v>Adjusted</x:v>
      </x:c>
      <x:c r="J255" s="14" t="str">
        <x:v>Yes</x:v>
      </x:c>
    </x:row>
    <x:row r="256">
      <x:c r="A256" s="14" t="str">
        <x:v>ISS-0255</x:v>
      </x:c>
      <x:c r="B256" s="14" t="n">
        <x:v>787</x:v>
      </x:c>
      <x:c r="C256" s="14" t="str">
        <x:v>ORD-2024-10786</x:v>
      </x:c>
      <x:c r="D256" s="14" t="str">
        <x:v>Profit calculation mismatch</x:v>
      </x:c>
      <x:c r="E256" s="14" t="str">
        <x:v>profit_raw</x:v>
      </x:c>
      <x:c r="F256" s="14" t="str">
        <x:v>1275.55</x:v>
      </x:c>
      <x:c r="G256" s="14" t="str">
        <x:v>1015.25</x:v>
      </x:c>
      <x:c r="H256" s="14" t="str">
        <x:v>Raw profit does not equal raw sales − cost</x:v>
      </x:c>
      <x:c r="I256" s="14" t="str">
        <x:v>Review</x:v>
      </x:c>
      <x:c r="J256" s="14" t="str">
        <x:v>Yes</x:v>
      </x:c>
    </x:row>
    <x:row r="257">
      <x:c r="A257" s="14" t="str">
        <x:v>ISS-0256</x:v>
      </x:c>
      <x:c r="B257" s="14" t="n">
        <x:v>788</x:v>
      </x:c>
      <x:c r="C257" s="14" t="str">
        <x:v>ORD-2025-10787</x:v>
      </x:c>
      <x:c r="D257" s="14" t="str">
        <x:v>Missing text value</x:v>
      </x:c>
      <x:c r="E257" s="14" t="str">
        <x:v>ship_mode</x:v>
      </x:c>
      <x:c r="F257" s="14" t="str">
        <x:v>(blank)</x:v>
      </x:c>
      <x:c r="G257" s="14" t="str">
        <x:v>Unknown</x:v>
      </x:c>
      <x:c r="H257" s="14" t="str">
        <x:v>Missing value filled as Unknown</x:v>
      </x:c>
      <x:c r="I257" s="14" t="str">
        <x:v>Adjusted</x:v>
      </x:c>
      <x:c r="J257" s="14" t="str">
        <x:v>Yes</x:v>
      </x:c>
    </x:row>
    <x:row r="258">
      <x:c r="A258" s="14" t="str">
        <x:v>ISS-0257</x:v>
      </x:c>
      <x:c r="B258" s="14" t="n">
        <x:v>789</x:v>
      </x:c>
      <x:c r="C258" s="14" t="str">
        <x:v>ORD-2024-10788</x:v>
      </x:c>
      <x:c r="D258" s="14" t="str">
        <x:v>Text standardization</x:v>
      </x:c>
      <x:c r="E258" s="14" t="str">
        <x:v>payment_status</x:v>
      </x:c>
      <x:c r="F258" s="14" t="str">
        <x:v>Paid </x:v>
      </x:c>
      <x:c r="G258" s="14" t="str">
        <x:v>Paid</x:v>
      </x:c>
      <x:c r="H258" s="14" t="str">
        <x:v>TRIM/SUBSTITUTE whitespace cleanup</x:v>
      </x:c>
      <x:c r="I258" s="14" t="str">
        <x:v>Adjusted</x:v>
      </x:c>
      <x:c r="J258" s="14" t="str">
        <x:v>Yes</x:v>
      </x:c>
    </x:row>
    <x:row r="259">
      <x:c r="A259" s="14" t="str">
        <x:v>ISS-0258</x:v>
      </x:c>
      <x:c r="B259" s="14" t="n">
        <x:v>791</x:v>
      </x:c>
      <x:c r="C259" s="14" t="str">
        <x:v>ORD-2025-10790</x:v>
      </x:c>
      <x:c r="D259" s="14" t="str">
        <x:v>Missing text value</x:v>
      </x:c>
      <x:c r="E259" s="14" t="str">
        <x:v>region</x:v>
      </x:c>
      <x:c r="F259" s="14" t="str">
        <x:v>(blank)</x:v>
      </x:c>
      <x:c r="G259" s="14" t="str">
        <x:v>Unknown</x:v>
      </x:c>
      <x:c r="H259" s="14" t="str">
        <x:v>Missing value filled as Unknown</x:v>
      </x:c>
      <x:c r="I259" s="14" t="str">
        <x:v>Adjusted</x:v>
      </x:c>
      <x:c r="J259" s="14" t="str">
        <x:v>Yes</x:v>
      </x:c>
    </x:row>
    <x:row r="260">
      <x:c r="A260" s="14" t="str">
        <x:v>ISS-0259</x:v>
      </x:c>
      <x:c r="B260" s="14" t="n">
        <x:v>800</x:v>
      </x:c>
      <x:c r="C260" s="14" t="str">
        <x:v>ORD-2025-10799</x:v>
      </x:c>
      <x:c r="D260" s="14" t="str">
        <x:v>Date sequence</x:v>
      </x:c>
      <x:c r="E260" s="14" t="str">
        <x:v>ship_date</x:v>
      </x:c>
      <x:c r="F260" s="14" t="str">
        <x:v>09-07-2025</x:v>
      </x:c>
      <x:c r="G260" s="14" t="str">
        <x:v>2025-07-09</x:v>
      </x:c>
      <x:c r="H260" s="14" t="str">
        <x:v>Flagged; not auto-corrected</x:v>
      </x:c>
      <x:c r="I260" s="14" t="str">
        <x:v>Review</x:v>
      </x:c>
      <x:c r="J260" s="14" t="str">
        <x:v>Yes</x:v>
      </x:c>
    </x:row>
    <x:row r="261">
      <x:c r="A261" s="14" t="str">
        <x:v>ISS-0260</x:v>
      </x:c>
      <x:c r="B261" s="14" t="n">
        <x:v>801</x:v>
      </x:c>
      <x:c r="C261" s="14" t="str">
        <x:v>ORD-2024-10800</x:v>
      </x:c>
      <x:c r="D261" s="14" t="str">
        <x:v>Missing text value</x:v>
      </x:c>
      <x:c r="E261" s="14" t="str">
        <x:v>ship_mode</x:v>
      </x:c>
      <x:c r="F261" s="14" t="str">
        <x:v>(blank)</x:v>
      </x:c>
      <x:c r="G261" s="14" t="str">
        <x:v>Unknown</x:v>
      </x:c>
      <x:c r="H261" s="14" t="str">
        <x:v>Missing value filled as Unknown</x:v>
      </x:c>
      <x:c r="I261" s="14" t="str">
        <x:v>Adjusted</x:v>
      </x:c>
      <x:c r="J261" s="14" t="str">
        <x:v>Yes</x:v>
      </x:c>
    </x:row>
    <x:row r="262">
      <x:c r="A262" s="14" t="str">
        <x:v>ISS-0261</x:v>
      </x:c>
      <x:c r="B262" s="14" t="n">
        <x:v>804</x:v>
      </x:c>
      <x:c r="C262" s="14" t="str">
        <x:v>ORD-2025-10803</x:v>
      </x:c>
      <x:c r="D262" s="14" t="str">
        <x:v>Text standardization</x:v>
      </x:c>
      <x:c r="E262" s="14" t="str">
        <x:v>payment_status</x:v>
      </x:c>
      <x:c r="F262" s="14" t="str">
        <x:v>failed</x:v>
      </x:c>
      <x:c r="G262" s="14" t="str">
        <x:v>Failed</x:v>
      </x:c>
      <x:c r="H262" s="14" t="str">
        <x:v>Case standardization</x:v>
      </x:c>
      <x:c r="I262" s="14" t="str">
        <x:v>Adjusted</x:v>
      </x:c>
      <x:c r="J262" s="14" t="str">
        <x:v>Yes</x:v>
      </x:c>
    </x:row>
    <x:row r="263">
      <x:c r="A263" s="14" t="str">
        <x:v>ISS-0262</x:v>
      </x:c>
      <x:c r="B263" s="14" t="n">
        <x:v>805</x:v>
      </x:c>
      <x:c r="C263" s="14" t="str">
        <x:v>ORD-2024-10804</x:v>
      </x:c>
      <x:c r="D263" s="14" t="str">
        <x:v>Missing text value</x:v>
      </x:c>
      <x:c r="E263" s="14" t="str">
        <x:v>region</x:v>
      </x:c>
      <x:c r="F263" s="14" t="str">
        <x:v>(blank)</x:v>
      </x:c>
      <x:c r="G263" s="14" t="str">
        <x:v>Unknown</x:v>
      </x:c>
      <x:c r="H263" s="14" t="str">
        <x:v>Missing value filled as Unknown</x:v>
      </x:c>
      <x:c r="I263" s="14" t="str">
        <x:v>Adjusted</x:v>
      </x:c>
      <x:c r="J263" s="14" t="str">
        <x:v>Yes</x:v>
      </x:c>
    </x:row>
    <x:row r="264">
      <x:c r="A264" s="14" t="str">
        <x:v>ISS-0263</x:v>
      </x:c>
      <x:c r="B264" s="14" t="n">
        <x:v>809</x:v>
      </x:c>
      <x:c r="C264" s="14" t="str">
        <x:v>ORD-2025-10808</x:v>
      </x:c>
      <x:c r="D264" s="14" t="str">
        <x:v>Text standardization</x:v>
      </x:c>
      <x:c r="E264" s="14" t="str">
        <x:v>ship_mode</x:v>
      </x:c>
      <x:c r="F264" s="14" t="str">
        <x:v>standard class</x:v>
      </x:c>
      <x:c r="G264" s="14" t="str">
        <x:v>Standard Class</x:v>
      </x:c>
      <x:c r="H264" s="14" t="str">
        <x:v>Case standardization</x:v>
      </x:c>
      <x:c r="I264" s="14" t="str">
        <x:v>Adjusted</x:v>
      </x:c>
      <x:c r="J264" s="14" t="str">
        <x:v>Yes</x:v>
      </x:c>
    </x:row>
    <x:row r="265">
      <x:c r="A265" s="14" t="str">
        <x:v>ISS-0264</x:v>
      </x:c>
      <x:c r="B265" s="14" t="n">
        <x:v>810</x:v>
      </x:c>
      <x:c r="C265" s="14" t="str">
        <x:v>ORD-2025-10809</x:v>
      </x:c>
      <x:c r="D265" s="14" t="str">
        <x:v>Date sequence</x:v>
      </x:c>
      <x:c r="E265" s="14" t="str">
        <x:v>ship_date</x:v>
      </x:c>
      <x:c r="F265" s="14" t="str">
        <x:v>2025-08-28</x:v>
      </x:c>
      <x:c r="G265" s="14" t="str">
        <x:v>2025-08-28</x:v>
      </x:c>
      <x:c r="H265" s="14" t="str">
        <x:v>Flagged; not auto-corrected</x:v>
      </x:c>
      <x:c r="I265" s="14" t="str">
        <x:v>Review</x:v>
      </x:c>
      <x:c r="J265" s="14" t="str">
        <x:v>Yes</x:v>
      </x:c>
    </x:row>
    <x:row r="266">
      <x:c r="A266" s="14" t="str">
        <x:v>ISS-0265</x:v>
      </x:c>
      <x:c r="B266" s="14" t="n">
        <x:v>811</x:v>
      </x:c>
      <x:c r="C266" s="14" t="str">
        <x:v>ORD-2025-10810</x:v>
      </x:c>
      <x:c r="D266" s="14" t="str">
        <x:v>Missing text value</x:v>
      </x:c>
      <x:c r="E266" s="14" t="str">
        <x:v>region</x:v>
      </x:c>
      <x:c r="F266" s="14" t="str">
        <x:v>(blank)</x:v>
      </x:c>
      <x:c r="G266" s="14" t="str">
        <x:v>Unknown</x:v>
      </x:c>
      <x:c r="H266" s="14" t="str">
        <x:v>Missing value filled as Unknown</x:v>
      </x:c>
      <x:c r="I266" s="14" t="str">
        <x:v>Adjusted</x:v>
      </x:c>
      <x:c r="J266" s="14" t="str">
        <x:v>Yes</x:v>
      </x:c>
    </x:row>
    <x:row r="267">
      <x:c r="A267" s="14" t="str">
        <x:v>ISS-0266</x:v>
      </x:c>
      <x:c r="B267" s="14" t="n">
        <x:v>812</x:v>
      </x:c>
      <x:c r="C267" s="14" t="str">
        <x:v>ORD-2024-10811</x:v>
      </x:c>
      <x:c r="D267" s="14" t="str">
        <x:v>Text standardization</x:v>
      </x:c>
      <x:c r="E267" s="14" t="str">
        <x:v>segment</x:v>
      </x:c>
      <x:c r="F267" s="14" t="str">
        <x:v>Home Office </x:v>
      </x:c>
      <x:c r="G267" s="14" t="str">
        <x:v>Home Office</x:v>
      </x:c>
      <x:c r="H267" s="14" t="str">
        <x:v>TRIM/SUBSTITUTE whitespace cleanup</x:v>
      </x:c>
      <x:c r="I267" s="14" t="str">
        <x:v>Adjusted</x:v>
      </x:c>
      <x:c r="J267" s="14" t="str">
        <x:v>Yes</x:v>
      </x:c>
    </x:row>
    <x:row r="268">
      <x:c r="A268" s="14" t="str">
        <x:v>ISS-0267</x:v>
      </x:c>
      <x:c r="B268" s="14" t="n">
        <x:v>820</x:v>
      </x:c>
      <x:c r="C268" s="14" t="str">
        <x:v>ORD-2024-10819</x:v>
      </x:c>
      <x:c r="D268" s="14" t="str">
        <x:v>Invalid discount</x:v>
      </x:c>
      <x:c r="E268" s="14" t="str">
        <x:v>discount</x:v>
      </x:c>
      <x:c r="F268" s="14" t="str">
        <x:v>-0.14</x:v>
      </x:c>
      <x:c r="G268" s="14" t="str"/>
      <x:c r="H268" s="14" t="str">
        <x:v>Invalid negative discount; blanked for analysis</x:v>
      </x:c>
      <x:c r="I268" s="14" t="str">
        <x:v>Review</x:v>
      </x:c>
      <x:c r="J268" s="14" t="str">
        <x:v>Yes</x:v>
      </x:c>
    </x:row>
    <x:row r="269">
      <x:c r="A269" s="14" t="str">
        <x:v>ISS-0268</x:v>
      </x:c>
      <x:c r="B269" s="14" t="n">
        <x:v>821</x:v>
      </x:c>
      <x:c r="C269" s="14" t="str">
        <x:v>ORD-2024-10820</x:v>
      </x:c>
      <x:c r="D269" s="14" t="str">
        <x:v>Text standardization</x:v>
      </x:c>
      <x:c r="E269" s="14" t="str">
        <x:v>sub_category</x:v>
      </x:c>
      <x:c r="F269" s="14" t="str">
        <x:v>MACHINES</x:v>
      </x:c>
      <x:c r="G269" s="14" t="str">
        <x:v>Machines</x:v>
      </x:c>
      <x:c r="H269" s="14" t="str">
        <x:v>Case standardization</x:v>
      </x:c>
      <x:c r="I269" s="14" t="str">
        <x:v>Adjusted</x:v>
      </x:c>
      <x:c r="J269" s="14" t="str">
        <x:v>Yes</x:v>
      </x:c>
    </x:row>
    <x:row r="270">
      <x:c r="A270" s="14" t="str">
        <x:v>ISS-0269</x:v>
      </x:c>
      <x:c r="B270" s="14" t="n">
        <x:v>824</x:v>
      </x:c>
      <x:c r="C270" s="14" t="str">
        <x:v>ORD-2024-10823</x:v>
      </x:c>
      <x:c r="D270" s="14" t="str">
        <x:v>Date sequence</x:v>
      </x:c>
      <x:c r="E270" s="14" t="str">
        <x:v>ship_date</x:v>
      </x:c>
      <x:c r="F270" s="14" t="str">
        <x:v>08 Oct 2024</x:v>
      </x:c>
      <x:c r="G270" s="14" t="str">
        <x:v>2024-10-08</x:v>
      </x:c>
      <x:c r="H270" s="14" t="str">
        <x:v>Flagged; not auto-corrected</x:v>
      </x:c>
      <x:c r="I270" s="14" t="str">
        <x:v>Review</x:v>
      </x:c>
      <x:c r="J270" s="14" t="str">
        <x:v>Yes</x:v>
      </x:c>
    </x:row>
    <x:row r="271">
      <x:c r="A271" s="14" t="str">
        <x:v>ISS-0270</x:v>
      </x:c>
      <x:c r="B271" s="14" t="n">
        <x:v>830</x:v>
      </x:c>
      <x:c r="C271" s="14" t="str">
        <x:v>ORD-2025-10829</x:v>
      </x:c>
      <x:c r="D271" s="14" t="str">
        <x:v>Text standardization</x:v>
      </x:c>
      <x:c r="E271" s="14" t="str">
        <x:v>customer_name</x:v>
      </x:c>
      <x:c r="F271" s="14" t="str">
        <x:v>Karan Malhotra </x:v>
      </x:c>
      <x:c r="G271" s="14" t="str">
        <x:v>Karan Malhotra</x:v>
      </x:c>
      <x:c r="H271" s="14" t="str">
        <x:v>TRIM/SUBSTITUTE whitespace cleanup</x:v>
      </x:c>
      <x:c r="I271" s="14" t="str">
        <x:v>Adjusted</x:v>
      </x:c>
      <x:c r="J271" s="14" t="str">
        <x:v>Yes</x:v>
      </x:c>
    </x:row>
    <x:row r="272">
      <x:c r="A272" s="14" t="str">
        <x:v>ISS-0271</x:v>
      </x:c>
      <x:c r="B272" s="14" t="n">
        <x:v>832</x:v>
      </x:c>
      <x:c r="C272" s="14" t="str">
        <x:v>ORD-2025-10831</x:v>
      </x:c>
      <x:c r="D272" s="14" t="str">
        <x:v>Missing text value</x:v>
      </x:c>
      <x:c r="E272" s="14" t="str">
        <x:v>region</x:v>
      </x:c>
      <x:c r="F272" s="14" t="str">
        <x:v>(blank)</x:v>
      </x:c>
      <x:c r="G272" s="14" t="str">
        <x:v>Unknown</x:v>
      </x:c>
      <x:c r="H272" s="14" t="str">
        <x:v>Missing value filled as Unknown</x:v>
      </x:c>
      <x:c r="I272" s="14" t="str">
        <x:v>Adjusted</x:v>
      </x:c>
      <x:c r="J272" s="14" t="str">
        <x:v>Yes</x:v>
      </x:c>
    </x:row>
    <x:row r="273">
      <x:c r="A273" s="14" t="str">
        <x:v>ISS-0272</x:v>
      </x:c>
      <x:c r="B273" s="14" t="n">
        <x:v>833</x:v>
      </x:c>
      <x:c r="C273" s="14" t="str">
        <x:v>ORD-2025-10832</x:v>
      </x:c>
      <x:c r="D273" s="14" t="str">
        <x:v>Missing text value</x:v>
      </x:c>
      <x:c r="E273" s="14" t="str">
        <x:v>region</x:v>
      </x:c>
      <x:c r="F273" s="14" t="str">
        <x:v>(blank)</x:v>
      </x:c>
      <x:c r="G273" s="14" t="str">
        <x:v>Unknown</x:v>
      </x:c>
      <x:c r="H273" s="14" t="str">
        <x:v>Missing value filled as Unknown</x:v>
      </x:c>
      <x:c r="I273" s="14" t="str">
        <x:v>Adjusted</x:v>
      </x:c>
      <x:c r="J273" s="14" t="str">
        <x:v>Yes</x:v>
      </x:c>
    </x:row>
    <x:row r="274">
      <x:c r="A274" s="14" t="str">
        <x:v>ISS-0273</x:v>
      </x:c>
      <x:c r="B274" s="14" t="n">
        <x:v>836</x:v>
      </x:c>
      <x:c r="C274" s="14" t="str">
        <x:v>ORD-2024-10835</x:v>
      </x:c>
      <x:c r="D274" s="14" t="str">
        <x:v>Profit calculation mismatch</x:v>
      </x:c>
      <x:c r="E274" s="14" t="str">
        <x:v>profit_raw</x:v>
      </x:c>
      <x:c r="F274" s="14" t="str">
        <x:v>1279.79</x:v>
      </x:c>
      <x:c r="G274" s="14" t="str">
        <x:v>968.73</x:v>
      </x:c>
      <x:c r="H274" s="14" t="str">
        <x:v>Raw profit does not equal raw sales − cost</x:v>
      </x:c>
      <x:c r="I274" s="14" t="str">
        <x:v>Review</x:v>
      </x:c>
      <x:c r="J274" s="14" t="str">
        <x:v>Yes</x:v>
      </x:c>
    </x:row>
    <x:row r="275">
      <x:c r="A275" s="14" t="str">
        <x:v>ISS-0274</x:v>
      </x:c>
      <x:c r="B275" s="14" t="n">
        <x:v>844</x:v>
      </x:c>
      <x:c r="C275" s="14" t="str">
        <x:v>ORD-2024-10843</x:v>
      </x:c>
      <x:c r="D275" s="14" t="str">
        <x:v>Text standardization</x:v>
      </x:c>
      <x:c r="E275" s="14" t="str">
        <x:v>customer_name</x:v>
      </x:c>
      <x:c r="F275" s="14" t="str">
        <x:v>kabir singh</x:v>
      </x:c>
      <x:c r="G275" s="14" t="str">
        <x:v>Kabir Singh</x:v>
      </x:c>
      <x:c r="H275" s="14" t="str">
        <x:v>Case standardization</x:v>
      </x:c>
      <x:c r="I275" s="14" t="str">
        <x:v>Adjusted</x:v>
      </x:c>
      <x:c r="J275" s="14" t="str">
        <x:v>Yes</x:v>
      </x:c>
    </x:row>
    <x:row r="276">
      <x:c r="A276" s="14" t="str">
        <x:v>ISS-0275</x:v>
      </x:c>
      <x:c r="B276" s="14" t="n">
        <x:v>844</x:v>
      </x:c>
      <x:c r="C276" s="14" t="str">
        <x:v>ORD-2024-10843</x:v>
      </x:c>
      <x:c r="D276" s="14" t="str">
        <x:v>Date sequence</x:v>
      </x:c>
      <x:c r="E276" s="14" t="str">
        <x:v>ship_date</x:v>
      </x:c>
      <x:c r="F276" s="14" t="str">
        <x:v>03/30/2024</x:v>
      </x:c>
      <x:c r="G276" s="14" t="str">
        <x:v>2024-03-30</x:v>
      </x:c>
      <x:c r="H276" s="14" t="str">
        <x:v>Flagged; not auto-corrected</x:v>
      </x:c>
      <x:c r="I276" s="14" t="str">
        <x:v>Review</x:v>
      </x:c>
      <x:c r="J276" s="14" t="str">
        <x:v>Yes</x:v>
      </x:c>
    </x:row>
    <x:row r="277">
      <x:c r="A277" s="14" t="str">
        <x:v>ISS-0276</x:v>
      </x:c>
      <x:c r="B277" s="14" t="n">
        <x:v>845</x:v>
      </x:c>
      <x:c r="C277" s="14" t="str">
        <x:v>ORD-2025-10844</x:v>
      </x:c>
      <x:c r="D277" s="14" t="str">
        <x:v>Invalid discount</x:v>
      </x:c>
      <x:c r="E277" s="14" t="str">
        <x:v>discount</x:v>
      </x:c>
      <x:c r="F277" s="14" t="str">
        <x:v>-0.02</x:v>
      </x:c>
      <x:c r="G277" s="14" t="str"/>
      <x:c r="H277" s="14" t="str">
        <x:v>Invalid negative discount; blanked for analysis</x:v>
      </x:c>
      <x:c r="I277" s="14" t="str">
        <x:v>Review</x:v>
      </x:c>
      <x:c r="J277" s="14" t="str">
        <x:v>Yes</x:v>
      </x:c>
    </x:row>
    <x:row r="278">
      <x:c r="A278" s="14" t="str">
        <x:v>ISS-0277</x:v>
      </x:c>
      <x:c r="B278" s="14" t="n">
        <x:v>851</x:v>
      </x:c>
      <x:c r="C278" s="14" t="str">
        <x:v>ORD-2024-10850</x:v>
      </x:c>
      <x:c r="D278" s="14" t="str">
        <x:v>Text standardization</x:v>
      </x:c>
      <x:c r="E278" s="14" t="str">
        <x:v>order_status</x:v>
      </x:c>
      <x:c r="F278" s="14" t="str">
        <x:v>Completed </x:v>
      </x:c>
      <x:c r="G278" s="14" t="str">
        <x:v>Completed</x:v>
      </x:c>
      <x:c r="H278" s="14" t="str">
        <x:v>TRIM/SUBSTITUTE whitespace cleanup</x:v>
      </x:c>
      <x:c r="I278" s="14" t="str">
        <x:v>Adjusted</x:v>
      </x:c>
      <x:c r="J278" s="14" t="str">
        <x:v>Yes</x:v>
      </x:c>
    </x:row>
    <x:row r="279">
      <x:c r="A279" s="14" t="str">
        <x:v>ISS-0278</x:v>
      </x:c>
      <x:c r="B279" s="14" t="n">
        <x:v>851</x:v>
      </x:c>
      <x:c r="C279" s="14" t="str">
        <x:v>ORD-2024-10850</x:v>
      </x:c>
      <x:c r="D279" s="14" t="str">
        <x:v>Profit calculation mismatch</x:v>
      </x:c>
      <x:c r="E279" s="14" t="str">
        <x:v>profit_raw</x:v>
      </x:c>
      <x:c r="F279" s="14" t="str">
        <x:v>396.58</x:v>
      </x:c>
      <x:c r="G279" s="14" t="str">
        <x:v>732.38</x:v>
      </x:c>
      <x:c r="H279" s="14" t="str">
        <x:v>Raw profit does not equal raw sales − cost</x:v>
      </x:c>
      <x:c r="I279" s="14" t="str">
        <x:v>Review</x:v>
      </x:c>
      <x:c r="J279" s="14" t="str">
        <x:v>Yes</x:v>
      </x:c>
    </x:row>
    <x:row r="280">
      <x:c r="A280" s="14" t="str">
        <x:v>ISS-0279</x:v>
      </x:c>
      <x:c r="B280" s="14" t="n">
        <x:v>857</x:v>
      </x:c>
      <x:c r="C280" s="14" t="str">
        <x:v>ORD-2024-10856</x:v>
      </x:c>
      <x:c r="D280" s="14" t="str">
        <x:v>Text standardization</x:v>
      </x:c>
      <x:c r="E280" s="14" t="str">
        <x:v>sub_category</x:v>
      </x:c>
      <x:c r="F280" s="14" t="str">
        <x:v>LABELS</x:v>
      </x:c>
      <x:c r="G280" s="14" t="str">
        <x:v>Labels</x:v>
      </x:c>
      <x:c r="H280" s="14" t="str">
        <x:v>Case standardization</x:v>
      </x:c>
      <x:c r="I280" s="14" t="str">
        <x:v>Adjusted</x:v>
      </x:c>
      <x:c r="J280" s="14" t="str">
        <x:v>Yes</x:v>
      </x:c>
    </x:row>
    <x:row r="281">
      <x:c r="A281" s="14" t="str">
        <x:v>ISS-0280</x:v>
      </x:c>
      <x:c r="B281" s="14" t="n">
        <x:v>858</x:v>
      </x:c>
      <x:c r="C281" s="14" t="str">
        <x:v>ORD-2024-10857</x:v>
      </x:c>
      <x:c r="D281" s="14" t="str">
        <x:v>Invalid discount</x:v>
      </x:c>
      <x:c r="E281" s="14" t="str">
        <x:v>discount</x:v>
      </x:c>
      <x:c r="F281" s="14" t="str">
        <x:v>-0.16</x:v>
      </x:c>
      <x:c r="G281" s="14" t="str"/>
      <x:c r="H281" s="14" t="str">
        <x:v>Invalid negative discount; blanked for analysis</x:v>
      </x:c>
      <x:c r="I281" s="14" t="str">
        <x:v>Review</x:v>
      </x:c>
      <x:c r="J281" s="14" t="str">
        <x:v>Yes</x:v>
      </x:c>
    </x:row>
    <x:row r="282">
      <x:c r="A282" s="14" t="str">
        <x:v>ISS-0281</x:v>
      </x:c>
      <x:c r="B282" s="14" t="n">
        <x:v>860</x:v>
      </x:c>
      <x:c r="C282" s="14" t="str">
        <x:v>ORD-2024-10859</x:v>
      </x:c>
      <x:c r="D282" s="14" t="str">
        <x:v>Profit calculation mismatch</x:v>
      </x:c>
      <x:c r="E282" s="14" t="str">
        <x:v>profit_raw</x:v>
      </x:c>
      <x:c r="F282" s="14" t="str">
        <x:v>4494.64</x:v>
      </x:c>
      <x:c r="G282" s="14" t="str">
        <x:v>4435.12</x:v>
      </x:c>
      <x:c r="H282" s="14" t="str">
        <x:v>Raw profit does not equal raw sales − cost</x:v>
      </x:c>
      <x:c r="I282" s="14" t="str">
        <x:v>Review</x:v>
      </x:c>
      <x:c r="J282" s="14" t="str">
        <x:v>Yes</x:v>
      </x:c>
    </x:row>
    <x:row r="283">
      <x:c r="A283" s="14" t="str">
        <x:v>ISS-0282</x:v>
      </x:c>
      <x:c r="B283" s="14" t="n">
        <x:v>871</x:v>
      </x:c>
      <x:c r="C283" s="14" t="str">
        <x:v>ORD-2025-10870</x:v>
      </x:c>
      <x:c r="D283" s="14" t="str">
        <x:v>Missing text value</x:v>
      </x:c>
      <x:c r="E283" s="14" t="str">
        <x:v>region</x:v>
      </x:c>
      <x:c r="F283" s="14" t="str">
        <x:v>(blank)</x:v>
      </x:c>
      <x:c r="G283" s="14" t="str">
        <x:v>Unknown</x:v>
      </x:c>
      <x:c r="H283" s="14" t="str">
        <x:v>Missing value filled as Unknown</x:v>
      </x:c>
      <x:c r="I283" s="14" t="str">
        <x:v>Adjusted</x:v>
      </x:c>
      <x:c r="J283" s="14" t="str">
        <x:v>Yes</x:v>
      </x:c>
    </x:row>
    <x:row r="284">
      <x:c r="A284" s="14" t="str">
        <x:v>ISS-0283</x:v>
      </x:c>
      <x:c r="B284" s="14" t="n">
        <x:v>882</x:v>
      </x:c>
      <x:c r="C284" s="14" t="str">
        <x:v>ORD-2024-10881</x:v>
      </x:c>
      <x:c r="D284" s="14" t="str">
        <x:v>Missing text value</x:v>
      </x:c>
      <x:c r="E284" s="14" t="str">
        <x:v>region</x:v>
      </x:c>
      <x:c r="F284" s="14" t="str">
        <x:v>(blank)</x:v>
      </x:c>
      <x:c r="G284" s="14" t="str">
        <x:v>Unknown</x:v>
      </x:c>
      <x:c r="H284" s="14" t="str">
        <x:v>Missing value filled as Unknown</x:v>
      </x:c>
      <x:c r="I284" s="14" t="str">
        <x:v>Adjusted</x:v>
      </x:c>
      <x:c r="J284" s="14" t="str">
        <x:v>Yes</x:v>
      </x:c>
    </x:row>
    <x:row r="285">
      <x:c r="A285" s="14" t="str">
        <x:v>ISS-0284</x:v>
      </x:c>
      <x:c r="B285" s="14" t="n">
        <x:v>902</x:v>
      </x:c>
      <x:c r="C285" s="14" t="str">
        <x:v>ORD-2024-10503</x:v>
      </x:c>
      <x:c r="D285" s="14" t="str">
        <x:v>Text standardization</x:v>
      </x:c>
      <x:c r="E285" s="14" t="str">
        <x:v>region</x:v>
      </x:c>
      <x:c r="F285" s="14" t="str">
        <x:v>  East </x:v>
      </x:c>
      <x:c r="G285" s="14" t="str">
        <x:v>East</x:v>
      </x:c>
      <x:c r="H285" s="14" t="str">
        <x:v>TRIM/SUBSTITUTE whitespace cleanup</x:v>
      </x:c>
      <x:c r="I285" s="14" t="str">
        <x:v>Adjusted</x:v>
      </x:c>
      <x:c r="J285" s="14" t="str">
        <x:v>No</x:v>
      </x:c>
    </x:row>
    <x:row r="286">
      <x:c r="A286" s="14" t="str">
        <x:v>ISS-0285</x:v>
      </x:c>
      <x:c r="B286" s="14" t="n">
        <x:v>902</x:v>
      </x:c>
      <x:c r="C286" s="14" t="str">
        <x:v>ORD-2024-10503</x:v>
      </x:c>
      <x:c r="D286" s="14" t="str">
        <x:v>Exact duplicate</x:v>
      </x:c>
      <x:c r="E286" s="14" t="str">
        <x:v>Entire record</x:v>
      </x:c>
      <x:c r="F286" s="14" t="str">
        <x:v>Duplicate record</x:v>
      </x:c>
      <x:c r="G286" s="14" t="str">
        <x:v>Matches source row 504</x:v>
      </x:c>
      <x:c r="H286" s="14" t="str">
        <x:v>Removed exact duplicate copy</x:v>
      </x:c>
      <x:c r="I286" s="14" t="str">
        <x:v>Adjusted</x:v>
      </x:c>
      <x:c r="J286" s="14" t="str">
        <x:v>No</x:v>
      </x:c>
    </x:row>
    <x:row r="287">
      <x:c r="A287" s="14" t="str">
        <x:v>ISS-0286</x:v>
      </x:c>
      <x:c r="B287" s="14" t="n">
        <x:v>903</x:v>
      </x:c>
      <x:c r="C287" s="14" t="str">
        <x:v>ORD-2024-10599</x:v>
      </x:c>
      <x:c r="D287" s="14" t="str">
        <x:v>Exact duplicate</x:v>
      </x:c>
      <x:c r="E287" s="14" t="str">
        <x:v>Entire record</x:v>
      </x:c>
      <x:c r="F287" s="14" t="str">
        <x:v>Duplicate record</x:v>
      </x:c>
      <x:c r="G287" s="14" t="str">
        <x:v>Matches source row 600</x:v>
      </x:c>
      <x:c r="H287" s="14" t="str">
        <x:v>Removed exact duplicate copy</x:v>
      </x:c>
      <x:c r="I287" s="14" t="str">
        <x:v>Adjusted</x:v>
      </x:c>
      <x:c r="J287" s="14" t="str">
        <x:v>No</x:v>
      </x:c>
    </x:row>
    <x:row r="288">
      <x:c r="A288" s="14" t="str">
        <x:v>ISS-0287</x:v>
      </x:c>
      <x:c r="B288" s="14" t="n">
        <x:v>904</x:v>
      </x:c>
      <x:c r="C288" s="14" t="str">
        <x:v>ORD-2025-10695</x:v>
      </x:c>
      <x:c r="D288" s="14" t="str">
        <x:v>Exact duplicate</x:v>
      </x:c>
      <x:c r="E288" s="14" t="str">
        <x:v>Entire record</x:v>
      </x:c>
      <x:c r="F288" s="14" t="str">
        <x:v>Duplicate record</x:v>
      </x:c>
      <x:c r="G288" s="14" t="str">
        <x:v>Matches source row 696</x:v>
      </x:c>
      <x:c r="H288" s="14" t="str">
        <x:v>Removed exact duplicate copy</x:v>
      </x:c>
      <x:c r="I288" s="14" t="str">
        <x:v>Adjusted</x:v>
      </x:c>
      <x:c r="J288" s="14" t="str">
        <x:v>No</x:v>
      </x:c>
    </x:row>
    <x:row r="289">
      <x:c r="A289" s="14" t="str">
        <x:v>ISS-0288</x:v>
      </x:c>
      <x:c r="B289" s="14" t="n">
        <x:v>905</x:v>
      </x:c>
      <x:c r="C289" s="14" t="str">
        <x:v>ORD-2024-10705</x:v>
      </x:c>
      <x:c r="D289" s="14" t="str">
        <x:v>Missing text value</x:v>
      </x:c>
      <x:c r="E289" s="14" t="str">
        <x:v>ship_mode</x:v>
      </x:c>
      <x:c r="F289" s="14" t="str">
        <x:v>(blank)</x:v>
      </x:c>
      <x:c r="G289" s="14" t="str">
        <x:v>Unknown</x:v>
      </x:c>
      <x:c r="H289" s="14" t="str">
        <x:v>Missing value filled as Unknown</x:v>
      </x:c>
      <x:c r="I289" s="14" t="str">
        <x:v>Adjusted</x:v>
      </x:c>
      <x:c r="J289" s="14" t="str">
        <x:v>No</x:v>
      </x:c>
    </x:row>
    <x:row r="290">
      <x:c r="A290" s="14" t="str">
        <x:v>ISS-0289</x:v>
      </x:c>
      <x:c r="B290" s="14" t="n">
        <x:v>905</x:v>
      </x:c>
      <x:c r="C290" s="14" t="str">
        <x:v>ORD-2024-10705</x:v>
      </x:c>
      <x:c r="D290" s="14" t="str">
        <x:v>Exact duplicate</x:v>
      </x:c>
      <x:c r="E290" s="14" t="str">
        <x:v>Entire record</x:v>
      </x:c>
      <x:c r="F290" s="14" t="str">
        <x:v>Duplicate record</x:v>
      </x:c>
      <x:c r="G290" s="14" t="str">
        <x:v>Matches source row 706</x:v>
      </x:c>
      <x:c r="H290" s="14" t="str">
        <x:v>Removed exact duplicate copy</x:v>
      </x:c>
      <x:c r="I290" s="14" t="str">
        <x:v>Adjusted</x:v>
      </x:c>
      <x:c r="J290" s="14" t="str">
        <x:v>No</x:v>
      </x:c>
    </x:row>
    <x:row r="291">
      <x:c r="A291" s="14" t="str">
        <x:v>ISS-0290</x:v>
      </x:c>
      <x:c r="B291" s="14" t="n">
        <x:v>906</x:v>
      </x:c>
      <x:c r="C291" s="14" t="str">
        <x:v>ORD-2024-10277</x:v>
      </x:c>
      <x:c r="D291" s="14" t="str">
        <x:v>Missing text value</x:v>
      </x:c>
      <x:c r="E291" s="14" t="str">
        <x:v>region</x:v>
      </x:c>
      <x:c r="F291" s="14" t="str">
        <x:v>(blank)</x:v>
      </x:c>
      <x:c r="G291" s="14" t="str">
        <x:v>Unknown</x:v>
      </x:c>
      <x:c r="H291" s="14" t="str">
        <x:v>Missing value filled as Unknown</x:v>
      </x:c>
      <x:c r="I291" s="14" t="str">
        <x:v>Adjusted</x:v>
      </x:c>
      <x:c r="J291" s="14" t="str">
        <x:v>No</x:v>
      </x:c>
    </x:row>
    <x:row r="292">
      <x:c r="A292" s="14" t="str">
        <x:v>ISS-0291</x:v>
      </x:c>
      <x:c r="B292" s="14" t="n">
        <x:v>906</x:v>
      </x:c>
      <x:c r="C292" s="14" t="str">
        <x:v>ORD-2024-10277</x:v>
      </x:c>
      <x:c r="D292" s="14" t="str">
        <x:v>Invalid discount</x:v>
      </x:c>
      <x:c r="E292" s="14" t="str">
        <x:v>discount</x:v>
      </x:c>
      <x:c r="F292" s="14" t="str">
        <x:v>-0.14</x:v>
      </x:c>
      <x:c r="G292" s="14" t="str"/>
      <x:c r="H292" s="14" t="str">
        <x:v>Invalid negative discount; blanked for analysis</x:v>
      </x:c>
      <x:c r="I292" s="14" t="str">
        <x:v>Review</x:v>
      </x:c>
      <x:c r="J292" s="14" t="str">
        <x:v>No</x:v>
      </x:c>
    </x:row>
    <x:row r="293">
      <x:c r="A293" s="14" t="str">
        <x:v>ISS-0292</x:v>
      </x:c>
      <x:c r="B293" s="14" t="n">
        <x:v>906</x:v>
      </x:c>
      <x:c r="C293" s="14" t="str">
        <x:v>ORD-2024-10277</x:v>
      </x:c>
      <x:c r="D293" s="14" t="str">
        <x:v>Exact duplicate</x:v>
      </x:c>
      <x:c r="E293" s="14" t="str">
        <x:v>Entire record</x:v>
      </x:c>
      <x:c r="F293" s="14" t="str">
        <x:v>Duplicate record</x:v>
      </x:c>
      <x:c r="G293" s="14" t="str">
        <x:v>Matches source row 278</x:v>
      </x:c>
      <x:c r="H293" s="14" t="str">
        <x:v>Removed exact duplicate copy</x:v>
      </x:c>
      <x:c r="I293" s="14" t="str">
        <x:v>Adjusted</x:v>
      </x:c>
      <x:c r="J293" s="14" t="str">
        <x:v>No</x:v>
      </x:c>
    </x:row>
    <x:row r="294">
      <x:c r="A294" s="14" t="str">
        <x:v>ISS-0293</x:v>
      </x:c>
      <x:c r="B294" s="14" t="n">
        <x:v>907</x:v>
      </x:c>
      <x:c r="C294" s="14" t="str">
        <x:v>ORD-2025-10633</x:v>
      </x:c>
      <x:c r="D294" s="14" t="str">
        <x:v>Exact duplicate</x:v>
      </x:c>
      <x:c r="E294" s="14" t="str">
        <x:v>Entire record</x:v>
      </x:c>
      <x:c r="F294" s="14" t="str">
        <x:v>Duplicate record</x:v>
      </x:c>
      <x:c r="G294" s="14" t="str">
        <x:v>Matches source row 634</x:v>
      </x:c>
      <x:c r="H294" s="14" t="str">
        <x:v>Removed exact duplicate copy</x:v>
      </x:c>
      <x:c r="I294" s="14" t="str">
        <x:v>Adjusted</x:v>
      </x:c>
      <x:c r="J294" s="14" t="str">
        <x:v>No</x:v>
      </x:c>
    </x:row>
    <x:row r="295">
      <x:c r="A295" s="14" t="str">
        <x:v>ISS-0294</x:v>
      </x:c>
      <x:c r="B295" s="14" t="n">
        <x:v>908</x:v>
      </x:c>
      <x:c r="C295" s="14" t="str">
        <x:v>ORD-2025-10730</x:v>
      </x:c>
      <x:c r="D295" s="14" t="str">
        <x:v>Exact duplicate</x:v>
      </x:c>
      <x:c r="E295" s="14" t="str">
        <x:v>Entire record</x:v>
      </x:c>
      <x:c r="F295" s="14" t="str">
        <x:v>Duplicate record</x:v>
      </x:c>
      <x:c r="G295" s="14" t="str">
        <x:v>Matches source row 731</x:v>
      </x:c>
      <x:c r="H295" s="14" t="str">
        <x:v>Removed exact duplicate copy</x:v>
      </x:c>
      <x:c r="I295" s="14" t="str">
        <x:v>Adjusted</x:v>
      </x:c>
      <x:c r="J295" s="14" t="str">
        <x:v>No</x:v>
      </x:c>
    </x:row>
    <x:row r="296">
      <x:c r="A296" s="14" t="str">
        <x:v>ISS-0295</x:v>
      </x:c>
      <x:c r="B296" s="14" t="n">
        <x:v>909</x:v>
      </x:c>
      <x:c r="C296" s="14" t="str">
        <x:v>ORD-2024-10134</x:v>
      </x:c>
      <x:c r="D296" s="14" t="str">
        <x:v>Exact duplicate</x:v>
      </x:c>
      <x:c r="E296" s="14" t="str">
        <x:v>Entire record</x:v>
      </x:c>
      <x:c r="F296" s="14" t="str">
        <x:v>Duplicate record</x:v>
      </x:c>
      <x:c r="G296" s="14" t="str">
        <x:v>Matches source row 135</x:v>
      </x:c>
      <x:c r="H296" s="14" t="str">
        <x:v>Removed exact duplicate copy</x:v>
      </x:c>
      <x:c r="I296" s="14" t="str">
        <x:v>Adjusted</x:v>
      </x:c>
      <x:c r="J296" s="14" t="str">
        <x:v>No</x:v>
      </x:c>
    </x:row>
    <x:row r="297">
      <x:c r="A297" s="14" t="str">
        <x:v>ISS-0296</x:v>
      </x:c>
      <x:c r="B297" s="14" t="n">
        <x:v>910</x:v>
      </x:c>
      <x:c r="C297" s="14" t="str">
        <x:v>ORD-2025-10720</x:v>
      </x:c>
      <x:c r="D297" s="14" t="str">
        <x:v>Exact duplicate</x:v>
      </x:c>
      <x:c r="E297" s="14" t="str">
        <x:v>Entire record</x:v>
      </x:c>
      <x:c r="F297" s="14" t="str">
        <x:v>Duplicate record</x:v>
      </x:c>
      <x:c r="G297" s="14" t="str">
        <x:v>Matches source row 721</x:v>
      </x:c>
      <x:c r="H297" s="14" t="str">
        <x:v>Removed exact duplicate copy</x:v>
      </x:c>
      <x:c r="I297" s="14" t="str">
        <x:v>Adjusted</x:v>
      </x:c>
      <x:c r="J297" s="14" t="str">
        <x:v>No</x:v>
      </x:c>
    </x:row>
    <x:row r="298">
      <x:c r="A298" s="14" t="str">
        <x:v>ISS-0297</x:v>
      </x:c>
      <x:c r="B298" s="14" t="n">
        <x:v>911</x:v>
      </x:c>
      <x:c r="C298" s="14" t="str">
        <x:v>ORD-2025-10400</x:v>
      </x:c>
      <x:c r="D298" s="14" t="str">
        <x:v>Exact duplicate</x:v>
      </x:c>
      <x:c r="E298" s="14" t="str">
        <x:v>Entire record</x:v>
      </x:c>
      <x:c r="F298" s="14" t="str">
        <x:v>Duplicate record</x:v>
      </x:c>
      <x:c r="G298" s="14" t="str">
        <x:v>Matches source row 401</x:v>
      </x:c>
      <x:c r="H298" s="14" t="str">
        <x:v>Removed exact duplicate copy</x:v>
      </x:c>
      <x:c r="I298" s="14" t="str">
        <x:v>Adjusted</x:v>
      </x:c>
      <x:c r="J298" s="14" t="str">
        <x:v>No</x:v>
      </x:c>
    </x:row>
    <x:row r="299">
      <x:c r="A299" s="14" t="str">
        <x:v>ISS-0298</x:v>
      </x:c>
      <x:c r="B299" s="14" t="n">
        <x:v>912</x:v>
      </x:c>
      <x:c r="C299" s="14" t="str">
        <x:v>ORD-2024-10124</x:v>
      </x:c>
      <x:c r="D299" s="14" t="str">
        <x:v>Text standardization</x:v>
      </x:c>
      <x:c r="E299" s="14" t="str">
        <x:v>region</x:v>
      </x:c>
      <x:c r="F299" s="14" t="str">
        <x:v>NORTH</x:v>
      </x:c>
      <x:c r="G299" s="14" t="str">
        <x:v>North</x:v>
      </x:c>
      <x:c r="H299" s="14" t="str">
        <x:v>Case standardization</x:v>
      </x:c>
      <x:c r="I299" s="14" t="str">
        <x:v>Adjusted</x:v>
      </x:c>
      <x:c r="J299" s="14" t="str">
        <x:v>No</x:v>
      </x:c>
    </x:row>
    <x:row r="300">
      <x:c r="A300" s="14" t="str">
        <x:v>ISS-0299</x:v>
      </x:c>
      <x:c r="B300" s="14" t="n">
        <x:v>912</x:v>
      </x:c>
      <x:c r="C300" s="14" t="str">
        <x:v>ORD-2024-10124</x:v>
      </x:c>
      <x:c r="D300" s="14" t="str">
        <x:v>Exact duplicate</x:v>
      </x:c>
      <x:c r="E300" s="14" t="str">
        <x:v>Entire record</x:v>
      </x:c>
      <x:c r="F300" s="14" t="str">
        <x:v>Duplicate record</x:v>
      </x:c>
      <x:c r="G300" s="14" t="str">
        <x:v>Matches source row 125</x:v>
      </x:c>
      <x:c r="H300" s="14" t="str">
        <x:v>Removed exact duplicate copy</x:v>
      </x:c>
      <x:c r="I300" s="14" t="str">
        <x:v>Adjusted</x:v>
      </x:c>
      <x:c r="J300" s="14" t="str">
        <x:v>No</x:v>
      </x:c>
    </x:row>
    <x:row r="301">
      <x:c r="A301" s="14" t="str">
        <x:v>ISS-0300</x:v>
      </x:c>
      <x:c r="B301" s="14" t="n">
        <x:v>913</x:v>
      </x:c>
      <x:c r="C301" s="14" t="str">
        <x:v>ORD-2024-10251</x:v>
      </x:c>
      <x:c r="D301" s="14" t="str">
        <x:v>Exact duplicate</x:v>
      </x:c>
      <x:c r="E301" s="14" t="str">
        <x:v>Entire record</x:v>
      </x:c>
      <x:c r="F301" s="14" t="str">
        <x:v>Duplicate record</x:v>
      </x:c>
      <x:c r="G301" s="14" t="str">
        <x:v>Matches source row 252</x:v>
      </x:c>
      <x:c r="H301" s="14" t="str">
        <x:v>Removed exact duplicate copy</x:v>
      </x:c>
      <x:c r="I301" s="14" t="str">
        <x:v>Adjusted</x:v>
      </x:c>
      <x:c r="J301" s="14" t="str">
        <x:v>No</x:v>
      </x:c>
    </x:row>
    <x:row r="302">
      <x:c r="A302" s="14" t="str">
        <x:v>ISS-0301</x:v>
      </x:c>
      <x:c r="B302" s="14" t="n">
        <x:v>914</x:v>
      </x:c>
      <x:c r="C302" s="14" t="str">
        <x:v>ORD-2025-10378</x:v>
      </x:c>
      <x:c r="D302" s="14" t="str">
        <x:v>Text standardization</x:v>
      </x:c>
      <x:c r="E302" s="14" t="str">
        <x:v>sub_category</x:v>
      </x:c>
      <x:c r="F302" s="14" t="str">
        <x:v>storage</x:v>
      </x:c>
      <x:c r="G302" s="14" t="str">
        <x:v>Storage</x:v>
      </x:c>
      <x:c r="H302" s="14" t="str">
        <x:v>Case standardization</x:v>
      </x:c>
      <x:c r="I302" s="14" t="str">
        <x:v>Adjusted</x:v>
      </x:c>
      <x:c r="J302" s="14" t="str">
        <x:v>No</x:v>
      </x:c>
    </x:row>
    <x:row r="303">
      <x:c r="A303" s="14" t="str">
        <x:v>ISS-0302</x:v>
      </x:c>
      <x:c r="B303" s="14" t="n">
        <x:v>914</x:v>
      </x:c>
      <x:c r="C303" s="14" t="str">
        <x:v>ORD-2025-10378</x:v>
      </x:c>
      <x:c r="D303" s="14" t="str">
        <x:v>Exact duplicate</x:v>
      </x:c>
      <x:c r="E303" s="14" t="str">
        <x:v>Entire record</x:v>
      </x:c>
      <x:c r="F303" s="14" t="str">
        <x:v>Duplicate record</x:v>
      </x:c>
      <x:c r="G303" s="14" t="str">
        <x:v>Matches source row 379</x:v>
      </x:c>
      <x:c r="H303" s="14" t="str">
        <x:v>Removed exact duplicate copy</x:v>
      </x:c>
      <x:c r="I303" s="14" t="str">
        <x:v>Adjusted</x:v>
      </x:c>
      <x:c r="J303" s="14" t="str">
        <x:v>No</x:v>
      </x:c>
    </x:row>
    <x:row r="304">
      <x:c r="A304" s="14" t="str">
        <x:v>ISS-0303</x:v>
      </x:c>
      <x:c r="B304" s="14" t="n">
        <x:v>915</x:v>
      </x:c>
      <x:c r="C304" s="14" t="str">
        <x:v>ORD-2024-10281</x:v>
      </x:c>
      <x:c r="D304" s="14" t="str">
        <x:v>Exact duplicate</x:v>
      </x:c>
      <x:c r="E304" s="14" t="str">
        <x:v>Entire record</x:v>
      </x:c>
      <x:c r="F304" s="14" t="str">
        <x:v>Duplicate record</x:v>
      </x:c>
      <x:c r="G304" s="14" t="str">
        <x:v>Matches source row 282</x:v>
      </x:c>
      <x:c r="H304" s="14" t="str">
        <x:v>Removed exact duplicate copy</x:v>
      </x:c>
      <x:c r="I304" s="14" t="str">
        <x:v>Adjusted</x:v>
      </x:c>
      <x:c r="J304" s="14" t="str">
        <x:v>No</x:v>
      </x:c>
    </x:row>
    <x:row r="305">
      <x:c r="A305" s="14" t="str">
        <x:v>ISS-0304</x:v>
      </x:c>
      <x:c r="B305" s="14" t="n">
        <x:v>916</x:v>
      </x:c>
      <x:c r="C305" s="14" t="str">
        <x:v>ORD-2024-10713</x:v>
      </x:c>
      <x:c r="D305" s="14" t="str">
        <x:v>Exact duplicate</x:v>
      </x:c>
      <x:c r="E305" s="14" t="str">
        <x:v>Entire record</x:v>
      </x:c>
      <x:c r="F305" s="14" t="str">
        <x:v>Duplicate record</x:v>
      </x:c>
      <x:c r="G305" s="14" t="str">
        <x:v>Matches source row 714</x:v>
      </x:c>
      <x:c r="H305" s="14" t="str">
        <x:v>Removed exact duplicate copy</x:v>
      </x:c>
      <x:c r="I305" s="14" t="str">
        <x:v>Adjusted</x:v>
      </x:c>
      <x:c r="J305" s="14" t="str">
        <x:v>No</x:v>
      </x:c>
    </x:row>
    <x:row r="306">
      <x:c r="A306" s="14" t="str">
        <x:v>ISS-0305</x:v>
      </x:c>
      <x:c r="B306" s="14" t="n">
        <x:v>917</x:v>
      </x:c>
      <x:c r="C306" s="14" t="str">
        <x:v>ORD-2025-10550</x:v>
      </x:c>
      <x:c r="D306" s="14" t="str">
        <x:v>Exact duplicate</x:v>
      </x:c>
      <x:c r="E306" s="14" t="str">
        <x:v>Entire record</x:v>
      </x:c>
      <x:c r="F306" s="14" t="str">
        <x:v>Duplicate record</x:v>
      </x:c>
      <x:c r="G306" s="14" t="str">
        <x:v>Matches source row 551</x:v>
      </x:c>
      <x:c r="H306" s="14" t="str">
        <x:v>Removed exact duplicate copy</x:v>
      </x:c>
      <x:c r="I306" s="14" t="str">
        <x:v>Adjusted</x:v>
      </x:c>
      <x:c r="J306" s="14" t="str">
        <x:v>No</x:v>
      </x:c>
    </x:row>
    <x:row r="307">
      <x:c r="A307" s="14" t="str">
        <x:v>ISS-0306</x:v>
      </x:c>
      <x:c r="B307" s="14" t="n">
        <x:v>918</x:v>
      </x:c>
      <x:c r="C307" s="14" t="str">
        <x:v>ORD-2024-10850</x:v>
      </x:c>
      <x:c r="D307" s="14" t="str">
        <x:v>Text standardization</x:v>
      </x:c>
      <x:c r="E307" s="14" t="str">
        <x:v>order_status</x:v>
      </x:c>
      <x:c r="F307" s="14" t="str">
        <x:v>Completed </x:v>
      </x:c>
      <x:c r="G307" s="14" t="str">
        <x:v>Completed</x:v>
      </x:c>
      <x:c r="H307" s="14" t="str">
        <x:v>TRIM/SUBSTITUTE whitespace cleanup</x:v>
      </x:c>
      <x:c r="I307" s="14" t="str">
        <x:v>Adjusted</x:v>
      </x:c>
      <x:c r="J307" s="14" t="str">
        <x:v>No</x:v>
      </x:c>
    </x:row>
    <x:row r="308">
      <x:c r="A308" s="14" t="str">
        <x:v>ISS-0307</x:v>
      </x:c>
      <x:c r="B308" s="14" t="n">
        <x:v>918</x:v>
      </x:c>
      <x:c r="C308" s="14" t="str">
        <x:v>ORD-2024-10850</x:v>
      </x:c>
      <x:c r="D308" s="14" t="str">
        <x:v>Profit calculation mismatch</x:v>
      </x:c>
      <x:c r="E308" s="14" t="str">
        <x:v>profit_raw</x:v>
      </x:c>
      <x:c r="F308" s="14" t="str">
        <x:v>396.58</x:v>
      </x:c>
      <x:c r="G308" s="14" t="str">
        <x:v>732.38</x:v>
      </x:c>
      <x:c r="H308" s="14" t="str">
        <x:v>Raw profit does not equal raw sales − cost</x:v>
      </x:c>
      <x:c r="I308" s="14" t="str">
        <x:v>Review</x:v>
      </x:c>
      <x:c r="J308" s="14" t="str">
        <x:v>No</x:v>
      </x:c>
    </x:row>
    <x:row r="309">
      <x:c r="A309" s="14" t="str">
        <x:v>ISS-0308</x:v>
      </x:c>
      <x:c r="B309" s="14" t="n">
        <x:v>918</x:v>
      </x:c>
      <x:c r="C309" s="14" t="str">
        <x:v>ORD-2024-10850</x:v>
      </x:c>
      <x:c r="D309" s="14" t="str">
        <x:v>Exact duplicate</x:v>
      </x:c>
      <x:c r="E309" s="14" t="str">
        <x:v>Entire record</x:v>
      </x:c>
      <x:c r="F309" s="14" t="str">
        <x:v>Duplicate record</x:v>
      </x:c>
      <x:c r="G309" s="14" t="str">
        <x:v>Matches source row 851</x:v>
      </x:c>
      <x:c r="H309" s="14" t="str">
        <x:v>Removed exact duplicate copy</x:v>
      </x:c>
      <x:c r="I309" s="14" t="str">
        <x:v>Adjusted</x:v>
      </x:c>
      <x:c r="J309" s="14" t="str">
        <x:v>No</x:v>
      </x:c>
    </x:row>
    <x:row r="310">
      <x:c r="A310" s="14" t="str">
        <x:v>ISS-0309</x:v>
      </x:c>
      <x:c r="B310" s="14" t="n">
        <x:v>919</x:v>
      </x:c>
      <x:c r="C310" s="14" t="str">
        <x:v>ORD-2025-10128</x:v>
      </x:c>
      <x:c r="D310" s="14" t="str">
        <x:v>Date sequence</x:v>
      </x:c>
      <x:c r="E310" s="14" t="str">
        <x:v>ship_date</x:v>
      </x:c>
      <x:c r="F310" s="14" t="str">
        <x:v>26-01-2025</x:v>
      </x:c>
      <x:c r="G310" s="14" t="str">
        <x:v>2025-01-26</x:v>
      </x:c>
      <x:c r="H310" s="14" t="str">
        <x:v>Flagged; not auto-corrected</x:v>
      </x:c>
      <x:c r="I310" s="14" t="str">
        <x:v>Review</x:v>
      </x:c>
      <x:c r="J310" s="14" t="str">
        <x:v>No</x:v>
      </x:c>
    </x:row>
    <x:row r="311">
      <x:c r="A311" s="14" t="str">
        <x:v>ISS-0310</x:v>
      </x:c>
      <x:c r="B311" s="14" t="n">
        <x:v>919</x:v>
      </x:c>
      <x:c r="C311" s="14" t="str">
        <x:v>ORD-2025-10128</x:v>
      </x:c>
      <x:c r="D311" s="14" t="str">
        <x:v>Exact duplicate</x:v>
      </x:c>
      <x:c r="E311" s="14" t="str">
        <x:v>Entire record</x:v>
      </x:c>
      <x:c r="F311" s="14" t="str">
        <x:v>Duplicate record</x:v>
      </x:c>
      <x:c r="G311" s="14" t="str">
        <x:v>Matches source row 129</x:v>
      </x:c>
      <x:c r="H311" s="14" t="str">
        <x:v>Removed exact duplicate copy</x:v>
      </x:c>
      <x:c r="I311" s="14" t="str">
        <x:v>Adjusted</x:v>
      </x:c>
      <x:c r="J311" s="14" t="str">
        <x:v>No</x:v>
      </x:c>
    </x:row>
    <x:row r="312">
      <x:c r="A312" s="14" t="str">
        <x:v>ISS-0311</x:v>
      </x:c>
      <x:c r="B312" s="14" t="n">
        <x:v>920</x:v>
      </x:c>
      <x:c r="C312" s="14" t="str">
        <x:v>ORD-2025-10677</x:v>
      </x:c>
      <x:c r="D312" s="14" t="str">
        <x:v>Exact duplicate</x:v>
      </x:c>
      <x:c r="E312" s="14" t="str">
        <x:v>Entire record</x:v>
      </x:c>
      <x:c r="F312" s="14" t="str">
        <x:v>Duplicate record</x:v>
      </x:c>
      <x:c r="G312" s="14" t="str">
        <x:v>Matches source row 678</x:v>
      </x:c>
      <x:c r="H312" s="14" t="str">
        <x:v>Removed exact duplicate copy</x:v>
      </x:c>
      <x:c r="I312" s="14" t="str">
        <x:v>Adjusted</x:v>
      </x:c>
      <x:c r="J312" s="14" t="str">
        <x:v>No</x:v>
      </x:c>
    </x:row>
    <x:row r="313">
      <x:c r="A313" s="14" t="str">
        <x:v>ISS-0312</x:v>
      </x:c>
      <x:c r="B313" s="14" t="n">
        <x:v>921</x:v>
      </x:c>
      <x:c r="C313" s="14" t="str">
        <x:v>ORD-2025-10007</x:v>
      </x:c>
      <x:c r="D313" s="14" t="str">
        <x:v>Exact duplicate</x:v>
      </x:c>
      <x:c r="E313" s="14" t="str">
        <x:v>Entire record</x:v>
      </x:c>
      <x:c r="F313" s="14" t="str">
        <x:v>Duplicate record</x:v>
      </x:c>
      <x:c r="G313" s="14" t="str">
        <x:v>Matches source row 8</x:v>
      </x:c>
      <x:c r="H313" s="14" t="str">
        <x:v>Removed exact duplicate copy</x:v>
      </x:c>
      <x:c r="I313" s="14" t="str">
        <x:v>Adjusted</x:v>
      </x:c>
      <x:c r="J313" s="14" t="str">
        <x:v>No</x:v>
      </x:c>
    </x:row>
    <x:row r="314">
      <x:c r="A314" s="14" t="str">
        <x:v>ISS-0313</x:v>
      </x:c>
      <x:c r="B314" s="14" t="n">
        <x:v>922</x:v>
      </x:c>
      <x:c r="C314" s="14" t="str">
        <x:v>ORD-2024-10332</x:v>
      </x:c>
      <x:c r="D314" s="14" t="str">
        <x:v>Sales calculation mismatch</x:v>
      </x:c>
      <x:c r="E314" s="14" t="str">
        <x:v>sales_raw</x:v>
      </x:c>
      <x:c r="F314" s="14" t="str">
        <x:v>10989.89</x:v>
      </x:c>
      <x:c r="G314" s="14" t="str">
        <x:v>10742.64</x:v>
      </x:c>
      <x:c r="H314" s="14" t="str">
        <x:v>Raw sales does not equal quantity × unit price × (1 − discount)</x:v>
      </x:c>
      <x:c r="I314" s="14" t="str">
        <x:v>Review</x:v>
      </x:c>
      <x:c r="J314" s="14" t="str">
        <x:v>Yes</x:v>
      </x:c>
    </x:row>
    <x:row r="315">
      <x:c r="A315" s="14" t="str">
        <x:v>ISS-0314</x:v>
      </x:c>
      <x:c r="B315" s="14" t="n">
        <x:v>922</x:v>
      </x:c>
      <x:c r="C315" s="14" t="str">
        <x:v>ORD-2024-10332</x:v>
      </x:c>
      <x:c r="D315" s="14" t="str">
        <x:v>Profit calculation mismatch</x:v>
      </x:c>
      <x:c r="E315" s="14" t="str">
        <x:v>profit_raw</x:v>
      </x:c>
      <x:c r="F315" s="14" t="str">
        <x:v>4265.27</x:v>
      </x:c>
      <x:c r="G315" s="14" t="str">
        <x:v>4512.52</x:v>
      </x:c>
      <x:c r="H315" s="14" t="str">
        <x:v>Raw profit does not equal raw sales − cost</x:v>
      </x:c>
      <x:c r="I315" s="14" t="str">
        <x:v>Review</x:v>
      </x:c>
      <x:c r="J315" s="14" t="str">
        <x:v>Yes</x:v>
      </x:c>
    </x:row>
    <x:row r="316">
      <x:c r="A316" s="14" t="str">
        <x:v>ISS-0315</x:v>
      </x:c>
      <x:c r="B316" s="14" t="n">
        <x:v>922</x:v>
      </x:c>
      <x:c r="C316" s="14" t="str">
        <x:v>ORD-2024-10332</x:v>
      </x:c>
      <x:c r="D316" s="14" t="str">
        <x:v>Conflicting duplicate ID</x:v>
      </x:c>
      <x:c r="E316" s="14" t="str">
        <x:v>order_id</x:v>
      </x:c>
      <x:c r="F316" s="14" t="str">
        <x:v>ORD-2024-10332</x:v>
      </x:c>
      <x:c r="G316" s="14" t="str">
        <x:v>ORD-2024-10332</x:v>
      </x:c>
      <x:c r="H316" s="14" t="str">
        <x:v>Same order ID appears in multiple non-identical records; retained for review</x:v>
      </x:c>
      <x:c r="I316" s="14" t="str">
        <x:v>Review</x:v>
      </x:c>
      <x:c r="J316" s="14" t="str">
        <x:v>Yes</x:v>
      </x:c>
    </x:row>
    <x:row r="317">
      <x:c r="A317" s="14" t="str">
        <x:v>ISS-0316</x:v>
      </x:c>
      <x:c r="B317" s="14" t="n">
        <x:v>923</x:v>
      </x:c>
      <x:c r="C317" s="14" t="str">
        <x:v>ORD-2025-10091</x:v>
      </x:c>
      <x:c r="D317" s="14" t="str">
        <x:v>Sales calculation mismatch</x:v>
      </x:c>
      <x:c r="E317" s="14" t="str">
        <x:v>sales_raw</x:v>
      </x:c>
      <x:c r="F317" s="14" t="str">
        <x:v>9549.44</x:v>
      </x:c>
      <x:c r="G317" s="14" t="str">
        <x:v>9445.1</x:v>
      </x:c>
      <x:c r="H317" s="14" t="str">
        <x:v>Raw sales does not equal quantity × unit price × (1 − discount)</x:v>
      </x:c>
      <x:c r="I317" s="14" t="str">
        <x:v>Review</x:v>
      </x:c>
      <x:c r="J317" s="14" t="str">
        <x:v>Yes</x:v>
      </x:c>
    </x:row>
    <x:row r="318">
      <x:c r="A318" s="14" t="str">
        <x:v>ISS-0317</x:v>
      </x:c>
      <x:c r="B318" s="14" t="n">
        <x:v>923</x:v>
      </x:c>
      <x:c r="C318" s="14" t="str">
        <x:v>ORD-2025-10091</x:v>
      </x:c>
      <x:c r="D318" s="14" t="str">
        <x:v>Profit calculation mismatch</x:v>
      </x:c>
      <x:c r="E318" s="14" t="str">
        <x:v>profit_raw</x:v>
      </x:c>
      <x:c r="F318" s="14" t="str">
        <x:v>3858.82</x:v>
      </x:c>
      <x:c r="G318" s="14" t="str">
        <x:v>3963.16</x:v>
      </x:c>
      <x:c r="H318" s="14" t="str">
        <x:v>Raw profit does not equal raw sales − cost</x:v>
      </x:c>
      <x:c r="I318" s="14" t="str">
        <x:v>Review</x:v>
      </x:c>
      <x:c r="J318" s="14" t="str">
        <x:v>Yes</x:v>
      </x:c>
    </x:row>
    <x:row r="319">
      <x:c r="A319" s="14" t="str">
        <x:v>ISS-0318</x:v>
      </x:c>
      <x:c r="B319" s="14" t="n">
        <x:v>923</x:v>
      </x:c>
      <x:c r="C319" s="14" t="str">
        <x:v>ORD-2025-10091</x:v>
      </x:c>
      <x:c r="D319" s="14" t="str">
        <x:v>Conflicting duplicate ID</x:v>
      </x:c>
      <x:c r="E319" s="14" t="str">
        <x:v>order_id</x:v>
      </x:c>
      <x:c r="F319" s="14" t="str">
        <x:v>ORD-2025-10091</x:v>
      </x:c>
      <x:c r="G319" s="14" t="str">
        <x:v>ORD-2025-10091</x:v>
      </x:c>
      <x:c r="H319" s="14" t="str">
        <x:v>Same order ID appears in multiple non-identical records; retained for review</x:v>
      </x:c>
      <x:c r="I319" s="14" t="str">
        <x:v>Review</x:v>
      </x:c>
      <x:c r="J319" s="14" t="str">
        <x:v>Yes</x:v>
      </x:c>
    </x:row>
    <x:row r="320">
      <x:c r="A320" s="14" t="str">
        <x:v>ISS-0319</x:v>
      </x:c>
      <x:c r="B320" s="14" t="n">
        <x:v>924</x:v>
      </x:c>
      <x:c r="C320" s="14" t="str">
        <x:v>ORD-2025-10374</x:v>
      </x:c>
      <x:c r="D320" s="14" t="str">
        <x:v>Sales calculation mismatch</x:v>
      </x:c>
      <x:c r="E320" s="14" t="str">
        <x:v>sales_raw</x:v>
      </x:c>
      <x:c r="F320" s="14" t="str">
        <x:v>10348.43</x:v>
      </x:c>
      <x:c r="G320" s="14" t="str">
        <x:v>10068.12</x:v>
      </x:c>
      <x:c r="H320" s="14" t="str">
        <x:v>Raw sales does not equal quantity × unit price × (1 − discount)</x:v>
      </x:c>
      <x:c r="I320" s="14" t="str">
        <x:v>Review</x:v>
      </x:c>
      <x:c r="J320" s="14" t="str">
        <x:v>Yes</x:v>
      </x:c>
    </x:row>
    <x:row r="321">
      <x:c r="A321" s="14" t="str">
        <x:v>ISS-0320</x:v>
      </x:c>
      <x:c r="B321" s="14" t="n">
        <x:v>924</x:v>
      </x:c>
      <x:c r="C321" s="14" t="str">
        <x:v>ORD-2025-10374</x:v>
      </x:c>
      <x:c r="D321" s="14" t="str">
        <x:v>Profit calculation mismatch</x:v>
      </x:c>
      <x:c r="E321" s="14" t="str">
        <x:v>profit_raw</x:v>
      </x:c>
      <x:c r="F321" s="14" t="str">
        <x:v>1472.75</x:v>
      </x:c>
      <x:c r="G321" s="14" t="str">
        <x:v>1753.06</x:v>
      </x:c>
      <x:c r="H321" s="14" t="str">
        <x:v>Raw profit does not equal raw sales − cost</x:v>
      </x:c>
      <x:c r="I321" s="14" t="str">
        <x:v>Review</x:v>
      </x:c>
      <x:c r="J321" s="14" t="str">
        <x:v>Yes</x:v>
      </x:c>
    </x:row>
    <x:row r="322">
      <x:c r="A322" s="14" t="str">
        <x:v>ISS-0321</x:v>
      </x:c>
      <x:c r="B322" s="14" t="n">
        <x:v>924</x:v>
      </x:c>
      <x:c r="C322" s="14" t="str">
        <x:v>ORD-2025-10374</x:v>
      </x:c>
      <x:c r="D322" s="14" t="str">
        <x:v>Conflicting duplicate ID</x:v>
      </x:c>
      <x:c r="E322" s="14" t="str">
        <x:v>order_id</x:v>
      </x:c>
      <x:c r="F322" s="14" t="str">
        <x:v>ORD-2025-10374</x:v>
      </x:c>
      <x:c r="G322" s="14" t="str">
        <x:v>ORD-2025-10374</x:v>
      </x:c>
      <x:c r="H322" s="14" t="str">
        <x:v>Same order ID appears in multiple non-identical records; retained for review</x:v>
      </x:c>
      <x:c r="I322" s="14" t="str">
        <x:v>Review</x:v>
      </x:c>
      <x:c r="J322" s="14" t="str">
        <x:v>Yes</x:v>
      </x:c>
    </x:row>
    <x:row r="323">
      <x:c r="A323" s="14" t="str">
        <x:v>ISS-0322</x:v>
      </x:c>
      <x:c r="B323" s="14" t="n">
        <x:v>925</x:v>
      </x:c>
      <x:c r="C323" s="14" t="str">
        <x:v>ORD-2025-10225</x:v>
      </x:c>
      <x:c r="D323" s="14" t="str">
        <x:v>Sales calculation mismatch</x:v>
      </x:c>
      <x:c r="E323" s="14" t="str">
        <x:v>sales_raw</x:v>
      </x:c>
      <x:c r="F323" s="14" t="str">
        <x:v>12116.89</x:v>
      </x:c>
      <x:c r="G323" s="14" t="str">
        <x:v>11833.92</x:v>
      </x:c>
      <x:c r="H323" s="14" t="str">
        <x:v>Raw sales does not equal quantity × unit price × (1 − discount)</x:v>
      </x:c>
      <x:c r="I323" s="14" t="str">
        <x:v>Review</x:v>
      </x:c>
      <x:c r="J323" s="14" t="str">
        <x:v>Yes</x:v>
      </x:c>
    </x:row>
    <x:row r="324">
      <x:c r="A324" s="14" t="str">
        <x:v>ISS-0323</x:v>
      </x:c>
      <x:c r="B324" s="14" t="n">
        <x:v>925</x:v>
      </x:c>
      <x:c r="C324" s="14" t="str">
        <x:v>ORD-2025-10225</x:v>
      </x:c>
      <x:c r="D324" s="14" t="str">
        <x:v>Profit calculation mismatch</x:v>
      </x:c>
      <x:c r="E324" s="14" t="str">
        <x:v>profit_raw</x:v>
      </x:c>
      <x:c r="F324" s="14" t="str">
        <x:v>5151.0</x:v>
      </x:c>
      <x:c r="G324" s="14" t="str">
        <x:v>5433.97</x:v>
      </x:c>
      <x:c r="H324" s="14" t="str">
        <x:v>Raw profit does not equal raw sales − cost</x:v>
      </x:c>
      <x:c r="I324" s="14" t="str">
        <x:v>Review</x:v>
      </x:c>
      <x:c r="J324" s="14" t="str">
        <x:v>Yes</x:v>
      </x:c>
    </x:row>
    <x:row r="325">
      <x:c r="A325" s="14" t="str">
        <x:v>ISS-0324</x:v>
      </x:c>
      <x:c r="B325" s="14" t="n">
        <x:v>925</x:v>
      </x:c>
      <x:c r="C325" s="14" t="str">
        <x:v>ORD-2025-10225</x:v>
      </x:c>
      <x:c r="D325" s="14" t="str">
        <x:v>Conflicting duplicate ID</x:v>
      </x:c>
      <x:c r="E325" s="14" t="str">
        <x:v>order_id</x:v>
      </x:c>
      <x:c r="F325" s="14" t="str">
        <x:v>ORD-2025-10225</x:v>
      </x:c>
      <x:c r="G325" s="14" t="str">
        <x:v>ORD-2025-10225</x:v>
      </x:c>
      <x:c r="H325" s="14" t="str">
        <x:v>Same order ID appears in multiple non-identical records; retained for review</x:v>
      </x:c>
      <x:c r="I325" s="14" t="str">
        <x:v>Review</x:v>
      </x:c>
      <x:c r="J325" s="14" t="str">
        <x:v>Yes</x:v>
      </x:c>
    </x:row>
    <x:row r="326">
      <x:c r="A326" s="14" t="str">
        <x:v>ISS-0325</x:v>
      </x:c>
      <x:c r="B326" s="14" t="n">
        <x:v>926</x:v>
      </x:c>
      <x:c r="C326" s="14" t="str">
        <x:v>ORD-2025-10315</x:v>
      </x:c>
      <x:c r="D326" s="14" t="str">
        <x:v>Sales calculation mismatch</x:v>
      </x:c>
      <x:c r="E326" s="14" t="str">
        <x:v>sales_raw</x:v>
      </x:c>
      <x:c r="F326" s="14" t="str">
        <x:v>6589.37</x:v>
      </x:c>
      <x:c r="G326" s="14" t="str">
        <x:v>6485.36</x:v>
      </x:c>
      <x:c r="H326" s="14" t="str">
        <x:v>Raw sales does not equal quantity × unit price × (1 − discount)</x:v>
      </x:c>
      <x:c r="I326" s="14" t="str">
        <x:v>Review</x:v>
      </x:c>
      <x:c r="J326" s="14" t="str">
        <x:v>Yes</x:v>
      </x:c>
    </x:row>
    <x:row r="327">
      <x:c r="A327" s="14" t="str">
        <x:v>ISS-0326</x:v>
      </x:c>
      <x:c r="B327" s="14" t="n">
        <x:v>926</x:v>
      </x:c>
      <x:c r="C327" s="14" t="str">
        <x:v>ORD-2025-10315</x:v>
      </x:c>
      <x:c r="D327" s="14" t="str">
        <x:v>Profit calculation mismatch</x:v>
      </x:c>
      <x:c r="E327" s="14" t="str">
        <x:v>profit_raw</x:v>
      </x:c>
      <x:c r="F327" s="14" t="str">
        <x:v>1109.19</x:v>
      </x:c>
      <x:c r="G327" s="14" t="str">
        <x:v>1213.2</x:v>
      </x:c>
      <x:c r="H327" s="14" t="str">
        <x:v>Raw profit does not equal raw sales − cost</x:v>
      </x:c>
      <x:c r="I327" s="14" t="str">
        <x:v>Review</x:v>
      </x:c>
      <x:c r="J327" s="14" t="str">
        <x:v>Yes</x:v>
      </x:c>
    </x:row>
    <x:row r="328">
      <x:c r="A328" s="14" t="str">
        <x:v>ISS-0327</x:v>
      </x:c>
      <x:c r="B328" s="14" t="n">
        <x:v>926</x:v>
      </x:c>
      <x:c r="C328" s="14" t="str">
        <x:v>ORD-2025-10315</x:v>
      </x:c>
      <x:c r="D328" s="14" t="str">
        <x:v>Status inconsistency</x:v>
      </x:c>
      <x:c r="E328" s="14" t="str">
        <x:v>payment_status / order_status</x:v>
      </x:c>
      <x:c r="F328" s="14" t="str">
        <x:v>Failed / Completed</x:v>
      </x:c>
      <x:c r="G328" s="14" t="str"/>
      <x:c r="H328" s="14" t="str">
        <x:v>Completed orders must have payment status Paid</x:v>
      </x:c>
      <x:c r="I328" s="14" t="str">
        <x:v>Review</x:v>
      </x:c>
      <x:c r="J328" s="14" t="str">
        <x:v>Yes</x:v>
      </x:c>
    </x:row>
    <x:row r="329">
      <x:c r="A329" s="14" t="str">
        <x:v>ISS-0328</x:v>
      </x:c>
      <x:c r="B329" s="14" t="n">
        <x:v>926</x:v>
      </x:c>
      <x:c r="C329" s="14" t="str">
        <x:v>ORD-2025-10315</x:v>
      </x:c>
      <x:c r="D329" s="14" t="str">
        <x:v>Conflicting duplicate ID</x:v>
      </x:c>
      <x:c r="E329" s="14" t="str">
        <x:v>order_id</x:v>
      </x:c>
      <x:c r="F329" s="14" t="str">
        <x:v>ORD-2025-10315</x:v>
      </x:c>
      <x:c r="G329" s="14" t="str">
        <x:v>ORD-2025-10315</x:v>
      </x:c>
      <x:c r="H329" s="14" t="str">
        <x:v>Same order ID appears in multiple non-identical records; retained for review</x:v>
      </x:c>
      <x:c r="I329" s="14" t="str">
        <x:v>Review</x:v>
      </x:c>
      <x:c r="J329" s="14" t="str">
        <x:v>Yes</x:v>
      </x:c>
    </x:row>
    <x:row r="330">
      <x:c r="A330" s="14" t="str">
        <x:v>ISS-0329</x:v>
      </x:c>
      <x:c r="B330" s="14" t="n">
        <x:v>927</x:v>
      </x:c>
      <x:c r="C330" s="14" t="str">
        <x:v>ORD-2025-10171</x:v>
      </x:c>
      <x:c r="D330" s="14" t="str">
        <x:v>Sales calculation mismatch</x:v>
      </x:c>
      <x:c r="E330" s="14" t="str">
        <x:v>sales_raw</x:v>
      </x:c>
      <x:c r="F330" s="14" t="str">
        <x:v>5206.53</x:v>
      </x:c>
      <x:c r="G330" s="14" t="str">
        <x:v>5133.96</x:v>
      </x:c>
      <x:c r="H330" s="14" t="str">
        <x:v>Raw sales does not equal quantity × unit price × (1 − discount)</x:v>
      </x:c>
      <x:c r="I330" s="14" t="str">
        <x:v>Review</x:v>
      </x:c>
      <x:c r="J330" s="14" t="str">
        <x:v>Yes</x:v>
      </x:c>
    </x:row>
    <x:row r="331">
      <x:c r="A331" s="14" t="str">
        <x:v>ISS-0330</x:v>
      </x:c>
      <x:c r="B331" s="14" t="n">
        <x:v>927</x:v>
      </x:c>
      <x:c r="C331" s="14" t="str">
        <x:v>ORD-2025-10171</x:v>
      </x:c>
      <x:c r="D331" s="14" t="str">
        <x:v>Profit calculation mismatch</x:v>
      </x:c>
      <x:c r="E331" s="14" t="str">
        <x:v>profit_raw</x:v>
      </x:c>
      <x:c r="F331" s="14" t="str">
        <x:v>1203.96</x:v>
      </x:c>
      <x:c r="G331" s="14" t="str">
        <x:v>1276.53</x:v>
      </x:c>
      <x:c r="H331" s="14" t="str">
        <x:v>Raw profit does not equal raw sales − cost</x:v>
      </x:c>
      <x:c r="I331" s="14" t="str">
        <x:v>Review</x:v>
      </x:c>
      <x:c r="J331" s="14" t="str">
        <x:v>Yes</x:v>
      </x:c>
    </x:row>
    <x:row r="332">
      <x:c r="A332" s="14" t="str">
        <x:v>ISS-0331</x:v>
      </x:c>
      <x:c r="B332" s="14" t="n">
        <x:v>927</x:v>
      </x:c>
      <x:c r="C332" s="14" t="str">
        <x:v>ORD-2025-10171</x:v>
      </x:c>
      <x:c r="D332" s="14" t="str">
        <x:v>Conflicting duplicate ID</x:v>
      </x:c>
      <x:c r="E332" s="14" t="str">
        <x:v>order_id</x:v>
      </x:c>
      <x:c r="F332" s="14" t="str">
        <x:v>ORD-2025-10171</x:v>
      </x:c>
      <x:c r="G332" s="14" t="str">
        <x:v>ORD-2025-10171</x:v>
      </x:c>
      <x:c r="H332" s="14" t="str">
        <x:v>Same order ID appears in multiple non-identical records; retained for review</x:v>
      </x:c>
      <x:c r="I332" s="14" t="str">
        <x:v>Review</x:v>
      </x:c>
      <x:c r="J332" s="14" t="str">
        <x:v>Yes</x:v>
      </x:c>
    </x:row>
    <x:row r="333">
      <x:c r="A333" s="14" t="str">
        <x:v>ISS-0332</x:v>
      </x:c>
      <x:c r="B333" s="14" t="n">
        <x:v>928</x:v>
      </x:c>
      <x:c r="C333" s="14" t="str">
        <x:v>ORD-2024-10424</x:v>
      </x:c>
      <x:c r="D333" s="14" t="str">
        <x:v>Text standardization</x:v>
      </x:c>
      <x:c r="E333" s="14" t="str">
        <x:v>ship_mode</x:v>
      </x:c>
      <x:c r="F333" s="14" t="str">
        <x:v>FIRST CLASS</x:v>
      </x:c>
      <x:c r="G333" s="14" t="str">
        <x:v>First Class</x:v>
      </x:c>
      <x:c r="H333" s="14" t="str">
        <x:v>Case standardization</x:v>
      </x:c>
      <x:c r="I333" s="14" t="str">
        <x:v>Adjusted</x:v>
      </x:c>
      <x:c r="J333" s="14" t="str">
        <x:v>Yes</x:v>
      </x:c>
    </x:row>
    <x:row r="334">
      <x:c r="A334" s="14" t="str">
        <x:v>ISS-0333</x:v>
      </x:c>
      <x:c r="B334" s="14" t="n">
        <x:v>928</x:v>
      </x:c>
      <x:c r="C334" s="14" t="str">
        <x:v>ORD-2024-10424</x:v>
      </x:c>
      <x:c r="D334" s="14" t="str">
        <x:v>Sales calculation mismatch</x:v>
      </x:c>
      <x:c r="E334" s="14" t="str">
        <x:v>sales_raw</x:v>
      </x:c>
      <x:c r="F334" s="14" t="str">
        <x:v>27322.9</x:v>
      </x:c>
      <x:c r="G334" s="14" t="str">
        <x:v>27211.03</x:v>
      </x:c>
      <x:c r="H334" s="14" t="str">
        <x:v>Raw sales does not equal quantity × unit price × (1 − discount)</x:v>
      </x:c>
      <x:c r="I334" s="14" t="str">
        <x:v>Review</x:v>
      </x:c>
      <x:c r="J334" s="14" t="str">
        <x:v>Yes</x:v>
      </x:c>
    </x:row>
    <x:row r="335">
      <x:c r="A335" s="14" t="str">
        <x:v>ISS-0334</x:v>
      </x:c>
      <x:c r="B335" s="14" t="n">
        <x:v>928</x:v>
      </x:c>
      <x:c r="C335" s="14" t="str">
        <x:v>ORD-2024-10424</x:v>
      </x:c>
      <x:c r="D335" s="14" t="str">
        <x:v>Profit calculation mismatch</x:v>
      </x:c>
      <x:c r="E335" s="14" t="str">
        <x:v>profit_raw</x:v>
      </x:c>
      <x:c r="F335" s="14" t="str">
        <x:v>9270.6</x:v>
      </x:c>
      <x:c r="G335" s="14" t="str">
        <x:v>9382.47</x:v>
      </x:c>
      <x:c r="H335" s="14" t="str">
        <x:v>Raw profit does not equal raw sales − cost</x:v>
      </x:c>
      <x:c r="I335" s="14" t="str">
        <x:v>Review</x:v>
      </x:c>
      <x:c r="J335" s="14" t="str">
        <x:v>Yes</x:v>
      </x:c>
    </x:row>
    <x:row r="336">
      <x:c r="A336" s="14" t="str">
        <x:v>ISS-0335</x:v>
      </x:c>
      <x:c r="B336" s="14" t="n">
        <x:v>928</x:v>
      </x:c>
      <x:c r="C336" s="14" t="str">
        <x:v>ORD-2024-10424</x:v>
      </x:c>
      <x:c r="D336" s="14" t="str">
        <x:v>Conflicting duplicate ID</x:v>
      </x:c>
      <x:c r="E336" s="14" t="str">
        <x:v>order_id</x:v>
      </x:c>
      <x:c r="F336" s="14" t="str">
        <x:v>ORD-2024-10424</x:v>
      </x:c>
      <x:c r="G336" s="14" t="str">
        <x:v>ORD-2024-10424</x:v>
      </x:c>
      <x:c r="H336" s="14" t="str">
        <x:v>Same order ID appears in multiple non-identical records; retained for review</x:v>
      </x:c>
      <x:c r="I336" s="14" t="str">
        <x:v>Review</x:v>
      </x:c>
      <x:c r="J336" s="14" t="str">
        <x:v>Yes</x:v>
      </x:c>
    </x:row>
    <x:row r="337">
      <x:c r="A337" s="14" t="str">
        <x:v>ISS-0336</x:v>
      </x:c>
      <x:c r="B337" s="14" t="n">
        <x:v>929</x:v>
      </x:c>
      <x:c r="C337" s="14" t="str">
        <x:v>ORD-2025-10572</x:v>
      </x:c>
      <x:c r="D337" s="14" t="str">
        <x:v>Missing text value</x:v>
      </x:c>
      <x:c r="E337" s="14" t="str">
        <x:v>ship_mode</x:v>
      </x:c>
      <x:c r="F337" s="14" t="str">
        <x:v>(blank)</x:v>
      </x:c>
      <x:c r="G337" s="14" t="str">
        <x:v>Unknown</x:v>
      </x:c>
      <x:c r="H337" s="14" t="str">
        <x:v>Missing value filled as Unknown</x:v>
      </x:c>
      <x:c r="I337" s="14" t="str">
        <x:v>Adjusted</x:v>
      </x:c>
      <x:c r="J337" s="14" t="str">
        <x:v>Yes</x:v>
      </x:c>
    </x:row>
    <x:row r="338">
      <x:c r="A338" s="14" t="str">
        <x:v>ISS-0337</x:v>
      </x:c>
      <x:c r="B338" s="14" t="n">
        <x:v>929</x:v>
      </x:c>
      <x:c r="C338" s="14" t="str">
        <x:v>ORD-2025-10572</x:v>
      </x:c>
      <x:c r="D338" s="14" t="str">
        <x:v>Sales calculation mismatch</x:v>
      </x:c>
      <x:c r="E338" s="14" t="str">
        <x:v>sales_raw</x:v>
      </x:c>
      <x:c r="F338" s="14" t="str">
        <x:v>21443.63</x:v>
      </x:c>
      <x:c r="G338" s="14" t="str">
        <x:v>21381.45</x:v>
      </x:c>
      <x:c r="H338" s="14" t="str">
        <x:v>Raw sales does not equal quantity × unit price × (1 − discount)</x:v>
      </x:c>
      <x:c r="I338" s="14" t="str">
        <x:v>Review</x:v>
      </x:c>
      <x:c r="J338" s="14" t="str">
        <x:v>Yes</x:v>
      </x:c>
    </x:row>
    <x:row r="339">
      <x:c r="A339" s="14" t="str">
        <x:v>ISS-0338</x:v>
      </x:c>
      <x:c r="B339" s="14" t="n">
        <x:v>929</x:v>
      </x:c>
      <x:c r="C339" s="14" t="str">
        <x:v>ORD-2025-10572</x:v>
      </x:c>
      <x:c r="D339" s="14" t="str">
        <x:v>Profit calculation mismatch</x:v>
      </x:c>
      <x:c r="E339" s="14" t="str">
        <x:v>profit_raw</x:v>
      </x:c>
      <x:c r="F339" s="14" t="str">
        <x:v>8141.24</x:v>
      </x:c>
      <x:c r="G339" s="14" t="str">
        <x:v>8203.42</x:v>
      </x:c>
      <x:c r="H339" s="14" t="str">
        <x:v>Raw profit does not equal raw sales − cost</x:v>
      </x:c>
      <x:c r="I339" s="14" t="str">
        <x:v>Review</x:v>
      </x:c>
      <x:c r="J339" s="14" t="str">
        <x:v>Yes</x:v>
      </x:c>
    </x:row>
    <x:row r="340">
      <x:c r="A340" s="14" t="str">
        <x:v>ISS-0339</x:v>
      </x:c>
      <x:c r="B340" s="14" t="n">
        <x:v>929</x:v>
      </x:c>
      <x:c r="C340" s="14" t="str">
        <x:v>ORD-2025-10572</x:v>
      </x:c>
      <x:c r="D340" s="14" t="str">
        <x:v>Status inconsistency</x:v>
      </x:c>
      <x:c r="E340" s="14" t="str">
        <x:v>payment_status / order_status</x:v>
      </x:c>
      <x:c r="F340" s="14" t="str">
        <x:v>Failed / Completed</x:v>
      </x:c>
      <x:c r="G340" s="14" t="str"/>
      <x:c r="H340" s="14" t="str">
        <x:v>Completed orders must have payment status Paid</x:v>
      </x:c>
      <x:c r="I340" s="14" t="str">
        <x:v>Review</x:v>
      </x:c>
      <x:c r="J340" s="14" t="str">
        <x:v>Yes</x:v>
      </x:c>
    </x:row>
    <x:row r="341">
      <x:c r="A341" s="14" t="str">
        <x:v>ISS-0340</x:v>
      </x:c>
      <x:c r="B341" s="14" t="n">
        <x:v>929</x:v>
      </x:c>
      <x:c r="C341" s="14" t="str">
        <x:v>ORD-2025-10572</x:v>
      </x:c>
      <x:c r="D341" s="14" t="str">
        <x:v>Conflicting duplicate ID</x:v>
      </x:c>
      <x:c r="E341" s="14" t="str">
        <x:v>order_id</x:v>
      </x:c>
      <x:c r="F341" s="14" t="str">
        <x:v>ORD-2025-10572</x:v>
      </x:c>
      <x:c r="G341" s="14" t="str">
        <x:v>ORD-2025-10572</x:v>
      </x:c>
      <x:c r="H341" s="14" t="str">
        <x:v>Same order ID appears in multiple non-identical records; retained for review</x:v>
      </x:c>
      <x:c r="I341" s="14" t="str">
        <x:v>Review</x:v>
      </x:c>
      <x:c r="J341" s="14" t="str">
        <x:v>Yes</x:v>
      </x:c>
    </x:row>
    <x:row r="342">
      <x:c r="A342" s="14" t="str">
        <x:v>ISS-0341</x:v>
      </x:c>
      <x:c r="B342" s="14" t="n">
        <x:v>930</x:v>
      </x:c>
      <x:c r="C342" s="14" t="str">
        <x:v>ORD-2024-10143</x:v>
      </x:c>
      <x:c r="D342" s="14" t="str">
        <x:v>Date sequence</x:v>
      </x:c>
      <x:c r="E342" s="14" t="str">
        <x:v>ship_date</x:v>
      </x:c>
      <x:c r="F342" s="14" t="str">
        <x:v>26 Mar 2024</x:v>
      </x:c>
      <x:c r="G342" s="14" t="str">
        <x:v>2024-03-26</x:v>
      </x:c>
      <x:c r="H342" s="14" t="str">
        <x:v>Flagged; not auto-corrected</x:v>
      </x:c>
      <x:c r="I342" s="14" t="str">
        <x:v>Review</x:v>
      </x:c>
      <x:c r="J342" s="14" t="str">
        <x:v>Yes</x:v>
      </x:c>
    </x:row>
    <x:row r="343">
      <x:c r="A343" s="14" t="str">
        <x:v>ISS-0342</x:v>
      </x:c>
      <x:c r="B343" s="14" t="n">
        <x:v>930</x:v>
      </x:c>
      <x:c r="C343" s="14" t="str">
        <x:v>ORD-2024-10143</x:v>
      </x:c>
      <x:c r="D343" s="14" t="str">
        <x:v>Sales calculation mismatch</x:v>
      </x:c>
      <x:c r="E343" s="14" t="str">
        <x:v>sales_raw</x:v>
      </x:c>
      <x:c r="F343" s="14" t="str">
        <x:v>4099.69</x:v>
      </x:c>
      <x:c r="G343" s="14" t="str">
        <x:v>3857.04</x:v>
      </x:c>
      <x:c r="H343" s="14" t="str">
        <x:v>Raw sales does not equal quantity × unit price × (1 − discount)</x:v>
      </x:c>
      <x:c r="I343" s="14" t="str">
        <x:v>Review</x:v>
      </x:c>
      <x:c r="J343" s="14" t="str">
        <x:v>Yes</x:v>
      </x:c>
    </x:row>
    <x:row r="344">
      <x:c r="A344" s="14" t="str">
        <x:v>ISS-0343</x:v>
      </x:c>
      <x:c r="B344" s="14" t="n">
        <x:v>930</x:v>
      </x:c>
      <x:c r="C344" s="14" t="str">
        <x:v>ORD-2024-10143</x:v>
      </x:c>
      <x:c r="D344" s="14" t="str">
        <x:v>Profit calculation mismatch</x:v>
      </x:c>
      <x:c r="E344" s="14" t="str">
        <x:v>profit_raw</x:v>
      </x:c>
      <x:c r="F344" s="14" t="str">
        <x:v>1087.78</x:v>
      </x:c>
      <x:c r="G344" s="14" t="str">
        <x:v>1330.43</x:v>
      </x:c>
      <x:c r="H344" s="14" t="str">
        <x:v>Raw profit does not equal raw sales − cost</x:v>
      </x:c>
      <x:c r="I344" s="14" t="str">
        <x:v>Review</x:v>
      </x:c>
      <x:c r="J344" s="14" t="str">
        <x:v>Yes</x:v>
      </x:c>
    </x:row>
    <x:row r="345">
      <x:c r="A345" s="14" t="str">
        <x:v>ISS-0344</x:v>
      </x:c>
      <x:c r="B345" s="14" t="n">
        <x:v>930</x:v>
      </x:c>
      <x:c r="C345" s="14" t="str">
        <x:v>ORD-2024-10143</x:v>
      </x:c>
      <x:c r="D345" s="14" t="str">
        <x:v>Conflicting duplicate ID</x:v>
      </x:c>
      <x:c r="E345" s="14" t="str">
        <x:v>order_id</x:v>
      </x:c>
      <x:c r="F345" s="14" t="str">
        <x:v>ORD-2024-10143</x:v>
      </x:c>
      <x:c r="G345" s="14" t="str">
        <x:v>ORD-2024-10143</x:v>
      </x:c>
      <x:c r="H345" s="14" t="str">
        <x:v>Same order ID appears in multiple non-identical records; retained for review</x:v>
      </x:c>
      <x:c r="I345" s="14" t="str">
        <x:v>Review</x:v>
      </x:c>
      <x:c r="J345" s="14" t="str">
        <x:v>Yes</x:v>
      </x:c>
    </x:row>
    <x:row r="346">
      <x:c r="A346" s="14" t="str">
        <x:v>ISS-0345</x:v>
      </x:c>
      <x:c r="B346" s="14" t="n">
        <x:v>931</x:v>
      </x:c>
      <x:c r="C346" s="14" t="str">
        <x:v>ORD-2024-10273</x:v>
      </x:c>
      <x:c r="D346" s="14" t="str">
        <x:v>Sales calculation mismatch</x:v>
      </x:c>
      <x:c r="E346" s="14" t="str">
        <x:v>sales_raw</x:v>
      </x:c>
      <x:c r="F346" s="14" t="str">
        <x:v>3797.79</x:v>
      </x:c>
      <x:c r="G346" s="14" t="str">
        <x:v>3510.42</x:v>
      </x:c>
      <x:c r="H346" s="14" t="str">
        <x:v>Raw sales does not equal quantity × unit price × (1 − discount)</x:v>
      </x:c>
      <x:c r="I346" s="14" t="str">
        <x:v>Review</x:v>
      </x:c>
      <x:c r="J346" s="14" t="str">
        <x:v>Yes</x:v>
      </x:c>
    </x:row>
    <x:row r="347">
      <x:c r="A347" s="14" t="str">
        <x:v>ISS-0346</x:v>
      </x:c>
      <x:c r="B347" s="14" t="n">
        <x:v>931</x:v>
      </x:c>
      <x:c r="C347" s="14" t="str">
        <x:v>ORD-2024-10273</x:v>
      </x:c>
      <x:c r="D347" s="14" t="str">
        <x:v>Profit calculation mismatch</x:v>
      </x:c>
      <x:c r="E347" s="14" t="str">
        <x:v>profit_raw</x:v>
      </x:c>
      <x:c r="F347" s="14" t="str">
        <x:v>1213.48</x:v>
      </x:c>
      <x:c r="G347" s="14" t="str">
        <x:v>1606.29</x:v>
      </x:c>
      <x:c r="H347" s="14" t="str">
        <x:v>Raw profit does not equal raw sales − cost</x:v>
      </x:c>
      <x:c r="I347" s="14" t="str">
        <x:v>Review</x:v>
      </x:c>
      <x:c r="J347" s="14" t="str">
        <x:v>Yes</x:v>
      </x:c>
    </x:row>
    <x:row r="348">
      <x:c r="A348" s="14" t="str">
        <x:v>ISS-0347</x:v>
      </x:c>
      <x:c r="B348" s="14" t="n">
        <x:v>931</x:v>
      </x:c>
      <x:c r="C348" s="14" t="str">
        <x:v>ORD-2024-10273</x:v>
      </x:c>
      <x:c r="D348" s="14" t="str">
        <x:v>Conflicting duplicate ID</x:v>
      </x:c>
      <x:c r="E348" s="14" t="str">
        <x:v>order_id</x:v>
      </x:c>
      <x:c r="F348" s="14" t="str">
        <x:v>ORD-2024-10273</x:v>
      </x:c>
      <x:c r="G348" s="14" t="str">
        <x:v>ORD-2024-10273</x:v>
      </x:c>
      <x:c r="H348" s="14" t="str">
        <x:v>Same order ID appears in multiple non-identical records; retained for review</x:v>
      </x:c>
      <x:c r="I348" s="14" t="str">
        <x:v>Review</x:v>
      </x:c>
      <x:c r="J348" s="14" t="str">
        <x:v>Yes</x:v>
      </x:c>
    </x:row>
    <x:row r="349">
      <x:c r="A349" s="14" t="str">
        <x:v>ISS-0348</x:v>
      </x:c>
      <x:c r="B349" s="14" t="n">
        <x:v>932</x:v>
      </x:c>
      <x:c r="C349" s="14" t="str">
        <x:v>ORD-2024-10124</x:v>
      </x:c>
      <x:c r="D349" s="14" t="str">
        <x:v>Text standardization</x:v>
      </x:c>
      <x:c r="E349" s="14" t="str">
        <x:v>region</x:v>
      </x:c>
      <x:c r="F349" s="14" t="str">
        <x:v>NORTH</x:v>
      </x:c>
      <x:c r="G349" s="14" t="str">
        <x:v>North</x:v>
      </x:c>
      <x:c r="H349" s="14" t="str">
        <x:v>Case standardization</x:v>
      </x:c>
      <x:c r="I349" s="14" t="str">
        <x:v>Adjusted</x:v>
      </x:c>
      <x:c r="J349" s="14" t="str">
        <x:v>Yes</x:v>
      </x:c>
    </x:row>
    <x:row r="350">
      <x:c r="A350" s="14" t="str">
        <x:v>ISS-0349</x:v>
      </x:c>
      <x:c r="B350" s="14" t="n">
        <x:v>932</x:v>
      </x:c>
      <x:c r="C350" s="14" t="str">
        <x:v>ORD-2024-10124</x:v>
      </x:c>
      <x:c r="D350" s="14" t="str">
        <x:v>Sales calculation mismatch</x:v>
      </x:c>
      <x:c r="E350" s="14" t="str">
        <x:v>sales_raw</x:v>
      </x:c>
      <x:c r="F350" s="14" t="str">
        <x:v>808.67</x:v>
      </x:c>
      <x:c r="G350" s="14" t="str">
        <x:v>634.13</x:v>
      </x:c>
      <x:c r="H350" s="14" t="str">
        <x:v>Raw sales does not equal quantity × unit price × (1 − discount)</x:v>
      </x:c>
      <x:c r="I350" s="14" t="str">
        <x:v>Review</x:v>
      </x:c>
      <x:c r="J350" s="14" t="str">
        <x:v>Yes</x:v>
      </x:c>
    </x:row>
    <x:row r="351">
      <x:c r="A351" s="14" t="str">
        <x:v>ISS-0350</x:v>
      </x:c>
      <x:c r="B351" s="14" t="n">
        <x:v>932</x:v>
      </x:c>
      <x:c r="C351" s="14" t="str">
        <x:v>ORD-2024-10124</x:v>
      </x:c>
      <x:c r="D351" s="14" t="str">
        <x:v>Profit calculation mismatch</x:v>
      </x:c>
      <x:c r="E351" s="14" t="str">
        <x:v>profit_raw</x:v>
      </x:c>
      <x:c r="F351" s="14" t="str">
        <x:v>180.78</x:v>
      </x:c>
      <x:c r="G351" s="14" t="str">
        <x:v>355.32</x:v>
      </x:c>
      <x:c r="H351" s="14" t="str">
        <x:v>Raw profit does not equal raw sales − cost</x:v>
      </x:c>
      <x:c r="I351" s="14" t="str">
        <x:v>Review</x:v>
      </x:c>
      <x:c r="J351" s="14" t="str">
        <x:v>Yes</x:v>
      </x:c>
    </x:row>
    <x:row r="352">
      <x:c r="A352" s="14" t="str">
        <x:v>ISS-0351</x:v>
      </x:c>
      <x:c r="B352" s="14" t="n">
        <x:v>932</x:v>
      </x:c>
      <x:c r="C352" s="14" t="str">
        <x:v>ORD-2024-10124</x:v>
      </x:c>
      <x:c r="D352" s="14" t="str">
        <x:v>Conflicting duplicate ID</x:v>
      </x:c>
      <x:c r="E352" s="14" t="str">
        <x:v>order_id</x:v>
      </x:c>
      <x:c r="F352" s="14" t="str">
        <x:v>ORD-2024-10124</x:v>
      </x:c>
      <x:c r="G352" s="14" t="str">
        <x:v>ORD-2024-10124</x:v>
      </x:c>
      <x:c r="H352" s="14" t="str">
        <x:v>Same order ID appears in multiple non-identical records; retained for review</x:v>
      </x:c>
      <x:c r="I352" s="14" t="str">
        <x:v>Review</x:v>
      </x:c>
      <x:c r="J352" s="14" t="str">
        <x:v>Yes</x:v>
      </x:c>
    </x:row>
    <x:row r="353">
      <x:c r="A353" s="14" t="str">
        <x:v>ISS-0352</x:v>
      </x:c>
      <x:c r="B353" s="14" t="n">
        <x:v>933</x:v>
      </x:c>
      <x:c r="C353" s="14" t="str">
        <x:v>ORD-2025-10336</x:v>
      </x:c>
      <x:c r="D353" s="14" t="str">
        <x:v>Sales calculation mismatch</x:v>
      </x:c>
      <x:c r="E353" s="14" t="str">
        <x:v>sales_raw</x:v>
      </x:c>
      <x:c r="F353" s="14" t="str">
        <x:v>11778.71</x:v>
      </x:c>
      <x:c r="G353" s="14" t="str">
        <x:v>11581.3</x:v>
      </x:c>
      <x:c r="H353" s="14" t="str">
        <x:v>Raw sales does not equal quantity × unit price × (1 − discount)</x:v>
      </x:c>
      <x:c r="I353" s="14" t="str">
        <x:v>Review</x:v>
      </x:c>
      <x:c r="J353" s="14" t="str">
        <x:v>Yes</x:v>
      </x:c>
    </x:row>
    <x:row r="354">
      <x:c r="A354" s="14" t="str">
        <x:v>ISS-0353</x:v>
      </x:c>
      <x:c r="B354" s="14" t="n">
        <x:v>933</x:v>
      </x:c>
      <x:c r="C354" s="14" t="str">
        <x:v>ORD-2025-10336</x:v>
      </x:c>
      <x:c r="D354" s="14" t="str">
        <x:v>Profit calculation mismatch</x:v>
      </x:c>
      <x:c r="E354" s="14" t="str">
        <x:v>profit_raw</x:v>
      </x:c>
      <x:c r="F354" s="14" t="str">
        <x:v>4751.87</x:v>
      </x:c>
      <x:c r="G354" s="14" t="str">
        <x:v>4949.28</x:v>
      </x:c>
      <x:c r="H354" s="14" t="str">
        <x:v>Raw profit does not equal raw sales − cost</x:v>
      </x:c>
      <x:c r="I354" s="14" t="str">
        <x:v>Review</x:v>
      </x:c>
      <x:c r="J354" s="14" t="str">
        <x:v>Yes</x:v>
      </x:c>
    </x:row>
    <x:row r="355">
      <x:c r="A355" s="14" t="str">
        <x:v>ISS-0354</x:v>
      </x:c>
      <x:c r="B355" s="14" t="n">
        <x:v>933</x:v>
      </x:c>
      <x:c r="C355" s="14" t="str">
        <x:v>ORD-2025-10336</x:v>
      </x:c>
      <x:c r="D355" s="14" t="str">
        <x:v>Conflicting duplicate ID</x:v>
      </x:c>
      <x:c r="E355" s="14" t="str">
        <x:v>order_id</x:v>
      </x:c>
      <x:c r="F355" s="14" t="str">
        <x:v>ORD-2025-10336</x:v>
      </x:c>
      <x:c r="G355" s="14" t="str">
        <x:v>ORD-2025-10336</x:v>
      </x:c>
      <x:c r="H355" s="14" t="str">
        <x:v>Same order ID appears in multiple non-identical records; retained for review</x:v>
      </x:c>
      <x:c r="I355" s="14" t="str">
        <x:v>Review</x:v>
      </x:c>
      <x:c r="J355" s="14" t="str">
        <x:v>Yes</x:v>
      </x:c>
    </x:row>
  </x:sheetData>
  <x:conditionalFormatting sqref="I2:I355">
    <x:cfRule type="expression" dxfId="6" priority="1">
      <x:formula>I2="Review"</x:formula>
    </x:cfRule>
    <x:cfRule type="expression" dxfId="7" priority="2">
      <x:formula>I2="Adjusted"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c8a3fa0e4f45b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34" hidden="0" customWidth="1"/>
    <x:col min="5" max="5" width="33" hidden="0" customWidth="1"/>
    <x:col min="6" max="6" width="16" hidden="0" customWidth="1"/>
  </x:cols>
  <x:sheetData>
    <x:row r="1">
      <x:c r="A1" s="20" t="str">
        <x:v>field</x:v>
      </x:c>
      <x:c r="B1" s="20" t="str">
        <x:v>raw_variant</x:v>
      </x:c>
      <x:c r="C1" s="20" t="str">
        <x:v>standardized_value</x:v>
      </x:c>
      <x:c r="D1" s="20" t="str">
        <x:v>action</x:v>
      </x:c>
      <x:c r="E1" s="20" t="str">
        <x:v>Excel_technique</x:v>
      </x:c>
      <x:c r="F1" s="20" t="str">
        <x:v>occurrence_count</x:v>
      </x:c>
    </x:row>
    <x:row r="2">
      <x:c r="A2" s="14" t="str">
        <x:v>category</x:v>
      </x:c>
      <x:c r="B2" s="14" t="str">
        <x:v>  Furniture </x:v>
      </x:c>
      <x:c r="C2" s="14" t="str">
        <x:v>Furniture</x:v>
      </x:c>
      <x:c r="D2" s="14" t="str">
        <x:v>TRIM/SUBSTITUTE whitespace cleanup</x:v>
      </x:c>
      <x:c r="E2" s="14" t="str">
        <x:v>TRIM + SUBSTITUTE</x:v>
      </x:c>
      <x:c r="F2" s="14" t="n">
        <x:v>3</x:v>
      </x:c>
    </x:row>
    <x:row r="3">
      <x:c r="A3" s="14" t="str">
        <x:v>category</x:v>
      </x:c>
      <x:c r="B3" s="14" t="str">
        <x:v>  Technology </x:v>
      </x:c>
      <x:c r="C3" s="14" t="str">
        <x:v>Technology</x:v>
      </x:c>
      <x:c r="D3" s="14" t="str">
        <x:v>TRIM/SUBSTITUTE whitespace cleanup</x:v>
      </x:c>
      <x:c r="E3" s="14" t="str">
        <x:v>TRIM + SUBSTITUTE</x:v>
      </x:c>
      <x:c r="F3" s="14" t="n">
        <x:v>1</x:v>
      </x:c>
    </x:row>
    <x:row r="4">
      <x:c r="A4" s="14" t="str">
        <x:v>category</x:v>
      </x:c>
      <x:c r="B4" s="14" t="str">
        <x:v>FURNITURE</x:v>
      </x:c>
      <x:c r="C4" s="14" t="str">
        <x:v>Furniture</x:v>
      </x:c>
      <x:c r="D4" s="14" t="str">
        <x:v>Case standardization</x:v>
      </x:c>
      <x:c r="E4" s="14" t="str">
        <x:v>TRIM + PROPER / controlled mapping</x:v>
      </x:c>
      <x:c r="F4" s="14" t="n">
        <x:v>1</x:v>
      </x:c>
    </x:row>
    <x:row r="5">
      <x:c r="A5" s="14" t="str">
        <x:v>category</x:v>
      </x:c>
      <x:c r="B5" s="14" t="str">
        <x:v>Furniture </x:v>
      </x:c>
      <x:c r="C5" s="14" t="str">
        <x:v>Furniture</x:v>
      </x:c>
      <x:c r="D5" s="14" t="str">
        <x:v>TRIM/SUBSTITUTE whitespace cleanup</x:v>
      </x:c>
      <x:c r="E5" s="14" t="str">
        <x:v>TRIM + SUBSTITUTE</x:v>
      </x:c>
      <x:c r="F5" s="14" t="n">
        <x:v>2</x:v>
      </x:c>
    </x:row>
    <x:row r="6">
      <x:c r="A6" s="14" t="str">
        <x:v>category</x:v>
      </x:c>
      <x:c r="B6" s="14" t="str">
        <x:v>OFFICE SUPPLIES</x:v>
      </x:c>
      <x:c r="C6" s="14" t="str">
        <x:v>Office Supplies</x:v>
      </x:c>
      <x:c r="D6" s="14" t="str">
        <x:v>Case standardization</x:v>
      </x:c>
      <x:c r="E6" s="14" t="str">
        <x:v>TRIM + PROPER / controlled mapping</x:v>
      </x:c>
      <x:c r="F6" s="14" t="n">
        <x:v>5</x:v>
      </x:c>
    </x:row>
    <x:row r="7">
      <x:c r="A7" s="14" t="str">
        <x:v>category</x:v>
      </x:c>
      <x:c r="B7" s="14" t="str">
        <x:v>Office  Supplies</x:v>
      </x:c>
      <x:c r="C7" s="14" t="str">
        <x:v>Office Supplies</x:v>
      </x:c>
      <x:c r="D7" s="14" t="str">
        <x:v>TRIM/SUBSTITUTE whitespace cleanup</x:v>
      </x:c>
      <x:c r="E7" s="14" t="str">
        <x:v>TRIM + SUBSTITUTE</x:v>
      </x:c>
      <x:c r="F7" s="14" t="n">
        <x:v>1</x:v>
      </x:c>
    </x:row>
    <x:row r="8">
      <x:c r="A8" s="14" t="str">
        <x:v>category</x:v>
      </x:c>
      <x:c r="B8" s="14" t="str">
        <x:v>Office Supplies </x:v>
      </x:c>
      <x:c r="C8" s="14" t="str">
        <x:v>Office Supplies</x:v>
      </x:c>
      <x:c r="D8" s="14" t="str">
        <x:v>TRIM/SUBSTITUTE whitespace cleanup</x:v>
      </x:c>
      <x:c r="E8" s="14" t="str">
        <x:v>TRIM + SUBSTITUTE</x:v>
      </x:c>
      <x:c r="F8" s="14" t="n">
        <x:v>1</x:v>
      </x:c>
    </x:row>
    <x:row r="9">
      <x:c r="A9" s="14" t="str">
        <x:v>category</x:v>
      </x:c>
      <x:c r="B9" s="14" t="str">
        <x:v>TECHNOLOGY</x:v>
      </x:c>
      <x:c r="C9" s="14" t="str">
        <x:v>Technology</x:v>
      </x:c>
      <x:c r="D9" s="14" t="str">
        <x:v>Case standardization</x:v>
      </x:c>
      <x:c r="E9" s="14" t="str">
        <x:v>TRIM + PROPER / controlled mapping</x:v>
      </x:c>
      <x:c r="F9" s="14" t="n">
        <x:v>1</x:v>
      </x:c>
    </x:row>
    <x:row r="10">
      <x:c r="A10" s="14" t="str">
        <x:v>category</x:v>
      </x:c>
      <x:c r="B10" s="14" t="str">
        <x:v>Technology </x:v>
      </x:c>
      <x:c r="C10" s="14" t="str">
        <x:v>Technology</x:v>
      </x:c>
      <x:c r="D10" s="14" t="str">
        <x:v>TRIM/SUBSTITUTE whitespace cleanup</x:v>
      </x:c>
      <x:c r="E10" s="14" t="str">
        <x:v>TRIM + SUBSTITUTE</x:v>
      </x:c>
      <x:c r="F10" s="14" t="n">
        <x:v>2</x:v>
      </x:c>
    </x:row>
    <x:row r="11">
      <x:c r="A11" s="14" t="str">
        <x:v>category</x:v>
      </x:c>
      <x:c r="B11" s="14" t="str">
        <x:v>office supplies</x:v>
      </x:c>
      <x:c r="C11" s="14" t="str">
        <x:v>Office Supplies</x:v>
      </x:c>
      <x:c r="D11" s="14" t="str">
        <x:v>Case standardization</x:v>
      </x:c>
      <x:c r="E11" s="14" t="str">
        <x:v>TRIM + PROPER / controlled mapping</x:v>
      </x:c>
      <x:c r="F11" s="14" t="n">
        <x:v>1</x:v>
      </x:c>
    </x:row>
    <x:row r="12">
      <x:c r="A12" s="14" t="str">
        <x:v>customer_name</x:v>
      </x:c>
      <x:c r="B12" s="14" t="str">
        <x:v>  Diya Patel </x:v>
      </x:c>
      <x:c r="C12" s="14" t="str">
        <x:v>Diya Patel</x:v>
      </x:c>
      <x:c r="D12" s="14" t="str">
        <x:v>TRIM/SUBSTITUTE whitespace cleanup</x:v>
      </x:c>
      <x:c r="E12" s="14" t="str">
        <x:v>TRIM + SUBSTITUTE</x:v>
      </x:c>
      <x:c r="F12" s="14" t="n">
        <x:v>1</x:v>
      </x:c>
    </x:row>
    <x:row r="13">
      <x:c r="A13" s="14" t="str">
        <x:v>customer_name</x:v>
      </x:c>
      <x:c r="B13" s="14" t="str">
        <x:v>  Rahul Verma </x:v>
      </x:c>
      <x:c r="C13" s="14" t="str">
        <x:v>Rahul Verma</x:v>
      </x:c>
      <x:c r="D13" s="14" t="str">
        <x:v>TRIM/SUBSTITUTE whitespace cleanup</x:v>
      </x:c>
      <x:c r="E13" s="14" t="str">
        <x:v>TRIM + SUBSTITUTE</x:v>
      </x:c>
      <x:c r="F13" s="14" t="n">
        <x:v>1</x:v>
      </x:c>
    </x:row>
    <x:row r="14">
      <x:c r="A14" s="14" t="str">
        <x:v>customer_name</x:v>
      </x:c>
      <x:c r="B14" s="14" t="str">
        <x:v>Aarav  Sharma</x:v>
      </x:c>
      <x:c r="C14" s="14" t="str">
        <x:v>Aarav Sharma</x:v>
      </x:c>
      <x:c r="D14" s="14" t="str">
        <x:v>TRIM/SUBSTITUTE whitespace cleanup</x:v>
      </x:c>
      <x:c r="E14" s="14" t="str">
        <x:v>TRIM + SUBSTITUTE</x:v>
      </x:c>
      <x:c r="F14" s="14" t="n">
        <x:v>1</x:v>
      </x:c>
    </x:row>
    <x:row r="15">
      <x:c r="A15" s="14" t="str">
        <x:v>customer_name</x:v>
      </x:c>
      <x:c r="B15" s="14" t="str">
        <x:v>Ananya Rao </x:v>
      </x:c>
      <x:c r="C15" s="14" t="str">
        <x:v>Ananya Rao</x:v>
      </x:c>
      <x:c r="D15" s="14" t="str">
        <x:v>TRIM/SUBSTITUTE whitespace cleanup</x:v>
      </x:c>
      <x:c r="E15" s="14" t="str">
        <x:v>TRIM + SUBSTITUTE</x:v>
      </x:c>
      <x:c r="F15" s="14" t="n">
        <x:v>1</x:v>
      </x:c>
    </x:row>
    <x:row r="16">
      <x:c r="A16" s="14" t="str">
        <x:v>customer_name</x:v>
      </x:c>
      <x:c r="B16" s="14" t="str">
        <x:v>Karan Malhotra </x:v>
      </x:c>
      <x:c r="C16" s="14" t="str">
        <x:v>Karan Malhotra</x:v>
      </x:c>
      <x:c r="D16" s="14" t="str">
        <x:v>TRIM/SUBSTITUTE whitespace cleanup</x:v>
      </x:c>
      <x:c r="E16" s="14" t="str">
        <x:v>TRIM + SUBSTITUTE</x:v>
      </x:c>
      <x:c r="F16" s="14" t="n">
        <x:v>1</x:v>
      </x:c>
    </x:row>
    <x:row r="17">
      <x:c r="A17" s="14" t="str">
        <x:v>customer_name</x:v>
      </x:c>
      <x:c r="B17" s="14" t="str">
        <x:v>PRIYA MENON</x:v>
      </x:c>
      <x:c r="C17" s="14" t="str">
        <x:v>Priya Menon</x:v>
      </x:c>
      <x:c r="D17" s="14" t="str">
        <x:v>Case standardization</x:v>
      </x:c>
      <x:c r="E17" s="14" t="str">
        <x:v>TRIM + PROPER / controlled mapping</x:v>
      </x:c>
      <x:c r="F17" s="14" t="n">
        <x:v>1</x:v>
      </x:c>
    </x:row>
    <x:row r="18">
      <x:c r="A18" s="14" t="str">
        <x:v>customer_name</x:v>
      </x:c>
      <x:c r="B18" s="14" t="str">
        <x:v>Priya Menon </x:v>
      </x:c>
      <x:c r="C18" s="14" t="str">
        <x:v>Priya Menon</x:v>
      </x:c>
      <x:c r="D18" s="14" t="str">
        <x:v>TRIM/SUBSTITUTE whitespace cleanup</x:v>
      </x:c>
      <x:c r="E18" s="14" t="str">
        <x:v>TRIM + SUBSTITUTE</x:v>
      </x:c>
      <x:c r="F18" s="14" t="n">
        <x:v>1</x:v>
      </x:c>
    </x:row>
    <x:row r="19">
      <x:c r="A19" s="14" t="str">
        <x:v>customer_name</x:v>
      </x:c>
      <x:c r="B19" s="14" t="str">
        <x:v>Rohan  Mehta</x:v>
      </x:c>
      <x:c r="C19" s="14" t="str">
        <x:v>Rohan Mehta</x:v>
      </x:c>
      <x:c r="D19" s="14" t="str">
        <x:v>TRIM/SUBSTITUTE whitespace cleanup</x:v>
      </x:c>
      <x:c r="E19" s="14" t="str">
        <x:v>TRIM + SUBSTITUTE</x:v>
      </x:c>
      <x:c r="F19" s="14" t="n">
        <x:v>1</x:v>
      </x:c>
    </x:row>
    <x:row r="20">
      <x:c r="A20" s="14" t="str">
        <x:v>customer_name</x:v>
      </x:c>
      <x:c r="B20" s="14" t="str">
        <x:v>Vikram  Iyer</x:v>
      </x:c>
      <x:c r="C20" s="14" t="str">
        <x:v>Vikram Iyer</x:v>
      </x:c>
      <x:c r="D20" s="14" t="str">
        <x:v>TRIM/SUBSTITUTE whitespace cleanup</x:v>
      </x:c>
      <x:c r="E20" s="14" t="str">
        <x:v>TRIM + SUBSTITUTE</x:v>
      </x:c>
      <x:c r="F20" s="14" t="n">
        <x:v>1</x:v>
      </x:c>
    </x:row>
    <x:row r="21">
      <x:c r="A21" s="14" t="str">
        <x:v>customer_name</x:v>
      </x:c>
      <x:c r="B21" s="14" t="str">
        <x:v>ananya rao</x:v>
      </x:c>
      <x:c r="C21" s="14" t="str">
        <x:v>Ananya Rao</x:v>
      </x:c>
      <x:c r="D21" s="14" t="str">
        <x:v>Case standardization</x:v>
      </x:c>
      <x:c r="E21" s="14" t="str">
        <x:v>TRIM + PROPER / controlled mapping</x:v>
      </x:c>
      <x:c r="F21" s="14" t="n">
        <x:v>1</x:v>
      </x:c>
    </x:row>
    <x:row r="22">
      <x:c r="A22" s="14" t="str">
        <x:v>customer_name</x:v>
      </x:c>
      <x:c r="B22" s="14" t="str">
        <x:v>kabir singh</x:v>
      </x:c>
      <x:c r="C22" s="14" t="str">
        <x:v>Kabir Singh</x:v>
      </x:c>
      <x:c r="D22" s="14" t="str">
        <x:v>Case standardization</x:v>
      </x:c>
      <x:c r="E22" s="14" t="str">
        <x:v>TRIM + PROPER / controlled mapping</x:v>
      </x:c>
      <x:c r="F22" s="14" t="n">
        <x:v>1</x:v>
      </x:c>
    </x:row>
    <x:row r="23">
      <x:c r="A23" s="14" t="str">
        <x:v>customer_name</x:v>
      </x:c>
      <x:c r="B23" s="14" t="str">
        <x:v>mira das</x:v>
      </x:c>
      <x:c r="C23" s="14" t="str">
        <x:v>Mira Das</x:v>
      </x:c>
      <x:c r="D23" s="14" t="str">
        <x:v>Case standardization</x:v>
      </x:c>
      <x:c r="E23" s="14" t="str">
        <x:v>TRIM + PROPER / controlled mapping</x:v>
      </x:c>
      <x:c r="F23" s="14" t="n">
        <x:v>1</x:v>
      </x:c>
    </x:row>
    <x:row r="24">
      <x:c r="A24" s="14" t="str">
        <x:v>order_status</x:v>
      </x:c>
      <x:c r="B24" s="14" t="str">
        <x:v>  Cancelled </x:v>
      </x:c>
      <x:c r="C24" s="14" t="str">
        <x:v>Cancelled</x:v>
      </x:c>
      <x:c r="D24" s="14" t="str">
        <x:v>TRIM/SUBSTITUTE whitespace cleanup</x:v>
      </x:c>
      <x:c r="E24" s="14" t="str">
        <x:v>TRIM + SUBSTITUTE</x:v>
      </x:c>
      <x:c r="F24" s="14" t="n">
        <x:v>1</x:v>
      </x:c>
    </x:row>
    <x:row r="25">
      <x:c r="A25" s="14" t="str">
        <x:v>order_status</x:v>
      </x:c>
      <x:c r="B25" s="14" t="str">
        <x:v>  Completed </x:v>
      </x:c>
      <x:c r="C25" s="14" t="str">
        <x:v>Completed</x:v>
      </x:c>
      <x:c r="D25" s="14" t="str">
        <x:v>TRIM/SUBSTITUTE whitespace cleanup</x:v>
      </x:c>
      <x:c r="E25" s="14" t="str">
        <x:v>TRIM + SUBSTITUTE</x:v>
      </x:c>
      <x:c r="F25" s="14" t="n">
        <x:v>3</x:v>
      </x:c>
    </x:row>
    <x:row r="26">
      <x:c r="A26" s="14" t="str">
        <x:v>order_status</x:v>
      </x:c>
      <x:c r="B26" s="14" t="str">
        <x:v>CANCELLED</x:v>
      </x:c>
      <x:c r="C26" s="14" t="str">
        <x:v>Cancelled</x:v>
      </x:c>
      <x:c r="D26" s="14" t="str">
        <x:v>Case standardization</x:v>
      </x:c>
      <x:c r="E26" s="14" t="str">
        <x:v>TRIM + PROPER / controlled mapping</x:v>
      </x:c>
      <x:c r="F26" s="14" t="n">
        <x:v>1</x:v>
      </x:c>
    </x:row>
    <x:row r="27">
      <x:c r="A27" s="14" t="str">
        <x:v>order_status</x:v>
      </x:c>
      <x:c r="B27" s="14" t="str">
        <x:v>COMPLETED</x:v>
      </x:c>
      <x:c r="C27" s="14" t="str">
        <x:v>Completed</x:v>
      </x:c>
      <x:c r="D27" s="14" t="str">
        <x:v>Case standardization</x:v>
      </x:c>
      <x:c r="E27" s="14" t="str">
        <x:v>TRIM + PROPER / controlled mapping</x:v>
      </x:c>
      <x:c r="F27" s="14" t="n">
        <x:v>1</x:v>
      </x:c>
    </x:row>
    <x:row r="28">
      <x:c r="A28" s="14" t="str">
        <x:v>order_status</x:v>
      </x:c>
      <x:c r="B28" s="14" t="str">
        <x:v>Completed </x:v>
      </x:c>
      <x:c r="C28" s="14" t="str">
        <x:v>Completed</x:v>
      </x:c>
      <x:c r="D28" s="14" t="str">
        <x:v>TRIM/SUBSTITUTE whitespace cleanup</x:v>
      </x:c>
      <x:c r="E28" s="14" t="str">
        <x:v>TRIM + SUBSTITUTE</x:v>
      </x:c>
      <x:c r="F28" s="14" t="n">
        <x:v>4</x:v>
      </x:c>
    </x:row>
    <x:row r="29">
      <x:c r="A29" s="14" t="str">
        <x:v>order_status</x:v>
      </x:c>
      <x:c r="B29" s="14" t="str">
        <x:v>cancelled</x:v>
      </x:c>
      <x:c r="C29" s="14" t="str">
        <x:v>Cancelled</x:v>
      </x:c>
      <x:c r="D29" s="14" t="str">
        <x:v>Case standardization</x:v>
      </x:c>
      <x:c r="E29" s="14" t="str">
        <x:v>TRIM + PROPER / controlled mapping</x:v>
      </x:c>
      <x:c r="F29" s="14" t="n">
        <x:v>1</x:v>
      </x:c>
    </x:row>
    <x:row r="30">
      <x:c r="A30" s="14" t="str">
        <x:v>order_status</x:v>
      </x:c>
      <x:c r="B30" s="14" t="str">
        <x:v>completed</x:v>
      </x:c>
      <x:c r="C30" s="14" t="str">
        <x:v>Completed</x:v>
      </x:c>
      <x:c r="D30" s="14" t="str">
        <x:v>Case standardization</x:v>
      </x:c>
      <x:c r="E30" s="14" t="str">
        <x:v>TRIM + PROPER / controlled mapping</x:v>
      </x:c>
      <x:c r="F30" s="14" t="n">
        <x:v>2</x:v>
      </x:c>
    </x:row>
    <x:row r="31">
      <x:c r="A31" s="14" t="str">
        <x:v>payment_status</x:v>
      </x:c>
      <x:c r="B31" s="14" t="str">
        <x:v>  Pending </x:v>
      </x:c>
      <x:c r="C31" s="14" t="str">
        <x:v>Pending</x:v>
      </x:c>
      <x:c r="D31" s="14" t="str">
        <x:v>TRIM/SUBSTITUTE whitespace cleanup</x:v>
      </x:c>
      <x:c r="E31" s="14" t="str">
        <x:v>TRIM + SUBSTITUTE</x:v>
      </x:c>
      <x:c r="F31" s="14" t="n">
        <x:v>1</x:v>
      </x:c>
    </x:row>
    <x:row r="32">
      <x:c r="A32" s="14" t="str">
        <x:v>payment_status</x:v>
      </x:c>
      <x:c r="B32" s="14" t="str">
        <x:v>PENDING</x:v>
      </x:c>
      <x:c r="C32" s="14" t="str">
        <x:v>Pending</x:v>
      </x:c>
      <x:c r="D32" s="14" t="str">
        <x:v>Case standardization</x:v>
      </x:c>
      <x:c r="E32" s="14" t="str">
        <x:v>TRIM + PROPER / controlled mapping</x:v>
      </x:c>
      <x:c r="F32" s="14" t="n">
        <x:v>1</x:v>
      </x:c>
    </x:row>
    <x:row r="33">
      <x:c r="A33" s="14" t="str">
        <x:v>payment_status</x:v>
      </x:c>
      <x:c r="B33" s="14" t="str">
        <x:v>Paid </x:v>
      </x:c>
      <x:c r="C33" s="14" t="str">
        <x:v>Paid</x:v>
      </x:c>
      <x:c r="D33" s="14" t="str">
        <x:v>TRIM/SUBSTITUTE whitespace cleanup</x:v>
      </x:c>
      <x:c r="E33" s="14" t="str">
        <x:v>TRIM + SUBSTITUTE</x:v>
      </x:c>
      <x:c r="F33" s="14" t="n">
        <x:v>3</x:v>
      </x:c>
    </x:row>
    <x:row r="34">
      <x:c r="A34" s="14" t="str">
        <x:v>payment_status</x:v>
      </x:c>
      <x:c r="B34" s="14" t="str">
        <x:v>failed</x:v>
      </x:c>
      <x:c r="C34" s="14" t="str">
        <x:v>Failed</x:v>
      </x:c>
      <x:c r="D34" s="14" t="str">
        <x:v>Case standardization</x:v>
      </x:c>
      <x:c r="E34" s="14" t="str">
        <x:v>TRIM + PROPER / controlled mapping</x:v>
      </x:c>
      <x:c r="F34" s="14" t="n">
        <x:v>1</x:v>
      </x:c>
    </x:row>
    <x:row r="35">
      <x:c r="A35" s="14" t="str">
        <x:v>region</x:v>
      </x:c>
      <x:c r="B35" s="14" t="str">
        <x:v>  East </x:v>
      </x:c>
      <x:c r="C35" s="14" t="str">
        <x:v>East</x:v>
      </x:c>
      <x:c r="D35" s="14" t="str">
        <x:v>TRIM/SUBSTITUTE whitespace cleanup</x:v>
      </x:c>
      <x:c r="E35" s="14" t="str">
        <x:v>TRIM + SUBSTITUTE</x:v>
      </x:c>
      <x:c r="F35" s="14" t="n">
        <x:v>2</x:v>
      </x:c>
    </x:row>
    <x:row r="36">
      <x:c r="A36" s="14" t="str">
        <x:v>region</x:v>
      </x:c>
      <x:c r="B36" s="14" t="str">
        <x:v>  North </x:v>
      </x:c>
      <x:c r="C36" s="14" t="str">
        <x:v>North</x:v>
      </x:c>
      <x:c r="D36" s="14" t="str">
        <x:v>TRIM/SUBSTITUTE whitespace cleanup</x:v>
      </x:c>
      <x:c r="E36" s="14" t="str">
        <x:v>TRIM + SUBSTITUTE</x:v>
      </x:c>
      <x:c r="F36" s="14" t="n">
        <x:v>2</x:v>
      </x:c>
    </x:row>
    <x:row r="37">
      <x:c r="A37" s="14" t="str">
        <x:v>region</x:v>
      </x:c>
      <x:c r="B37" s="14" t="str">
        <x:v>  South </x:v>
      </x:c>
      <x:c r="C37" s="14" t="str">
        <x:v>South</x:v>
      </x:c>
      <x:c r="D37" s="14" t="str">
        <x:v>TRIM/SUBSTITUTE whitespace cleanup</x:v>
      </x:c>
      <x:c r="E37" s="14" t="str">
        <x:v>TRIM + SUBSTITUTE</x:v>
      </x:c>
      <x:c r="F37" s="14" t="n">
        <x:v>1</x:v>
      </x:c>
    </x:row>
    <x:row r="38">
      <x:c r="A38" s="14" t="str">
        <x:v>region</x:v>
      </x:c>
      <x:c r="B38" s="14" t="str">
        <x:v>(blank)</x:v>
      </x:c>
      <x:c r="C38" s="14" t="str">
        <x:v>Unknown</x:v>
      </x:c>
      <x:c r="D38" s="14" t="str">
        <x:v>Missing value filled as Unknown</x:v>
      </x:c>
      <x:c r="E38" s="14" t="str">
        <x:v>IF(TRIM(cell)="","Unknown",...)</x:v>
      </x:c>
      <x:c r="F38" s="14" t="n">
        <x:v>26</x:v>
      </x:c>
    </x:row>
    <x:row r="39">
      <x:c r="A39" s="14" t="str">
        <x:v>region</x:v>
      </x:c>
      <x:c r="B39" s="14" t="str">
        <x:v>EAST</x:v>
      </x:c>
      <x:c r="C39" s="14" t="str">
        <x:v>East</x:v>
      </x:c>
      <x:c r="D39" s="14" t="str">
        <x:v>Case standardization</x:v>
      </x:c>
      <x:c r="E39" s="14" t="str">
        <x:v>TRIM + PROPER / controlled mapping</x:v>
      </x:c>
      <x:c r="F39" s="14" t="n">
        <x:v>1</x:v>
      </x:c>
    </x:row>
    <x:row r="40">
      <x:c r="A40" s="14" t="str">
        <x:v>region</x:v>
      </x:c>
      <x:c r="B40" s="14" t="str">
        <x:v>NORTH</x:v>
      </x:c>
      <x:c r="C40" s="14" t="str">
        <x:v>North</x:v>
      </x:c>
      <x:c r="D40" s="14" t="str">
        <x:v>Case standardization</x:v>
      </x:c>
      <x:c r="E40" s="14" t="str">
        <x:v>TRIM + PROPER / controlled mapping</x:v>
      </x:c>
      <x:c r="F40" s="14" t="n">
        <x:v>4</x:v>
      </x:c>
    </x:row>
    <x:row r="41">
      <x:c r="A41" s="14" t="str">
        <x:v>region</x:v>
      </x:c>
      <x:c r="B41" s="14" t="str">
        <x:v>North </x:v>
      </x:c>
      <x:c r="C41" s="14" t="str">
        <x:v>North</x:v>
      </x:c>
      <x:c r="D41" s="14" t="str">
        <x:v>TRIM/SUBSTITUTE whitespace cleanup</x:v>
      </x:c>
      <x:c r="E41" s="14" t="str">
        <x:v>TRIM + SUBSTITUTE</x:v>
      </x:c>
      <x:c r="F41" s="14" t="n">
        <x:v>1</x:v>
      </x:c>
    </x:row>
    <x:row r="42">
      <x:c r="A42" s="14" t="str">
        <x:v>region</x:v>
      </x:c>
      <x:c r="B42" s="14" t="str">
        <x:v>WEST</x:v>
      </x:c>
      <x:c r="C42" s="14" t="str">
        <x:v>West</x:v>
      </x:c>
      <x:c r="D42" s="14" t="str">
        <x:v>Case standardization</x:v>
      </x:c>
      <x:c r="E42" s="14" t="str">
        <x:v>TRIM + PROPER / controlled mapping</x:v>
      </x:c>
      <x:c r="F42" s="14" t="n">
        <x:v>2</x:v>
      </x:c>
    </x:row>
    <x:row r="43">
      <x:c r="A43" s="14" t="str">
        <x:v>region</x:v>
      </x:c>
      <x:c r="B43" s="14" t="str">
        <x:v>West </x:v>
      </x:c>
      <x:c r="C43" s="14" t="str">
        <x:v>West</x:v>
      </x:c>
      <x:c r="D43" s="14" t="str">
        <x:v>TRIM/SUBSTITUTE whitespace cleanup</x:v>
      </x:c>
      <x:c r="E43" s="14" t="str">
        <x:v>TRIM + SUBSTITUTE</x:v>
      </x:c>
      <x:c r="F43" s="14" t="n">
        <x:v>1</x:v>
      </x:c>
    </x:row>
    <x:row r="44">
      <x:c r="A44" s="14" t="str">
        <x:v>region</x:v>
      </x:c>
      <x:c r="B44" s="14" t="str">
        <x:v>east</x:v>
      </x:c>
      <x:c r="C44" s="14" t="str">
        <x:v>East</x:v>
      </x:c>
      <x:c r="D44" s="14" t="str">
        <x:v>Case standardization</x:v>
      </x:c>
      <x:c r="E44" s="14" t="str">
        <x:v>TRIM + PROPER / controlled mapping</x:v>
      </x:c>
      <x:c r="F44" s="14" t="n">
        <x:v>1</x:v>
      </x:c>
    </x:row>
    <x:row r="45">
      <x:c r="A45" s="14" t="str">
        <x:v>region</x:v>
      </x:c>
      <x:c r="B45" s="14" t="str">
        <x:v>north</x:v>
      </x:c>
      <x:c r="C45" s="14" t="str">
        <x:v>North</x:v>
      </x:c>
      <x:c r="D45" s="14" t="str">
        <x:v>Case standardization</x:v>
      </x:c>
      <x:c r="E45" s="14" t="str">
        <x:v>TRIM + PROPER / controlled mapping</x:v>
      </x:c>
      <x:c r="F45" s="14" t="n">
        <x:v>1</x:v>
      </x:c>
    </x:row>
    <x:row r="46">
      <x:c r="A46" s="14" t="str">
        <x:v>region</x:v>
      </x:c>
      <x:c r="B46" s="14" t="str">
        <x:v>west</x:v>
      </x:c>
      <x:c r="C46" s="14" t="str">
        <x:v>West</x:v>
      </x:c>
      <x:c r="D46" s="14" t="str">
        <x:v>Case standardization</x:v>
      </x:c>
      <x:c r="E46" s="14" t="str">
        <x:v>TRIM + PROPER / controlled mapping</x:v>
      </x:c>
      <x:c r="F46" s="14" t="n">
        <x:v>1</x:v>
      </x:c>
    </x:row>
    <x:row r="47">
      <x:c r="A47" s="14" t="str">
        <x:v>segment</x:v>
      </x:c>
      <x:c r="B47" s="14" t="str">
        <x:v>  Consumer </x:v>
      </x:c>
      <x:c r="C47" s="14" t="str">
        <x:v>Consumer</x:v>
      </x:c>
      <x:c r="D47" s="14" t="str">
        <x:v>TRIM/SUBSTITUTE whitespace cleanup</x:v>
      </x:c>
      <x:c r="E47" s="14" t="str">
        <x:v>TRIM + SUBSTITUTE</x:v>
      </x:c>
      <x:c r="F47" s="14" t="n">
        <x:v>1</x:v>
      </x:c>
    </x:row>
    <x:row r="48">
      <x:c r="A48" s="14" t="str">
        <x:v>segment</x:v>
      </x:c>
      <x:c r="B48" s="14" t="str">
        <x:v>  Corporate </x:v>
      </x:c>
      <x:c r="C48" s="14" t="str">
        <x:v>Corporate</x:v>
      </x:c>
      <x:c r="D48" s="14" t="str">
        <x:v>TRIM/SUBSTITUTE whitespace cleanup</x:v>
      </x:c>
      <x:c r="E48" s="14" t="str">
        <x:v>TRIM + SUBSTITUTE</x:v>
      </x:c>
      <x:c r="F48" s="14" t="n">
        <x:v>1</x:v>
      </x:c>
    </x:row>
    <x:row r="49">
      <x:c r="A49" s="14" t="str">
        <x:v>segment</x:v>
      </x:c>
      <x:c r="B49" s="14" t="str">
        <x:v>  Home Office </x:v>
      </x:c>
      <x:c r="C49" s="14" t="str">
        <x:v>Home Office</x:v>
      </x:c>
      <x:c r="D49" s="14" t="str">
        <x:v>TRIM/SUBSTITUTE whitespace cleanup</x:v>
      </x:c>
      <x:c r="E49" s="14" t="str">
        <x:v>TRIM + SUBSTITUTE</x:v>
      </x:c>
      <x:c r="F49" s="14" t="n">
        <x:v>1</x:v>
      </x:c>
    </x:row>
    <x:row r="50">
      <x:c r="A50" s="14" t="str">
        <x:v>segment</x:v>
      </x:c>
      <x:c r="B50" s="14" t="str">
        <x:v>  Small Business </x:v>
      </x:c>
      <x:c r="C50" s="14" t="str">
        <x:v>Small Business</x:v>
      </x:c>
      <x:c r="D50" s="14" t="str">
        <x:v>TRIM/SUBSTITUTE whitespace cleanup</x:v>
      </x:c>
      <x:c r="E50" s="14" t="str">
        <x:v>TRIM + SUBSTITUTE</x:v>
      </x:c>
      <x:c r="F50" s="14" t="n">
        <x:v>2</x:v>
      </x:c>
    </x:row>
    <x:row r="51">
      <x:c r="A51" s="14" t="str">
        <x:v>segment</x:v>
      </x:c>
      <x:c r="B51" s="14" t="str">
        <x:v>Corporate </x:v>
      </x:c>
      <x:c r="C51" s="14" t="str">
        <x:v>Corporate</x:v>
      </x:c>
      <x:c r="D51" s="14" t="str">
        <x:v>TRIM/SUBSTITUTE whitespace cleanup</x:v>
      </x:c>
      <x:c r="E51" s="14" t="str">
        <x:v>TRIM + SUBSTITUTE</x:v>
      </x:c>
      <x:c r="F51" s="14" t="n">
        <x:v>2</x:v>
      </x:c>
    </x:row>
    <x:row r="52">
      <x:c r="A52" s="14" t="str">
        <x:v>segment</x:v>
      </x:c>
      <x:c r="B52" s="14" t="str">
        <x:v>HOME OFFICE</x:v>
      </x:c>
      <x:c r="C52" s="14" t="str">
        <x:v>Home Office</x:v>
      </x:c>
      <x:c r="D52" s="14" t="str">
        <x:v>Case standardization</x:v>
      </x:c>
      <x:c r="E52" s="14" t="str">
        <x:v>TRIM + PROPER / controlled mapping</x:v>
      </x:c>
      <x:c r="F52" s="14" t="n">
        <x:v>1</x:v>
      </x:c>
    </x:row>
    <x:row r="53">
      <x:c r="A53" s="14" t="str">
        <x:v>segment</x:v>
      </x:c>
      <x:c r="B53" s="14" t="str">
        <x:v>Home Office </x:v>
      </x:c>
      <x:c r="C53" s="14" t="str">
        <x:v>Home Office</x:v>
      </x:c>
      <x:c r="D53" s="14" t="str">
        <x:v>TRIM/SUBSTITUTE whitespace cleanup</x:v>
      </x:c>
      <x:c r="E53" s="14" t="str">
        <x:v>TRIM + SUBSTITUTE</x:v>
      </x:c>
      <x:c r="F53" s="14" t="n">
        <x:v>2</x:v>
      </x:c>
    </x:row>
    <x:row r="54">
      <x:c r="A54" s="14" t="str">
        <x:v>segment</x:v>
      </x:c>
      <x:c r="B54" s="14" t="str">
        <x:v>SMALL BUSINESS</x:v>
      </x:c>
      <x:c r="C54" s="14" t="str">
        <x:v>Small Business</x:v>
      </x:c>
      <x:c r="D54" s="14" t="str">
        <x:v>Case standardization</x:v>
      </x:c>
      <x:c r="E54" s="14" t="str">
        <x:v>TRIM + PROPER / controlled mapping</x:v>
      </x:c>
      <x:c r="F54" s="14" t="n">
        <x:v>1</x:v>
      </x:c>
    </x:row>
    <x:row r="55">
      <x:c r="A55" s="14" t="str">
        <x:v>segment</x:v>
      </x:c>
      <x:c r="B55" s="14" t="str">
        <x:v>Small  Business</x:v>
      </x:c>
      <x:c r="C55" s="14" t="str">
        <x:v>Small Business</x:v>
      </x:c>
      <x:c r="D55" s="14" t="str">
        <x:v>TRIM/SUBSTITUTE whitespace cleanup</x:v>
      </x:c>
      <x:c r="E55" s="14" t="str">
        <x:v>TRIM + SUBSTITUTE</x:v>
      </x:c>
      <x:c r="F55" s="14" t="n">
        <x:v>2</x:v>
      </x:c>
    </x:row>
    <x:row r="56">
      <x:c r="A56" s="14" t="str">
        <x:v>segment</x:v>
      </x:c>
      <x:c r="B56" s="14" t="str">
        <x:v>Small Business </x:v>
      </x:c>
      <x:c r="C56" s="14" t="str">
        <x:v>Small Business</x:v>
      </x:c>
      <x:c r="D56" s="14" t="str">
        <x:v>TRIM/SUBSTITUTE whitespace cleanup</x:v>
      </x:c>
      <x:c r="E56" s="14" t="str">
        <x:v>TRIM + SUBSTITUTE</x:v>
      </x:c>
      <x:c r="F56" s="14" t="n">
        <x:v>2</x:v>
      </x:c>
    </x:row>
    <x:row r="57">
      <x:c r="A57" s="14" t="str">
        <x:v>segment</x:v>
      </x:c>
      <x:c r="B57" s="14" t="str">
        <x:v>consumer</x:v>
      </x:c>
      <x:c r="C57" s="14" t="str">
        <x:v>Consumer</x:v>
      </x:c>
      <x:c r="D57" s="14" t="str">
        <x:v>Case standardization</x:v>
      </x:c>
      <x:c r="E57" s="14" t="str">
        <x:v>TRIM + PROPER / controlled mapping</x:v>
      </x:c>
      <x:c r="F57" s="14" t="n">
        <x:v>1</x:v>
      </x:c>
    </x:row>
    <x:row r="58">
      <x:c r="A58" s="14" t="str">
        <x:v>segment</x:v>
      </x:c>
      <x:c r="B58" s="14" t="str">
        <x:v>corporate</x:v>
      </x:c>
      <x:c r="C58" s="14" t="str">
        <x:v>Corporate</x:v>
      </x:c>
      <x:c r="D58" s="14" t="str">
        <x:v>Case standardization</x:v>
      </x:c>
      <x:c r="E58" s="14" t="str">
        <x:v>TRIM + PROPER / controlled mapping</x:v>
      </x:c>
      <x:c r="F58" s="14" t="n">
        <x:v>2</x:v>
      </x:c>
    </x:row>
    <x:row r="59">
      <x:c r="A59" s="14" t="str">
        <x:v>ship_mode</x:v>
      </x:c>
      <x:c r="B59" s="14" t="str">
        <x:v>  First Class </x:v>
      </x:c>
      <x:c r="C59" s="14" t="str">
        <x:v>First Class</x:v>
      </x:c>
      <x:c r="D59" s="14" t="str">
        <x:v>TRIM/SUBSTITUTE whitespace cleanup</x:v>
      </x:c>
      <x:c r="E59" s="14" t="str">
        <x:v>TRIM + SUBSTITUTE</x:v>
      </x:c>
      <x:c r="F59" s="14" t="n">
        <x:v>1</x:v>
      </x:c>
    </x:row>
    <x:row r="60">
      <x:c r="A60" s="14" t="str">
        <x:v>ship_mode</x:v>
      </x:c>
      <x:c r="B60" s="14" t="str">
        <x:v>  Second Class </x:v>
      </x:c>
      <x:c r="C60" s="14" t="str">
        <x:v>Second Class</x:v>
      </x:c>
      <x:c r="D60" s="14" t="str">
        <x:v>TRIM/SUBSTITUTE whitespace cleanup</x:v>
      </x:c>
      <x:c r="E60" s="14" t="str">
        <x:v>TRIM + SUBSTITUTE</x:v>
      </x:c>
      <x:c r="F60" s="14" t="n">
        <x:v>1</x:v>
      </x:c>
    </x:row>
    <x:row r="61">
      <x:c r="A61" s="14" t="str">
        <x:v>ship_mode</x:v>
      </x:c>
      <x:c r="B61" s="14" t="str">
        <x:v>(blank)</x:v>
      </x:c>
      <x:c r="C61" s="14" t="str">
        <x:v>Unknown</x:v>
      </x:c>
      <x:c r="D61" s="14" t="str">
        <x:v>Missing value filled as Unknown</x:v>
      </x:c>
      <x:c r="E61" s="14" t="str">
        <x:v>IF(TRIM(cell)="","Unknown",...)</x:v>
      </x:c>
      <x:c r="F61" s="14" t="n">
        <x:v>22</x:v>
      </x:c>
    </x:row>
    <x:row r="62">
      <x:c r="A62" s="14" t="str">
        <x:v>ship_mode</x:v>
      </x:c>
      <x:c r="B62" s="14" t="str">
        <x:v>FIRST CLASS</x:v>
      </x:c>
      <x:c r="C62" s="14" t="str">
        <x:v>First Class</x:v>
      </x:c>
      <x:c r="D62" s="14" t="str">
        <x:v>Case standardization</x:v>
      </x:c>
      <x:c r="E62" s="14" t="str">
        <x:v>TRIM + PROPER / controlled mapping</x:v>
      </x:c>
      <x:c r="F62" s="14" t="n">
        <x:v>2</x:v>
      </x:c>
    </x:row>
    <x:row r="63">
      <x:c r="A63" s="14" t="str">
        <x:v>ship_mode</x:v>
      </x:c>
      <x:c r="B63" s="14" t="str">
        <x:v>STANDARD CLASS</x:v>
      </x:c>
      <x:c r="C63" s="14" t="str">
        <x:v>Standard Class</x:v>
      </x:c>
      <x:c r="D63" s="14" t="str">
        <x:v>Case standardization</x:v>
      </x:c>
      <x:c r="E63" s="14" t="str">
        <x:v>TRIM + PROPER / controlled mapping</x:v>
      </x:c>
      <x:c r="F63" s="14" t="n">
        <x:v>2</x:v>
      </x:c>
    </x:row>
    <x:row r="64">
      <x:c r="A64" s="14" t="str">
        <x:v>ship_mode</x:v>
      </x:c>
      <x:c r="B64" s="14" t="str">
        <x:v>Second Class </x:v>
      </x:c>
      <x:c r="C64" s="14" t="str">
        <x:v>Second Class</x:v>
      </x:c>
      <x:c r="D64" s="14" t="str">
        <x:v>TRIM/SUBSTITUTE whitespace cleanup</x:v>
      </x:c>
      <x:c r="E64" s="14" t="str">
        <x:v>TRIM + SUBSTITUTE</x:v>
      </x:c>
      <x:c r="F64" s="14" t="n">
        <x:v>2</x:v>
      </x:c>
    </x:row>
    <x:row r="65">
      <x:c r="A65" s="14" t="str">
        <x:v>ship_mode</x:v>
      </x:c>
      <x:c r="B65" s="14" t="str">
        <x:v>Standard  Class</x:v>
      </x:c>
      <x:c r="C65" s="14" t="str">
        <x:v>Standard Class</x:v>
      </x:c>
      <x:c r="D65" s="14" t="str">
        <x:v>TRIM/SUBSTITUTE whitespace cleanup</x:v>
      </x:c>
      <x:c r="E65" s="14" t="str">
        <x:v>TRIM + SUBSTITUTE</x:v>
      </x:c>
      <x:c r="F65" s="14" t="n">
        <x:v>1</x:v>
      </x:c>
    </x:row>
    <x:row r="66">
      <x:c r="A66" s="14" t="str">
        <x:v>ship_mode</x:v>
      </x:c>
      <x:c r="B66" s="14" t="str">
        <x:v>standard class</x:v>
      </x:c>
      <x:c r="C66" s="14" t="str">
        <x:v>Standard Class</x:v>
      </x:c>
      <x:c r="D66" s="14" t="str">
        <x:v>Case standardization</x:v>
      </x:c>
      <x:c r="E66" s="14" t="str">
        <x:v>TRIM + PROPER / controlled mapping</x:v>
      </x:c>
      <x:c r="F66" s="14" t="n">
        <x:v>1</x:v>
      </x:c>
    </x:row>
    <x:row r="67">
      <x:c r="A67" s="14" t="str">
        <x:v>sub_category</x:v>
      </x:c>
      <x:c r="B67" s="14" t="str">
        <x:v>  Accessories </x:v>
      </x:c>
      <x:c r="C67" s="14" t="str">
        <x:v>Accessories</x:v>
      </x:c>
      <x:c r="D67" s="14" t="str">
        <x:v>TRIM/SUBSTITUTE whitespace cleanup</x:v>
      </x:c>
      <x:c r="E67" s="14" t="str">
        <x:v>TRIM + SUBSTITUTE</x:v>
      </x:c>
      <x:c r="F67" s="14" t="n">
        <x:v>2</x:v>
      </x:c>
    </x:row>
    <x:row r="68">
      <x:c r="A68" s="14" t="str">
        <x:v>sub_category</x:v>
      </x:c>
      <x:c r="B68" s="14" t="str">
        <x:v>Accessories </x:v>
      </x:c>
      <x:c r="C68" s="14" t="str">
        <x:v>Accessories</x:v>
      </x:c>
      <x:c r="D68" s="14" t="str">
        <x:v>TRIM/SUBSTITUTE whitespace cleanup</x:v>
      </x:c>
      <x:c r="E68" s="14" t="str">
        <x:v>TRIM + SUBSTITUTE</x:v>
      </x:c>
      <x:c r="F68" s="14" t="n">
        <x:v>1</x:v>
      </x:c>
    </x:row>
    <x:row r="69">
      <x:c r="A69" s="14" t="str">
        <x:v>sub_category</x:v>
      </x:c>
      <x:c r="B69" s="14" t="str">
        <x:v>COPIERS</x:v>
      </x:c>
      <x:c r="C69" s="14" t="str">
        <x:v>Copiers</x:v>
      </x:c>
      <x:c r="D69" s="14" t="str">
        <x:v>Case standardization</x:v>
      </x:c>
      <x:c r="E69" s="14" t="str">
        <x:v>TRIM + PROPER / controlled mapping</x:v>
      </x:c>
      <x:c r="F69" s="14" t="n">
        <x:v>1</x:v>
      </x:c>
    </x:row>
    <x:row r="70">
      <x:c r="A70" s="14" t="str">
        <x:v>sub_category</x:v>
      </x:c>
      <x:c r="B70" s="14" t="str">
        <x:v>LABELS</x:v>
      </x:c>
      <x:c r="C70" s="14" t="str">
        <x:v>Labels</x:v>
      </x:c>
      <x:c r="D70" s="14" t="str">
        <x:v>Case standardization</x:v>
      </x:c>
      <x:c r="E70" s="14" t="str">
        <x:v>TRIM + PROPER / controlled mapping</x:v>
      </x:c>
      <x:c r="F70" s="14" t="n">
        <x:v>1</x:v>
      </x:c>
    </x:row>
    <x:row r="71">
      <x:c r="A71" s="14" t="str">
        <x:v>sub_category</x:v>
      </x:c>
      <x:c r="B71" s="14" t="str">
        <x:v>MACHINES</x:v>
      </x:c>
      <x:c r="C71" s="14" t="str">
        <x:v>Machines</x:v>
      </x:c>
      <x:c r="D71" s="14" t="str">
        <x:v>Case standardization</x:v>
      </x:c>
      <x:c r="E71" s="14" t="str">
        <x:v>TRIM + PROPER / controlled mapping</x:v>
      </x:c>
      <x:c r="F71" s="14" t="n">
        <x:v>1</x:v>
      </x:c>
    </x:row>
    <x:row r="72">
      <x:c r="A72" s="14" t="str">
        <x:v>sub_category</x:v>
      </x:c>
      <x:c r="B72" s="14" t="str">
        <x:v>Machines </x:v>
      </x:c>
      <x:c r="C72" s="14" t="str">
        <x:v>Machines</x:v>
      </x:c>
      <x:c r="D72" s="14" t="str">
        <x:v>TRIM/SUBSTITUTE whitespace cleanup</x:v>
      </x:c>
      <x:c r="E72" s="14" t="str">
        <x:v>TRIM + SUBSTITUTE</x:v>
      </x:c>
      <x:c r="F72" s="14" t="n">
        <x:v>1</x:v>
      </x:c>
    </x:row>
    <x:row r="73">
      <x:c r="A73" s="14" t="str">
        <x:v>sub_category</x:v>
      </x:c>
      <x:c r="B73" s="14" t="str">
        <x:v>PAPER</x:v>
      </x:c>
      <x:c r="C73" s="14" t="str">
        <x:v>Paper</x:v>
      </x:c>
      <x:c r="D73" s="14" t="str">
        <x:v>Case standardization</x:v>
      </x:c>
      <x:c r="E73" s="14" t="str">
        <x:v>TRIM + PROPER / controlled mapping</x:v>
      </x:c>
      <x:c r="F73" s="14" t="n">
        <x:v>1</x:v>
      </x:c>
    </x:row>
    <x:row r="74">
      <x:c r="A74" s="14" t="str">
        <x:v>sub_category</x:v>
      </x:c>
      <x:c r="B74" s="14" t="str">
        <x:v>binders</x:v>
      </x:c>
      <x:c r="C74" s="14" t="str">
        <x:v>Binders</x:v>
      </x:c>
      <x:c r="D74" s="14" t="str">
        <x:v>Case standardization</x:v>
      </x:c>
      <x:c r="E74" s="14" t="str">
        <x:v>TRIM + PROPER / controlled mapping</x:v>
      </x:c>
      <x:c r="F74" s="14" t="n">
        <x:v>1</x:v>
      </x:c>
    </x:row>
    <x:row r="75">
      <x:c r="A75" s="14" t="str">
        <x:v>sub_category</x:v>
      </x:c>
      <x:c r="B75" s="14" t="str">
        <x:v>machines</x:v>
      </x:c>
      <x:c r="C75" s="14" t="str">
        <x:v>Machines</x:v>
      </x:c>
      <x:c r="D75" s="14" t="str">
        <x:v>Case standardization</x:v>
      </x:c>
      <x:c r="E75" s="14" t="str">
        <x:v>TRIM + PROPER / controlled mapping</x:v>
      </x:c>
      <x:c r="F75" s="14" t="n">
        <x:v>1</x:v>
      </x:c>
    </x:row>
    <x:row r="76">
      <x:c r="A76" s="14" t="str">
        <x:v>sub_category</x:v>
      </x:c>
      <x:c r="B76" s="14" t="str">
        <x:v>storage</x:v>
      </x:c>
      <x:c r="C76" s="14" t="str">
        <x:v>Storage</x:v>
      </x:c>
      <x:c r="D76" s="14" t="str">
        <x:v>Case standardization</x:v>
      </x:c>
      <x:c r="E76" s="14" t="str">
        <x:v>TRIM + PROPER / controlled mapping</x:v>
      </x:c>
      <x:c r="F76" s="1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12b084da7f9845c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8" hidden="0" customWidth="1"/>
    <x:col min="4" max="4" width="18" hidden="0" customWidth="1"/>
    <x:col min="5" max="5" width="30" hidden="0" customWidth="1"/>
  </x:cols>
  <x:sheetData>
    <x:row r="1" ht="20" customHeight="1">
      <x:c r="A1" s="31" t="str">
        <x:v>Excel Cleaning Methods &amp; Standardization Logic</x:v>
      </x:c>
      <x:c r="B1" s="31"/>
      <x:c r="C1" s="31"/>
      <x:c r="D1" s="31"/>
      <x:c r="E1" s="31"/>
    </x:row>
    <x:row r="2" ht="20" customHeight="1">
      <x:c r="A2" s="21"/>
      <x:c r="B2" s="21"/>
      <x:c r="C2" s="21"/>
      <x:c r="D2" s="21"/>
      <x:c r="E2" s="21"/>
    </x:row>
    <x:row r="3" ht="20" customHeight="1">
      <x:c r="A3" s="20" t="str">
        <x:v>Field(s)</x:v>
      </x:c>
      <x:c r="B3" s="20" t="str">
        <x:v>Cleaning rule</x:v>
      </x:c>
      <x:c r="C3" s="20" t="str">
        <x:v>Formula / Excel method</x:v>
      </x:c>
      <x:c r="D3" s="20" t="str">
        <x:v>Technique used</x:v>
      </x:c>
      <x:c r="E3" s="20" t="str">
        <x:v>Result</x:v>
      </x:c>
    </x:row>
    <x:row r="4" ht="20" customHeight="1">
      <x:c r="A4" s="27" t="str">
        <x:v>customer_name</x:v>
      </x:c>
      <x:c r="B4" s="27" t="str">
        <x:v>Trim extra spaces, remove invalid punctuation only where found, standardize name case</x:v>
      </x:c>
      <x:c r="C4" s="27" t="str">
        <x:v>=PROPER(TRIM(SUBSTITUTE(E2,CHAR(160)," ")))</x:v>
      </x:c>
      <x:c r="D4" s="27" t="str">
        <x:v>TRIM + SUBSTITUTE + PROPER</x:v>
      </x:c>
      <x:c r="E4" s="27" t="str">
        <x:v>Names standardized consistently</x:v>
      </x:c>
    </x:row>
    <x:row r="5" ht="20" customHeight="1">
      <x:c r="A5" s="27" t="str">
        <x:v>segment / payment_status / order_status</x:v>
      </x:c>
      <x:c r="B5" s="27" t="str">
        <x:v>Trim spacing and map casing variants to controlled values</x:v>
      </x:c>
      <x:c r="C5" s="27" t="str">
        <x:v>=PROPER(TRIM(SUBSTITUTE(F2,CHAR(160)," ")))</x:v>
      </x:c>
      <x:c r="D5" s="27" t="str">
        <x:v>TRIM + SUBSTITUTE + controlled mapping</x:v>
      </x:c>
      <x:c r="E5" s="27" t="str">
        <x:v>Consistent status labels</x:v>
      </x:c>
    </x:row>
    <x:row r="6" ht="20" customHeight="1">
      <x:c r="A6" s="27" t="str">
        <x:v>region / ship_mode</x:v>
      </x:c>
      <x:c r="B6" s="27" t="str">
        <x:v>Trim and standardize; replace blanks with Unknown</x:v>
      </x:c>
      <x:c r="C6" s="27" t="str">
        <x:v>=IF(TRIM(SUBSTITUTE(G2,CHAR(160)," "))="","Unknown",PROPER(TRIM(SUBSTITUTE(G2,CHAR(160)," "))))</x:v>
      </x:c>
      <x:c r="D6" s="27" t="str">
        <x:v>TRIM + SUBSTITUTE + IF</x:v>
      </x:c>
      <x:c r="E6" s="27" t="str">
        <x:v>Missing values made explicit</x:v>
      </x:c>
    </x:row>
    <x:row r="7" ht="20" customHeight="1">
      <x:c r="A7" s="27" t="str">
        <x:v>state / city</x:v>
      </x:c>
      <x:c r="B7" s="27" t="str">
        <x:v>Trim and standardize casing</x:v>
      </x:c>
      <x:c r="C7" s="27" t="str">
        <x:v>=PROPER(TRIM(SUBSTITUTE(H2,CHAR(160)," ")))</x:v>
      </x:c>
      <x:c r="D7" s="27" t="str">
        <x:v>TRIM + SUBSTITUTE + PROPER</x:v>
      </x:c>
      <x:c r="E7" s="27" t="str">
        <x:v>Location names standardized</x:v>
      </x:c>
    </x:row>
    <x:row r="8" ht="20" customHeight="1">
      <x:c r="A8" s="27" t="str">
        <x:v>category / sub_category</x:v>
      </x:c>
      <x:c r="B8" s="27" t="str">
        <x:v>Normalize spacing and capitalization; reconcile known category variants</x:v>
      </x:c>
      <x:c r="C8" s="27" t="str">
        <x:v>=PROPER(TRIM(SUBSTITUTE(J2,CHAR(160)," ")))</x:v>
      </x:c>
      <x:c r="D8" s="27" t="str">
        <x:v>TRIM + SUBSTITUTE + Find &amp; Replace / mapping</x:v>
      </x:c>
      <x:c r="E8" s="27" t="str">
        <x:v>Standardized product hierarchy</x:v>
      </x:c>
    </x:row>
    <x:row r="9" ht="20" customHeight="1">
      <x:c r="A9" s="27" t="str">
        <x:v>Repeated values</x:v>
      </x:c>
      <x:c r="B9" s="27" t="str">
        <x:v>Use controlled mapping list for variants such as OFFICE SUPPLIES, Office  Supplies, and office supplies</x:v>
      </x:c>
      <x:c r="C9" s="27" t="str">
        <x:v>Find &amp; Replace / lookup mapping table</x:v>
      </x:c>
      <x:c r="D9" s="27" t="str">
        <x:v>Find &amp; Replace + mapping</x:v>
      </x:c>
      <x:c r="E9" s="27" t="str">
        <x:v>Equivalent values consolidated</x:v>
      </x:c>
    </x:row>
    <x:row r="10" ht="20" customHeight="1">
      <x:c r="A10" s="27" t="str">
        <x:v>Isolated manual review</x:v>
      </x:c>
      <x:c r="B10" s="27" t="str">
        <x:v>Use Flash Fill only for one-off visual pattern checks; production cleanup uses reproducible rules</x:v>
      </x:c>
      <x:c r="C10" s="27" t="str">
        <x:v>Flash Fill review (not needed for automated output)</x:v>
      </x:c>
      <x:c r="D10" s="27" t="str">
        <x:v>Flash Fill</x:v>
      </x:c>
      <x:c r="E10" s="27" t="str">
        <x:v>No manual-only changes required</x:v>
      </x:c>
    </x:row>
    <x:row r="11" ht="20" customHeight="1">
      <x:c r="A11" s="27" t="str">
        <x:v>Delimited fields</x:v>
      </x:c>
      <x:c r="B11" s="27" t="str">
        <x:v>No combined delimited values were found in the requested fields</x:v>
      </x:c>
      <x:c r="C11" s="27" t="str">
        <x:v>Text to Columns not required</x:v>
      </x:c>
      <x:c r="D11" s="27" t="str">
        <x:v>Text to Columns assessment</x:v>
      </x:c>
      <x:c r="E11" s="27" t="str">
        <x:v>No split needed</x:v>
      </x:c>
    </x:row>
    <x:row r="12" ht="20" customHeight="1">
      <x:c r="A12" s="21"/>
      <x:c r="B12" s="21"/>
      <x:c r="C12" s="21"/>
      <x:c r="D12" s="21"/>
      <x:c r="E12" s="21"/>
    </x:row>
    <x:row r="13" ht="20" customHeight="1">
      <x:c r="A13" s="161" t="str">
        <x:v>Task 6 – Calculated Column Logic</x:v>
      </x:c>
      <x:c r="B13" s="161"/>
      <x:c r="C13" s="161"/>
      <x:c r="D13" s="161"/>
      <x:c r="E13" s="161"/>
    </x:row>
    <x:row r="14" ht="20" customHeight="1"/>
    <x:row r="15" ht="20" customHeight="1">
      <x:c r="A15" s="166" t="str">
        <x:v>Calculated column</x:v>
      </x:c>
      <x:c r="B15" s="166" t="str">
        <x:v>Logic</x:v>
      </x:c>
      <x:c r="C15" s="166" t="str">
        <x:v>Excel formula / method</x:v>
      </x:c>
      <x:c r="D15" s="166" t="str">
        <x:v>Output</x:v>
      </x:c>
      <x:c r="E15" s="166" t="str">
        <x:v>Quality treatment</x:v>
      </x:c>
    </x:row>
    <x:row r="16" ht="20" customHeight="1">
      <x:c r="A16" s="14" t="str">
        <x:v>cleaned_discount</x:v>
      </x:c>
      <x:c r="B16" s="14" t="str">
        <x:v>Keeps a valid 0%–50% discount; uses 0 only for an approved missing-discount imputation with valid sales inputs.</x:v>
      </x:c>
      <x:c r="C16" s="14" t="str">
        <x:v>'IF(valid, discount, 0 / blank)</x:v>
      </x:c>
      <x:c r="D16" s="14" t="str">
        <x:v>Decimal discount</x:v>
      </x:c>
      <x:c r="E16" s="14" t="str">
        <x:v>Invalid discount returns blank</x:v>
      </x:c>
    </x:row>
    <x:row r="17" ht="20" customHeight="1">
      <x:c r="A17" s="14" t="str">
        <x:v>calculated_sales</x:v>
      </x:c>
      <x:c r="B17" s="14" t="str">
        <x:v>Quantity × unit price × (1 − cleaned discount).</x:v>
      </x:c>
      <x:c r="C17" s="14" t="str">
        <x:v>'ROUND(quantity*unit_price*(1-cleaned_discount),2)</x:v>
      </x:c>
      <x:c r="D17" s="14" t="str">
        <x:v>Currency</x:v>
      </x:c>
      <x:c r="E17" s="14" t="str">
        <x:v>Blank where discount or inputs are invalid</x:v>
      </x:c>
    </x:row>
    <x:row r="18" ht="20" customHeight="1">
      <x:c r="A18" s="14" t="str">
        <x:v>calculated_profit</x:v>
      </x:c>
      <x:c r="B18" s="14" t="str">
        <x:v>Calculated sales − cost.</x:v>
      </x:c>
      <x:c r="C18" s="14" t="str">
        <x:v>'ROUND(calculated_sales-cost_raw,2)</x:v>
      </x:c>
      <x:c r="D18" s="14" t="str">
        <x:v>Currency</x:v>
      </x:c>
      <x:c r="E18" s="14" t="str">
        <x:v>Blank where sales or cost is invalid</x:v>
      </x:c>
    </x:row>
    <x:row r="19" ht="20" customHeight="1">
      <x:c r="A19" s="14" t="str">
        <x:v>profit_margin</x:v>
      </x:c>
      <x:c r="B19" s="14" t="str">
        <x:v>Calculated profit ÷ calculated sales.</x:v>
      </x:c>
      <x:c r="C19" s="14" t="str">
        <x:v>'ROUND(calculated_profit/calculated_sales,4)</x:v>
      </x:c>
      <x:c r="D19" s="14" t="str">
        <x:v>Percentage</x:v>
      </x:c>
      <x:c r="E19" s="14" t="str">
        <x:v>Blank when sales are zero or invalid</x:v>
      </x:c>
    </x:row>
    <x:row r="20" ht="20" customHeight="1">
      <x:c r="A20" s="14" t="str">
        <x:v>shipping_delay_days</x:v>
      </x:c>
      <x:c r="B20" s="14" t="str">
        <x:v>Ship date − order date.</x:v>
      </x:c>
      <x:c r="C20" s="14" t="str">
        <x:v>'INT(ship_date-order_date)</x:v>
      </x:c>
      <x:c r="D20" s="14" t="str">
        <x:v>Whole days</x:v>
      </x:c>
      <x:c r="E20" s="14" t="str">
        <x:v>Blank when either date is invalid; negative days remain visible</x:v>
      </x:c>
    </x:row>
    <x:row r="21" ht="20" customHeight="1">
      <x:c r="A21" s="14" t="str">
        <x:v>order_month</x:v>
      </x:c>
      <x:c r="B21" s="14" t="str">
        <x:v>Month name extracted from valid order date.</x:v>
      </x:c>
      <x:c r="C21" s="14" t="str">
        <x:v>'TEXT(order_date,"mmmm")</x:v>
      </x:c>
      <x:c r="D21" s="14" t="str">
        <x:v>Text month</x:v>
      </x:c>
      <x:c r="E21" s="14" t="str">
        <x:v>Blank when order date is invalid</x:v>
      </x:c>
    </x:row>
    <x:row r="22" ht="20" customHeight="1">
      <x:c r="A22" s="14" t="str">
        <x:v>order_year</x:v>
      </x:c>
      <x:c r="B22" s="14" t="str">
        <x:v>Year extracted from valid order date.</x:v>
      </x:c>
      <x:c r="C22" s="14" t="str">
        <x:v>'YEAR(order_date)</x:v>
      </x:c>
      <x:c r="D22" s="14" t="str">
        <x:v>Year</x:v>
      </x:c>
      <x:c r="E22" s="14" t="str">
        <x:v>Blank when order date is invalid</x:v>
      </x:c>
    </x:row>
    <x:row r="23" ht="20" customHeight="1">
      <x:c r="A23" s="14" t="str">
        <x:v>data_quality_flag</x:v>
      </x:c>
      <x:c r="B23" s="14" t="str">
        <x:v>Classifies the record using date, discount, calculation-variance, conflict, and unknown-field checks.</x:v>
      </x:c>
      <x:c r="C23" s="14" t="str">
        <x:v>'IF(invalid tests,"Invalid",IF(warning tests,"Warning","Clean"))</x:v>
      </x:c>
      <x:c r="D23" s="14" t="str">
        <x:v>Clean / Warning / Invalid</x:v>
      </x:c>
      <x:c r="E23" s="14" t="str">
        <x:v>Original detailed reasons retained in data_quality_details</x:v>
      </x:c>
    </x:row>
  </x:sheetData>
  <x:mergeCells>
    <x:mergeCell ref="A1:E1"/>
    <x:mergeCell ref="A13:E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3" hidden="0" customWidth="1"/>
    <x:col min="4" max="4" width="28" hidden="0" customWidth="1"/>
    <x:col min="5" max="5" width="46" hidden="0" customWidth="1"/>
  </x:cols>
  <x:sheetData>
    <x:row r="1" ht="24" customHeight="1">
      <x:c r="A1" s="56" t="str">
        <x:v>Date Validation Report</x:v>
      </x:c>
      <x:c r="B1" s="57"/>
      <x:c r="C1" s="57"/>
      <x:c r="D1" s="57"/>
      <x:c r="E1" s="57"/>
    </x:row>
    <x:row r="2">
      <x:c r="A2" s="57"/>
      <x:c r="B2" s="57"/>
      <x:c r="C2" s="57"/>
      <x:c r="D2" s="57"/>
      <x:c r="E2" s="57"/>
    </x:row>
    <x:row r="3">
      <x:c r="A3" s="58" t="str">
        <x:v>Validation Metric</x:v>
      </x:c>
      <x:c r="B3" s="58" t="str">
        <x:v>Count</x:v>
      </x:c>
      <x:c r="C3" s="57"/>
      <x:c r="D3" s="58" t="str">
        <x:v>Date Cleaning Rule</x:v>
      </x:c>
      <x:c r="E3" s="58" t="str">
        <x:v>Applied Method</x:v>
      </x:c>
    </x:row>
    <x:row r="4">
      <x:c r="A4" s="59" t="str">
        <x:v>Raw source records reviewed</x:v>
      </x:c>
      <x:c r="B4" s="60" t="n">
        <x:v>932</x:v>
      </x:c>
      <x:c r="C4" s="57"/>
      <x:c r="D4" s="59" t="str">
        <x:v>Output format</x:v>
      </x:c>
      <x:c r="E4" s="59" t="str">
        <x:v>yyyy-mm-dd (real Excel dates)</x:v>
      </x:c>
    </x:row>
    <x:row r="5">
      <x:c r="A5" s="59" t="str">
        <x:v>Cleaned records reviewed</x:v>
      </x:c>
      <x:c r="B5" s="60" t="n">
        <x:v>912</x:v>
      </x:c>
      <x:c r="C5" s="57"/>
      <x:c r="D5" s="59" t="str">
        <x:v>Textual dates</x:v>
      </x:c>
      <x:c r="E5" s="59" t="str">
        <x:v>Parsed when recognized, then converted to real Excel dates</x:v>
      </x:c>
    </x:row>
    <x:row r="6">
      <x:c r="A6" s="59" t="str">
        <x:v>Missing order dates</x:v>
      </x:c>
      <x:c r="B6" s="60" t="n">
        <x:v>0</x:v>
      </x:c>
      <x:c r="C6" s="57"/>
      <x:c r="D6" s="59" t="str">
        <x:v>Slash numeric dates</x:v>
      </x:c>
      <x:c r="E6" s="59" t="str">
        <x:v>Interpreted as MM/DD/YYYY</x:v>
      </x:c>
    </x:row>
    <x:row r="7">
      <x:c r="A7" s="59" t="str">
        <x:v>Missing ship dates</x:v>
      </x:c>
      <x:c r="B7" s="60" t="n">
        <x:v>0</x:v>
      </x:c>
      <x:c r="C7" s="57"/>
      <x:c r="D7" s="59" t="str">
        <x:v>Hyphen numeric dates</x:v>
      </x:c>
      <x:c r="E7" s="59" t="str">
        <x:v>Interpreted as DD-MM-YYYY</x:v>
      </x:c>
    </x:row>
    <x:row r="8">
      <x:c r="A8" s="59" t="str">
        <x:v>Invalid / unrecognized order-date text</x:v>
      </x:c>
      <x:c r="B8" s="60" t="n">
        <x:v>0</x:v>
      </x:c>
      <x:c r="C8" s="57"/>
      <x:c r="D8" s="59" t="str">
        <x:v>Missing / invalid date text</x:v>
      </x:c>
      <x:c r="E8" s="59" t="str">
        <x:v>Retained as blank and flagged in validation columns</x:v>
      </x:c>
    </x:row>
    <x:row r="9">
      <x:c r="A9" s="59" t="str">
        <x:v>Invalid / unrecognized ship-date text</x:v>
      </x:c>
      <x:c r="B9" s="60" t="n">
        <x:v>0</x:v>
      </x:c>
      <x:c r="C9" s="57"/>
      <x:c r="D9" s="59" t="str">
        <x:v>Ship date before order date</x:v>
      </x:c>
      <x:c r="E9" s="59" t="str">
        <x:v>Flagged; retained without auto-correction</x:v>
      </x:c>
    </x:row>
    <x:row r="10">
      <x:c r="A10" s="59" t="str">
        <x:v>Ship dates earlier than order dates (raw source)</x:v>
      </x:c>
      <x:c r="B10" s="60" t="n">
        <x:v>22</x:v>
      </x:c>
      <x:c r="C10" s="57"/>
      <x:c r="D10" s="59" t="str">
        <x:v>Shipping delay</x:v>
      </x:c>
      <x:c r="E10" s="59" t="str">
        <x:v>Formula: ship_date − order_date; negative values retained for review</x:v>
      </x:c>
    </x:row>
    <x:row r="11">
      <x:c r="A11" s="59" t="str">
        <x:v>Ship dates earlier than order dates (retained cleaned rows)</x:v>
      </x:c>
      <x:c r="B11" s="60" t="n">
        <x:v>21</x:v>
      </x:c>
      <x:c r="C11" s="57"/>
      <x:c r="D11" s="57"/>
      <x:c r="E11" s="57"/>
    </x:row>
    <x:row r="12">
      <x:c r="A12" s="59" t="str">
        <x:v>Valid non-negative shipping delays</x:v>
      </x:c>
      <x:c r="B12" s="60" t="n">
        <x:v>891</x:v>
      </x:c>
      <x:c r="C12" s="57"/>
      <x:c r="D12" s="57"/>
      <x:c r="E12" s="57"/>
    </x:row>
    <x:row r="13">
      <x:c r="A13" s="59" t="str">
        <x:v>Negative shipping delays retained for review</x:v>
      </x:c>
      <x:c r="B13" s="60" t="n">
        <x:v>21</x:v>
      </x:c>
      <x:c r="C13" s="57"/>
      <x:c r="D13" s="57"/>
      <x:c r="E13" s="57"/>
    </x:row>
    <x:row r="14">
      <x:c r="A14" s="57"/>
      <x:c r="B14" s="57"/>
      <x:c r="C14" s="57"/>
      <x:c r="D14" s="57"/>
      <x:c r="E14" s="57"/>
    </x:row>
    <x:row r="15" ht="36" customHeight="1">
      <x:c r="A15" s="61" t="str">
        <x:v>Review outcome: no missing or unrecognized date values were detected. 21 retained rows have ship dates earlier than their order dates and remain flagged for business review.</x:v>
      </x:c>
      <x:c r="B15" s="57"/>
      <x:c r="C15" s="57"/>
      <x:c r="D15" s="57"/>
      <x:c r="E15" s="57"/>
    </x:row>
  </x:sheetData>
  <x:mergeCells>
    <x:mergeCell ref="A1:E1"/>
    <x:mergeCell ref="A15:E1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2" hidden="0" customWidth="1"/>
    <x:col min="9" max="9" width="46" hidden="0" customWidth="1"/>
    <x:col min="10" max="10" width="20" hidden="0" customWidth="1"/>
  </x:cols>
  <x:sheetData>
    <x:row r="1">
      <x:c r="A1" s="47" t="str">
        <x:v>source_row</x:v>
      </x:c>
      <x:c r="B1" s="47" t="str">
        <x:v>order_id</x:v>
      </x:c>
      <x:c r="C1" s="47" t="str">
        <x:v>raw_order_date</x:v>
      </x:c>
      <x:c r="D1" s="47" t="str">
        <x:v>raw_ship_date</x:v>
      </x:c>
      <x:c r="E1" s="47" t="str">
        <x:v>standardized_order_date</x:v>
      </x:c>
      <x:c r="F1" s="47" t="str">
        <x:v>standardized_ship_date</x:v>
      </x:c>
      <x:c r="G1" s="47" t="str">
        <x:v>shipping_delay_days</x:v>
      </x:c>
      <x:c r="H1" s="47" t="str">
        <x:v>validation_issue</x:v>
      </x:c>
      <x:c r="I1" s="47" t="str">
        <x:v>action_taken</x:v>
      </x:c>
      <x:c r="J1" s="47" t="str">
        <x:v>retained_in_cleaned_data</x:v>
      </x:c>
    </x:row>
    <x:row r="2">
      <x:c r="A2" s="14" t="n">
        <x:v>26</x:v>
      </x:c>
      <x:c r="B2" s="14" t="str">
        <x:v>ORD-2024-10025</x:v>
      </x:c>
      <x:c r="C2" s="14" t="str">
        <x:v>2024-03-04</x:v>
      </x:c>
      <x:c r="D2" s="14" t="str">
        <x:v>03/01/2024</x:v>
      </x:c>
      <x:c r="E2" s="63" t="n">
        <x:v>45355</x:v>
      </x:c>
      <x:c r="F2" s="63" t="n">
        <x:v>45352</x:v>
      </x:c>
      <x:c r="G2" s="64" t="n">
        <x:v>-3</x:v>
      </x:c>
      <x:c r="H2" s="14" t="str">
        <x:v>Ship date earlier than order date</x:v>
      </x:c>
      <x:c r="I2" s="14" t="str">
        <x:v>Flagged for review; date values retained and not auto-corrected</x:v>
      </x:c>
      <x:c r="J2" s="14" t="str">
        <x:v>Yes</x:v>
      </x:c>
    </x:row>
    <x:row r="3">
      <x:c r="A3" s="14" t="n">
        <x:v>74</x:v>
      </x:c>
      <x:c r="B3" s="14" t="str">
        <x:v>ORD-2024-10073</x:v>
      </x:c>
      <x:c r="C3" s="14" t="str">
        <x:v>2024-02-11</x:v>
      </x:c>
      <x:c r="D3" s="14" t="str">
        <x:v>07 Feb 2024</x:v>
      </x:c>
      <x:c r="E3" s="63" t="n">
        <x:v>45333</x:v>
      </x:c>
      <x:c r="F3" s="63" t="n">
        <x:v>45329</x:v>
      </x:c>
      <x:c r="G3" s="64" t="n">
        <x:v>-4</x:v>
      </x:c>
      <x:c r="H3" s="14" t="str">
        <x:v>Ship date earlier than order date</x:v>
      </x:c>
      <x:c r="I3" s="14" t="str">
        <x:v>Flagged for review; date values retained and not auto-corrected</x:v>
      </x:c>
      <x:c r="J3" s="14" t="str">
        <x:v>Yes</x:v>
      </x:c>
    </x:row>
    <x:row r="4">
      <x:c r="A4" s="14" t="n">
        <x:v>129</x:v>
      </x:c>
      <x:c r="B4" s="14" t="str">
        <x:v>ORD-2025-10128</x:v>
      </x:c>
      <x:c r="C4" s="14" t="str">
        <x:v>01/30/2025</x:v>
      </x:c>
      <x:c r="D4" s="14" t="str">
        <x:v>26-01-2025</x:v>
      </x:c>
      <x:c r="E4" s="63" t="n">
        <x:v>45687</x:v>
      </x:c>
      <x:c r="F4" s="63" t="n">
        <x:v>45683</x:v>
      </x:c>
      <x:c r="G4" s="64" t="n">
        <x:v>-4</x:v>
      </x:c>
      <x:c r="H4" s="14" t="str">
        <x:v>Ship date earlier than order date</x:v>
      </x:c>
      <x:c r="I4" s="14" t="str">
        <x:v>Flagged for review; date values retained and not auto-corrected</x:v>
      </x:c>
      <x:c r="J4" s="14" t="str">
        <x:v>Yes</x:v>
      </x:c>
    </x:row>
    <x:row r="5">
      <x:c r="A5" s="14" t="n">
        <x:v>144</x:v>
      </x:c>
      <x:c r="B5" s="14" t="str">
        <x:v>ORD-2024-10143</x:v>
      </x:c>
      <x:c r="C5" s="14" t="str">
        <x:v>30 Mar 2024</x:v>
      </x:c>
      <x:c r="D5" s="14" t="str">
        <x:v>26 Mar 2024</x:v>
      </x:c>
      <x:c r="E5" s="63" t="n">
        <x:v>45381</x:v>
      </x:c>
      <x:c r="F5" s="63" t="n">
        <x:v>45377</x:v>
      </x:c>
      <x:c r="G5" s="64" t="n">
        <x:v>-4</x:v>
      </x:c>
      <x:c r="H5" s="14" t="str">
        <x:v>Ship date earlier than order date</x:v>
      </x:c>
      <x:c r="I5" s="14" t="str">
        <x:v>Flagged for review; date values retained and not auto-corrected</x:v>
      </x:c>
      <x:c r="J5" s="14" t="str">
        <x:v>Yes</x:v>
      </x:c>
    </x:row>
    <x:row r="6">
      <x:c r="A6" s="14" t="n">
        <x:v>156</x:v>
      </x:c>
      <x:c r="B6" s="14" t="str">
        <x:v>ORD-2024-10155</x:v>
      </x:c>
      <x:c r="C6" s="14" t="str">
        <x:v>12 Feb 2024</x:v>
      </x:c>
      <x:c r="D6" s="14" t="str">
        <x:v>02/11/2024</x:v>
      </x:c>
      <x:c r="E6" s="63" t="n">
        <x:v>45334</x:v>
      </x:c>
      <x:c r="F6" s="63" t="n">
        <x:v>45333</x:v>
      </x:c>
      <x:c r="G6" s="64" t="n">
        <x:v>-1</x:v>
      </x:c>
      <x:c r="H6" s="14" t="str">
        <x:v>Ship date earlier than order date</x:v>
      </x:c>
      <x:c r="I6" s="14" t="str">
        <x:v>Flagged for review; date values retained and not auto-corrected</x:v>
      </x:c>
      <x:c r="J6" s="14" t="str">
        <x:v>Yes</x:v>
      </x:c>
    </x:row>
    <x:row r="7">
      <x:c r="A7" s="14" t="n">
        <x:v>162</x:v>
      </x:c>
      <x:c r="B7" s="14" t="str">
        <x:v>ORD-2025-10161</x:v>
      </x:c>
      <x:c r="C7" s="14" t="str">
        <x:v>08-10-2025</x:v>
      </x:c>
      <x:c r="D7" s="14" t="str">
        <x:v>10/06/2025</x:v>
      </x:c>
      <x:c r="E7" s="63" t="n">
        <x:v>45938</x:v>
      </x:c>
      <x:c r="F7" s="63" t="n">
        <x:v>45936</x:v>
      </x:c>
      <x:c r="G7" s="64" t="n">
        <x:v>-2</x:v>
      </x:c>
      <x:c r="H7" s="14" t="str">
        <x:v>Ship date earlier than order date</x:v>
      </x:c>
      <x:c r="I7" s="14" t="str">
        <x:v>Flagged for review; date values retained and not auto-corrected</x:v>
      </x:c>
      <x:c r="J7" s="14" t="str">
        <x:v>Yes</x:v>
      </x:c>
    </x:row>
    <x:row r="8">
      <x:c r="A8" s="14" t="n">
        <x:v>258</x:v>
      </x:c>
      <x:c r="B8" s="14" t="str">
        <x:v>ORD-2024-10257</x:v>
      </x:c>
      <x:c r="C8" s="14" t="str">
        <x:v>2024-11-05</x:v>
      </x:c>
      <x:c r="D8" s="14" t="str">
        <x:v>03 Nov 2024</x:v>
      </x:c>
      <x:c r="E8" s="63" t="n">
        <x:v>45601</x:v>
      </x:c>
      <x:c r="F8" s="63" t="n">
        <x:v>45599</x:v>
      </x:c>
      <x:c r="G8" s="64" t="n">
        <x:v>-2</x:v>
      </x:c>
      <x:c r="H8" s="14" t="str">
        <x:v>Ship date earlier than order date</x:v>
      </x:c>
      <x:c r="I8" s="14" t="str">
        <x:v>Flagged for review; date values retained and not auto-corrected</x:v>
      </x:c>
      <x:c r="J8" s="14" t="str">
        <x:v>Yes</x:v>
      </x:c>
    </x:row>
    <x:row r="9">
      <x:c r="A9" s="14" t="n">
        <x:v>357</x:v>
      </x:c>
      <x:c r="B9" s="14" t="str">
        <x:v>ORD-2024-10356</x:v>
      </x:c>
      <x:c r="C9" s="14" t="str">
        <x:v>12-05-2024</x:v>
      </x:c>
      <x:c r="D9" s="14" t="str">
        <x:v>2024-05-09</x:v>
      </x:c>
      <x:c r="E9" s="63" t="n">
        <x:v>45424</x:v>
      </x:c>
      <x:c r="F9" s="63" t="n">
        <x:v>45421</x:v>
      </x:c>
      <x:c r="G9" s="64" t="n">
        <x:v>-3</x:v>
      </x:c>
      <x:c r="H9" s="14" t="str">
        <x:v>Ship date earlier than order date</x:v>
      </x:c>
      <x:c r="I9" s="14" t="str">
        <x:v>Flagged for review; date values retained and not auto-corrected</x:v>
      </x:c>
      <x:c r="J9" s="14" t="str">
        <x:v>Yes</x:v>
      </x:c>
    </x:row>
    <x:row r="10">
      <x:c r="A10" s="14" t="n">
        <x:v>360</x:v>
      </x:c>
      <x:c r="B10" s="14" t="str">
        <x:v>ORD-2025-10359</x:v>
      </x:c>
      <x:c r="C10" s="14" t="str">
        <x:v>08/09/2025</x:v>
      </x:c>
      <x:c r="D10" s="14" t="str">
        <x:v>2025-08-07</x:v>
      </x:c>
      <x:c r="E10" s="63" t="n">
        <x:v>45878</x:v>
      </x:c>
      <x:c r="F10" s="63" t="n">
        <x:v>45876</x:v>
      </x:c>
      <x:c r="G10" s="64" t="n">
        <x:v>-2</x:v>
      </x:c>
      <x:c r="H10" s="14" t="str">
        <x:v>Ship date earlier than order date</x:v>
      </x:c>
      <x:c r="I10" s="14" t="str">
        <x:v>Flagged for review; date values retained and not auto-corrected</x:v>
      </x:c>
      <x:c r="J10" s="14" t="str">
        <x:v>Yes</x:v>
      </x:c>
    </x:row>
    <x:row r="11">
      <x:c r="A11" s="14" t="n">
        <x:v>440</x:v>
      </x:c>
      <x:c r="B11" s="14" t="str">
        <x:v>ORD-2025-10439</x:v>
      </x:c>
      <x:c r="C11" s="14" t="str">
        <x:v>07 May 2025</x:v>
      </x:c>
      <x:c r="D11" s="14" t="str">
        <x:v>05/05/2025</x:v>
      </x:c>
      <x:c r="E11" s="63" t="n">
        <x:v>45784</x:v>
      </x:c>
      <x:c r="F11" s="63" t="n">
        <x:v>45782</x:v>
      </x:c>
      <x:c r="G11" s="64" t="n">
        <x:v>-2</x:v>
      </x:c>
      <x:c r="H11" s="14" t="str">
        <x:v>Ship date earlier than order date</x:v>
      </x:c>
      <x:c r="I11" s="14" t="str">
        <x:v>Flagged for review; date values retained and not auto-corrected</x:v>
      </x:c>
      <x:c r="J11" s="14" t="str">
        <x:v>Yes</x:v>
      </x:c>
    </x:row>
    <x:row r="12">
      <x:c r="A12" s="14" t="n">
        <x:v>447</x:v>
      </x:c>
      <x:c r="B12" s="14" t="str">
        <x:v>ORD-2024-10446</x:v>
      </x:c>
      <x:c r="C12" s="14" t="str">
        <x:v>05/09/2024</x:v>
      </x:c>
      <x:c r="D12" s="14" t="str">
        <x:v>05-05-2024</x:v>
      </x:c>
      <x:c r="E12" s="63" t="n">
        <x:v>45421</x:v>
      </x:c>
      <x:c r="F12" s="63" t="n">
        <x:v>45417</x:v>
      </x:c>
      <x:c r="G12" s="64" t="n">
        <x:v>-4</x:v>
      </x:c>
      <x:c r="H12" s="14" t="str">
        <x:v>Ship date earlier than order date</x:v>
      </x:c>
      <x:c r="I12" s="14" t="str">
        <x:v>Flagged for review; date values retained and not auto-corrected</x:v>
      </x:c>
      <x:c r="J12" s="14" t="str">
        <x:v>Yes</x:v>
      </x:c>
    </x:row>
    <x:row r="13">
      <x:c r="A13" s="14" t="n">
        <x:v>470</x:v>
      </x:c>
      <x:c r="B13" s="14" t="str">
        <x:v>ORD-2025-10469</x:v>
      </x:c>
      <x:c r="C13" s="14" t="str">
        <x:v>09 Jan 2025</x:v>
      </x:c>
      <x:c r="D13" s="14" t="str">
        <x:v>07 Jan 2025</x:v>
      </x:c>
      <x:c r="E13" s="63" t="n">
        <x:v>45666</x:v>
      </x:c>
      <x:c r="F13" s="63" t="n">
        <x:v>45664</x:v>
      </x:c>
      <x:c r="G13" s="64" t="n">
        <x:v>-2</x:v>
      </x:c>
      <x:c r="H13" s="14" t="str">
        <x:v>Ship date earlier than order date</x:v>
      </x:c>
      <x:c r="I13" s="14" t="str">
        <x:v>Flagged for review; date values retained and not auto-corrected</x:v>
      </x:c>
      <x:c r="J13" s="14" t="str">
        <x:v>Yes</x:v>
      </x:c>
    </x:row>
    <x:row r="14">
      <x:c r="A14" s="14" t="n">
        <x:v>481</x:v>
      </x:c>
      <x:c r="B14" s="14" t="str">
        <x:v>ORD-2024-10480</x:v>
      </x:c>
      <x:c r="C14" s="14" t="str">
        <x:v>23 Feb 2024</x:v>
      </x:c>
      <x:c r="D14" s="14" t="str">
        <x:v>2024-02-20</x:v>
      </x:c>
      <x:c r="E14" s="63" t="n">
        <x:v>45345</x:v>
      </x:c>
      <x:c r="F14" s="63" t="n">
        <x:v>45342</x:v>
      </x:c>
      <x:c r="G14" s="64" t="n">
        <x:v>-3</x:v>
      </x:c>
      <x:c r="H14" s="14" t="str">
        <x:v>Ship date earlier than order date</x:v>
      </x:c>
      <x:c r="I14" s="14" t="str">
        <x:v>Flagged for review; date values retained and not auto-corrected</x:v>
      </x:c>
      <x:c r="J14" s="14" t="str">
        <x:v>Yes</x:v>
      </x:c>
    </x:row>
    <x:row r="15">
      <x:c r="A15" s="14" t="n">
        <x:v>520</x:v>
      </x:c>
      <x:c r="B15" s="14" t="str">
        <x:v>ORD-2025-10519</x:v>
      </x:c>
      <x:c r="C15" s="14" t="str">
        <x:v>30-04-2025</x:v>
      </x:c>
      <x:c r="D15" s="14" t="str">
        <x:v>26 Apr 2025</x:v>
      </x:c>
      <x:c r="E15" s="63" t="n">
        <x:v>45777</x:v>
      </x:c>
      <x:c r="F15" s="63" t="n">
        <x:v>45773</x:v>
      </x:c>
      <x:c r="G15" s="64" t="n">
        <x:v>-4</x:v>
      </x:c>
      <x:c r="H15" s="14" t="str">
        <x:v>Ship date earlier than order date</x:v>
      </x:c>
      <x:c r="I15" s="14" t="str">
        <x:v>Flagged for review; date values retained and not auto-corrected</x:v>
      </x:c>
      <x:c r="J15" s="14" t="str">
        <x:v>Yes</x:v>
      </x:c>
    </x:row>
    <x:row r="16">
      <x:c r="A16" s="14" t="n">
        <x:v>542</x:v>
      </x:c>
      <x:c r="B16" s="14" t="str">
        <x:v>ORD-2024-10541</x:v>
      </x:c>
      <x:c r="C16" s="14" t="str">
        <x:v>26-02-2024</x:v>
      </x:c>
      <x:c r="D16" s="14" t="str">
        <x:v>23 Feb 2024</x:v>
      </x:c>
      <x:c r="E16" s="63" t="n">
        <x:v>45348</x:v>
      </x:c>
      <x:c r="F16" s="63" t="n">
        <x:v>45345</x:v>
      </x:c>
      <x:c r="G16" s="64" t="n">
        <x:v>-3</x:v>
      </x:c>
      <x:c r="H16" s="14" t="str">
        <x:v>Ship date earlier than order date</x:v>
      </x:c>
      <x:c r="I16" s="14" t="str">
        <x:v>Flagged for review; date values retained and not auto-corrected</x:v>
      </x:c>
      <x:c r="J16" s="14" t="str">
        <x:v>Yes</x:v>
      </x:c>
    </x:row>
    <x:row r="17">
      <x:c r="A17" s="14" t="n">
        <x:v>755</x:v>
      </x:c>
      <x:c r="B17" s="14" t="str">
        <x:v>ORD-2024-10754</x:v>
      </x:c>
      <x:c r="C17" s="14" t="str">
        <x:v>11 Aug 2024</x:v>
      </x:c>
      <x:c r="D17" s="14" t="str">
        <x:v>10-08-2024</x:v>
      </x:c>
      <x:c r="E17" s="63" t="n">
        <x:v>45515</x:v>
      </x:c>
      <x:c r="F17" s="63" t="n">
        <x:v>45514</x:v>
      </x:c>
      <x:c r="G17" s="64" t="n">
        <x:v>-1</x:v>
      </x:c>
      <x:c r="H17" s="14" t="str">
        <x:v>Ship date earlier than order date</x:v>
      </x:c>
      <x:c r="I17" s="14" t="str">
        <x:v>Flagged for review; date values retained and not auto-corrected</x:v>
      </x:c>
      <x:c r="J17" s="14" t="str">
        <x:v>Yes</x:v>
      </x:c>
    </x:row>
    <x:row r="18">
      <x:c r="A18" s="14" t="n">
        <x:v>800</x:v>
      </x:c>
      <x:c r="B18" s="14" t="str">
        <x:v>ORD-2025-10799</x:v>
      </x:c>
      <x:c r="C18" s="14" t="str">
        <x:v>2025-07-11</x:v>
      </x:c>
      <x:c r="D18" s="14" t="str">
        <x:v>09-07-2025</x:v>
      </x:c>
      <x:c r="E18" s="63" t="n">
        <x:v>45849</x:v>
      </x:c>
      <x:c r="F18" s="63" t="n">
        <x:v>45847</x:v>
      </x:c>
      <x:c r="G18" s="64" t="n">
        <x:v>-2</x:v>
      </x:c>
      <x:c r="H18" s="14" t="str">
        <x:v>Ship date earlier than order date</x:v>
      </x:c>
      <x:c r="I18" s="14" t="str">
        <x:v>Flagged for review; date values retained and not auto-corrected</x:v>
      </x:c>
      <x:c r="J18" s="14" t="str">
        <x:v>Yes</x:v>
      </x:c>
    </x:row>
    <x:row r="19">
      <x:c r="A19" s="14" t="n">
        <x:v>810</x:v>
      </x:c>
      <x:c r="B19" s="14" t="str">
        <x:v>ORD-2025-10809</x:v>
      </x:c>
      <x:c r="C19" s="14" t="str">
        <x:v>2025-08-31</x:v>
      </x:c>
      <x:c r="D19" s="14" t="str">
        <x:v>2025-08-28</x:v>
      </x:c>
      <x:c r="E19" s="63" t="n">
        <x:v>45900</x:v>
      </x:c>
      <x:c r="F19" s="63" t="n">
        <x:v>45897</x:v>
      </x:c>
      <x:c r="G19" s="64" t="n">
        <x:v>-3</x:v>
      </x:c>
      <x:c r="H19" s="14" t="str">
        <x:v>Ship date earlier than order date</x:v>
      </x:c>
      <x:c r="I19" s="14" t="str">
        <x:v>Flagged for review; date values retained and not auto-corrected</x:v>
      </x:c>
      <x:c r="J19" s="14" t="str">
        <x:v>Yes</x:v>
      </x:c>
    </x:row>
    <x:row r="20">
      <x:c r="A20" s="14" t="n">
        <x:v>824</x:v>
      </x:c>
      <x:c r="B20" s="14" t="str">
        <x:v>ORD-2024-10823</x:v>
      </x:c>
      <x:c r="C20" s="14" t="str">
        <x:v>10/12/2024</x:v>
      </x:c>
      <x:c r="D20" s="14" t="str">
        <x:v>08 Oct 2024</x:v>
      </x:c>
      <x:c r="E20" s="63" t="n">
        <x:v>45577</x:v>
      </x:c>
      <x:c r="F20" s="63" t="n">
        <x:v>45573</x:v>
      </x:c>
      <x:c r="G20" s="64" t="n">
        <x:v>-4</x:v>
      </x:c>
      <x:c r="H20" s="14" t="str">
        <x:v>Ship date earlier than order date</x:v>
      </x:c>
      <x:c r="I20" s="14" t="str">
        <x:v>Flagged for review; date values retained and not auto-corrected</x:v>
      </x:c>
      <x:c r="J20" s="14" t="str">
        <x:v>Yes</x:v>
      </x:c>
    </x:row>
    <x:row r="21">
      <x:c r="A21" s="14" t="n">
        <x:v>844</x:v>
      </x:c>
      <x:c r="B21" s="14" t="str">
        <x:v>ORD-2024-10843</x:v>
      </x:c>
      <x:c r="C21" s="14" t="str">
        <x:v>31-03-2024</x:v>
      </x:c>
      <x:c r="D21" s="14" t="str">
        <x:v>03/30/2024</x:v>
      </x:c>
      <x:c r="E21" s="63" t="n">
        <x:v>45382</x:v>
      </x:c>
      <x:c r="F21" s="63" t="n">
        <x:v>45381</x:v>
      </x:c>
      <x:c r="G21" s="64" t="n">
        <x:v>-1</x:v>
      </x:c>
      <x:c r="H21" s="14" t="str">
        <x:v>Ship date earlier than order date</x:v>
      </x:c>
      <x:c r="I21" s="14" t="str">
        <x:v>Flagged for review; date values retained and not auto-corrected</x:v>
      </x:c>
      <x:c r="J21" s="14" t="str">
        <x:v>Yes</x:v>
      </x:c>
    </x:row>
    <x:row r="22">
      <x:c r="A22" s="14" t="n">
        <x:v>930</x:v>
      </x:c>
      <x:c r="B22" s="14" t="str">
        <x:v>ORD-2024-10143</x:v>
      </x:c>
      <x:c r="C22" s="14" t="str">
        <x:v>30 Mar 2024</x:v>
      </x:c>
      <x:c r="D22" s="14" t="str">
        <x:v>26 Mar 2024</x:v>
      </x:c>
      <x:c r="E22" s="63" t="n">
        <x:v>45381</x:v>
      </x:c>
      <x:c r="F22" s="63" t="n">
        <x:v>45377</x:v>
      </x:c>
      <x:c r="G22" s="64" t="n">
        <x:v>-4</x:v>
      </x:c>
      <x:c r="H22" s="14" t="str">
        <x:v>Ship date earlier than order date</x:v>
      </x:c>
      <x:c r="I22" s="14" t="str">
        <x:v>Flagged for review; date values retained and not auto-corrected</x:v>
      </x:c>
      <x:c r="J22" s="14" t="str">
        <x:v>Yes</x:v>
      </x:c>
    </x:row>
  </x:sheetData>
  <x:conditionalFormatting sqref="G2:G22">
    <x:cfRule type="expression" dxfId="12" priority="1">
      <x:formula>G2&lt;0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47db322eaf49f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2" hidden="0" customWidth="1"/>
    <x:col min="4" max="4" width="3" hidden="0" customWidth="1"/>
    <x:col min="5" max="5" width="28" hidden="0" customWidth="1"/>
    <x:col min="6" max="6" width="55" hidden="0" customWidth="1"/>
  </x:cols>
  <x:sheetData>
    <x:row r="1" ht="26" customHeight="1">
      <x:c r="A1" s="89" t="str">
        <x:v>Business Rule Application Summary</x:v>
      </x:c>
      <x:c r="B1" s="89"/>
      <x:c r="C1" s="89"/>
      <x:c r="D1" s="89"/>
      <x:c r="E1" s="89"/>
      <x:c r="F1" s="89"/>
    </x:row>
    <x:row r="3">
      <x:c r="A3" s="108" t="str">
        <x:v>Business outcome</x:v>
      </x:c>
      <x:c r="B3" s="109" t="str">
        <x:v>Count</x:v>
      </x:c>
      <x:c r="E3" s="108" t="str">
        <x:v>Eligibility rule</x:v>
      </x:c>
      <x:c r="F3" s="109" t="str">
        <x:v>Applied condition</x:v>
      </x:c>
    </x:row>
    <x:row r="4">
      <x:c r="A4" s="110" t="str">
        <x:v>Source records reviewed</x:v>
      </x:c>
      <x:c r="B4" s="122" t="n">
        <x:f>932</x:f>
        <x:v>932</x:v>
      </x:c>
      <x:c r="E4" s="110" t="str">
        <x:v>Completed-sales inclusion</x:v>
      </x:c>
      <x:c r="F4" s="111" t="str">
        <x:v>Completed + Paid + valid discount + no review-level data issue.</x:v>
      </x:c>
    </x:row>
    <x:row r="5">
      <x:c r="A5" s="110" t="str">
        <x:v>Exact duplicate rows removed</x:v>
      </x:c>
      <x:c r="B5" s="122" t="n">
        <x:f>20</x:f>
        <x:v>20</x:v>
      </x:c>
      <x:c r="E5" s="110" t="str">
        <x:v>Unknown geography / ship mode</x:v>
      </x:c>
      <x:c r="F5" s="111" t="str">
        <x:v>Not a sales-exclusion criterion after Unknown is assigned.</x:v>
      </x:c>
    </x:row>
    <x:row r="6">
      <x:c r="A6" s="110" t="str">
        <x:v>Cleaned records retained</x:v>
      </x:c>
      <x:c r="B6" s="122" t="n">
        <x:f>COUNTA(Cleaned_Orders!$A$2:$A$913)</x:f>
        <x:v>912</x:v>
      </x:c>
      <x:c r="E6" s="110" t="str">
        <x:v>Invalid discounts</x:v>
      </x:c>
      <x:c r="F6" s="111" t="str">
        <x:v>Do not calculate validated sales/profit and do not include in completed-sales totals.</x:v>
      </x:c>
    </x:row>
    <x:row r="7">
      <x:c r="A7" s="110" t="str">
        <x:v>Eligible completed-sales records</x:v>
      </x:c>
      <x:c r="B7" s="122" t="n">
        <x:f>COUNTIF(Cleaned_Orders!$AD$2:$AD$913,"Eligible")</x:f>
        <x:v>537</x:v>
      </x:c>
      <x:c r="E7" s="110" t="str">
        <x:v>Shipping date exception</x:v>
      </x:c>
      <x:c r="F7" s="111" t="str">
        <x:v>Ship date before order date is a review-level exception.</x:v>
      </x:c>
    </x:row>
    <x:row r="8">
      <x:c r="A8" s="110" t="str">
        <x:v>Excluded from completed-sales summary</x:v>
      </x:c>
      <x:c r="B8" s="122" t="n">
        <x:f>COUNTIF(Cleaned_Orders!$AD$2:$AD$913,"Excluded")</x:f>
        <x:v>375</x:v>
      </x:c>
      <x:c r="E8" s="110" t="str">
        <x:v>Duplicate conflict</x:v>
      </x:c>
      <x:c r="F8" s="111" t="str">
        <x:v>Conflicting duplicate order IDs remain retained and are excluded pending review.</x:v>
      </x:c>
    </x:row>
    <x:row r="9">
      <x:c r="A9" s="110" t="str">
        <x:v>Rows requiring review</x:v>
      </x:c>
      <x:c r="B9" s="122" t="n">
        <x:f>COUNTIF(Cleaned_Orders!$AF$2:$AF$913,"Review")</x:f>
        <x:v>112</x:v>
      </x:c>
      <x:c r="E9" s="110" t="str">
        <x:v>Raw amounts</x:v>
      </x:c>
      <x:c r="F9" s="111" t="str">
        <x:v>Refunded total uses sales_raw, not completed-sales calculations.</x:v>
      </x:c>
    </x:row>
    <x:row r="10">
      <x:c r="A10" s="110" t="str">
        <x:v>Rows adjusted / standardized</x:v>
      </x:c>
      <x:c r="B10" s="122" t="n">
        <x:f>COUNTIF(Cleaned_Orders!$AF$2:$AF$913,"Cleaned")</x:f>
        <x:v>125</x:v>
      </x:c>
      <x:c r="E10" s="112" t="str">
        <x:v>Allowed discount cap</x:v>
      </x:c>
      <x:c r="F10" s="113" t="str">
        <x:v>50% maximum adopted because the source rule does not state a different cap.</x:v>
      </x:c>
    </x:row>
    <x:row r="11">
      <x:c r="A11" s="110" t="str">
        <x:v>Rows passing without changes</x:v>
      </x:c>
      <x:c r="B11" s="122" t="n">
        <x:f>COUNTIF(Cleaned_Orders!$AF$2:$AF$913,"Pass")</x:f>
        <x:v>675</x:v>
      </x:c>
    </x:row>
    <x:row r="12">
      <x:c r="A12" s="110" t="str">
        <x:v>Completed-sales value</x:v>
      </x:c>
      <x:c r="B12" s="120" t="n">
        <x:f>SUMIFS(Cleaned_Orders!$W$2:$W$913,Cleaned_Orders!$AD$2:$AD$913,"Eligible")</x:f>
        <x:v>5329453.929999994</x:v>
      </x:c>
    </x:row>
    <x:row r="13">
      <x:c r="A13" s="110" t="str">
        <x:v>Refunded orders (separate summary)</x:v>
      </x:c>
      <x:c r="B13" s="122" t="n">
        <x:f>COUNTIF(Cleaned_Orders!$AO$2:$AO$913,"Include in refunded summary")</x:f>
        <x:v>71</x:v>
      </x:c>
    </x:row>
    <x:row r="14">
      <x:c r="A14" s="112" t="str">
        <x:v>Refunded sales value (raw sales)</x:v>
      </x:c>
      <x:c r="B14" s="121" t="n">
        <x:f>SUMIFS(Cleaned_Orders!$R$2:$R$913,Cleaned_Orders!$AO$2:$AO$913,"Include in refunded summary")</x:f>
        <x:v>677073.7499999998</x:v>
      </x:c>
    </x:row>
    <x:row r="16">
      <x:c r="A16" s="108" t="str">
        <x:v>Business rule</x:v>
      </x:c>
      <x:c r="B16" s="117" t="str">
        <x:v>Outcome / decision</x:v>
      </x:c>
      <x:c r="C16" s="109" t="str">
        <x:v>Affected retained records</x:v>
      </x:c>
    </x:row>
    <x:row r="17">
      <x:c r="A17" s="110" t="str">
        <x:v>Missing region</x:v>
      </x:c>
      <x:c r="B17" s="118" t="str">
        <x:v>Filled as Unknown; retained for analysis and flagged.</x:v>
      </x:c>
      <x:c r="C17" s="111" t="n">
        <x:f>COUNTIF(Cleaned_Orders!$H$2:$H$913,"Unknown")</x:f>
        <x:v>25</x:v>
      </x:c>
    </x:row>
    <x:row r="18">
      <x:c r="A18" s="110" t="str">
        <x:v>Missing ship_mode</x:v>
      </x:c>
      <x:c r="B18" s="118" t="str">
        <x:v>Filled as Unknown; retained for analysis and flagged.</x:v>
      </x:c>
      <x:c r="C18" s="111" t="n">
        <x:f>COUNTIF(Cleaned_Orders!$N$2:$N$913,"Unknown")</x:f>
        <x:v>21</x:v>
      </x:c>
    </x:row>
    <x:row r="19">
      <x:c r="A19" s="110" t="str">
        <x:v>Missing discount</x:v>
      </x:c>
      <x:c r="B19" s="118" t="str">
        <x:v>Set to 0 only after quantity, unit price, sales, cost and profit were present and internally reconciled.</x:v>
      </x:c>
      <x:c r="C19" s="111" t="n">
        <x:f>COUNTIF(Cleaned_Orders!$AM$2:$AM$913,"Missing discount imputed as 0")</x:f>
        <x:v>18</x:v>
      </x:c>
    </x:row>
    <x:row r="20">
      <x:c r="A20" s="110" t="str">
        <x:v>Negative discount</x:v>
      </x:c>
      <x:c r="B20" s="118" t="str">
        <x:v>Invalid; retained for audit, flagged Review, excluded from completed sales.</x:v>
      </x:c>
      <x:c r="C20" s="111" t="n">
        <x:f>COUNTIF(Cleaned_Orders!$AM$2:$AM$913,"Invalid discount – negative")</x:f>
        <x:v>15</x:v>
      </x:c>
    </x:row>
    <x:row r="21">
      <x:c r="A21" s="110" t="str">
        <x:v>Discount above allowed range</x:v>
      </x:c>
      <x:c r="B21" s="118" t="str">
        <x:v>Allowed range set to 0%–50%; values above 50% are invalid, flagged Review, and excluded.</x:v>
      </x:c>
      <x:c r="C21" s="111" t="n">
        <x:f>COUNTIF(Cleaned_Orders!$AM$2:$AM$913,"Invalid discount – above 50% allowed range")</x:f>
        <x:v>15</x:v>
      </x:c>
    </x:row>
    <x:row r="22">
      <x:c r="A22" s="110" t="str">
        <x:v>Cancelled orders</x:v>
      </x:c>
      <x:c r="B22" s="118" t="str">
        <x:v>Excluded from completed-sales summary.</x:v>
      </x:c>
      <x:c r="C22" s="111" t="n">
        <x:f>COUNTIF(Cleaned_Orders!$V$2:$V$913,"Cancelled")</x:f>
        <x:v>145</x:v>
      </x:c>
    </x:row>
    <x:row r="23">
      <x:c r="A23" s="110" t="str">
        <x:v>Failed payments</x:v>
      </x:c>
      <x:c r="B23" s="118" t="str">
        <x:v>Excluded from completed-sales summary.</x:v>
      </x:c>
      <x:c r="C23" s="111" t="n">
        <x:f>COUNTIF(Cleaned_Orders!$U$2:$U$913,"Failed")</x:f>
        <x:v>69</x:v>
      </x:c>
    </x:row>
    <x:row r="24">
      <x:c r="A24" s="110" t="str">
        <x:v>Refunded orders</x:v>
      </x:c>
      <x:c r="B24" s="118" t="str">
        <x:v>Excluded from completed sales and reported separately using payment_status = Refunded.</x:v>
      </x:c>
      <x:c r="C24" s="111" t="n">
        <x:f>COUNTIF(Cleaned_Orders!$AO$2:$AO$913,"Include in refunded summary")</x:f>
        <x:v>71</x:v>
      </x:c>
    </x:row>
    <x:row r="25">
      <x:c r="A25" s="112" t="str">
        <x:v>Ship before order date</x:v>
      </x:c>
      <x:c r="B25" s="119" t="str">
        <x:v>Invalid shipping record; flagged Review and excluded from completed sales.</x:v>
      </x:c>
      <x:c r="C25" s="113" t="n">
        <x:f>COUNTIF(Cleaned_Orders!$AJ$2:$AJ$913,"Invalid")</x:f>
        <x:v>21</x:v>
      </x:c>
    </x:row>
    <x:row r="27" ht="36" customHeight="1">
      <x:c r="A27" s="97" t="str">
        <x:v>Source note: 26 raw rows had a missing region and 22 raw rows had a missing ship mode. One exact duplicate in each group was removed; the retained counts above are 25 and 21.</x:v>
      </x:c>
      <x:c r="B27" s="97"/>
      <x:c r="C27" s="97"/>
      <x:c r="D27" s="97"/>
      <x:c r="E27" s="97"/>
      <x:c r="F27" s="97"/>
    </x:row>
  </x:sheetData>
  <x:mergeCells>
    <x:mergeCell ref="A1:F1"/>
    <x:mergeCell ref="A27:F27"/>
  </x:mergeCells>
  <x:conditionalFormatting sqref="B9:B9">
    <x:cfRule type="cellIs" dxfId="16" priority="1" operator="greaterThan">
      <x:formula>0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3" hidden="0" customWidth="1"/>
    <x:col min="4" max="4" width="20" hidden="0" customWidth="1"/>
    <x:col min="5" max="5" width="18" hidden="0" customWidth="1"/>
    <x:col min="6" max="6" width="22" hidden="0" customWidth="1"/>
    <x:col min="7" max="7" width="22" hidden="0" customWidth="1"/>
    <x:col min="8" max="8" width="3" hidden="0" customWidth="1"/>
    <x:col min="9" max="9" width="12" hidden="0" customWidth="1"/>
    <x:col min="10" max="10" width="12" hidden="0" customWidth="1"/>
  </x:cols>
  <x:sheetData>
    <x:row r="1" ht="26" customHeight="1">
      <x:c r="A1" s="89" t="str">
        <x:v>Refunded Orders – Separate Summary</x:v>
      </x:c>
      <x:c r="B1" s="89"/>
      <x:c r="C1" s="89"/>
      <x:c r="D1" s="89"/>
      <x:c r="E1" s="89"/>
      <x:c r="F1" s="89"/>
      <x:c r="G1" s="89"/>
      <x:c r="H1" s="89"/>
      <x:c r="I1" s="89"/>
      <x:c r="J1" s="89"/>
    </x:row>
    <x:row r="3">
      <x:c r="A3" s="98" t="str">
        <x:v>Refund KPI</x:v>
      </x:c>
      <x:c r="B3" s="99" t="str">
        <x:v>Value</x:v>
      </x:c>
      <x:c r="D3" s="98" t="str">
        <x:v>Category</x:v>
      </x:c>
      <x:c r="E3" s="114" t="str">
        <x:v>Refunded records</x:v>
      </x:c>
      <x:c r="F3" s="114" t="str">
        <x:v>Refunded sales (raw)</x:v>
      </x:c>
      <x:c r="G3" s="99" t="str">
        <x:v>Refunded profit (raw)</x:v>
      </x:c>
    </x:row>
    <x:row r="4">
      <x:c r="A4" s="104" t="str">
        <x:v>Refunded records</x:v>
      </x:c>
      <x:c r="B4" s="105" t="n">
        <x:f>COUNTIF(Cleaned_Orders!$AO$2:$AO$913,"Include in refunded summary")</x:f>
        <x:v>71</x:v>
      </x:c>
      <x:c r="D4" s="104" t="str">
        <x:v>Furniture</x:v>
      </x:c>
      <x:c r="E4" s="125" t="n">
        <x:f>COUNTIFS(Cleaned_Orders!$K$2:$K$913,$D4,Cleaned_Orders!$AO$2:$AO$913,"Include in refunded summary")</x:f>
        <x:v>26</x:v>
      </x:c>
      <x:c r="F4" s="127" t="n">
        <x:f>SUMIFS(Cleaned_Orders!$R$2:$R$913,Cleaned_Orders!$K$2:$K$913,$D4,Cleaned_Orders!$AO$2:$AO$913,"Include in refunded summary")</x:f>
        <x:v>259125.12999999998</x:v>
      </x:c>
      <x:c r="G4" s="123" t="n">
        <x:f>SUMIFS(Cleaned_Orders!$T$2:$T$913,Cleaned_Orders!$K$2:$K$913,$D4,Cleaned_Orders!$AO$2:$AO$913,"Include in refunded summary")</x:f>
        <x:v>69482.75000000001</x:v>
      </x:c>
    </x:row>
    <x:row r="5">
      <x:c r="A5" s="104" t="str">
        <x:v>Refunded sales value (sales_raw)</x:v>
      </x:c>
      <x:c r="B5" s="123" t="n">
        <x:f>SUMIFS(Cleaned_Orders!$R$2:$R$913,Cleaned_Orders!$AO$2:$AO$913,"Include in refunded summary")</x:f>
        <x:v>677073.7499999998</x:v>
      </x:c>
      <x:c r="D5" s="104" t="str">
        <x:v>Office Supplies</x:v>
      </x:c>
      <x:c r="E5" s="125" t="n">
        <x:f>COUNTIFS(Cleaned_Orders!$K$2:$K$913,$D5,Cleaned_Orders!$AO$2:$AO$913,"Include in refunded summary")</x:f>
        <x:v>20</x:v>
      </x:c>
      <x:c r="F5" s="127" t="n">
        <x:f>SUMIFS(Cleaned_Orders!$R$2:$R$913,Cleaned_Orders!$K$2:$K$913,$D5,Cleaned_Orders!$AO$2:$AO$913,"Include in refunded summary")</x:f>
        <x:v>174140.94000000003</x:v>
      </x:c>
      <x:c r="G5" s="123" t="n">
        <x:f>SUMIFS(Cleaned_Orders!$T$2:$T$913,Cleaned_Orders!$K$2:$K$913,$D5,Cleaned_Orders!$AO$2:$AO$913,"Include in refunded summary")</x:f>
        <x:v>52223.340000000004</x:v>
      </x:c>
    </x:row>
    <x:row r="6">
      <x:c r="A6" s="104" t="str">
        <x:v>Associated cost (cost_raw)</x:v>
      </x:c>
      <x:c r="B6" s="123" t="n">
        <x:f>SUMIFS(Cleaned_Orders!$S$2:$S$913,Cleaned_Orders!$AO$2:$AO$913,"Include in refunded summary")</x:f>
        <x:v>480590.7</x:v>
      </x:c>
      <x:c r="D6" s="106" t="str">
        <x:v>Technology</x:v>
      </x:c>
      <x:c r="E6" s="126" t="n">
        <x:f>COUNTIFS(Cleaned_Orders!$K$2:$K$913,$D6,Cleaned_Orders!$AO$2:$AO$913,"Include in refunded summary")</x:f>
        <x:v>25</x:v>
      </x:c>
      <x:c r="F6" s="128" t="n">
        <x:f>SUMIFS(Cleaned_Orders!$R$2:$R$913,Cleaned_Orders!$K$2:$K$913,$D6,Cleaned_Orders!$AO$2:$AO$913,"Include in refunded summary")</x:f>
        <x:v>243807.68000000005</x:v>
      </x:c>
      <x:c r="G6" s="124" t="n">
        <x:f>SUMIFS(Cleaned_Orders!$T$2:$T$913,Cleaned_Orders!$K$2:$K$913,$D6,Cleaned_Orders!$AO$2:$AO$913,"Include in refunded summary")</x:f>
        <x:v>74153.79000000001</x:v>
      </x:c>
    </x:row>
    <x:row r="7">
      <x:c r="A7" s="104" t="str">
        <x:v>Associated profit (profit_raw)</x:v>
      </x:c>
      <x:c r="B7" s="123" t="n">
        <x:f>SUMIFS(Cleaned_Orders!$T$2:$T$913,Cleaned_Orders!$AO$2:$AO$913,"Include in refunded summary")</x:f>
        <x:v>195859.88</x:v>
      </x:c>
      <x:c r="F7" s="36"/>
      <x:c r="G7" s="36"/>
    </x:row>
    <x:row r="8">
      <x:c r="A8" s="106" t="str">
        <x:v>Average refunded order value</x:v>
      </x:c>
      <x:c r="B8" s="124" t="n">
        <x:f>IF(B4=0,0,B5/B4)</x:f>
        <x:v>9536.249999999996</x:v>
      </x:c>
      <x:c r="D8" s="98" t="str">
        <x:v>Region</x:v>
      </x:c>
      <x:c r="E8" s="114" t="str">
        <x:v>Refunded records</x:v>
      </x:c>
      <x:c r="F8" s="129" t="str">
        <x:v>Refunded sales (raw)</x:v>
      </x:c>
      <x:c r="G8" s="130" t="str">
        <x:v>Refunded profit (raw)</x:v>
      </x:c>
    </x:row>
    <x:row r="9">
      <x:c r="D9" s="104" t="str">
        <x:v>North</x:v>
      </x:c>
      <x:c r="E9" s="59" t="n">
        <x:f>COUNTIFS(Cleaned_Orders!$H$2:$H$913,$D9,Cleaned_Orders!$AO$2:$AO$913,"Include in refunded summary")</x:f>
        <x:v>20</x:v>
      </x:c>
      <x:c r="F9" s="127" t="n">
        <x:f>SUMIFS(Cleaned_Orders!$R$2:$R$913,Cleaned_Orders!$H$2:$H$913,$D9,Cleaned_Orders!$AO$2:$AO$913,"Include in refunded summary")</x:f>
        <x:v>132215.80000000002</x:v>
      </x:c>
      <x:c r="G9" s="123" t="n">
        <x:f>SUMIFS(Cleaned_Orders!$T$2:$T$913,Cleaned_Orders!$H$2:$H$913,$D9,Cleaned_Orders!$AO$2:$AO$913,"Include in refunded summary")</x:f>
        <x:v>39296.61</x:v>
      </x:c>
    </x:row>
    <x:row r="10">
      <x:c r="D10" s="104" t="str">
        <x:v>South</x:v>
      </x:c>
      <x:c r="E10" s="59" t="n">
        <x:f>COUNTIFS(Cleaned_Orders!$H$2:$H$913,$D10,Cleaned_Orders!$AO$2:$AO$913,"Include in refunded summary")</x:f>
        <x:v>20</x:v>
      </x:c>
      <x:c r="F10" s="127" t="n">
        <x:f>SUMIFS(Cleaned_Orders!$R$2:$R$913,Cleaned_Orders!$H$2:$H$913,$D10,Cleaned_Orders!$AO$2:$AO$913,"Include in refunded summary")</x:f>
        <x:v>223899.27</x:v>
      </x:c>
      <x:c r="G10" s="123" t="n">
        <x:f>SUMIFS(Cleaned_Orders!$T$2:$T$913,Cleaned_Orders!$H$2:$H$913,$D10,Cleaned_Orders!$AO$2:$AO$913,"Include in refunded summary")</x:f>
        <x:v>70579.76999999999</x:v>
      </x:c>
    </x:row>
    <x:row r="11">
      <x:c r="D11" s="104" t="str">
        <x:v>East</x:v>
      </x:c>
      <x:c r="E11" s="59" t="n">
        <x:f>COUNTIFS(Cleaned_Orders!$H$2:$H$913,$D11,Cleaned_Orders!$AO$2:$AO$913,"Include in refunded summary")</x:f>
        <x:v>14</x:v>
      </x:c>
      <x:c r="F11" s="127" t="n">
        <x:f>SUMIFS(Cleaned_Orders!$R$2:$R$913,Cleaned_Orders!$H$2:$H$913,$D11,Cleaned_Orders!$AO$2:$AO$913,"Include in refunded summary")</x:f>
        <x:v>124124.29</x:v>
      </x:c>
      <x:c r="G11" s="123" t="n">
        <x:f>SUMIFS(Cleaned_Orders!$T$2:$T$913,Cleaned_Orders!$H$2:$H$913,$D11,Cleaned_Orders!$AO$2:$AO$913,"Include in refunded summary")</x:f>
        <x:v>35714.079999999994</x:v>
      </x:c>
    </x:row>
    <x:row r="12">
      <x:c r="D12" s="104" t="str">
        <x:v>West</x:v>
      </x:c>
      <x:c r="E12" s="59" t="n">
        <x:f>COUNTIFS(Cleaned_Orders!$H$2:$H$913,$D12,Cleaned_Orders!$AO$2:$AO$913,"Include in refunded summary")</x:f>
        <x:v>14</x:v>
      </x:c>
      <x:c r="F12" s="127" t="n">
        <x:f>SUMIFS(Cleaned_Orders!$R$2:$R$913,Cleaned_Orders!$H$2:$H$913,$D12,Cleaned_Orders!$AO$2:$AO$913,"Include in refunded summary")</x:f>
        <x:v>127635.14</x:v>
      </x:c>
      <x:c r="G12" s="123" t="n">
        <x:f>SUMIFS(Cleaned_Orders!$T$2:$T$913,Cleaned_Orders!$H$2:$H$913,$D12,Cleaned_Orders!$AO$2:$AO$913,"Include in refunded summary")</x:f>
        <x:v>27870.270000000008</x:v>
      </x:c>
    </x:row>
    <x:row r="13">
      <x:c r="D13" s="106" t="str">
        <x:v>Unknown</x:v>
      </x:c>
      <x:c r="E13" s="116" t="n">
        <x:f>COUNTIFS(Cleaned_Orders!$H$2:$H$913,$D13,Cleaned_Orders!$AO$2:$AO$913,"Include in refunded summary")</x:f>
        <x:v>3</x:v>
      </x:c>
      <x:c r="F13" s="128" t="n">
        <x:f>SUMIFS(Cleaned_Orders!$R$2:$R$913,Cleaned_Orders!$H$2:$H$913,$D13,Cleaned_Orders!$AO$2:$AO$913,"Include in refunded summary")</x:f>
        <x:v>69199.25</x:v>
      </x:c>
      <x:c r="G13" s="124" t="n">
        <x:f>SUMIFS(Cleaned_Orders!$T$2:$T$913,Cleaned_Orders!$H$2:$H$913,$D13,Cleaned_Orders!$AO$2:$AO$913,"Include in refunded summary")</x:f>
        <x:v>22399.15</x:v>
      </x:c>
    </x:row>
    <x:row r="15" ht="32" customHeight="1">
      <x:c r="A15" s="97" t="str">
        <x:v>Refunded records are excluded from validated completed sales even when the related order status is Cancelled or Returned. Refund values use sales_raw to preserve the recorded transaction amount.</x:v>
      </x:c>
      <x:c r="B15" s="97"/>
      <x:c r="C15" s="97"/>
      <x:c r="D15" s="97"/>
      <x:c r="E15" s="97"/>
      <x:c r="F15" s="97"/>
      <x:c r="G15" s="97"/>
      <x:c r="H15" s="97"/>
      <x:c r="I15" s="97"/>
      <x:c r="J15" s="97"/>
    </x:row>
  </x:sheetData>
  <x:mergeCells>
    <x:mergeCell ref="A15:J15"/>
    <x:mergeCell ref="A1:G1"/>
  </x:mergeCells>
  <x:pageMargins left="0.7" right="0.7" top="0.75" bottom="0.75" header="0.3" footer="0.3"/>
</x:worksheet>
</file>